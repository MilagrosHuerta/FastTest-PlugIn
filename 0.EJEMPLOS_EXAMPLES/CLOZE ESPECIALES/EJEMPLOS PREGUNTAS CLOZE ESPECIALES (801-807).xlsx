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updateLinks="never" codeName="ThisWorkbook"/>
  <mc:AlternateContent xmlns:mc="http://schemas.openxmlformats.org/markup-compatibility/2006">
    <mc:Choice Requires="x15">
      <x15ac:absPath xmlns:x15ac="http://schemas.microsoft.com/office/spreadsheetml/2010/11/ac" url="C:\AHGM\0. GITHUB\FTP_Privado\0.EJEMPLOS_EXAMPLES\CLOZE ESPECIALES\"/>
    </mc:Choice>
  </mc:AlternateContent>
  <xr:revisionPtr revIDLastSave="0" documentId="13_ncr:1_{F9E3B089-F033-4C10-9E7C-1C33EFB2F055}" xr6:coauthVersionLast="47" xr6:coauthVersionMax="47" xr10:uidLastSave="{00000000-0000-0000-0000-000000000000}"/>
  <bookViews>
    <workbookView showHorizontalScroll="0" showVerticalScroll="0" showSheetTabs="0" xWindow="-93" yWindow="-93" windowWidth="19386" windowHeight="12986" activeTab="8"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7" i="8" l="1"/>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T28" i="8"/>
  <c r="T19" i="8"/>
  <c r="T22" i="8"/>
  <c r="T26" i="8"/>
  <c r="T20" i="8"/>
  <c r="T25" i="8"/>
  <c r="T29" i="8"/>
  <c r="T24" i="8"/>
  <c r="T27" i="8"/>
  <c r="T21" i="8"/>
  <c r="T23" i="8"/>
  <c r="Y3" i="16"/>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U28" i="8"/>
  <c r="T11" i="8"/>
  <c r="U22" i="8"/>
  <c r="U20" i="8"/>
  <c r="T8" i="8"/>
  <c r="U19" i="8"/>
  <c r="T12" i="8"/>
  <c r="T16" i="8"/>
  <c r="U21" i="8"/>
  <c r="T3" i="8"/>
  <c r="U24" i="8"/>
  <c r="U25" i="8"/>
  <c r="F1" i="15"/>
  <c r="D1" i="8"/>
  <c r="U27" i="8"/>
  <c r="T10" i="8"/>
  <c r="T5" i="8"/>
  <c r="T9" i="8"/>
  <c r="F2" i="15"/>
  <c r="U23" i="8"/>
  <c r="T6" i="8"/>
  <c r="T4" i="8"/>
  <c r="E3" i="15"/>
  <c r="T18" i="8"/>
  <c r="U26" i="8"/>
  <c r="U29" i="8"/>
  <c r="T15" i="8"/>
  <c r="T17" i="8"/>
  <c r="T14" i="8"/>
  <c r="T13" i="8"/>
  <c r="T7" i="8"/>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C26" i="6"/>
  <c r="H3" i="15"/>
  <c r="C23" i="6"/>
  <c r="K3" i="16"/>
  <c r="W3" i="15"/>
  <c r="G1" i="16"/>
  <c r="V3" i="20"/>
  <c r="K23" i="6"/>
  <c r="AD3" i="20"/>
  <c r="J3" i="16"/>
  <c r="X3" i="20"/>
  <c r="J3" i="21"/>
  <c r="Q26" i="6"/>
  <c r="G3" i="6"/>
  <c r="U3" i="19"/>
  <c r="Q23" i="6"/>
  <c r="E23" i="6"/>
  <c r="M3" i="21"/>
  <c r="P3" i="20"/>
  <c r="K26" i="6"/>
  <c r="A3" i="15"/>
  <c r="I3" i="16"/>
  <c r="AA3" i="19"/>
  <c r="AE3" i="15"/>
  <c r="T3" i="16"/>
  <c r="B3" i="15"/>
  <c r="R3" i="16"/>
  <c r="H3" i="19"/>
  <c r="U5" i="8"/>
  <c r="AF3" i="15"/>
  <c r="AC3" i="19"/>
  <c r="J3" i="20"/>
  <c r="O26" i="6"/>
  <c r="J3" i="15"/>
  <c r="U3" i="8"/>
  <c r="U8" i="8"/>
  <c r="U4" i="8"/>
  <c r="R3" i="19"/>
  <c r="AH3" i="16"/>
  <c r="U16" i="8"/>
  <c r="T3" i="20"/>
  <c r="U7" i="8"/>
  <c r="V3" i="16"/>
  <c r="X3" i="16"/>
  <c r="H3" i="20"/>
  <c r="E26" i="6"/>
  <c r="M26" i="6"/>
  <c r="Q3" i="16"/>
  <c r="L3" i="16"/>
  <c r="D27" i="6"/>
  <c r="G1" i="18"/>
  <c r="A3" i="19"/>
  <c r="G1" i="15"/>
  <c r="G1" i="17"/>
  <c r="AF3" i="16"/>
  <c r="Q24" i="6"/>
  <c r="A3" i="20"/>
  <c r="G1" i="21"/>
  <c r="K3" i="21"/>
  <c r="U15" i="8"/>
  <c r="AH3" i="15"/>
  <c r="U12" i="8"/>
  <c r="S3" i="16"/>
  <c r="X3" i="15"/>
  <c r="P3" i="15"/>
  <c r="C9" i="6"/>
  <c r="W3" i="19"/>
  <c r="E3" i="16"/>
  <c r="X3" i="19"/>
  <c r="T3" i="15"/>
  <c r="D3" i="19"/>
  <c r="D11" i="6"/>
  <c r="N3" i="19"/>
  <c r="U3" i="15"/>
  <c r="L3" i="19"/>
  <c r="R3" i="20"/>
  <c r="I3" i="15"/>
  <c r="G1" i="22"/>
  <c r="M23" i="6"/>
  <c r="G23" i="6"/>
  <c r="G3" i="22"/>
  <c r="O3" i="19"/>
  <c r="Q3" i="15"/>
  <c r="K3" i="15"/>
  <c r="A3" i="18"/>
  <c r="E24" i="6"/>
  <c r="L3" i="21"/>
  <c r="U11" i="8"/>
  <c r="N3" i="16"/>
  <c r="U3" i="16"/>
  <c r="U10" i="8"/>
  <c r="AG3" i="15"/>
  <c r="H3" i="16"/>
  <c r="G1" i="19"/>
  <c r="E3" i="17"/>
  <c r="M24" i="6"/>
  <c r="I24" i="6"/>
  <c r="T3" i="19"/>
  <c r="G1" i="20"/>
  <c r="I26" i="6"/>
  <c r="M3" i="16"/>
  <c r="I23" i="6"/>
  <c r="U6" i="8"/>
  <c r="U14" i="8"/>
  <c r="N3" i="15"/>
  <c r="M3" i="15"/>
  <c r="O3" i="15"/>
  <c r="U17" i="8"/>
  <c r="S3" i="15"/>
  <c r="AE3" i="16"/>
  <c r="R3" i="15"/>
  <c r="U9" i="8"/>
  <c r="G26" i="6"/>
  <c r="U13" i="8"/>
  <c r="I3" i="21"/>
  <c r="AB3" i="20"/>
  <c r="K24" i="6"/>
  <c r="G24" i="6"/>
  <c r="G3" i="16"/>
  <c r="Z3" i="20"/>
  <c r="C24" i="6"/>
  <c r="N3" i="20"/>
  <c r="H3" i="21"/>
  <c r="B3" i="16"/>
  <c r="O23" i="6"/>
  <c r="P6" i="6"/>
  <c r="K3" i="19"/>
  <c r="O24" i="6"/>
  <c r="Z3" i="19"/>
  <c r="Q3" i="19"/>
  <c r="I7" i="6"/>
  <c r="A3" i="16"/>
  <c r="AD3" i="19"/>
  <c r="AG3" i="16"/>
  <c r="P3" i="16"/>
  <c r="I3" i="19"/>
  <c r="O3" i="16"/>
  <c r="U18" i="8"/>
  <c r="L3" i="15"/>
  <c r="L3" i="20"/>
  <c r="W3" i="16"/>
  <c r="V3" i="15"/>
  <c r="AF3" i="19" l="1"/>
  <c r="AF3" i="20"/>
  <c r="AF3" i="18"/>
  <c r="AF3" i="22"/>
  <c r="AF3" i="17"/>
  <c r="H3" i="17"/>
  <c r="AH3" i="20"/>
  <c r="AH3" i="17"/>
  <c r="AH3" i="22"/>
  <c r="AH3" i="19"/>
  <c r="AH3" i="18"/>
  <c r="P3" i="19"/>
  <c r="Y3" i="19"/>
  <c r="S3" i="19"/>
  <c r="V3" i="19"/>
  <c r="M3" i="19"/>
  <c r="J3" i="19"/>
  <c r="AB3" i="19"/>
  <c r="G3" i="19"/>
  <c r="I3" i="22"/>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U3" i="20"/>
  <c r="I3" i="20"/>
  <c r="AA3" i="20"/>
  <c r="F3" i="15"/>
  <c r="F3" i="19"/>
  <c r="G3" i="20"/>
  <c r="O3" i="20"/>
  <c r="K3" i="20"/>
  <c r="F3" i="20"/>
  <c r="W3" i="20"/>
  <c r="F3" i="17"/>
  <c r="F3" i="18"/>
  <c r="F3" i="21"/>
  <c r="F3" i="22"/>
  <c r="S3" i="20"/>
  <c r="F3" i="16"/>
  <c r="M3" i="20"/>
  <c r="Y3" i="20"/>
  <c r="AC3" i="20"/>
  <c r="G3" i="21"/>
  <c r="Q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<sst xmlns="http://schemas.openxmlformats.org/spreadsheetml/2006/main" count="1198" uniqueCount="852">
  <si>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</si>
  <si>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</si>
  <si>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</si>
  <si>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</si>
  <si>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</si>
  <si>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</si>
  <si>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</si>
  <si>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</si>
  <si>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</si>
  <si>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</si>
  <si>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</si>
  <si>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</si>
  <si>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</si>
  <si>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</si>
  <si>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</si>
  <si>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</si>
  <si>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</si>
  <si>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</si>
  <si>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</si>
  <si>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</si>
  <si>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</si>
  <si>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</si>
  <si>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</si>
  <si>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</si>
  <si>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</si>
  <si>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</si>
  <si>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</si>
  <si>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</si>
  <si>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</si>
  <si>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</si>
  <si>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</si>
  <si>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</si>
  <si>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</si>
  <si>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</si>
  <si>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</si>
  <si>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</si>
  <si>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</si>
  <si>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</si>
  <si>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</si>
  <si>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</si>
  <si>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</si>
  <si>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</si>
  <si>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</si>
  <si>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</si>
  <si>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</si>
  <si>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</si>
  <si>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</si>
  <si>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</si>
  <si>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</si>
  <si>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</si>
  <si>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</si>
  <si>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</si>
  <si>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</si>
  <si>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</si>
  <si>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</si>
  <si>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</si>
  <si>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</si>
  <si>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</si>
  <si>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</si>
  <si>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</si>
  <si>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</si>
  <si>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</si>
  <si>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</si>
  <si>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</si>
  <si>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</si>
  <si>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</si>
  <si>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</si>
  <si>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</si>
  <si>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</si>
  <si>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</si>
  <si>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</si>
  <si>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</si>
  <si>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</si>
  <si>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</si>
  <si>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</si>
  <si>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</si>
  <si>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</si>
  <si>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</si>
  <si>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</si>
  <si>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</si>
  <si>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</si>
  <si>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</si>
  <si>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</si>
  <si>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</si>
  <si>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</si>
  <si>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</si>
  <si>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</si>
  <si>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</si>
  <si>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</si>
  <si>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</si>
  <si>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</si>
  <si>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</si>
  <si>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</si>
  <si>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</si>
  <si>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</si>
  <si>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</si>
  <si>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</si>
  <si>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</si>
  <si>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</si>
  <si>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</si>
  <si>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</si>
  <si>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</si>
  <si>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</si>
  <si>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</si>
  <si>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</si>
  <si>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</si>
  <si>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</si>
  <si>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</si>
  <si>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</si>
  <si>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</si>
  <si>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</si>
  <si>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</si>
  <si>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</si>
  <si>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</si>
  <si>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</si>
  <si>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</si>
  <si>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</si>
  <si>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</si>
  <si>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</si>
  <si>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</si>
  <si>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</si>
  <si>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</si>
  <si>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</si>
  <si>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</si>
  <si>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</si>
  <si>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</si>
  <si>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</si>
  <si>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</si>
  <si>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</si>
  <si>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</si>
  <si>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</si>
  <si>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</si>
  <si>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</si>
  <si>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</si>
  <si>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</si>
  <si>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</si>
  <si>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</si>
  <si>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</si>
  <si>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</si>
  <si>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</si>
  <si>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</si>
  <si>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</si>
  <si>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</si>
  <si>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</si>
  <si>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</si>
  <si>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</si>
  <si>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</si>
  <si>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</si>
  <si>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</si>
  <si>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</si>
  <si>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</si>
  <si>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</si>
  <si>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</si>
  <si>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</si>
  <si>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</si>
  <si>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</si>
  <si>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</si>
  <si>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</si>
  <si>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</si>
  <si>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</si>
  <si>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</si>
  <si>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</si>
  <si>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</si>
  <si>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</si>
  <si>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</si>
  <si>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</si>
  <si>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</si>
  <si>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</si>
  <si>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</si>
  <si>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</si>
  <si>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</si>
  <si>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</si>
  <si>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</si>
  <si>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</si>
  <si>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</si>
  <si>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</si>
  <si>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</si>
  <si>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</si>
  <si>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</si>
  <si>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</si>
  <si>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</si>
  <si>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</si>
  <si>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</si>
  <si>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</si>
  <si>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</si>
  <si>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</si>
  <si>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</si>
  <si>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</si>
  <si>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</si>
  <si>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</si>
  <si>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</si>
  <si>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</si>
  <si>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</si>
  <si>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</si>
  <si>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</si>
  <si>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</si>
  <si>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</si>
  <si>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</si>
  <si>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</si>
  <si>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</si>
  <si>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</si>
  <si>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</si>
  <si>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</si>
  <si>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</si>
  <si>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</si>
  <si>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</si>
  <si>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</si>
  <si>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</si>
  <si>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</si>
  <si>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</si>
  <si>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</si>
  <si>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</si>
  <si>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</si>
  <si>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</si>
  <si>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</si>
  <si>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</si>
  <si>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</si>
  <si>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</si>
  <si>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</si>
  <si>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</si>
  <si>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</si>
  <si>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</si>
  <si>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</si>
  <si>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</si>
  <si>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</si>
  <si>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</si>
  <si>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</si>
  <si>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</si>
  <si>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</si>
  <si>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</si>
  <si>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</si>
  <si>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</si>
  <si>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</si>
  <si>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</si>
  <si>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</si>
  <si>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</si>
  <si>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</si>
  <si>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</si>
  <si>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</si>
  <si>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</si>
  <si>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</si>
  <si>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</si>
  <si>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</si>
  <si>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</si>
  <si>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</si>
  <si>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</si>
  <si>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</si>
  <si>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</si>
  <si>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</si>
  <si>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</si>
  <si>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</si>
  <si>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</si>
  <si>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</si>
  <si>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</si>
  <si>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</si>
  <si>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</si>
  <si>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</si>
  <si>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</si>
  <si>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</si>
  <si>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</si>
  <si>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</si>
  <si>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</si>
  <si>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</si>
  <si>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</si>
  <si>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</si>
  <si>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</si>
  <si>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</si>
  <si>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</si>
  <si>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</si>
  <si>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</si>
  <si>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Width SA</t>
  </si>
  <si>
    <t>Largeur RC</t>
  </si>
  <si>
    <t>Largura RC</t>
  </si>
  <si>
    <t>Larghezza RB</t>
  </si>
  <si>
    <t>Breite KA</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</si>
  <si>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</si>
  <si>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</si>
  <si>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</si>
  <si>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</si>
  <si>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</si>
  <si>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</si>
  <si>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</si>
  <si>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</si>
  <si>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</si>
  <si>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</si>
  <si>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</si>
  <si>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</si>
  <si>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</si>
  <si>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</si>
  <si>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</si>
  <si>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</si>
  <si>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</si>
  <si>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</si>
  <si>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</si>
  <si>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</si>
  <si>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</si>
  <si>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</si>
  <si>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</si>
  <si>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</si>
  <si>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</si>
  <si>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</si>
  <si>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</si>
  <si>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</si>
  <si>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</si>
  <si>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</si>
  <si>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</si>
  <si>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</si>
  <si>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</si>
  <si>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</si>
  <si>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</si>
  <si>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</si>
  <si>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</si>
  <si>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</si>
  <si>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</si>
  <si>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</si>
  <si>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</si>
  <si>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</si>
  <si>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</si>
  <si>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</si>
  <si>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</si>
  <si>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</si>
  <si>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</si>
  <si>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</si>
  <si>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</si>
  <si>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</si>
  <si>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</si>
  <si>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</si>
  <si>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</si>
  <si>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</si>
  <si>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</si>
  <si>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</si>
  <si>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</si>
  <si>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</si>
  <si>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</si>
  <si>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</si>
  <si>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</si>
  <si>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</si>
  <si>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</si>
  <si>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</si>
  <si>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</si>
  <si>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</si>
  <si>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</si>
  <si>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</si>
  <si>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</si>
  <si>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</si>
  <si>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</si>
  <si>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</si>
  <si>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</si>
  <si>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</si>
  <si>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</si>
  <si>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</si>
  <si>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</si>
  <si>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</si>
  <si>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</si>
  <si>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</si>
  <si>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</si>
  <si>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</si>
  <si>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</si>
  <si>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</si>
  <si>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</si>
  <si>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</si>
  <si>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</si>
  <si>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</si>
  <si>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</si>
  <si>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</si>
  <si>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</si>
  <si>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</si>
  <si>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</si>
  <si>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</si>
  <si>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</si>
  <si>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</si>
  <si>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</si>
  <si>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</si>
  <si>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</si>
  <si>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</si>
  <si>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</si>
  <si>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</si>
  <si>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</si>
  <si>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</si>
  <si>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</si>
  <si>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</si>
  <si>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</si>
  <si>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</si>
  <si>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</si>
  <si>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</si>
  <si>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</si>
  <si>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</si>
  <si>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</si>
  <si>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</si>
  <si>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</si>
  <si>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</si>
  <si>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</si>
  <si>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</si>
  <si>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</si>
  <si>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</si>
  <si>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</si>
  <si>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</si>
  <si>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</si>
  <si>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</si>
  <si>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</si>
  <si>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</si>
  <si>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</si>
  <si>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</si>
  <si>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</si>
  <si>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</si>
  <si>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</si>
  <si>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</si>
  <si>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</si>
  <si>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</si>
  <si>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</si>
  <si>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</si>
  <si>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</si>
  <si>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</si>
  <si>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</si>
  <si>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</si>
  <si>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</si>
  <si>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</si>
  <si>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</si>
  <si>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</si>
  <si>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</si>
  <si>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</si>
  <si>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</si>
  <si>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</si>
  <si>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</si>
  <si>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</si>
  <si>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</si>
  <si>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</si>
  <si>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</si>
  <si>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</si>
  <si>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</si>
  <si>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</si>
  <si>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</si>
  <si>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</si>
  <si>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</si>
  <si>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</si>
  <si>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</si>
  <si>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</si>
  <si>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</si>
  <si>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</si>
  <si>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</si>
  <si>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</si>
  <si>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</si>
  <si>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</si>
  <si>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</si>
  <si>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</si>
  <si>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</si>
  <si>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</si>
  <si>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</si>
  <si>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</si>
  <si>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</si>
  <si>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</si>
  <si>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</si>
  <si>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</si>
  <si>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</si>
  <si>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</si>
  <si>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</si>
  <si>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</si>
  <si>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</si>
  <si>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</si>
  <si>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</si>
  <si>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</si>
  <si>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</si>
  <si>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</si>
  <si>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</si>
  <si>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</si>
  <si>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</si>
  <si>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</si>
  <si>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</si>
  <si>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</si>
  <si>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</si>
  <si>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</si>
  <si>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</si>
  <si>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</si>
  <si>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</si>
  <si>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</si>
  <si>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</si>
  <si>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</si>
  <si>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</si>
  <si>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</si>
  <si>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</si>
  <si>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</si>
  <si>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</si>
  <si>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</si>
  <si>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</si>
  <si>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</si>
  <si>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</si>
  <si>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</si>
  <si>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</si>
  <si>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</si>
  <si>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</si>
  <si>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</si>
  <si>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</si>
  <si>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</si>
  <si>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</si>
  <si>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</si>
  <si>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</si>
  <si>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</si>
  <si>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</si>
  <si>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</si>
  <si>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</si>
  <si>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</si>
  <si>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</si>
  <si>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</si>
  <si>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</si>
  <si>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</si>
  <si>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</si>
  <si>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</si>
  <si>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</si>
  <si>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</si>
  <si>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</si>
  <si>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</si>
  <si>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</si>
  <si>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</si>
  <si>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</si>
  <si>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</si>
  <si>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</si>
  <si>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</si>
  <si>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</si>
  <si>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</si>
  <si>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</si>
  <si>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</si>
  <si>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</si>
  <si>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</si>
  <si>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</si>
  <si>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</si>
  <si>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</si>
  <si>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</si>
  <si>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</si>
  <si>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</si>
  <si>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</si>
  <si>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</si>
  <si>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</si>
  <si>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</si>
  <si>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</si>
  <si>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</si>
  <si>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</si>
  <si>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</si>
  <si>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</si>
  <si>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</si>
  <si>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</si>
  <si>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</si>
  <si>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</si>
  <si>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</si>
  <si>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</si>
  <si>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</si>
  <si>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</si>
  <si>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</si>
  <si>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</si>
  <si>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</si>
  <si>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</si>
  <si>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</si>
  <si>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</si>
  <si>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</si>
  <si>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</si>
  <si>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</si>
  <si>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</si>
  <si>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</si>
  <si>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</si>
  <si>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</si>
  <si>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</si>
  <si>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</si>
  <si>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</si>
  <si>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</si>
  <si>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</si>
  <si>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</si>
  <si>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</si>
  <si>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</si>
  <si>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</si>
  <si>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</si>
  <si>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</si>
  <si>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</si>
  <si>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</si>
  <si>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</si>
  <si>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</si>
  <si>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</si>
  <si>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</si>
  <si>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</si>
  <si>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</si>
  <si>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</si>
  <si>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</si>
  <si>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</si>
  <si>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</si>
  <si>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</si>
  <si>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</si>
  <si>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</si>
  <si>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</si>
  <si>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</si>
  <si>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</si>
  <si>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</si>
  <si>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</si>
  <si>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</si>
  <si>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</si>
  <si>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</si>
  <si>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</si>
  <si>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</si>
  <si>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</si>
  <si>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</si>
  <si>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</si>
  <si>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</si>
  <si>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</si>
  <si>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</si>
  <si>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</si>
  <si>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</si>
  <si>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</si>
  <si>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</si>
  <si>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</si>
  <si>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</si>
  <si>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</si>
  <si>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</si>
  <si>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</si>
  <si>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</si>
  <si>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</si>
  <si>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</si>
  <si>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</si>
  <si>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</si>
  <si>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</si>
  <si>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</si>
  <si>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</si>
  <si>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</si>
  <si>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</si>
  <si>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</si>
  <si>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</si>
  <si>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</si>
  <si>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</si>
  <si>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</si>
  <si>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</si>
  <si>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</si>
  <si>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</si>
  <si>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</si>
  <si>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</si>
  <si>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</si>
  <si>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</si>
  <si>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</si>
  <si>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</si>
  <si>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</si>
  <si>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</si>
  <si>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</si>
  <si>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</si>
  <si>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</si>
  <si>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</si>
  <si>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</si>
  <si>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</si>
  <si>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</si>
  <si>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</si>
  <si>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</si>
  <si>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</si>
  <si>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</si>
  <si>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</si>
  <si>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</si>
  <si>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</si>
  <si>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</si>
  <si>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</si>
  <si>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</si>
  <si>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</si>
  <si>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</si>
  <si>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</si>
  <si>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</si>
  <si>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</si>
  <si>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</si>
  <si>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</si>
  <si>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</si>
  <si>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</si>
  <si>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</si>
  <si>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</si>
  <si>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</si>
  <si>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</si>
  <si>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</si>
  <si>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</si>
  <si>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</si>
  <si>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</si>
  <si>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</si>
  <si>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</si>
  <si>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</si>
  <si>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</si>
  <si>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</si>
  <si>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</si>
  <si>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</si>
  <si>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</si>
  <si>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</si>
  <si>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</si>
  <si>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</si>
  <si>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</si>
  <si>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</si>
  <si>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</si>
  <si>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</si>
  <si>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</si>
  <si>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</si>
  <si>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</si>
  <si>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</si>
  <si>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</si>
  <si>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</si>
  <si>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</si>
  <si>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</si>
  <si>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</si>
  <si>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</si>
  <si>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</si>
  <si>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</si>
  <si>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</si>
  <si>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</si>
  <si>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</si>
  <si>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</si>
  <si>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</si>
  <si>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</si>
  <si>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宽度SA</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</si>
  <si>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</si>
  <si>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</si>
  <si>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</si>
  <si>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</si>
  <si>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</si>
  <si>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</si>
  <si>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</si>
  <si>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</si>
  <si>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</si>
  <si>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</si>
  <si>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</si>
  <si>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</si>
  <si>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</si>
  <si>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</si>
  <si>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</si>
  <si>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</si>
  <si>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</si>
  <si>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</si>
  <si>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</si>
  <si>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</si>
  <si>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</si>
  <si>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</si>
  <si>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</si>
  <si>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</si>
  <si>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</si>
  <si>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</si>
  <si>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</si>
  <si>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</si>
  <si>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</si>
  <si>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</si>
  <si>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</si>
  <si>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</si>
  <si>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</si>
  <si>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</si>
  <si>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</si>
  <si>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</si>
  <si>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</si>
  <si>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</si>
  <si>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</si>
  <si>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</si>
  <si>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</si>
  <si>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</si>
  <si>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</si>
  <si>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</si>
  <si>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</si>
  <si>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</si>
  <si>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</si>
  <si>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</si>
  <si>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</si>
  <si>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</si>
  <si>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</si>
  <si>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</si>
  <si>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</si>
  <si>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</si>
  <si>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</si>
  <si>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</si>
  <si>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</si>
  <si>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</si>
  <si>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</si>
  <si>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</si>
  <si>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</si>
  <si>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</si>
  <si>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</si>
  <si>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</si>
  <si>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</si>
  <si>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</si>
  <si>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</si>
  <si>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</si>
  <si>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</si>
  <si>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</si>
  <si>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</si>
  <si>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</si>
  <si>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</si>
  <si>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</si>
  <si>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</si>
  <si>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</si>
  <si>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</si>
  <si>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</si>
  <si>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</si>
  <si>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</si>
  <si>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</si>
  <si>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</si>
  <si>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</si>
  <si>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</si>
  <si>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</si>
  <si>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</si>
  <si>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</si>
  <si>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</si>
  <si>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</si>
  <si>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</si>
  <si>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</si>
  <si>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</si>
  <si>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</si>
  <si>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</si>
  <si>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</si>
  <si>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</si>
  <si>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</si>
  <si>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</si>
  <si>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</si>
  <si>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</si>
  <si>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</si>
  <si>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</si>
  <si>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</si>
  <si>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</si>
  <si>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</si>
  <si>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</si>
  <si>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</si>
  <si>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</si>
  <si>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</si>
  <si>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</si>
  <si>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</si>
  <si>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</si>
  <si>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</si>
  <si>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</si>
  <si>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</si>
  <si>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</si>
  <si>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</si>
  <si>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</si>
  <si>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</si>
  <si>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</si>
  <si>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</si>
  <si>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</si>
  <si>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</si>
  <si>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</si>
  <si>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</si>
  <si>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</si>
  <si>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</si>
  <si>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V - 8.3  - 02/01/2025</t>
  </si>
  <si>
    <t>PREGUNTA CON ANCHO AUTOMATICO</t>
  </si>
  <si>
    <t>ESTO ES UNA PREGUNTA con ANCHO AUTOMÁTICO:&lt;br&gt;Primer dato {1:NM:=1} , segundo 
  {1:NM:=100} y último {1:SA:=HOLA, este es más largo}&lt;/p&gt;</t>
  </si>
  <si>
    <t/>
  </si>
  <si>
    <t>PREGUNTA CON ANCHO AUTOMATICO CONCRETO</t>
  </si>
  <si>
    <t>ESTO ES UNA PREGUNTA CON ANCHO CONCRETO:&lt;br&gt;Primer dato {1:NM:=1} , segundo 
  {1:NM:=100} y último {1:SA:=HOLA, este es más largo}&lt;/p&gt;</t>
  </si>
  <si>
    <t>PREGUNTA CON MENÚS DESPLEGABLES (ANCHO POR DEFECTO)</t>
  </si>
  <si>
    <t>ESTO ES UNA PREGUNTA CON MENÚ DESPLEGABLE DE IMAGENES &lt;br&gt;[[[  {6:MCVS:%100%&lt;img src="https://i.ibb.co/1XVwKXM/M-POS-POS-MAX-MIN-M-0.png"
    width="100"&gt;#¡Muy bien!~%-33%&lt;img
    src="https://i.ibb.co/rG4KyGQ/M-POS-POS-MIN-MAX-POS-MIN.png"
    width="100"&gt;#Incorrecto.~%-33%&lt;img
    src="https://i.ibb.co/KDyC7gf/M-NEG-NEG-MIN-MAX-M-0.png"
    width="100"&gt;#Incorrecto.} ]]] {1:NM:%100%174,38:0,34876#¡Muy bien!~%95%174,38:1,7438#Cuidado al
  redondear.~%-10%174,38:17438#Incorrecto.} C  {1:NM:%100%174,38:0,34876#¡Muy bien!~%95%174,38:1,7438#Cuidado al
  redondear.~%-10%174,38:17438#Incorrecto.}
 [[[ {6:MCVS:%100%&lt;img src="https://i.ibb.co/9bj93SV/M-POS-POS-MAX-MIN-M-L.png"
    width="100"&gt;#¡Muy bien!~%-33%&lt;img
    src="https://i.ibb.co/zZMWkKG/M-NEG-NEG-MIN-MAX-M-L.png"
    width="100"&gt;#Incorrecto.~%-33%&lt;img
    src="https://i.ibb.co/ThH4Wk4/M-POS-POS-MIN-MAX-M-L.png"
    width="100"&gt;#Incorrecto.} ]]]</t>
  </si>
  <si>
    <t>PREGUNTA CON HUECOS EN FORMULAS</t>
  </si>
  <si>
    <t>ESTO ES UNA PREGUNTA CON UN Ejemplo de FORMULA Fracción 6,5 cm = \( \fbox{|______}
  \dfrac{\fbox{|__}}{\fbox{|____}} \)&lt;/p&gt;
&lt;p&gt; $$ \fbox{|_} $$
-------
{1:NM:=6#hola}
{1:NM:=1}
{1:NM:=2}
{1:SA:=28}</t>
  </si>
  <si>
    <t xml:space="preserve"> &lt;script src="https://ajax.googleapis.com/ajax/libs/jquery/3.4.1/jquery.min.js"&gt;&lt;/script&gt;   &lt;script src="https://ajax.googleapis.com/ajax/libs/jquery/3.6.1/jquery.min.js"&gt;&lt;/script&gt;   &lt;script src="https://ajax.googleapis.com/ajax/libs/jquery/3.7.1/jquery.min.js"&gt;&lt;/script&gt; &lt;script&gt;$(document).ready(function() {$("#DCanswerboxes*").hide();$("#DCequation").hide(); setTimeout(function() {$("#DCanswerboxes input").css({"height": "24px","border-radius": "5px","padding": "0","text-align": "center","font-size": "15px","color": "#000",});$("#DCanswerboxes1 input").css({ "width": "10px",   });$("#DCanswerboxes2 input").css({ "width": "20px",   });$("#DCanswerboxes4 input").css({ "width": "40px",   });$("#DCanswerboxes6 input").css({ "width": "60px",   });$(".menclose:contains(|)").each(function(i) {$(this).find("*").remove();$(".subquestion:eq(" + i + ")").prependTo(this);}); $(".subquestion").each(function() {$a = $(this).find("a");$input = $(this).find("input");$i = $(this).find("i");if ($(this).has("i.text-danger").length) {$input.attr("readonly", true);$input.css({"background-color": "#FBB"}); $input.click(function() {$(this).blur();});$input.hover(function() {$(this).css("cursor", "default");});} if ($(this).has("i.text-success").length) {$input.attr("readonly", true);$input.css({"background-color": "#AFA"});$input.click(function() {$(this).blur();}); $input.hover(function() {$(this).css("cursor", "default");});}$input.appendTo($a);$i.css({"visibility": "hidden"}); $("button").focus(function() {$("button").css({"box-shadow": "none"});});}); $("#DCequation button").css({"position": "relative","left": "-20px","margin-right": "-25px"}); $("#DCequation *").on('dblclick', function(e) {e.preventDefault();e.stopPropagation();return;});$("#DCanswerboxes*").show();$("#DCequation").show();$("#DCspinner").hide();}, 1000);setTimeout(function() {$("#DChint").show();}, 2500);});&lt;/script&gt; &lt;p id="DCspinner" style="text-align: center; margin: 30px 0px 40px;"&gt;&lt;i class="fa fa-spinner fa-spin" style="color: #ccc; font-size: 18px;"&gt;&lt;/i&gt;&lt;/p&gt;Ejemplo de FORMULA Fracción 6,5 cm = \( \fbox{|______}
  \dfrac{\fbox{|__}}{\fbox{|____}} \)&lt;/p&gt;
&lt;p&gt; $$ \fbox{|_} $$
&lt;div id="DCanswerboxes"&gt;&lt;div id="DCanswerboxes6" &gt; {1:NM:=6#hola}&lt;/div&gt;_x000D_
&lt;div id="DCanswerboxes2" &gt; {1:NM:=1}&lt;/div&gt;_x000D_
&lt;div id="DCanswerboxes4" &gt; {1:NM:=2}&lt;/div&gt;_x000D_
&lt;div id="DCanswerboxes1" &gt; {1:SA:=28}&lt;/div&gt;_x000D_
</t>
  </si>
  <si>
    <t>PREGUNTA CON MENÚS DESPLEGABLES (ANCHO CONCRETO) Y HUECO EN FORMULA</t>
  </si>
  <si>
    <t>ESTO ES UNA PREGUNTA CON UN Ejemplo de FORMULA Fracción 6,5 cm = \( \fbox{|______}
  \dfrac{\fbox{|__}}{\fbox{|____}} \)&lt;/p&gt;
&lt;p&gt; $$ \fbox{|_} $$&lt;BR&gt;
'PREGUNTA CON MENÚ DESPLEGABLE DE IMAGENES &lt;br&gt;[[[  {6:MCVS:%100%&lt;img src="https://i.ibb.co/1XVwKXM/M-POS-POS-MAX-MIN-M-0.png"
    width="100"&gt;#¡Muy bien!~%-33%&lt;img
    src="https://i.ibb.co/rG4KyGQ/M-POS-POS-MIN-MAX-POS-MIN.png"
    width="100"&gt;#Incorrecto.~%-33%&lt;img
    src="https://i.ibb.co/KDyC7gf/M-NEG-NEG-MIN-MAX-M-0.png"
    width="100"&gt;#Incorrecto.} ]]]  \( \fbox{|______}   C    \fbox{|______} \)
 [[[ {6:MCVS:%100%&lt;img src="https://i.ibb.co/9bj93SV/M-POS-POS-MAX-MIN-M-L.png"
    width="100"&gt;#¡Muy bien!~%-33%&lt;img
    src="https://i.ibb.co/zZMWkKG/M-NEG-NEG-MIN-MAX-M-L.png"
    width="100"&gt;#Incorrecto.~%-33%&lt;img
    src="https://i.ibb.co/ThH4Wk4/M-POS-POS-MIN-MAX-M-L.png"
    width="100"&gt;#Incorrecto.} ]]]&lt;BR&gt;
Ejemplo de FORMULA Fracción 6,5 cm = \( \fbox{|______}
  \dfrac{\fbox{|__}}{\fbox{|____}} \)&lt;/p&gt;
&lt;p&gt; $$ \fbox{|_} $$
-------
{1:NM:=6#hola}
{1:NM:=1}
{1:NM:=2}
{1:SA:=28}
{1:NM:%100%174,38:0,34876#¡Muy bien!~%95%174,38:1,7438#Cuidado al
  redondear.~%-10%174,38:17438#Incorrecto.}
{1:NM:%100%174,38:0,34876#¡Muy bien!~%95%174,38:1,7438#Cuidado al
  redondear.~%-10%174,38:17438#Incorrecto.}
{1:NM:=12#OTRA}
{1:NM:=13}
{1:NM:=14}
{1:SA:=15}</t>
  </si>
  <si>
    <t xml:space="preserve"> &lt;script src="https://ajax.googleapis.com/ajax/libs/jquery/3.4.1/jquery.min.js"&gt;&lt;/script&gt;   &lt;script src="https://ajax.googleapis.com/ajax/libs/jquery/3.6.1/jquery.min.js"&gt;&lt;/script&gt;   &lt;script src="https://ajax.googleapis.com/ajax/libs/jquery/3.7.1/jquery.min.js"&gt;&lt;/script&gt; &lt;script&gt;$(document).ready(function() {$("#DCanswerboxes*").hide();$("#DCequation").hide(); setTimeout(function() {$("#DCanswerboxes input").css({"height": "24px","border-radius": "5px","padding": "0","text-align": "center","font-size": "15px","color": "#000",});$("#DCanswerboxes1 input").css({ "width": "10px",   });$("#DCanswerboxes2 input").css({ "width": "20px",   });$("#DCanswerboxes4 input").css({ "width": "40px",   });$("#DCanswerboxes6 input").css({ "width": "60px",   });$(".menclose:contains(|)").each(function(i) {$(this).find("*").remove();$(".subquestion:eq(" + i + ")").prependTo(this);}); $(".subquestion").each(function() {$a = $(this).find("a");$input = $(this).find("input");$i = $(this).find("i");if ($(this).has("i.text-danger").length) {$input.attr("readonly", true);$input.css({"background-color": "#FBB"}); $input.click(function() {$(this).blur();});$input.hover(function() {$(this).css("cursor", "default");});} if ($(this).has("i.text-success").length) {$input.attr("readonly", true);$input.css({"background-color": "#AFA"});$input.click(function() {$(this).blur();}); $input.hover(function() {$(this).css("cursor", "default");});}$input.appendTo($a);$i.css({"visibility": "hidden"}); $("button").focus(function() {$("button").css({"box-shadow": "none"});});}); $("#DCequation button").css({"position": "relative","left": "-20px","margin-right": "-25px"}); $("#DCequation *").on('dblclick', function(e) {e.preventDefault();e.stopPropagation();return;});$("#DCanswerboxes*").show();$("#DCequation").show();$("#DCspinner").hide();}, 1000);setTimeout(function() {$("#DChint").show();}, 2500);});&lt;/script&gt; &lt;p id="DCspinner" style="text-align: center; margin: 30px 0px 40px;"&gt;&lt;i class="fa fa-spinner fa-spin" style="color: #ccc; font-size: 18px;"&gt;&lt;/i&gt;&lt;/p&gt;Ejemplo de FORMULA Fracción 6,5 cm = \( \fbox{|______}
  \dfrac{\fbox{|__}}{\fbox{|____}} \)&lt;/p&gt;
&lt;p&gt; $$ \fbox{|_} $$&lt;BR&gt;
'PREGUNTA CON MENÚ DESPLEGABLE DE IMAGENES &lt;br&gt;[[[  {6:MCVS:%100%&lt;img src="https://i.ibb.co/1XVwKXM/M-POS-POS-MAX-MIN-M-0.png"
    width="100"&gt;#¡Muy bien!~%-33%&lt;img
    src="https://i.ibb.co/rG4KyGQ/M-POS-POS-MIN-MAX-POS-MIN.png"
    width="100"&gt;#Incorrecto.~%-33%&lt;img
    src="https://i.ibb.co/KDyC7gf/M-NEG-NEG-MIN-MAX-M-0.png"
    width="100"&gt;#Incorrecto.} ]]]  \( \fbox{|______}   C    \fbox{|______} \)
 [[[ {6:MCVS:%100%&lt;img src="https://i.ibb.co/9bj93SV/M-POS-POS-MAX-MIN-M-L.png"
    width="100"&gt;#¡Muy bien!~%-33%&lt;img
    src="https://i.ibb.co/zZMWkKG/M-NEG-NEG-MIN-MAX-M-L.png"
    width="100"&gt;#Incorrecto.~%-33%&lt;img
    src="https://i.ibb.co/ThH4Wk4/M-POS-POS-MIN-MAX-M-L.png"
    width="100"&gt;#Incorrecto.} ]]]&lt;BR&gt;
Ejemplo de FORMULA Fracción 6,5 cm = \( \fbox{|______}
  \dfrac{\fbox{|__}}{\fbox{|____}} \)&lt;/p&gt;
&lt;p&gt; $$ \fbox{|_} $$
&lt;div id="DCanswerboxes"&gt;&lt;div id="DCanswerboxes6" &gt; {1:NM:=6#hola}&lt;/div&gt;_x000D_
&lt;div id="DCanswerboxes2" &gt; {1:NM:=1}&lt;/div&gt;_x000D_
&lt;div id="DCanswerboxes4" &gt; {1:NM:=2}&lt;/div&gt;_x000D_
&lt;div id="DCanswerboxes1" &gt; {1:SA:=28}&lt;/div&gt;_x000D_
&lt;div id="DCanswerboxes6" &gt; {1:NM:%100%174,38:0,34876#¡Muy bien!~%95%174,38:1,7438#Cuidado al
  redondear.~%-10%174,38:17438#Incorrecto.}&lt;/div&gt;_x000D_
&lt;div id="DCanswerboxes6" &gt; {1:NM:%100%174,38:0,34876#¡Muy bien!~%95%174,38:1,7438#Cuidado al
  redondear.~%-10%174,38:17438#Incorrecto.}&lt;/div&gt;_x000D_
&lt;div id="DCanswerboxes6" &gt; {1:NM:=12#OTRA}&lt;/div&gt;_x000D_
&lt;div id="DCanswerboxes2" &gt; {1:NM:=13}&lt;/div&gt;_x000D_
&lt;div id="DCanswerboxes4" &gt; {1:NM:=14}&lt;/div&gt;_x000D_
&lt;div id="DCanswerboxes1" &gt; {1:SA:=15}&lt;/div&gt;_x000D_
</t>
  </si>
  <si>
    <t>&lt;img src="https://i.ibb.co/9bj93SV/M-POS-POS-MAX-MIN-M-L.png"
    width="300"&gt;</t>
  </si>
  <si>
    <t>PREGUNTA DE FORMULAS MENU DESPLEGABLE</t>
  </si>
  <si>
    <t>Empareja la función con su derivada:&lt;br&gt;
\( f'(x)=e^x \)[[[{1:MCVS:~%100%\( f'(x)=e^x \)#Muy bien~%-20%\( f(x)=cos(x) \)#Debes repasar~%-20%\( f(x)=2x \)#Debes repasar~%-20%\( f(x)=-sen(x) \)#Debes repasar}]]]&lt;br&gt;
\( f(x)=sen(x) \)[[[{1:MCVS:~%100%\( f(x)=cos(x) \)#Muy bien~%-20%\( f'(x)=e^x \)#Debes repasar~%-20%\( f(x)=2x \)#Debes repasar~%-20%\( f(x)=-sen(x) \)#Debes repasar}]]]&lt;br&gt;
\( f(x)=x^2 \)[[[{1:MCVS:~%100%\( f(x)=2x \)#Muy bien~%-20%\( f'(x)=e^x \)#Debes repasar~%-20%\( f(x)=cos(x) \)#Debes repasar~%-20%\( f(x)=-sen(x) \)#Debes repasar}]]]&lt;br&gt;
\( f(x)=cos(x) \)[[[{1:MCVS:~%100%\( f(x)=-sen(x) \)#Muy bien~%-20%\( f'(x)=e^x \)#Debes repasar~%-20%\( f(x)=cos(x) \)#Debes repasar~%-20%\( f(x)=2x \)#Debes repasar}]]]</t>
  </si>
  <si>
    <t>PREGUNTA DE FORMULAS MENU DESPLEGABLE y EN TABLAS</t>
  </si>
  <si>
    <t>Empareja la función con su derivada:&lt;br&gt;&lt;table style="text-align: center;"&gt;&lt;tbody&gt; &lt;tr&gt;&lt;td&gt;"\( f'(x)=e^x \)&lt;td&gt; [[[{1:MCVS:~%100%\( f'(x)=e^x \)#Muy bien~%-20%\( f(x)=cos(x) \)#Debes repasar~%-20%\( f(x)=2x \)#Debes repasar~%-20%\( f(x)=-sen(x) \)#Debes repasar}]]]&lt;tr&gt;&lt;td&gt;\( f(x)=sen(x) \)&lt;td&gt; [[[{1:MCVS:~%100%\( f(x)=cos(x) \)#Muy bien~%-20%\( f'(x)=e^x \)#Debes repasar~%-20%\( f(x)=2x \)#Debes repasar~%-20%\( f(x)=-sen(x) \)#Debes repasar}]]]&lt;tr&gt;&lt;td&gt;\( f(x)=x^2 \)&lt;td&gt; [[[{1:MCVS:~%100%\( f(x)=2x \)#Muy bien~%-20%\( f'(x)=e^x \)#Debes repasar~%-20%\( f(x)=cos(x) \)#Debes repasar~%-20%\( f(x)=-sen(x) \)#Debes repasar}]]]&lt;tr&gt;&lt;td&gt;\( f(x)=cos(x) \)&lt;td&gt; [[[{1:MCVS:~%100%\( f(x)=-sen(x) \)#Muy bien~%-20%\( f'(x)=e^x \)#Debes repasar~%-20%\( f(x)=cos(x) \)#Debes repasar~%-20%\( f(x)=2x \)#Debes repasar}]]]&lt;/tr&gt; &lt;/tbody&gt; &lt;/table&gt;</t>
  </si>
  <si>
    <t>Fbox</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</si>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</sst>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
      <sz val="9"/>
      <color rgb="FF005877"/>
      <name val="Calibri"/>
      <family val="2"/>
      <scheme val="minor"/>
    </font>
    <font>
      <sz val="9"/>
      <color rgb="FFFF0000"/>
      <name val="Calibri"/>
      <family val="2"/>
      <scheme val="minor"/>
    </font>
    <font>
      <sz val="9"/>
      <color theme="1"/>
      <name val="Calibri"/>
      <family val="2"/>
      <scheme val="minor"/>
    </font>
    <font>
      <sz val="9"/>
      <color theme="0"/>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96">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4" fillId="12" borderId="0" xfId="0" applyFont="1" applyFill="1" applyAlignment="1" applyProtection="1">
      <alignment horizontal="left" vertical="center"/>
      <protection locked="0"/>
    </xf>
    <xf numFmtId="0" fontId="14" fillId="13" borderId="0" xfId="0" applyFont="1" applyFill="1" applyAlignment="1" applyProtection="1">
      <alignment horizontal="left" vertical="center"/>
      <protection locked="0"/>
    </xf>
    <xf numFmtId="0" fontId="14" fillId="14" borderId="0" xfId="0" applyFont="1" applyFill="1" applyAlignment="1" applyProtection="1">
      <alignment horizontal="left" vertical="center"/>
      <protection locked="0"/>
    </xf>
    <xf numFmtId="0" fontId="14" fillId="15"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21" borderId="0" xfId="0" applyFont="1" applyFill="1" applyAlignment="1" applyProtection="1">
      <alignment horizontal="center" vertical="center" wrapText="1"/>
      <protection locked="0"/>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4" fillId="21"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2" fillId="12" borderId="0" xfId="0" applyFont="1" applyFill="1" applyAlignment="1" applyProtection="1">
      <alignment horizontal="center" vertical="center"/>
      <protection locked="0"/>
    </xf>
    <xf numFmtId="0" fontId="12" fillId="13" borderId="0" xfId="0" applyFont="1" applyFill="1" applyAlignment="1" applyProtection="1">
      <alignment horizontal="center" vertical="center"/>
      <protection locked="0"/>
    </xf>
    <xf numFmtId="0" fontId="12" fillId="14" borderId="0" xfId="0" applyFont="1" applyFill="1" applyAlignment="1" applyProtection="1">
      <alignment horizontal="center" vertical="center"/>
      <protection locked="0"/>
    </xf>
    <xf numFmtId="0" fontId="12" fillId="15" borderId="0" xfId="0" applyFont="1" applyFill="1" applyAlignment="1" applyProtection="1">
      <alignment horizontal="center" vertical="center"/>
      <protection locked="0"/>
    </xf>
    <xf numFmtId="0" fontId="23"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3" fillId="4" borderId="0" xfId="0" applyFont="1" applyFill="1" applyAlignment="1" applyProtection="1">
      <alignment horizontal="left" vertical="center" wrapText="1"/>
      <protection locked="0"/>
    </xf>
    <xf numFmtId="0" fontId="26" fillId="0" borderId="0" xfId="0" applyFont="1" applyAlignment="1" applyProtection="1">
      <alignment vertical="center"/>
      <protection locked="0"/>
    </xf>
    <xf numFmtId="0" fontId="14" fillId="12" borderId="0" xfId="0" applyFont="1" applyFill="1" applyAlignment="1" applyProtection="1">
      <alignment horizontal="center" vertical="center"/>
      <protection locked="0"/>
    </xf>
    <xf numFmtId="0" fontId="14" fillId="13" borderId="0" xfId="0" applyFont="1" applyFill="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4" fillId="15" borderId="0" xfId="0" applyFont="1" applyFill="1" applyAlignment="1" applyProtection="1">
      <alignment horizontal="center" vertical="center"/>
      <protection locked="0"/>
    </xf>
    <xf numFmtId="0" fontId="26" fillId="7" borderId="0" xfId="0" applyFont="1" applyFill="1" applyAlignment="1" applyProtection="1">
      <alignment horizontal="left" vertical="center" wrapText="1"/>
      <protection locked="0"/>
    </xf>
    <xf numFmtId="0" fontId="26" fillId="6" borderId="0" xfId="0" applyFont="1" applyFill="1" applyAlignment="1" applyProtection="1">
      <alignment horizontal="left" vertical="center" wrapText="1"/>
      <protection locked="0"/>
    </xf>
    <xf numFmtId="0" fontId="26" fillId="12" borderId="0" xfId="0" applyFont="1" applyFill="1" applyAlignment="1" applyProtection="1">
      <alignment horizontal="left" vertical="center"/>
      <protection locked="0"/>
    </xf>
    <xf numFmtId="0" fontId="26" fillId="13" borderId="0" xfId="0" applyFont="1" applyFill="1" applyAlignment="1" applyProtection="1">
      <alignment horizontal="left" vertical="center"/>
      <protection locked="0"/>
    </xf>
    <xf numFmtId="0" fontId="26" fillId="14" borderId="0" xfId="0" applyFont="1" applyFill="1" applyAlignment="1" applyProtection="1">
      <alignment horizontal="left" vertical="center"/>
      <protection locked="0"/>
    </xf>
    <xf numFmtId="0" fontId="26" fillId="15" borderId="0" xfId="0" applyFont="1" applyFill="1" applyAlignment="1" applyProtection="1">
      <alignment horizontal="left" vertical="center"/>
      <protection locked="0"/>
    </xf>
    <xf numFmtId="0" fontId="23" fillId="20" borderId="0" xfId="0" applyFont="1" applyFill="1" applyAlignment="1" applyProtection="1">
      <alignment horizontal="center" vertical="center" wrapText="1"/>
      <protection locked="0"/>
    </xf>
    <xf numFmtId="0" fontId="26" fillId="12" borderId="0" xfId="0" applyFont="1" applyFill="1" applyAlignment="1" applyProtection="1">
      <alignment horizontal="center" vertical="center"/>
      <protection locked="0"/>
    </xf>
    <xf numFmtId="0" fontId="26" fillId="13" borderId="0" xfId="0" applyFont="1" applyFill="1" applyAlignment="1" applyProtection="1">
      <alignment horizontal="center" vertical="center"/>
      <protection locked="0"/>
    </xf>
    <xf numFmtId="0" fontId="26" fillId="14" borderId="0" xfId="0" applyFont="1" applyFill="1" applyAlignment="1" applyProtection="1">
      <alignment horizontal="center" vertical="center"/>
      <protection locked="0"/>
    </xf>
    <xf numFmtId="0" fontId="26" fillId="15" borderId="0" xfId="0" applyFont="1" applyFill="1" applyAlignment="1" applyProtection="1">
      <alignment horizontal="center" vertical="center"/>
      <protection locked="0"/>
    </xf>
    <xf numFmtId="0" fontId="28"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7"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0"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29"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1"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4" fillId="0" borderId="0" xfId="0" applyFont="1" applyAlignment="1">
      <alignment horizontal="center" vertical="center"/>
    </xf>
    <xf numFmtId="0" fontId="32" fillId="23" borderId="0" xfId="0" applyFont="1" applyFill="1" applyAlignment="1" applyProtection="1">
      <alignment vertical="top" wrapText="1"/>
      <protection locked="0"/>
    </xf>
    <xf numFmtId="0" fontId="14" fillId="24" borderId="0" xfId="0" applyFont="1" applyFill="1" applyAlignment="1" applyProtection="1">
      <alignment horizontal="left" vertical="center"/>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4"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4" fillId="3" borderId="0" xfId="0" applyFont="1" applyFill="1" applyAlignment="1">
      <alignment vertical="center"/>
    </xf>
    <xf numFmtId="0" fontId="22"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33" fillId="2" borderId="0" xfId="0" applyFont="1" applyFill="1" applyAlignment="1">
      <alignment horizontal="center" wrapText="1"/>
    </xf>
    <xf numFmtId="0" fontId="34" fillId="2" borderId="0" xfId="0" applyFont="1" applyFill="1" applyAlignment="1">
      <alignment vertical="center"/>
    </xf>
    <xf numFmtId="0" fontId="35" fillId="0" borderId="0" xfId="0" applyFont="1" applyAlignment="1" applyProtection="1">
      <alignment vertical="center"/>
      <protection locked="0"/>
    </xf>
    <xf numFmtId="0" fontId="33" fillId="2" borderId="0" xfId="0" applyFont="1" applyFill="1" applyAlignment="1" applyProtection="1">
      <alignment horizontal="left" vertical="center"/>
      <protection locked="0"/>
    </xf>
    <xf numFmtId="0" fontId="36" fillId="4" borderId="0" xfId="0" applyFont="1" applyFill="1" applyAlignment="1" applyProtection="1">
      <alignment horizontal="left" vertical="center" wrapText="1"/>
      <protection locked="0"/>
    </xf>
    <xf numFmtId="0" fontId="36" fillId="20" borderId="0" xfId="0" applyFont="1" applyFill="1" applyAlignment="1" applyProtection="1">
      <alignment horizontal="center" vertical="center" wrapText="1"/>
      <protection locked="0"/>
    </xf>
    <xf numFmtId="0" fontId="33" fillId="7" borderId="0" xfId="0" applyFont="1" applyFill="1" applyAlignment="1" applyProtection="1">
      <alignment horizontal="left" vertical="center"/>
      <protection locked="0"/>
    </xf>
    <xf numFmtId="0" fontId="33" fillId="8" borderId="0" xfId="0" applyFont="1" applyFill="1" applyAlignment="1" applyProtection="1">
      <alignment horizontal="left" vertical="center" wrapText="1"/>
      <protection locked="0"/>
    </xf>
    <xf numFmtId="0" fontId="33" fillId="9" borderId="0" xfId="0" applyFont="1" applyFill="1" applyAlignment="1" applyProtection="1">
      <alignment horizontal="left" vertical="center" wrapText="1" indent="1"/>
      <protection locked="0"/>
    </xf>
    <xf numFmtId="0" fontId="33" fillId="10" borderId="0" xfId="0" applyFont="1" applyFill="1" applyAlignment="1" applyProtection="1">
      <alignment horizontal="left" vertical="center" wrapText="1" indent="1"/>
      <protection locked="0"/>
    </xf>
    <xf numFmtId="0" fontId="33" fillId="11" borderId="0" xfId="0" applyFont="1" applyFill="1" applyAlignment="1" applyProtection="1">
      <alignment horizontal="left" vertical="center" wrapText="1" indent="1"/>
      <protection locked="0"/>
    </xf>
    <xf numFmtId="0" fontId="33" fillId="6" borderId="0" xfId="0" applyFont="1" applyFill="1" applyAlignment="1" applyProtection="1">
      <alignment horizontal="left" vertical="center" wrapText="1" indent="1"/>
      <protection locked="0"/>
    </xf>
    <xf numFmtId="0" fontId="35" fillId="7" borderId="0" xfId="0" applyFont="1" applyFill="1" applyAlignment="1" applyProtection="1">
      <alignment horizontal="left" vertical="center" wrapText="1"/>
      <protection locked="0"/>
    </xf>
    <xf numFmtId="0" fontId="35" fillId="6" borderId="0" xfId="0" applyFont="1" applyFill="1" applyAlignment="1" applyProtection="1">
      <alignment horizontal="left" vertical="center" wrapText="1"/>
      <protection locked="0"/>
    </xf>
    <xf numFmtId="0" fontId="35" fillId="12" borderId="0" xfId="0" applyFont="1" applyFill="1" applyAlignment="1" applyProtection="1">
      <alignment horizontal="center" vertical="center"/>
      <protection locked="0"/>
    </xf>
    <xf numFmtId="0" fontId="35" fillId="13" borderId="0" xfId="0" applyFont="1" applyFill="1" applyAlignment="1" applyProtection="1">
      <alignment horizontal="center" vertical="center"/>
      <protection locked="0"/>
    </xf>
    <xf numFmtId="0" fontId="35" fillId="14" borderId="0" xfId="0" applyFont="1" applyFill="1" applyAlignment="1" applyProtection="1">
      <alignment horizontal="center" vertical="center"/>
      <protection locked="0"/>
    </xf>
    <xf numFmtId="0" fontId="35" fillId="15" borderId="0" xfId="0" applyFont="1" applyFill="1" applyAlignment="1" applyProtection="1">
      <alignment horizontal="center" vertical="center"/>
      <protection locked="0"/>
    </xf>
    <xf numFmtId="0" fontId="33" fillId="21" borderId="0" xfId="0" applyFont="1" applyFill="1" applyAlignment="1" applyProtection="1">
      <alignment horizontal="center" vertical="center" wrapText="1"/>
      <protection locked="0"/>
    </xf>
    <xf numFmtId="0" fontId="6" fillId="7" borderId="0" xfId="0" applyFont="1" applyFill="1" applyAlignment="1" applyProtection="1">
      <alignment horizontal="left" vertical="center" wrapText="1"/>
      <protection locked="0"/>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5" fillId="3" borderId="5" xfId="0" applyFont="1" applyFill="1" applyBorder="1" applyAlignment="1" applyProtection="1">
      <alignment horizontal="center" vertical="center" wrapText="1" shrinkToFit="1"/>
      <protection locked="0"/>
    </xf>
    <xf numFmtId="0" fontId="25"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0" fillId="17" borderId="0" xfId="0" applyFill="1" applyAlignment="1">
      <alignment horizontal="center"/>
    </xf>
    <xf numFmtId="0" fontId="10" fillId="17" borderId="0" xfId="0" applyFont="1" applyFill="1" applyAlignment="1">
      <alignment horizontal="center" vertical="center"/>
    </xf>
    <xf numFmtId="0" fontId="30" fillId="2" borderId="0" xfId="1" applyFont="1" applyFill="1" applyBorder="1" applyAlignment="1">
      <alignment horizontal="center" vertical="center" shrinkToFit="1"/>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16" fillId="2" borderId="16" xfId="1" applyFont="1" applyFill="1" applyBorder="1" applyAlignment="1">
      <alignment horizontal="center" vertical="center"/>
    </xf>
    <xf numFmtId="0" fontId="16" fillId="2" borderId="18" xfId="1"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7"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9"/>
        <color theme="0"/>
        <name val="Calibri"/>
        <family val="2"/>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i val="0"/>
        <strike val="0"/>
        <condense val="0"/>
        <extend val="0"/>
        <outline val="0"/>
        <shadow val="0"/>
        <u val="none"/>
        <vertAlign val="baseline"/>
        <sz val="9"/>
        <color theme="0"/>
        <name val="Calibri"/>
        <family val="2"/>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fasttestplugin"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F5"/><Relationship Id="rId13" Type="http://schemas.openxmlformats.org/officeDocument/2006/relationships/hyperlink" Target="https://www.youtube.com/channel/UCTkOmf2IiTvxn1ch9hYjYQQ" TargetMode="External"/><Relationship Id="rId3" Type="http://schemas.openxmlformats.org/officeDocument/2006/relationships/hyperlink" Target="#DICCIONARIO!D3"/><Relationship Id="rId7" Type="http://schemas.openxmlformats.org/officeDocument/2006/relationships/hyperlink" Target="#'Datos VF'!F5"/><Relationship Id="rId12" Type="http://schemas.openxmlformats.org/officeDocument/2006/relationships/hyperlink" Target="#'Datos CL'!F5"/><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F5"/><Relationship Id="rId11" Type="http://schemas.openxmlformats.org/officeDocument/2006/relationships/hyperlink" Target="#'Datos EN'!F5"/><Relationship Id="rId5" Type="http://schemas.openxmlformats.org/officeDocument/2006/relationships/hyperlink" Target="#'Datos OM'!F5"/><Relationship Id="rId10" Type="http://schemas.openxmlformats.org/officeDocument/2006/relationships/hyperlink" Target="#'Datos PP'!F5"/><Relationship Id="rId4" Type="http://schemas.openxmlformats.org/officeDocument/2006/relationships/hyperlink" Target="#INICIO!A1"/><Relationship Id="rId9" Type="http://schemas.openxmlformats.org/officeDocument/2006/relationships/hyperlink" Target="#'Datos RC'!F5"/><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4.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5.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6.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7.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8.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9.xml.rels><?xml version="1.0" encoding="UTF-8" standalone="yes"?>
<Relationships xmlns="http://schemas.openxmlformats.org/package/2006/relationships"><Relationship Id="rId8" Type="http://schemas.openxmlformats.org/officeDocument/2006/relationships/hyperlink" Target="#'Datos O2'!F5"/><Relationship Id="rId13" Type="http://schemas.openxmlformats.org/officeDocument/2006/relationships/hyperlink" Target="#'Datos EN'!F5"/><Relationship Id="rId3" Type="http://schemas.openxmlformats.org/officeDocument/2006/relationships/image" Target="../media/image1.png"/><Relationship Id="rId7" Type="http://schemas.openxmlformats.org/officeDocument/2006/relationships/hyperlink" Target="#'Datos OM'!F5"/><Relationship Id="rId12" Type="http://schemas.openxmlformats.org/officeDocument/2006/relationships/hyperlink" Target="#'Datos PP'!F5"/><Relationship Id="rId2" Type="http://schemas.openxmlformats.org/officeDocument/2006/relationships/image" Target="../media/image6.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F5"/><Relationship Id="rId5" Type="http://schemas.openxmlformats.org/officeDocument/2006/relationships/hyperlink" Target="#DICCIONARIO!D3"/><Relationship Id="rId10" Type="http://schemas.openxmlformats.org/officeDocument/2006/relationships/hyperlink" Target="#'Datos EM'!F5"/><Relationship Id="rId4" Type="http://schemas.openxmlformats.org/officeDocument/2006/relationships/image" Target="../media/image2.png"/><Relationship Id="rId9" Type="http://schemas.openxmlformats.org/officeDocument/2006/relationships/hyperlink" Target="#'Datos VF'!F5"/><Relationship Id="rId14" Type="http://schemas.openxmlformats.org/officeDocument/2006/relationships/hyperlink" Target="#'Datos CL'!F5"/></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8.jpeg"/><Relationship Id="rId1" Type="http://schemas.openxmlformats.org/officeDocument/2006/relationships/image" Target="../media/image7.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9C708AEC-2EF6-49D5-ABAE-AFF8A0E8948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FA223F18-D779-AA73-7EB6-5EE0D7DA1166}"/>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5" name="FTP-MOODLE">
            <a:extLst>
              <a:ext uri="{FF2B5EF4-FFF2-40B4-BE49-F238E27FC236}">
                <a16:creationId xmlns:a16="http://schemas.microsoft.com/office/drawing/2014/main" id="{9E72D145-13E7-8CB6-C8DA-64149D40BF08}"/>
              </a:ext>
            </a:extLst>
          </xdr:cNvPr>
          <xdr:cNvGrpSpPr/>
        </xdr:nvGrpSpPr>
        <xdr:grpSpPr>
          <a:xfrm>
            <a:off x="5320436" y="0"/>
            <a:ext cx="427979" cy="660514"/>
            <a:chOff x="7590235" y="0"/>
            <a:chExt cx="427979" cy="666705"/>
          </a:xfrm>
        </xdr:grpSpPr>
        <xdr:pic>
          <xdr:nvPicPr>
            <xdr:cNvPr id="27" name="Moodle">
              <a:extLst>
                <a:ext uri="{FF2B5EF4-FFF2-40B4-BE49-F238E27FC236}">
                  <a16:creationId xmlns:a16="http://schemas.microsoft.com/office/drawing/2014/main" id="{EF6DC1EF-E7F9-EFCE-829B-8E1F14C26D8D}"/>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28" name="FTP">
              <a:extLst>
                <a:ext uri="{FF2B5EF4-FFF2-40B4-BE49-F238E27FC236}">
                  <a16:creationId xmlns:a16="http://schemas.microsoft.com/office/drawing/2014/main" id="{4017BF2B-2DD2-163C-AD72-2C081F7097C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6" name="DICCIONARIO">
            <a:hlinkClick xmlns:r="http://schemas.openxmlformats.org/officeDocument/2006/relationships" r:id="rId5" tooltip="DICTIONARY"/>
            <a:extLst>
              <a:ext uri="{FF2B5EF4-FFF2-40B4-BE49-F238E27FC236}">
                <a16:creationId xmlns:a16="http://schemas.microsoft.com/office/drawing/2014/main" id="{10C92BD7-DB40-0380-945B-39426A40739A}"/>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17" name="INICIO">
            <a:hlinkClick xmlns:r="http://schemas.openxmlformats.org/officeDocument/2006/relationships" r:id="rId6" tooltip="INICIO / HOME"/>
            <a:extLst>
              <a:ext uri="{FF2B5EF4-FFF2-40B4-BE49-F238E27FC236}">
                <a16:creationId xmlns:a16="http://schemas.microsoft.com/office/drawing/2014/main" id="{1A857109-0B9E-2191-564A-3C962CD832B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TIPO PREGUNTAS">
            <a:extLst>
              <a:ext uri="{FF2B5EF4-FFF2-40B4-BE49-F238E27FC236}">
                <a16:creationId xmlns:a16="http://schemas.microsoft.com/office/drawing/2014/main" id="{642AC39B-C5D6-171A-0043-ADBCB9B019BA}"/>
              </a:ext>
            </a:extLst>
          </xdr:cNvPr>
          <xdr:cNvGrpSpPr/>
        </xdr:nvGrpSpPr>
        <xdr:grpSpPr>
          <a:xfrm>
            <a:off x="1724476" y="15241"/>
            <a:ext cx="3589860" cy="610800"/>
            <a:chOff x="1724476" y="15241"/>
            <a:chExt cx="3589860" cy="610800"/>
          </a:xfrm>
        </xdr:grpSpPr>
        <xdr:sp macro="[0]!IR_OM" textlink="">
          <xdr:nvSpPr>
            <xdr:cNvPr id="19" name="OM">
              <a:hlinkClick xmlns:r="http://schemas.openxmlformats.org/officeDocument/2006/relationships" r:id="rId7" tooltip="OM 1R"/>
              <a:extLst>
                <a:ext uri="{FF2B5EF4-FFF2-40B4-BE49-F238E27FC236}">
                  <a16:creationId xmlns:a16="http://schemas.microsoft.com/office/drawing/2014/main" id="{0EEE3E61-73B5-6BC4-2438-7099EF2AE98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0" name="O2">
              <a:hlinkClick xmlns:r="http://schemas.openxmlformats.org/officeDocument/2006/relationships" r:id="rId8" tooltip="OM +R"/>
              <a:extLst>
                <a:ext uri="{FF2B5EF4-FFF2-40B4-BE49-F238E27FC236}">
                  <a16:creationId xmlns:a16="http://schemas.microsoft.com/office/drawing/2014/main" id="{7AD22B59-9E3C-B366-5E0C-F94B239C3FFF}"/>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1" name="VF">
              <a:hlinkClick xmlns:r="http://schemas.openxmlformats.org/officeDocument/2006/relationships" r:id="rId9" tooltip="VF"/>
              <a:extLst>
                <a:ext uri="{FF2B5EF4-FFF2-40B4-BE49-F238E27FC236}">
                  <a16:creationId xmlns:a16="http://schemas.microsoft.com/office/drawing/2014/main" id="{85615DE5-EB16-75BE-B929-B0B2FA515EB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2" name="EM">
              <a:hlinkClick xmlns:r="http://schemas.openxmlformats.org/officeDocument/2006/relationships" r:id="rId10" tooltip="EM"/>
              <a:extLst>
                <a:ext uri="{FF2B5EF4-FFF2-40B4-BE49-F238E27FC236}">
                  <a16:creationId xmlns:a16="http://schemas.microsoft.com/office/drawing/2014/main" id="{0784F9D5-40BE-E2E9-9B34-A7E1B7F78B31}"/>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3" name="RC">
              <a:hlinkClick xmlns:r="http://schemas.openxmlformats.org/officeDocument/2006/relationships" r:id="rId11" tooltip="RC"/>
              <a:extLst>
                <a:ext uri="{FF2B5EF4-FFF2-40B4-BE49-F238E27FC236}">
                  <a16:creationId xmlns:a16="http://schemas.microsoft.com/office/drawing/2014/main" id="{D9133426-A9F1-FDBB-D5BC-7A7BAC0C67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4" name="PP">
              <a:hlinkClick xmlns:r="http://schemas.openxmlformats.org/officeDocument/2006/relationships" r:id="rId12" tooltip="PP"/>
              <a:extLst>
                <a:ext uri="{FF2B5EF4-FFF2-40B4-BE49-F238E27FC236}">
                  <a16:creationId xmlns:a16="http://schemas.microsoft.com/office/drawing/2014/main" id="{643E8319-349F-B85E-9419-EE2D21613DC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5" name="EN">
              <a:hlinkClick xmlns:r="http://schemas.openxmlformats.org/officeDocument/2006/relationships" r:id="rId13" tooltip="EN"/>
              <a:extLst>
                <a:ext uri="{FF2B5EF4-FFF2-40B4-BE49-F238E27FC236}">
                  <a16:creationId xmlns:a16="http://schemas.microsoft.com/office/drawing/2014/main" id="{07A8E328-6C17-E157-C926-7499AFCFEC2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6" name="CL">
              <a:hlinkClick xmlns:r="http://schemas.openxmlformats.org/officeDocument/2006/relationships" r:id="rId14" tooltip="CL"/>
              <a:extLst>
                <a:ext uri="{FF2B5EF4-FFF2-40B4-BE49-F238E27FC236}">
                  <a16:creationId xmlns:a16="http://schemas.microsoft.com/office/drawing/2014/main" id="{8ADE066D-01A7-4BB7-F3FA-C312665FF06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196B32A8-B4B3-4DFD-B9F7-01F28198F247}"/>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571571E-FBB0-43EE-2A90-84903B11ED9E}"/>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82A6BA1B-A130-C97F-D53A-0C4E4E995544}"/>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02F1EB7-ECA8-5A0C-058D-7787FCECEA1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A09CFB45-2D71-4150-7A6A-C568F3A4112C}"/>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48A8CB7-AB59-22AC-5FC2-B633940A3F84}"/>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4F014122-8DB7-B7D4-AE0A-F596B295653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CA079406-5CE9-EF74-028D-4B1C8D39297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9724EE2-2D95-D1C9-6B22-1D8793759A52}"/>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B5BCB8BA-EDAB-804E-E27C-E6E9D89E8AC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2270863D-4BEB-277D-FECC-92154931501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F0CD89D-EF3A-C29E-9AFE-A464FAB21ED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B9E48136-161F-88E0-06C4-D635D74FE1D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B89DE7D7-78D1-2D1D-9CCC-4778CCD8CFEC}"/>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E7BAC64B-1682-36CA-3D60-C19283EFAFB2}"/>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06047B66-1D57-5B5D-085D-9C6254A0CFCD}"/>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6E22B5A-B60F-4DD4-BA37-426149675AA0}"/>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71187D1F-24EE-02BD-2BA9-53D48C8A4E37}"/>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710BF1A-63D2-2CDE-6CC0-BBB162FF9793}"/>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8F42221B-71AF-9750-6168-516C1BAB671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C5F87CA7-F370-B075-784F-E59FA3675ED7}"/>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B20148A0-15D8-B5EF-C7E1-6A2F0AE436F3}"/>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3A498867-D6FA-DCE4-DEAE-FA50FD84F37C}"/>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2499E444-D251-171C-9823-6A14F3BBD75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F08C1F2F-6C3E-27E9-AC95-C5BD06329886}"/>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26A3F4D4-A828-695D-F4B9-7903C7F8AA9A}"/>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8D5030B-B41F-A43E-CFA6-1CF8C951E6A5}"/>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484D413D-02D5-C737-4746-73144365AE7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96503DEF-24F3-CCD9-C966-70E51EFBEA2F}"/>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47D5DE1-6126-C5DD-C218-56587810E23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8593670D-AB65-C164-D772-75C74EB24CD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2D74C39-0087-AD36-9638-6534B6051303}"/>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D1019C18-24B8-4542-9058-947CA6F4D06F}"/>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D3708BB3-CF88-742B-1D1E-4BC1E9932BF4}"/>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EC339E6B-8657-4D0D-3DD5-CF9E58155560}"/>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55AA1147-D573-E03A-222D-0FC11207961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436D0B59-821E-6C38-77FC-32D666D042C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03F16383-E013-3243-297C-A68393946C99}"/>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E59A2D14-61F7-2C8C-77E1-A3888D07F556}"/>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0F7B6A5F-AD4E-1D8E-B104-BC31878B8BFF}"/>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B54D8E37-66B4-B026-F8F6-F938235FB93A}"/>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F532E687-ACC4-4E3B-D9AA-AA7A75D3D10B}"/>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41ADAD94-1703-AFAA-EDD5-A783880B491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37C83DAC-ABCF-9009-FB85-B62881BB2D9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495317-DFBF-99AE-7A4E-224DB289389A}"/>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443DB84F-0146-4A35-AFE5-6E2E84C710CA}"/>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08A04E66-DE2E-F99A-DD8C-D172687E73AC}"/>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F93EEA83-21DE-D548-3D66-21C141A032C7}"/>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A26ABC3B-7975-46AF-AF55-ECCEEF6DDB64}"/>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65855BFA-742D-0C1E-DD75-0CA1EBEA5DC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53B2BBA9-9CC7-0E8D-9254-2048E2C4493C}"/>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3E313A4B-FE54-2858-EDF7-80A31159C24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D9836296-EFFD-0819-3D5D-6542912445D8}"/>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710F608B-B6C4-52AF-93BE-0527590E30C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15C4FEA0-AF99-EE25-8797-36ACD61D608A}"/>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F23F42C-3646-361D-432E-8B61CD76A45D}"/>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1BB3188E-4891-EDAC-5D25-7E22FBF17D9D}"/>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379677A0-74EE-F535-5C29-046089FF9F0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FAA5396B-C692-7E6A-FB8E-A9577FC0149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69D639BA-9EC0-90F7-3B9E-BA9C8019A4E8}"/>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02B1D345-793A-ADD3-29BD-7A7F8AA3E7D5}"/>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8FDB793-ACE3-CBEC-F2C6-9661B928F4A3}"/>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AE3A20AE-1704-9310-5EE3-EC1E507CD759}"/>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1BD29E0B-0811-988A-4BE2-A7A0801EB9B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6" name="MENU">
          <a:extLst>
            <a:ext uri="{FF2B5EF4-FFF2-40B4-BE49-F238E27FC236}">
              <a16:creationId xmlns:a16="http://schemas.microsoft.com/office/drawing/2014/main" id="{3A29145A-5A79-4C89-A5DC-0511335D7AB9}"/>
            </a:ext>
          </a:extLst>
        </xdr:cNvPr>
        <xdr:cNvGrpSpPr/>
      </xdr:nvGrpSpPr>
      <xdr:grpSpPr>
        <a:xfrm>
          <a:off x="1825414" y="0"/>
          <a:ext cx="5037660" cy="665594"/>
          <a:chOff x="1724476" y="0"/>
          <a:chExt cx="5037660" cy="660514"/>
        </a:xfrm>
      </xdr:grpSpPr>
      <xdr:sp macro="" textlink="">
        <xdr:nvSpPr>
          <xdr:cNvPr id="17" name="FONDO BLANCO">
            <a:extLst>
              <a:ext uri="{FF2B5EF4-FFF2-40B4-BE49-F238E27FC236}">
                <a16:creationId xmlns:a16="http://schemas.microsoft.com/office/drawing/2014/main" id="{1BA6790F-631C-9C29-6F0E-C26812F2709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8" name="FTP-MOODLE">
            <a:extLst>
              <a:ext uri="{FF2B5EF4-FFF2-40B4-BE49-F238E27FC236}">
                <a16:creationId xmlns:a16="http://schemas.microsoft.com/office/drawing/2014/main" id="{99E828A7-7F70-3656-4804-F62D26F54695}"/>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0382C5AE-9563-2F64-6CD9-D2917D8248F2}"/>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F31888F9-A045-7FB8-7F44-9138ACBC2F6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9" name="DICCIONARIO">
            <a:hlinkClick xmlns:r="http://schemas.openxmlformats.org/officeDocument/2006/relationships" r:id="rId5" tooltip="DICTIONARY"/>
            <a:extLst>
              <a:ext uri="{FF2B5EF4-FFF2-40B4-BE49-F238E27FC236}">
                <a16:creationId xmlns:a16="http://schemas.microsoft.com/office/drawing/2014/main" id="{4A97A452-1433-0CC7-85C3-201E2C606E5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D5162182-0D7E-6546-3C0B-E54F681EFFC7}"/>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D91599C1-150A-F0E8-5EC2-49F166009A73}"/>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D24B57A-FA08-B46A-6410-707FD6252B1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860E777E-9852-7E96-E0C5-6CDBFC96BC8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34E6A4F6-6D0A-8600-7893-78C96A7FCD6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124576A9-1CBF-DF0F-5085-591174913DD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649227EA-89F7-40AB-7B8C-7DC713A7C6E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2171877E-5F86-67E4-4F88-5F5A25433857}"/>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DBABEB11-7BF6-7D62-929D-3906B7A35E3A}"/>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5801B3CD-3183-71F2-FF62-2B8BD3AA45D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4064</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15" name="MENU">
          <a:extLst>
            <a:ext uri="{FF2B5EF4-FFF2-40B4-BE49-F238E27FC236}">
              <a16:creationId xmlns:a16="http://schemas.microsoft.com/office/drawing/2014/main" id="{1E255BB8-F51D-403F-A974-ECF978A33FCC}"/>
            </a:ext>
          </a:extLst>
        </xdr:cNvPr>
        <xdr:cNvGrpSpPr/>
      </xdr:nvGrpSpPr>
      <xdr:grpSpPr>
        <a:xfrm>
          <a:off x="1625600" y="0"/>
          <a:ext cx="5037660" cy="665594"/>
          <a:chOff x="1724476" y="0"/>
          <a:chExt cx="5037660" cy="660514"/>
        </a:xfrm>
      </xdr:grpSpPr>
      <xdr:sp macro="" textlink="">
        <xdr:nvSpPr>
          <xdr:cNvPr id="16" name="FONDO BLANCO">
            <a:extLst>
              <a:ext uri="{FF2B5EF4-FFF2-40B4-BE49-F238E27FC236}">
                <a16:creationId xmlns:a16="http://schemas.microsoft.com/office/drawing/2014/main" id="{8AD908CA-942C-09E1-24AB-B6F8EE73D1D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17" name="FTP-MOODLE">
            <a:extLst>
              <a:ext uri="{FF2B5EF4-FFF2-40B4-BE49-F238E27FC236}">
                <a16:creationId xmlns:a16="http://schemas.microsoft.com/office/drawing/2014/main" id="{2D3EA76F-BCFF-F459-43EA-03765EED9046}"/>
              </a:ext>
            </a:extLst>
          </xdr:cNvPr>
          <xdr:cNvGrpSpPr/>
        </xdr:nvGrpSpPr>
        <xdr:grpSpPr>
          <a:xfrm>
            <a:off x="5320436" y="0"/>
            <a:ext cx="427979" cy="660514"/>
            <a:chOff x="7590235" y="0"/>
            <a:chExt cx="427979" cy="666705"/>
          </a:xfrm>
        </xdr:grpSpPr>
        <xdr:pic>
          <xdr:nvPicPr>
            <xdr:cNvPr id="30" name="Moodle">
              <a:extLst>
                <a:ext uri="{FF2B5EF4-FFF2-40B4-BE49-F238E27FC236}">
                  <a16:creationId xmlns:a16="http://schemas.microsoft.com/office/drawing/2014/main" id="{490CECE3-3988-E1A6-051C-0615B834EBB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1" name="FTP">
              <a:extLst>
                <a:ext uri="{FF2B5EF4-FFF2-40B4-BE49-F238E27FC236}">
                  <a16:creationId xmlns:a16="http://schemas.microsoft.com/office/drawing/2014/main" id="{76EE94A2-ECFF-92F7-07D0-FDF48B30ED21}"/>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18" name="DICCIONARIO">
            <a:hlinkClick xmlns:r="http://schemas.openxmlformats.org/officeDocument/2006/relationships" r:id="rId5" tooltip="DICTIONARY"/>
            <a:extLst>
              <a:ext uri="{FF2B5EF4-FFF2-40B4-BE49-F238E27FC236}">
                <a16:creationId xmlns:a16="http://schemas.microsoft.com/office/drawing/2014/main" id="{F106A641-C3D3-1DD9-01B4-09FB4B6C7752}"/>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20" name="INICIO">
            <a:hlinkClick xmlns:r="http://schemas.openxmlformats.org/officeDocument/2006/relationships" r:id="rId6" tooltip="INICIO / HOME"/>
            <a:extLst>
              <a:ext uri="{FF2B5EF4-FFF2-40B4-BE49-F238E27FC236}">
                <a16:creationId xmlns:a16="http://schemas.microsoft.com/office/drawing/2014/main" id="{6968AC27-51D2-6879-4B59-F9FE3ECAE02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21" name="TIPO PREGUNTAS">
            <a:extLst>
              <a:ext uri="{FF2B5EF4-FFF2-40B4-BE49-F238E27FC236}">
                <a16:creationId xmlns:a16="http://schemas.microsoft.com/office/drawing/2014/main" id="{6B9EA2E1-0A51-B056-1CA5-BCCA60AE6789}"/>
              </a:ext>
            </a:extLst>
          </xdr:cNvPr>
          <xdr:cNvGrpSpPr/>
        </xdr:nvGrpSpPr>
        <xdr:grpSpPr>
          <a:xfrm>
            <a:off x="1724476" y="15241"/>
            <a:ext cx="3589860" cy="610800"/>
            <a:chOff x="1724476" y="15241"/>
            <a:chExt cx="3589860" cy="610800"/>
          </a:xfrm>
        </xdr:grpSpPr>
        <xdr:sp macro="[0]!IR_OM" textlink="">
          <xdr:nvSpPr>
            <xdr:cNvPr id="22" name="OM">
              <a:hlinkClick xmlns:r="http://schemas.openxmlformats.org/officeDocument/2006/relationships" r:id="rId7" tooltip="OM 1R"/>
              <a:extLst>
                <a:ext uri="{FF2B5EF4-FFF2-40B4-BE49-F238E27FC236}">
                  <a16:creationId xmlns:a16="http://schemas.microsoft.com/office/drawing/2014/main" id="{A3447CDF-0A53-305E-6D4E-8043D8818B78}"/>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23" name="O2">
              <a:hlinkClick xmlns:r="http://schemas.openxmlformats.org/officeDocument/2006/relationships" r:id="rId8" tooltip="OM +R"/>
              <a:extLst>
                <a:ext uri="{FF2B5EF4-FFF2-40B4-BE49-F238E27FC236}">
                  <a16:creationId xmlns:a16="http://schemas.microsoft.com/office/drawing/2014/main" id="{068B4F22-B0EA-FB87-CD6F-763C131B57D7}"/>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24" name="VF">
              <a:hlinkClick xmlns:r="http://schemas.openxmlformats.org/officeDocument/2006/relationships" r:id="rId9" tooltip="VF"/>
              <a:extLst>
                <a:ext uri="{FF2B5EF4-FFF2-40B4-BE49-F238E27FC236}">
                  <a16:creationId xmlns:a16="http://schemas.microsoft.com/office/drawing/2014/main" id="{ED542926-EEC1-E730-B2B8-E7B63E3F5206}"/>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25" name="EM">
              <a:hlinkClick xmlns:r="http://schemas.openxmlformats.org/officeDocument/2006/relationships" r:id="rId10" tooltip="EM"/>
              <a:extLst>
                <a:ext uri="{FF2B5EF4-FFF2-40B4-BE49-F238E27FC236}">
                  <a16:creationId xmlns:a16="http://schemas.microsoft.com/office/drawing/2014/main" id="{04040878-D364-7D27-85D6-8B52DC1EDA55}"/>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26" name="RC">
              <a:hlinkClick xmlns:r="http://schemas.openxmlformats.org/officeDocument/2006/relationships" r:id="rId11" tooltip="RC"/>
              <a:extLst>
                <a:ext uri="{FF2B5EF4-FFF2-40B4-BE49-F238E27FC236}">
                  <a16:creationId xmlns:a16="http://schemas.microsoft.com/office/drawing/2014/main" id="{D412B3DA-E6A6-C25C-071A-5B3219055381}"/>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27" name="PP">
              <a:hlinkClick xmlns:r="http://schemas.openxmlformats.org/officeDocument/2006/relationships" r:id="rId12" tooltip="PP"/>
              <a:extLst>
                <a:ext uri="{FF2B5EF4-FFF2-40B4-BE49-F238E27FC236}">
                  <a16:creationId xmlns:a16="http://schemas.microsoft.com/office/drawing/2014/main" id="{10B177F0-76B9-64B2-E7B3-1F17181AE26F}"/>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28" name="EN">
              <a:hlinkClick xmlns:r="http://schemas.openxmlformats.org/officeDocument/2006/relationships" r:id="rId13" tooltip="EN"/>
              <a:extLst>
                <a:ext uri="{FF2B5EF4-FFF2-40B4-BE49-F238E27FC236}">
                  <a16:creationId xmlns:a16="http://schemas.microsoft.com/office/drawing/2014/main" id="{49FAD67B-870F-3BEF-7EC9-326C59242C9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29" name="CL">
              <a:hlinkClick xmlns:r="http://schemas.openxmlformats.org/officeDocument/2006/relationships" r:id="rId14" tooltip="CL"/>
              <a:extLst>
                <a:ext uri="{FF2B5EF4-FFF2-40B4-BE49-F238E27FC236}">
                  <a16:creationId xmlns:a16="http://schemas.microsoft.com/office/drawing/2014/main" id="{69C3AA3A-490E-A98A-9459-324593FEDAF6}"/>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353" cy="720350"/>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MPN/Desktop/FastTest%20PlugIn/z.%20V8.4/FTP_Privado/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XML OM"/>
      <sheetName val="XML O2"/>
      <sheetName val="XML VF"/>
      <sheetName val="XML EM"/>
      <sheetName val="XML RC"/>
      <sheetName val="XML PP"/>
      <sheetName val="XML EN"/>
      <sheetName val="Formulario CL"/>
      <sheetName val="Datos CL"/>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5" totalsRowShown="0" headerRowDxfId="336">
  <autoFilter ref="A4:AI5"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5" totalsRowShown="0" headerRowDxfId="300">
  <autoFilter ref="A4:AI5"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5" totalsRowShown="0" headerRowDxfId="264">
  <autoFilter ref="A4:AI5"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5" totalsRowShown="0" headerRowDxfId="228">
  <autoFilter ref="A4:AI5"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5" totalsRowShown="0" headerRowDxfId="192">
  <autoFilter ref="A4:AI5"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5" totalsRowShown="0" headerRowDxfId="156" dataDxfId="155">
  <autoFilter ref="A4:AI5"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5" totalsRowShown="0" headerRowDxfId="119" dataDxfId="118">
  <autoFilter ref="A4:AI5"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11" totalsRowShown="0" headerRowDxfId="82" dataDxfId="81">
  <autoFilter ref="A4:AI11"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75"/>
    <tableColumn id="7" xr3:uid="{00000000-0010-0000-0800-000007000000}" name="Ancho RC" dataDxfId="74"/>
    <tableColumn id="8" xr3:uid="{00000000-0010-0000-0800-000008000000}" name="Columna3" dataDxfId="73"/>
    <tableColumn id="9" xr3:uid="{00000000-0010-0000-0800-000009000000}" name="Ancho IM" dataDxfId="72"/>
    <tableColumn id="10" xr3:uid="{00000000-0010-0000-0800-00000A000000}" name="Columna5" dataDxfId="71"/>
    <tableColumn id="11" xr3:uid="{00000000-0010-0000-0800-00000B000000}" name="Columna6" dataDxfId="70"/>
    <tableColumn id="12" xr3:uid="{00000000-0010-0000-0800-00000C000000}" name="Columna7" dataDxfId="69"/>
    <tableColumn id="13" xr3:uid="{00000000-0010-0000-0800-00000D000000}" name="Columna8" dataDxfId="68"/>
    <tableColumn id="14" xr3:uid="{00000000-0010-0000-0800-00000E000000}" name="Columna9" dataDxfId="67"/>
    <tableColumn id="15" xr3:uid="{00000000-0010-0000-0800-00000F000000}" name="Columna10" dataDxfId="66"/>
    <tableColumn id="16" xr3:uid="{00000000-0010-0000-0800-000010000000}" name="Columna11" dataDxfId="65"/>
    <tableColumn id="17" xr3:uid="{00000000-0010-0000-0800-000011000000}" name="Columna12" dataDxfId="64"/>
    <tableColumn id="18" xr3:uid="{00000000-0010-0000-0800-000012000000}" name="Columna13" dataDxfId="63"/>
    <tableColumn id="19" xr3:uid="{00000000-0010-0000-0800-000013000000}" name="Columna14" dataDxfId="62"/>
    <tableColumn id="20" xr3:uid="{00000000-0010-0000-0800-000014000000}" name="Columna15" dataDxfId="61"/>
    <tableColumn id="21" xr3:uid="{00000000-0010-0000-0800-000015000000}" name="Columna16" dataDxfId="60"/>
    <tableColumn id="22" xr3:uid="{00000000-0010-0000-0800-000016000000}" name="Columna17" dataDxfId="59"/>
    <tableColumn id="23" xr3:uid="{00000000-0010-0000-0800-000017000000}" name="Columna18" dataDxfId="58"/>
    <tableColumn id="24" xr3:uid="{00000000-0010-0000-0800-000018000000}" name="Columna19" dataDxfId="57"/>
    <tableColumn id="25" xr3:uid="{00000000-0010-0000-0800-000019000000}" name="Columna20" dataDxfId="56"/>
    <tableColumn id="26" xr3:uid="{00000000-0010-0000-0800-00001A000000}" name="Columna21" dataDxfId="55"/>
    <tableColumn id="27" xr3:uid="{00000000-0010-0000-0800-00001B000000}" name="Columna22" dataDxfId="54"/>
    <tableColumn id="28" xr3:uid="{00000000-0010-0000-0800-00001C000000}" name="Columna23" dataDxfId="53"/>
    <tableColumn id="29" xr3:uid="{00000000-0010-0000-0800-00001D000000}" name="Columna24" dataDxfId="52"/>
    <tableColumn id="30" xr3:uid="{00000000-0010-0000-0800-00001E000000}" name="Columna25" dataDxfId="51"/>
    <tableColumn id="31" xr3:uid="{00000000-0010-0000-0800-00001F000000}" name="Pista 1" dataDxfId="50"/>
    <tableColumn id="32" xr3:uid="{00000000-0010-0000-0800-000020000000}" name="Pista 2" dataDxfId="49"/>
    <tableColumn id="33" xr3:uid="{00000000-0010-0000-0800-000021000000}" name="Pista 3" dataDxfId="48"/>
    <tableColumn id="34" xr3:uid="{00000000-0010-0000-0800-000022000000}" name="Pista 4" dataDxfId="47"/>
    <tableColumn id="35" xr3:uid="{00000000-0010-0000-0800-000023000000}" name="Imagen"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5" dataDxfId="44" tableBorderDxfId="43">
  <autoFilter ref="S2:AF29" xr:uid="{00000000-0009-0000-0100-00000C000000}"/>
  <tableColumns count="14">
    <tableColumn id="1" xr3:uid="{00000000-0010-0000-0900-000001000000}" name="N Sub" totalsRowFunction="custom" dataDxfId="42" totalsRowDxfId="41">
      <calculatedColumnFormula>IF(Tabla_Menu[[#This Row],[Nivel]]=T2,0,COUNTIF(Tabla_Menu[Nivel],Tabla_Menu[[#This Row],[Nivel]]))</calculatedColumnFormula>
      <totalsRowFormula>COUNTIF(Tabla_Menu[N Sub],"&lt;&gt;0")</totalsRowFormula>
    </tableColumn>
    <tableColumn id="2" xr3:uid="{00000000-0010-0000-0900-000002000000}" name="Nivel" dataDxfId="40" totalsRowDxfId="39">
      <calculatedColumnFormula>IFERROR(INDIRECT(Tabla_Menu[[#This Row],[Nivel 1]]&amp;IDIOMA),"")</calculatedColumnFormula>
    </tableColumn>
    <tableColumn id="3" xr3:uid="{00000000-0010-0000-0900-000003000000}" name="Nombre" dataDxfId="38" totalsRowDxfId="37">
      <calculatedColumnFormula>IFERROR(INDIRECT(Tabla_Menu[[#This Row],[Nivel 2]]&amp;IDIOMA)&amp;IF(Tabla_Menu[[#This Row],[Nivel]]="",""," "&amp;Tabla_Menu[[#This Row],['[Teclas']]]),"")</calculatedColumnFormula>
    </tableColumn>
    <tableColumn id="4" xr3:uid="{00000000-0010-0000-0900-000004000000}" name="On Action" dataDxfId="36" totalsRowDxfId="35"/>
    <tableColumn id="5" xr3:uid="{00000000-0010-0000-0900-000005000000}" name="Face Id" dataDxfId="34" totalsRowDxfId="33"/>
    <tableColumn id="6" xr3:uid="{00000000-0010-0000-0900-000006000000}" name="Begin Group" dataDxfId="32" totalsRowDxfId="31"/>
    <tableColumn id="7" xr3:uid="{00000000-0010-0000-0900-000007000000}" name="Nivel 1" dataDxfId="30" totalsRowDxfId="29"/>
    <tableColumn id="8" xr3:uid="{00000000-0010-0000-0900-000008000000}" name="Nivel 2" dataDxfId="28" totalsRowDxfId="27"/>
    <tableColumn id="11" xr3:uid="{00000000-0010-0000-0900-00000B000000}" name="Teclas" dataDxfId="26" totalsRowDxfId="25"/>
    <tableColumn id="15" xr3:uid="{00000000-0010-0000-0900-00000F000000}" name="HOJAS NO MUESTRA" dataDxfId="24" totalsRowDxfId="23"/>
    <tableColumn id="10" xr3:uid="{00000000-0010-0000-0900-00000A000000}" name="N/A" dataDxfId="22" totalsRowDxfId="21">
      <calculatedColumnFormula>IF(OR(Tabla_Menu[[#This Row],[Nivel]]="",IFERROR(SEARCH(MID(CELL("nombrearchivo"),FIND(".xlsm]",CELL("nombrearchivo"),1)+6,100),Tabla_Menu[[#This Row],[HOJAS NO MUESTRA]],1),0)&gt;0),"N/A","")</calculatedColumnFormula>
    </tableColumn>
    <tableColumn id="14" xr3:uid="{00000000-0010-0000-0900-00000E000000}" name="Num N/A" dataDxfId="20" totalsRowDxfId="19">
      <calculatedColumnFormula>IF(Tabla_Menu[[#This Row],[N/A]]="",,COUNTIF(Tabla_Menu[Nivel &amp; Incluir],Tabla_Menu[[#This Row],[Nivel &amp; Incluir]]))</calculatedColumnFormula>
    </tableColumn>
    <tableColumn id="12" xr3:uid="{00000000-0010-0000-0900-00000C000000}" name="Nivel &amp; Incluir" dataDxfId="18" totalsRowDxfId="17">
      <calculatedColumnFormula>Tabla_Menu[[#This Row],[Nivel]]&amp;Tabla_Menu[[#This Row],[N/A]]</calculatedColumnFormula>
    </tableColumn>
    <tableColumn id="9" xr3:uid="{00000000-0010-0000-0900-000009000000}" name="[Teclas]" dataDxfId="16" totalsRowDxfId="15"/>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4" dataDxfId="13" totalsRowDxfId="11" tableBorderDxfId="12">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0" totalsRowDxfId="9">
      <totalsRowFormula>COUNTA(Tabla_Comandos[CommandBars])</totalsRowFormula>
    </tableColumn>
    <tableColumn id="2" xr3:uid="{00000000-0010-0000-0A00-000002000000}" name="Cambio" dataDxfId="8" totalsRowDxfId="7"/>
    <tableColumn id="3" xr3:uid="{00000000-0010-0000-0A00-000003000000}" name="Activa/Des" dataDxfId="6" totalsRowDxfId="5"/>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7" Type="http://schemas.openxmlformats.org/officeDocument/2006/relationships/table" Target="../tables/table1.xm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drawing" Target="../drawings/drawing1.xml"/><Relationship Id="rId5" Type="http://schemas.openxmlformats.org/officeDocument/2006/relationships/hyperlink" Target="https://produccioncientifica.uca.es/investigadores/112771/detalle" TargetMode="Externa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zoomScale="116" zoomScaleNormal="116"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63" t="s">
        <v>387</v>
      </c>
      <c r="B1" s="282" t="s">
        <v>5</v>
      </c>
      <c r="C1" s="283"/>
      <c r="D1" s="283"/>
      <c r="E1" s="283"/>
      <c r="F1" s="283"/>
      <c r="G1" s="283"/>
      <c r="H1" s="283"/>
      <c r="I1" s="283"/>
      <c r="J1" s="283"/>
      <c r="K1" s="283"/>
      <c r="L1" s="283"/>
      <c r="M1" s="283"/>
      <c r="N1" s="283"/>
      <c r="O1" s="283"/>
      <c r="P1" s="283"/>
      <c r="Q1" s="283"/>
      <c r="R1" s="283"/>
      <c r="S1" s="284"/>
    </row>
    <row r="2" spans="1:19" ht="6" customHeight="1" x14ac:dyDescent="0.5">
      <c r="A2" s="264"/>
      <c r="B2" s="4"/>
      <c r="C2" s="5"/>
      <c r="D2" s="5"/>
      <c r="E2" s="5"/>
      <c r="F2" s="5"/>
      <c r="G2" s="5"/>
      <c r="H2" s="5"/>
      <c r="I2" s="5"/>
      <c r="J2" s="5"/>
      <c r="K2" s="5"/>
      <c r="L2" s="5"/>
      <c r="M2" s="5"/>
      <c r="N2" s="5"/>
      <c r="O2" s="5"/>
      <c r="P2" s="5"/>
      <c r="Q2" s="5"/>
      <c r="R2" s="5"/>
      <c r="S2" s="6"/>
    </row>
    <row r="3" spans="1:19" x14ac:dyDescent="0.5">
      <c r="A3" s="264"/>
      <c r="B3" s="4"/>
      <c r="C3" s="5"/>
      <c r="D3" s="5"/>
      <c r="E3" s="5"/>
      <c r="F3" s="5"/>
      <c r="G3" s="271" t="str">
        <f ca="1">INDIRECT("Z_IN_04_"&amp;IDIOMA)</f>
        <v>Esta Aplicación ha sido desarrollada, en la primera versión, por:</v>
      </c>
      <c r="H3" s="271"/>
      <c r="I3" s="271"/>
      <c r="J3" s="271"/>
      <c r="K3" s="271"/>
      <c r="L3" s="271"/>
      <c r="M3" s="271"/>
      <c r="N3" s="271"/>
      <c r="O3" s="5"/>
      <c r="P3" s="5"/>
      <c r="Q3" s="5"/>
      <c r="R3" s="5"/>
      <c r="S3" s="6"/>
    </row>
    <row r="4" spans="1:19" ht="6" customHeight="1" x14ac:dyDescent="0.5">
      <c r="A4" s="264"/>
      <c r="B4" s="4"/>
      <c r="C4" s="5"/>
      <c r="D4" s="5"/>
      <c r="E4" s="5"/>
      <c r="F4" s="5"/>
      <c r="G4" s="5"/>
      <c r="H4" s="5"/>
      <c r="I4" s="5"/>
      <c r="J4" s="5"/>
      <c r="K4" s="5"/>
      <c r="L4" s="5"/>
      <c r="M4" s="5"/>
      <c r="N4" s="5"/>
      <c r="O4" s="5"/>
      <c r="P4" s="5"/>
      <c r="Q4" s="5"/>
      <c r="R4" s="5"/>
      <c r="S4" s="6"/>
    </row>
    <row r="5" spans="1:19" ht="15.75" customHeight="1" x14ac:dyDescent="0.5">
      <c r="A5" s="264"/>
      <c r="B5" s="4"/>
      <c r="C5" s="5"/>
      <c r="D5" s="5"/>
      <c r="E5" s="5"/>
      <c r="F5" s="288"/>
      <c r="G5" s="288"/>
      <c r="H5" s="134"/>
      <c r="I5" s="272" t="s">
        <v>0</v>
      </c>
      <c r="J5" s="272"/>
      <c r="K5" s="272"/>
      <c r="L5" s="272"/>
      <c r="M5" s="5"/>
      <c r="N5" s="270"/>
      <c r="O5" s="270"/>
      <c r="P5" s="289" t="s">
        <v>651</v>
      </c>
      <c r="Q5" s="289"/>
      <c r="R5" s="289"/>
      <c r="S5" s="6"/>
    </row>
    <row r="6" spans="1:19" ht="6" customHeight="1" x14ac:dyDescent="0.5">
      <c r="A6" s="264"/>
      <c r="B6" s="4"/>
      <c r="C6" s="5"/>
      <c r="D6" s="5"/>
      <c r="E6" s="5"/>
      <c r="F6" s="288"/>
      <c r="G6" s="288"/>
      <c r="H6" s="134"/>
      <c r="I6" s="5"/>
      <c r="J6" s="5"/>
      <c r="K6" s="5"/>
      <c r="L6" s="5"/>
      <c r="M6" s="5"/>
      <c r="N6" s="270"/>
      <c r="O6" s="270"/>
      <c r="P6" s="274" t="str">
        <f ca="1">INDIRECT("Z_IN_01_"&amp;IDIOMA)</f>
        <v>CANAL YOUTUBE</v>
      </c>
      <c r="Q6" s="274"/>
      <c r="R6" s="274"/>
      <c r="S6" s="6"/>
    </row>
    <row r="7" spans="1:19" ht="15" customHeight="1" x14ac:dyDescent="0.5">
      <c r="A7" s="264"/>
      <c r="B7" s="4"/>
      <c r="C7" s="5"/>
      <c r="D7" s="5"/>
      <c r="E7" s="5"/>
      <c r="F7" s="288"/>
      <c r="G7" s="288"/>
      <c r="H7" s="134"/>
      <c r="I7" s="271" t="str">
        <f ca="1">INDIRECT("Z_IN_05_"&amp;IDIOMA)</f>
        <v>Universidad de Cádiz</v>
      </c>
      <c r="J7" s="271"/>
      <c r="K7" s="271"/>
      <c r="L7" s="271"/>
      <c r="M7" s="5"/>
      <c r="N7" s="270"/>
      <c r="O7" s="270"/>
      <c r="P7" s="274"/>
      <c r="Q7" s="274"/>
      <c r="R7" s="274"/>
      <c r="S7" s="6"/>
    </row>
    <row r="8" spans="1:19" ht="6" customHeight="1" x14ac:dyDescent="0.5">
      <c r="A8" s="264"/>
      <c r="B8" s="4"/>
      <c r="C8" s="5"/>
      <c r="D8" s="5"/>
      <c r="E8" s="5"/>
      <c r="F8" s="288"/>
      <c r="G8" s="288"/>
      <c r="H8" s="134"/>
      <c r="I8" s="5"/>
      <c r="J8" s="5"/>
      <c r="K8" s="5"/>
      <c r="L8" s="5"/>
      <c r="M8" s="5"/>
      <c r="N8" s="270"/>
      <c r="O8" s="270"/>
      <c r="P8" s="5"/>
      <c r="Q8" s="5"/>
      <c r="R8" s="5"/>
      <c r="S8" s="6"/>
    </row>
    <row r="9" spans="1:19" ht="14.7" thickBot="1" x14ac:dyDescent="0.55000000000000004">
      <c r="A9" s="265"/>
      <c r="B9" s="4"/>
      <c r="C9" s="285" t="str">
        <f ca="1">INDIRECT("Z_IN_03_"&amp;IDIOMA)</f>
        <v>LEER CON ATENCIÓN</v>
      </c>
      <c r="D9" s="285"/>
      <c r="E9" s="5"/>
      <c r="F9" s="288"/>
      <c r="G9" s="288"/>
      <c r="H9" s="134"/>
      <c r="I9" s="273" t="s">
        <v>10</v>
      </c>
      <c r="J9" s="273"/>
      <c r="K9" s="273"/>
      <c r="L9" s="273"/>
      <c r="M9" s="5"/>
      <c r="N9" s="270"/>
      <c r="O9" s="270"/>
      <c r="P9" s="275" t="s">
        <v>831</v>
      </c>
      <c r="Q9" s="275"/>
      <c r="R9" s="275"/>
      <c r="S9" s="6"/>
    </row>
    <row r="10" spans="1:19" ht="6" customHeight="1" x14ac:dyDescent="0.5">
      <c r="B10" s="4"/>
      <c r="C10" s="5"/>
      <c r="D10" s="5"/>
      <c r="E10" s="5"/>
      <c r="F10" s="288"/>
      <c r="G10" s="288"/>
      <c r="H10" s="134"/>
      <c r="I10" s="5"/>
      <c r="J10" s="5"/>
      <c r="K10" s="5"/>
      <c r="L10" s="5"/>
      <c r="M10" s="5"/>
      <c r="N10" s="270"/>
      <c r="O10" s="270"/>
      <c r="P10" s="5"/>
      <c r="Q10" s="5"/>
      <c r="R10" s="5"/>
      <c r="S10" s="6"/>
    </row>
    <row r="11" spans="1:19" ht="15" customHeight="1" x14ac:dyDescent="0.5">
      <c r="A11" s="266" t="s">
        <v>12</v>
      </c>
      <c r="B11" s="4"/>
      <c r="C11" s="5"/>
      <c r="D11" s="286"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286"/>
      <c r="F11" s="286"/>
      <c r="G11" s="286"/>
      <c r="H11" s="286"/>
      <c r="I11" s="286"/>
      <c r="J11" s="286"/>
      <c r="K11" s="286"/>
      <c r="L11" s="286"/>
      <c r="M11" s="286"/>
      <c r="N11" s="286"/>
      <c r="O11" s="286"/>
      <c r="P11" s="286"/>
      <c r="Q11" s="286"/>
      <c r="R11" s="286"/>
      <c r="S11" s="6"/>
    </row>
    <row r="12" spans="1:19" ht="6" customHeight="1" x14ac:dyDescent="0.5">
      <c r="A12" s="266"/>
      <c r="B12" s="4"/>
      <c r="C12" s="5"/>
      <c r="D12" s="286"/>
      <c r="E12" s="286"/>
      <c r="F12" s="286"/>
      <c r="G12" s="286"/>
      <c r="H12" s="286"/>
      <c r="I12" s="286"/>
      <c r="J12" s="286"/>
      <c r="K12" s="286"/>
      <c r="L12" s="286"/>
      <c r="M12" s="286"/>
      <c r="N12" s="286"/>
      <c r="O12" s="286"/>
      <c r="P12" s="286"/>
      <c r="Q12" s="286"/>
      <c r="R12" s="286"/>
      <c r="S12" s="6"/>
    </row>
    <row r="13" spans="1:19" x14ac:dyDescent="0.5">
      <c r="A13" s="266"/>
      <c r="B13" s="4"/>
      <c r="C13" s="5"/>
      <c r="D13" s="286"/>
      <c r="E13" s="286"/>
      <c r="F13" s="286"/>
      <c r="G13" s="286"/>
      <c r="H13" s="286"/>
      <c r="I13" s="286"/>
      <c r="J13" s="286"/>
      <c r="K13" s="286"/>
      <c r="L13" s="286"/>
      <c r="M13" s="286"/>
      <c r="N13" s="286"/>
      <c r="O13" s="286"/>
      <c r="P13" s="286"/>
      <c r="Q13" s="286"/>
      <c r="R13" s="286"/>
      <c r="S13" s="6"/>
    </row>
    <row r="14" spans="1:19" ht="6" customHeight="1" x14ac:dyDescent="0.5">
      <c r="B14" s="4"/>
      <c r="C14" s="5"/>
      <c r="D14" s="286"/>
      <c r="E14" s="286"/>
      <c r="F14" s="286"/>
      <c r="G14" s="286"/>
      <c r="H14" s="286"/>
      <c r="I14" s="286"/>
      <c r="J14" s="286"/>
      <c r="K14" s="286"/>
      <c r="L14" s="286"/>
      <c r="M14" s="286"/>
      <c r="N14" s="286"/>
      <c r="O14" s="286"/>
      <c r="P14" s="286"/>
      <c r="Q14" s="286"/>
      <c r="R14" s="286"/>
      <c r="S14" s="6"/>
    </row>
    <row r="15" spans="1:19" x14ac:dyDescent="0.5">
      <c r="B15" s="4"/>
      <c r="C15" s="5"/>
      <c r="D15" s="286"/>
      <c r="E15" s="286"/>
      <c r="F15" s="286"/>
      <c r="G15" s="286"/>
      <c r="H15" s="286"/>
      <c r="I15" s="286"/>
      <c r="J15" s="286"/>
      <c r="K15" s="286"/>
      <c r="L15" s="286"/>
      <c r="M15" s="286"/>
      <c r="N15" s="286"/>
      <c r="O15" s="286"/>
      <c r="P15" s="286"/>
      <c r="Q15" s="286"/>
      <c r="R15" s="286"/>
      <c r="S15" s="6"/>
    </row>
    <row r="16" spans="1:19" ht="6" customHeight="1" x14ac:dyDescent="0.5">
      <c r="B16" s="4"/>
      <c r="C16" s="5"/>
      <c r="D16" s="286"/>
      <c r="E16" s="286"/>
      <c r="F16" s="286"/>
      <c r="G16" s="286"/>
      <c r="H16" s="286"/>
      <c r="I16" s="286"/>
      <c r="J16" s="286"/>
      <c r="K16" s="286"/>
      <c r="L16" s="286"/>
      <c r="M16" s="286"/>
      <c r="N16" s="286"/>
      <c r="O16" s="286"/>
      <c r="P16" s="286"/>
      <c r="Q16" s="286"/>
      <c r="R16" s="286"/>
      <c r="S16" s="6"/>
    </row>
    <row r="17" spans="1:19" x14ac:dyDescent="0.5">
      <c r="A17" s="267" t="str">
        <f>IFERROR(HLOOKUP(LANGUAGE,DICCIONARIO!F1:K20,20,0),LANGUAGE)</f>
        <v>PERSONALIZAR DICCIONARIO</v>
      </c>
      <c r="B17" s="4"/>
      <c r="C17" s="5"/>
      <c r="D17" s="286"/>
      <c r="E17" s="286"/>
      <c r="F17" s="286"/>
      <c r="G17" s="286"/>
      <c r="H17" s="286"/>
      <c r="I17" s="286"/>
      <c r="J17" s="286"/>
      <c r="K17" s="286"/>
      <c r="L17" s="286"/>
      <c r="M17" s="286"/>
      <c r="N17" s="286"/>
      <c r="O17" s="286"/>
      <c r="P17" s="286"/>
      <c r="Q17" s="286"/>
      <c r="R17" s="286"/>
      <c r="S17" s="6"/>
    </row>
    <row r="18" spans="1:19" ht="6" customHeight="1" x14ac:dyDescent="0.5">
      <c r="A18" s="267"/>
      <c r="B18" s="4"/>
      <c r="C18" s="5"/>
      <c r="D18" s="286"/>
      <c r="E18" s="286"/>
      <c r="F18" s="286"/>
      <c r="G18" s="286"/>
      <c r="H18" s="286"/>
      <c r="I18" s="286"/>
      <c r="J18" s="286"/>
      <c r="K18" s="286"/>
      <c r="L18" s="286"/>
      <c r="M18" s="286"/>
      <c r="N18" s="286"/>
      <c r="O18" s="286"/>
      <c r="P18" s="286"/>
      <c r="Q18" s="286"/>
      <c r="R18" s="286"/>
      <c r="S18" s="6"/>
    </row>
    <row r="19" spans="1:19" x14ac:dyDescent="0.5">
      <c r="A19" s="267"/>
      <c r="B19" s="4"/>
      <c r="C19" s="5"/>
      <c r="D19" s="286"/>
      <c r="E19" s="286"/>
      <c r="F19" s="286"/>
      <c r="G19" s="286"/>
      <c r="H19" s="286"/>
      <c r="I19" s="286"/>
      <c r="J19" s="286"/>
      <c r="K19" s="286"/>
      <c r="L19" s="286"/>
      <c r="M19" s="286"/>
      <c r="N19" s="286"/>
      <c r="O19" s="286"/>
      <c r="P19" s="286"/>
      <c r="Q19" s="286"/>
      <c r="R19" s="286"/>
      <c r="S19" s="6"/>
    </row>
    <row r="20" spans="1:19" ht="6" customHeight="1" x14ac:dyDescent="0.5">
      <c r="B20" s="4"/>
      <c r="C20" s="5"/>
      <c r="D20" s="286"/>
      <c r="E20" s="286"/>
      <c r="F20" s="286"/>
      <c r="G20" s="286"/>
      <c r="H20" s="286"/>
      <c r="I20" s="286"/>
      <c r="J20" s="286"/>
      <c r="K20" s="286"/>
      <c r="L20" s="286"/>
      <c r="M20" s="286"/>
      <c r="N20" s="286"/>
      <c r="O20" s="286"/>
      <c r="P20" s="286"/>
      <c r="Q20" s="286"/>
      <c r="R20" s="286"/>
      <c r="S20" s="6"/>
    </row>
    <row r="21" spans="1:19" x14ac:dyDescent="0.5">
      <c r="B21" s="4"/>
      <c r="C21" s="5"/>
      <c r="D21" s="286"/>
      <c r="E21" s="286"/>
      <c r="F21" s="286"/>
      <c r="G21" s="286"/>
      <c r="H21" s="286"/>
      <c r="I21" s="286"/>
      <c r="J21" s="286"/>
      <c r="K21" s="286"/>
      <c r="L21" s="286"/>
      <c r="M21" s="286"/>
      <c r="N21" s="286"/>
      <c r="O21" s="286"/>
      <c r="P21" s="286"/>
      <c r="Q21" s="286"/>
      <c r="R21" s="286"/>
      <c r="S21" s="6"/>
    </row>
    <row r="22" spans="1:19" ht="5.0999999999999996" customHeight="1" thickBot="1" x14ac:dyDescent="0.55000000000000004">
      <c r="B22" s="4"/>
      <c r="C22" s="5"/>
      <c r="D22" s="54"/>
      <c r="E22" s="54"/>
      <c r="F22" s="54"/>
      <c r="G22" s="54"/>
      <c r="H22" s="54"/>
      <c r="I22" s="54"/>
      <c r="J22" s="54"/>
      <c r="K22" s="54"/>
      <c r="L22" s="54"/>
      <c r="M22" s="54"/>
      <c r="N22" s="54"/>
      <c r="O22" s="54"/>
      <c r="P22" s="54"/>
      <c r="Q22" s="54"/>
      <c r="R22" s="54"/>
      <c r="S22" s="6"/>
    </row>
    <row r="23" spans="1:19" ht="15" customHeight="1" thickBot="1" x14ac:dyDescent="0.55000000000000004">
      <c r="B23" s="4"/>
      <c r="C23" s="276" t="str">
        <f ca="1">INDIRECT("Z_BP_10_"&amp;IDIOMA)</f>
        <v>OM 1R</v>
      </c>
      <c r="D23" s="287"/>
      <c r="E23" s="276" t="str">
        <f ca="1">INDIRECT("Z_BP_11_"&amp;IDIOMA)</f>
        <v>OM +R</v>
      </c>
      <c r="F23" s="277"/>
      <c r="G23" s="276" t="str">
        <f ca="1">INDIRECT("Z_BP_12_"&amp;IDIOMA)</f>
        <v>VF</v>
      </c>
      <c r="H23" s="277"/>
      <c r="I23" s="276" t="str">
        <f ca="1">INDIRECT("Z_BP_13_"&amp;IDIOMA)</f>
        <v>EM</v>
      </c>
      <c r="J23" s="287"/>
      <c r="K23" s="276" t="str">
        <f ca="1">INDIRECT("Z_BP_14_"&amp;IDIOMA)</f>
        <v>RC</v>
      </c>
      <c r="L23" s="277"/>
      <c r="M23" s="276" t="str">
        <f ca="1">INDIRECT("Z_BP_15_"&amp;IDIOMA)</f>
        <v>PP</v>
      </c>
      <c r="N23" s="277"/>
      <c r="O23" s="276" t="str">
        <f ca="1">INDIRECT("Z_BP_31_"&amp;IDIOMA)</f>
        <v>EN</v>
      </c>
      <c r="P23" s="277"/>
      <c r="Q23" s="276" t="str">
        <f ca="1">INDIRECT("Z_BP_16_"&amp;IDIOMA)</f>
        <v>CL</v>
      </c>
      <c r="R23" s="277"/>
      <c r="S23" s="6"/>
    </row>
    <row r="24" spans="1:19" ht="14.45" customHeight="1" x14ac:dyDescent="0.5">
      <c r="B24" s="4"/>
      <c r="C24" s="293" t="str">
        <f ca="1">INDIRECT("Z_IN_08_"&amp;IDIOMA)</f>
        <v xml:space="preserve">Opción Múltiple 1R </v>
      </c>
      <c r="D24" s="278"/>
      <c r="E24" s="278" t="str">
        <f ca="1">INDIRECT("Z_IN_09_"&amp;IDIOMA)</f>
        <v xml:space="preserve">Opción Múltiple +R </v>
      </c>
      <c r="F24" s="278"/>
      <c r="G24" s="278" t="str">
        <f ca="1">INDIRECT("Z_IN_10_"&amp;IDIOMA)</f>
        <v>Verdadero/Falso</v>
      </c>
      <c r="H24" s="278"/>
      <c r="I24" s="278" t="str">
        <f ca="1">INDIRECT("Z_IN_11_"&amp;IDIOMA)</f>
        <v>Emparejar</v>
      </c>
      <c r="J24" s="278"/>
      <c r="K24" s="278" t="str">
        <f ca="1">INDIRECT("Z_IN_12_"&amp;IDIOMA)</f>
        <v>Respuesta Corta</v>
      </c>
      <c r="L24" s="278"/>
      <c r="M24" s="278" t="str">
        <f ca="1">INDIRECT("Z_IN_13_"&amp;IDIOMA)</f>
        <v>Palabra Perdida</v>
      </c>
      <c r="N24" s="278"/>
      <c r="O24" s="278" t="str">
        <f ca="1">INDIRECT("Z_IN_16_"&amp;IDIOMA)</f>
        <v>Ensayo</v>
      </c>
      <c r="P24" s="278"/>
      <c r="Q24" s="278" t="str">
        <f ca="1">INDIRECT("Z_IN_14_"&amp;IDIOMA)</f>
        <v>Cloze</v>
      </c>
      <c r="R24" s="280"/>
      <c r="S24" s="6"/>
    </row>
    <row r="25" spans="1:19" ht="6" customHeight="1" thickBot="1" x14ac:dyDescent="0.55000000000000004">
      <c r="B25" s="4"/>
      <c r="C25" s="294"/>
      <c r="D25" s="279"/>
      <c r="E25" s="279"/>
      <c r="F25" s="279"/>
      <c r="G25" s="279"/>
      <c r="H25" s="279"/>
      <c r="I25" s="279"/>
      <c r="J25" s="279"/>
      <c r="K25" s="279"/>
      <c r="L25" s="279"/>
      <c r="M25" s="279"/>
      <c r="N25" s="279"/>
      <c r="O25" s="279"/>
      <c r="P25" s="279"/>
      <c r="Q25" s="279"/>
      <c r="R25" s="281"/>
      <c r="S25" s="6"/>
    </row>
    <row r="26" spans="1:19" ht="15" customHeight="1" thickBot="1" x14ac:dyDescent="0.55000000000000004">
      <c r="B26" s="4"/>
      <c r="C26" s="290" t="str">
        <f ca="1">'Datos OM'!G2&amp;" "&amp;INDIRECT("Z_IN_15_"&amp;IDIOMA)</f>
        <v>0 Preguntas</v>
      </c>
      <c r="D26" s="292"/>
      <c r="E26" s="290" t="str">
        <f ca="1">'Datos O2'!G2&amp;" "&amp;INDIRECT("Z_IN_15_"&amp;IDIOMA)</f>
        <v>0 Preguntas</v>
      </c>
      <c r="F26" s="291"/>
      <c r="G26" s="290" t="str">
        <f ca="1">'Datos VF'!G2&amp;" "&amp;INDIRECT("Z_IN_15_"&amp;IDIOMA)</f>
        <v>0 Preguntas</v>
      </c>
      <c r="H26" s="291"/>
      <c r="I26" s="290" t="str">
        <f ca="1">'Datos EM'!G2&amp;" "&amp;INDIRECT("Z_IN_15_"&amp;IDIOMA)</f>
        <v>0 Preguntas</v>
      </c>
      <c r="J26" s="292"/>
      <c r="K26" s="290" t="str">
        <f ca="1">'Datos RC'!G2&amp;" "&amp;INDIRECT("Z_IN_15_"&amp;IDIOMA)</f>
        <v>0 Preguntas</v>
      </c>
      <c r="L26" s="291"/>
      <c r="M26" s="290" t="str">
        <f ca="1">'Datos PP'!G2&amp;" "&amp;INDIRECT("Z_IN_15_"&amp;IDIOMA)</f>
        <v>0 Preguntas</v>
      </c>
      <c r="N26" s="291"/>
      <c r="O26" s="290" t="str">
        <f ca="1">'Datos EN'!G2&amp;" "&amp;INDIRECT("Z_IN_15_"&amp;IDIOMA)</f>
        <v>0 Preguntas</v>
      </c>
      <c r="P26" s="291"/>
      <c r="Q26" s="290" t="str">
        <f ca="1">'Datos CL'!G2&amp;" "&amp;INDIRECT("Z_IN_15_"&amp;IDIOMA)</f>
        <v>7 Preguntas</v>
      </c>
      <c r="R26" s="291"/>
      <c r="S26" s="6"/>
    </row>
    <row r="27" spans="1:19" ht="6" customHeight="1" x14ac:dyDescent="0.5">
      <c r="B27" s="4"/>
      <c r="C27" s="5"/>
      <c r="D27" s="268" t="str">
        <f ca="1">INDIRECT("Z_IN_07_"&amp;IDIOMA)</f>
        <v>Esta HOJA sirve para almacenar las preguntas y poder reutilizarlas cuando sea necesario, sin tener que volver a escribirlas para un nuevo BANCO DE PREGUNTAS.</v>
      </c>
      <c r="E27" s="268"/>
      <c r="F27" s="268"/>
      <c r="G27" s="268"/>
      <c r="H27" s="268"/>
      <c r="I27" s="268"/>
      <c r="J27" s="268"/>
      <c r="K27" s="268"/>
      <c r="L27" s="268"/>
      <c r="M27" s="268"/>
      <c r="N27" s="144"/>
      <c r="O27" s="7"/>
      <c r="P27" s="7"/>
      <c r="Q27" s="7"/>
      <c r="R27" s="7"/>
      <c r="S27" s="6"/>
    </row>
    <row r="28" spans="1:19" ht="15" customHeight="1" x14ac:dyDescent="0.5">
      <c r="B28" s="4"/>
      <c r="C28" s="5"/>
      <c r="D28" s="269"/>
      <c r="E28" s="269"/>
      <c r="F28" s="269"/>
      <c r="G28" s="269"/>
      <c r="H28" s="269"/>
      <c r="I28" s="269"/>
      <c r="J28" s="269"/>
      <c r="K28" s="269"/>
      <c r="L28" s="269"/>
      <c r="M28" s="269"/>
      <c r="N28" s="145"/>
      <c r="O28" s="5"/>
      <c r="P28" s="270"/>
      <c r="Q28" s="270"/>
      <c r="R28" s="270"/>
      <c r="S28" s="6"/>
    </row>
    <row r="29" spans="1:19" ht="6" customHeight="1" x14ac:dyDescent="0.5">
      <c r="B29" s="4"/>
      <c r="C29" s="5"/>
      <c r="D29" s="269"/>
      <c r="E29" s="269"/>
      <c r="F29" s="269"/>
      <c r="G29" s="269"/>
      <c r="H29" s="269"/>
      <c r="I29" s="269"/>
      <c r="J29" s="269"/>
      <c r="K29" s="269"/>
      <c r="L29" s="269"/>
      <c r="M29" s="269"/>
      <c r="N29" s="145"/>
      <c r="O29" s="5"/>
      <c r="P29" s="270"/>
      <c r="Q29" s="270"/>
      <c r="R29" s="270"/>
      <c r="S29" s="6"/>
    </row>
    <row r="30" spans="1:19" x14ac:dyDescent="0.5">
      <c r="B30" s="4"/>
      <c r="C30" s="5"/>
      <c r="D30" s="269"/>
      <c r="E30" s="269"/>
      <c r="F30" s="269"/>
      <c r="G30" s="269"/>
      <c r="H30" s="269"/>
      <c r="I30" s="269"/>
      <c r="J30" s="269"/>
      <c r="K30" s="269"/>
      <c r="L30" s="269"/>
      <c r="M30" s="269"/>
      <c r="N30" s="145"/>
      <c r="O30" s="5"/>
      <c r="P30" s="270"/>
      <c r="Q30" s="270"/>
      <c r="R30" s="270"/>
      <c r="S30" s="6"/>
    </row>
    <row r="31" spans="1:19" ht="6" customHeight="1" x14ac:dyDescent="0.5">
      <c r="B31" s="4"/>
      <c r="C31" s="5"/>
      <c r="D31" s="269"/>
      <c r="E31" s="269"/>
      <c r="F31" s="269"/>
      <c r="G31" s="269"/>
      <c r="H31" s="269"/>
      <c r="I31" s="269"/>
      <c r="J31" s="269"/>
      <c r="K31" s="269"/>
      <c r="L31" s="269"/>
      <c r="M31" s="269"/>
      <c r="N31" s="145"/>
      <c r="O31" s="5"/>
      <c r="P31" s="270"/>
      <c r="Q31" s="270"/>
      <c r="R31" s="270"/>
      <c r="S31" s="6"/>
    </row>
    <row r="32" spans="1:19" x14ac:dyDescent="0.5">
      <c r="B32" s="4"/>
      <c r="C32" s="5"/>
      <c r="D32" s="269"/>
      <c r="E32" s="269"/>
      <c r="F32" s="269"/>
      <c r="G32" s="269"/>
      <c r="H32" s="269"/>
      <c r="I32" s="269"/>
      <c r="J32" s="269"/>
      <c r="K32" s="269"/>
      <c r="L32" s="269"/>
      <c r="M32" s="269"/>
      <c r="N32" s="145"/>
      <c r="O32" s="5"/>
      <c r="P32" s="270"/>
      <c r="Q32" s="270"/>
      <c r="R32" s="270"/>
      <c r="S32" s="6"/>
    </row>
    <row r="33" spans="1:19" ht="6" customHeight="1" x14ac:dyDescent="0.5">
      <c r="B33" s="4"/>
      <c r="C33" s="5"/>
      <c r="D33" s="269"/>
      <c r="E33" s="269"/>
      <c r="F33" s="269"/>
      <c r="G33" s="269"/>
      <c r="H33" s="269"/>
      <c r="I33" s="269"/>
      <c r="J33" s="269"/>
      <c r="K33" s="269"/>
      <c r="L33" s="269"/>
      <c r="M33" s="269"/>
      <c r="N33" s="145"/>
      <c r="O33" s="5"/>
      <c r="P33" s="270"/>
      <c r="Q33" s="270"/>
      <c r="R33" s="270"/>
      <c r="S33" s="6"/>
    </row>
    <row r="34" spans="1:19" x14ac:dyDescent="0.5">
      <c r="B34" s="4"/>
      <c r="C34" s="5"/>
      <c r="D34" s="269"/>
      <c r="E34" s="269"/>
      <c r="F34" s="269"/>
      <c r="G34" s="269"/>
      <c r="H34" s="269"/>
      <c r="I34" s="269"/>
      <c r="J34" s="269"/>
      <c r="K34" s="269"/>
      <c r="L34" s="269"/>
      <c r="M34" s="269"/>
      <c r="N34" s="145"/>
      <c r="O34" s="5"/>
      <c r="P34" s="270"/>
      <c r="Q34" s="270"/>
      <c r="R34" s="270"/>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43"/>
    </row>
    <row r="36" spans="1:19" ht="14.7" hidden="1" thickTop="1" x14ac:dyDescent="0.5">
      <c r="B36" s="10"/>
      <c r="C36" s="10"/>
      <c r="D36" s="10"/>
    </row>
    <row r="37" spans="1:19" hidden="1" x14ac:dyDescent="0.5">
      <c r="A37" s="37" t="str">
        <f>IFERROR(VLOOKUP(LANGUAGE,Tabla_ID[],2,0),"")</f>
        <v>S</v>
      </c>
      <c r="F37" s="242">
        <v>6</v>
      </c>
      <c r="G37" t="s">
        <v>830</v>
      </c>
    </row>
    <row r="38" spans="1:19" ht="14.7" hidden="1" thickBot="1" x14ac:dyDescent="0.55000000000000004">
      <c r="A38" s="139" t="s">
        <v>389</v>
      </c>
      <c r="B38" s="140" t="s">
        <v>390</v>
      </c>
    </row>
    <row r="39" spans="1:19" hidden="1" x14ac:dyDescent="0.5">
      <c r="A39" s="38" t="s">
        <v>12</v>
      </c>
      <c r="B39" s="41" t="s">
        <v>13</v>
      </c>
    </row>
    <row r="40" spans="1:19" hidden="1" x14ac:dyDescent="0.5">
      <c r="A40" s="39" t="s">
        <v>19</v>
      </c>
      <c r="B40" s="42" t="s">
        <v>17</v>
      </c>
    </row>
    <row r="41" spans="1:19" hidden="1" x14ac:dyDescent="0.5">
      <c r="A41" s="39" t="s">
        <v>20</v>
      </c>
      <c r="B41" s="42" t="s">
        <v>15</v>
      </c>
    </row>
    <row r="42" spans="1:19" hidden="1" x14ac:dyDescent="0.5">
      <c r="A42" s="39" t="s">
        <v>21</v>
      </c>
      <c r="B42" s="42" t="s">
        <v>16</v>
      </c>
    </row>
    <row r="43" spans="1:19" hidden="1" x14ac:dyDescent="0.5">
      <c r="A43" s="39" t="s">
        <v>22</v>
      </c>
      <c r="B43" s="42" t="s">
        <v>14</v>
      </c>
    </row>
    <row r="44" spans="1:19" hidden="1" x14ac:dyDescent="0.5">
      <c r="A44" s="39" t="s">
        <v>23</v>
      </c>
      <c r="B44" s="42" t="s">
        <v>24</v>
      </c>
    </row>
    <row r="45" spans="1:19" hidden="1" x14ac:dyDescent="0.5">
      <c r="A45" s="39" t="s">
        <v>716</v>
      </c>
      <c r="B45" s="42" t="s">
        <v>717</v>
      </c>
    </row>
    <row r="46" spans="1:19" ht="15" hidden="1" customHeight="1" thickBot="1" x14ac:dyDescent="0.55000000000000004">
      <c r="A46" s="40" t="str">
        <f>A17</f>
        <v>PERSONALIZAR DICCIONARIO</v>
      </c>
      <c r="B46" s="43" t="s">
        <v>388</v>
      </c>
    </row>
    <row r="47" spans="1:19" ht="5.0999999999999996" customHeight="1" thickTop="1" x14ac:dyDescent="0.5"/>
  </sheetData>
  <sheetProtection algorithmName="SHA-512" hashValue="hgvpnUQ7b9+8y0nx5HU2WCVmld006ea5Pyz5KAGqrSL6/G8GPWD7dedCcX1aTIvjn20/MGgRGFnFGf02ynowjw==" saltValue="bEc5su5nGa78VoiOxURzLw==" spinCount="100000" sheet="1" objects="1" scenarios="1" selectLockedCells="1" autoFilter="0"/>
  <mergeCells count="42">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 ref="B1:S1"/>
    <mergeCell ref="C9:D9"/>
    <mergeCell ref="D11:R21"/>
    <mergeCell ref="C23:D23"/>
    <mergeCell ref="E23:F23"/>
    <mergeCell ref="G23:H23"/>
    <mergeCell ref="I23:J23"/>
    <mergeCell ref="K23:L23"/>
    <mergeCell ref="N5:O10"/>
    <mergeCell ref="F5:G10"/>
    <mergeCell ref="P5:R5"/>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 ref="I5:L5" r:id="rId5" display="MILAGROS HUERTA GÓMEZ DE MERODIO" xr:uid="{00000000-0004-0000-0000-000004000000}"/>
  </hyperlinks>
  <pageMargins left="0.7" right="0.7" top="0.75" bottom="0.75" header="0.3" footer="0.3"/>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5"/>
      <c r="B1" s="35"/>
      <c r="D1" s="35"/>
      <c r="E1" s="35"/>
      <c r="F1" s="59" t="str">
        <f ca="1">INDIRECT("Z_BP_10_"&amp;IDIOMA)&amp;"                  "&amp;INDIRECT("Z_BP_11_"&amp;IDIOMA)&amp;"                    "&amp;INDIRECT("Z_BP_12_"&amp;IDIOMA)&amp;"                         "&amp;INDIRECT("Z_BP_13_"&amp;IDIOMA)&amp;"                                "&amp;INDIRECT("Z_IN_00_"&amp;IDIOMA)</f>
        <v>OM 1R                  OM +R                    VF                         EM                                INICIO</v>
      </c>
      <c r="G1" s="51" t="str">
        <f ca="1">INDIRECT("Z_BP_01_"&amp;IDIOMA)</f>
        <v>Preguntas Almacenadas</v>
      </c>
      <c r="H1" s="183"/>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60" t="str">
        <f ca="1">"    "&amp;INDIRECT("Z_BP_14_"&amp;IDIOMA)&amp;"                         "&amp;INDIRECT("Z_BP_15_"&amp;IDIOMA)&amp;"                         "&amp;INDIRECT("Z_BP_31_"&amp;IDIOMA)&amp;"                         "&amp;INDIRECT("Z_BP_16_"&amp;IDIOMA)&amp;"                                 "&amp;INDIRECT("Z_BP_02_"&amp;IDIOMA)</f>
        <v xml:space="preserve">    RC                         PP                         EN                         CL                                 DICCIONARIO</v>
      </c>
      <c r="G2" s="34">
        <f>COUNTA(Tabla_OM[Enunciado])</f>
        <v>0</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V"&amp;MID(Version,5,7)&amp;UPPER(INICIO!C24)&amp;"
"&amp;INDIRECT("Z_BP_03_"&amp;IDIOMA)</f>
        <v>FastTest PlugIn - V8.3  - OPCIÓN MÚLTIPLE 1R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81"/>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
        <v>279</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7" t="s">
        <v>371</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t="str">
        <f>IF(COUNTIF(Tabla_OM[[#This Row],[Puntos 1]:[Puntos 6]],"&gt;0")=0,"",COUNTIF(Tabla_OM[[#This Row],[Puntos 1]:[Puntos 6]],"&gt;0"))</f>
        <v/>
      </c>
      <c r="B5" s="150" t="str">
        <f>IF(Tabla_OM[[#This Row],[NRC]]="","",COUNTA(Tabla_OM[[#This Row],[Respuesta 1]:[Respuesta 6]])-Tabla_OM[[#This Row],[NRC]])</f>
        <v/>
      </c>
      <c r="D5" s="23"/>
      <c r="E5" s="77"/>
      <c r="F5" s="76"/>
      <c r="G5" s="12"/>
      <c r="H5" s="13"/>
      <c r="I5" s="14"/>
      <c r="J5" s="15"/>
      <c r="K5" s="16"/>
      <c r="L5" s="17"/>
      <c r="M5" s="24"/>
      <c r="N5" s="25"/>
      <c r="O5" s="26"/>
      <c r="P5" s="27"/>
      <c r="Q5" s="28"/>
      <c r="R5" s="29"/>
      <c r="S5" s="24"/>
      <c r="T5" s="25"/>
      <c r="U5" s="26"/>
      <c r="V5" s="27"/>
      <c r="W5" s="28"/>
      <c r="X5" s="29"/>
      <c r="Y5" s="29"/>
      <c r="Z5" s="29"/>
      <c r="AA5" s="29"/>
      <c r="AB5" s="29"/>
      <c r="AC5" s="29"/>
      <c r="AD5" s="29"/>
      <c r="AE5" s="30"/>
      <c r="AF5" s="31"/>
      <c r="AG5" s="32"/>
      <c r="AH5" s="33"/>
      <c r="AI5" s="86"/>
    </row>
  </sheetData>
  <sheetProtection algorithmName="SHA-512" hashValue="OMO1hfyXUkoky391dt3xGZM3QjHyRyvmmb8OVfSh1jaRIGPO1EoyCA8pZoi4nSJfI5gkhNAV5VakteQ727/gAQ==" saltValue="d3F0pET45VULkc/Lr+mKng==" spinCount="100000" sheet="1" objects="1" scenarios="1"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COUNTA(Tabla_O2[Enunciado])</f>
        <v>0</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V"&amp;MID(Version,5,7)&amp;UPPER(INICIO!E24)&amp;"
"&amp;INDIRECT("Z_BP_03_"&amp;IDIOMA)</f>
        <v>FastTest PlugIn - V8.3  - OPCIÓN MÚLTIPLE +R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200" t="str">
        <f ca="1">INDIRECT("Z_BP_33_"&amp; IDIOMA)</f>
        <v>Nº max. Respuestas</v>
      </c>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tr">
        <f>'Datos OM'!AI3</f>
        <v>Imagen</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9" t="s">
        <v>718</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t="str">
        <f>IF(COUNTIF(Tabla_O2[[#This Row],[Puntos 1]:[Puntos 6]],"&gt;0")=0,"",COUNTIF(Tabla_O2[[#This Row],[Puntos 1]:[Puntos 6]],"&gt;0"))</f>
        <v/>
      </c>
      <c r="B5" s="150" t="str">
        <f>IF(Tabla_O2[[#This Row],[NRC]]="","",COUNTA(Tabla_O2[[#This Row],[Respuesta 1]:[Respuesta 6]])-Tabla_O2[[#This Row],[NRC]])</f>
        <v/>
      </c>
      <c r="D5" s="23"/>
      <c r="E5" s="77"/>
      <c r="F5" s="76"/>
      <c r="G5" s="12"/>
      <c r="H5" s="13"/>
      <c r="I5" s="14"/>
      <c r="J5" s="15"/>
      <c r="K5" s="16"/>
      <c r="L5" s="17"/>
      <c r="M5" s="24"/>
      <c r="N5" s="25"/>
      <c r="O5" s="26"/>
      <c r="P5" s="27"/>
      <c r="Q5" s="28"/>
      <c r="R5" s="29"/>
      <c r="S5" s="24"/>
      <c r="T5" s="25"/>
      <c r="U5" s="26"/>
      <c r="V5" s="27"/>
      <c r="W5" s="28"/>
      <c r="X5" s="29"/>
      <c r="Y5" s="199"/>
      <c r="Z5" s="29"/>
      <c r="AA5" s="29"/>
      <c r="AB5" s="29"/>
      <c r="AC5" s="29"/>
      <c r="AD5" s="29"/>
      <c r="AE5" s="30"/>
      <c r="AF5" s="31"/>
      <c r="AG5" s="32"/>
      <c r="AH5" s="33"/>
      <c r="AI5" s="86"/>
    </row>
  </sheetData>
  <sheetProtection algorithmName="SHA-512" hashValue="YfUx/Wh0wmMYz0RAkFkQIOCEA19m/6qGdWqQweWpiI2yLTCOjpVXsODbcFkeJN5ljA0biEBFRLK/svvx5nhouQ==" saltValue="i896PyTCzkSpNbcYGiGYJQ==" spinCount="100000" sheet="1" objects="1" scenarios="1"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COUNTA(Tabla_VF[Enunciado])</f>
        <v>0</v>
      </c>
    </row>
    <row r="3" spans="1:35" ht="50.1" customHeight="1" x14ac:dyDescent="0.5">
      <c r="A3" s="171"/>
      <c r="B3" s="171"/>
      <c r="C3" s="78"/>
      <c r="D3" s="21"/>
      <c r="E3" s="22" t="str">
        <f ca="1">INDIRECT("Z_BP_04_"&amp;IDIOMA)</f>
        <v>Descripción</v>
      </c>
      <c r="F3" s="36" t="str">
        <f ca="1">"FastTest PlugIn - V"&amp;MID(Version,5,7)&amp;UPPER(INICIO!G24)&amp;"
"&amp;INDIRECT("Z_BP_03_"&amp;IDIOMA)</f>
        <v>FastTest PlugIn - V8.3  - VERDADERO/FALSO
Enunciado de la pregunta</v>
      </c>
      <c r="G3" s="67" t="str">
        <f ca="1">'Datos OM'!G3</f>
        <v>Respuesta 1</v>
      </c>
      <c r="H3" s="74" t="str">
        <f ca="1">'Datos OM'!M3</f>
        <v>Retroalim. 1</v>
      </c>
      <c r="I3" s="75" t="str">
        <f ca="1">'Datos OM'!N3</f>
        <v>Retroalim. 2</v>
      </c>
      <c r="J3" s="79"/>
      <c r="K3" s="80"/>
      <c r="L3" s="81"/>
      <c r="M3" s="73"/>
      <c r="N3" s="74"/>
      <c r="O3" s="75"/>
      <c r="P3" s="79"/>
      <c r="Q3" s="80"/>
      <c r="R3" s="81"/>
      <c r="S3" s="81"/>
      <c r="T3" s="81"/>
      <c r="U3" s="81"/>
      <c r="V3" s="81"/>
      <c r="W3" s="81"/>
      <c r="X3" s="81"/>
      <c r="Y3" s="81"/>
      <c r="Z3" s="81"/>
      <c r="AA3" s="81"/>
      <c r="AB3" s="81"/>
      <c r="AC3" s="81"/>
      <c r="AD3" s="81"/>
      <c r="AE3" s="82" t="str">
        <f ca="1">'Datos OM'!AE3</f>
        <v>Pista 1</v>
      </c>
      <c r="AF3" s="83" t="str">
        <f ca="1">'Datos OM'!AF3</f>
        <v>Pista 2</v>
      </c>
      <c r="AG3" s="84" t="str">
        <f ca="1">'Datos OM'!AG3</f>
        <v>Pista 3</v>
      </c>
      <c r="AH3" s="85" t="str">
        <f ca="1">'Datos OM'!AH3</f>
        <v>Pista 4</v>
      </c>
      <c r="AI3" s="65" t="str">
        <f>'Datos OM'!AI3</f>
        <v>Imagen</v>
      </c>
    </row>
    <row r="4" spans="1:35" ht="9.9499999999999993" customHeight="1" x14ac:dyDescent="0.5">
      <c r="A4" s="201" t="s">
        <v>379</v>
      </c>
      <c r="B4" s="201" t="s">
        <v>380</v>
      </c>
      <c r="C4" s="202" t="s">
        <v>300</v>
      </c>
      <c r="D4" s="203" t="s">
        <v>301</v>
      </c>
      <c r="E4" s="204" t="s">
        <v>411</v>
      </c>
      <c r="F4" s="205" t="s">
        <v>412</v>
      </c>
      <c r="G4" s="206" t="s">
        <v>280</v>
      </c>
      <c r="H4" s="207" t="s">
        <v>286</v>
      </c>
      <c r="I4" s="207" t="s">
        <v>287</v>
      </c>
      <c r="J4" s="207" t="s">
        <v>302</v>
      </c>
      <c r="K4" s="207" t="s">
        <v>303</v>
      </c>
      <c r="L4" s="207" t="s">
        <v>304</v>
      </c>
      <c r="M4" s="207" t="s">
        <v>305</v>
      </c>
      <c r="N4" s="207" t="s">
        <v>306</v>
      </c>
      <c r="O4" s="207" t="s">
        <v>307</v>
      </c>
      <c r="P4" s="207" t="s">
        <v>308</v>
      </c>
      <c r="Q4" s="207" t="s">
        <v>309</v>
      </c>
      <c r="R4" s="207" t="s">
        <v>310</v>
      </c>
      <c r="S4" s="207" t="s">
        <v>311</v>
      </c>
      <c r="T4" s="207" t="s">
        <v>312</v>
      </c>
      <c r="U4" s="207" t="s">
        <v>313</v>
      </c>
      <c r="V4" s="207" t="s">
        <v>314</v>
      </c>
      <c r="W4" s="207" t="s">
        <v>315</v>
      </c>
      <c r="X4" s="207" t="s">
        <v>316</v>
      </c>
      <c r="Y4" s="207" t="s">
        <v>317</v>
      </c>
      <c r="Z4" s="207" t="s">
        <v>318</v>
      </c>
      <c r="AA4" s="207" t="s">
        <v>319</v>
      </c>
      <c r="AB4" s="207" t="s">
        <v>320</v>
      </c>
      <c r="AC4" s="207" t="s">
        <v>321</v>
      </c>
      <c r="AD4" s="207" t="s">
        <v>322</v>
      </c>
      <c r="AE4" s="207" t="s">
        <v>275</v>
      </c>
      <c r="AF4" s="207" t="s">
        <v>276</v>
      </c>
      <c r="AG4" s="207" t="s">
        <v>277</v>
      </c>
      <c r="AH4" s="207" t="s">
        <v>278</v>
      </c>
      <c r="AI4" s="208" t="s">
        <v>279</v>
      </c>
    </row>
    <row r="5" spans="1:35" x14ac:dyDescent="0.5">
      <c r="A5" s="172"/>
      <c r="B5" s="172"/>
      <c r="D5" s="23"/>
      <c r="E5" s="77"/>
      <c r="F5" s="76"/>
      <c r="G5" s="12"/>
      <c r="H5" s="25"/>
      <c r="I5" s="26"/>
      <c r="J5" s="27"/>
      <c r="K5" s="28"/>
      <c r="L5" s="29"/>
      <c r="M5" s="24"/>
      <c r="N5" s="25"/>
      <c r="O5" s="26"/>
      <c r="P5" s="27"/>
      <c r="Q5" s="28"/>
      <c r="R5" s="29"/>
      <c r="S5" s="29"/>
      <c r="T5" s="29"/>
      <c r="U5" s="29"/>
      <c r="V5" s="29"/>
      <c r="W5" s="29"/>
      <c r="X5" s="29"/>
      <c r="Y5" s="29"/>
      <c r="Z5" s="29"/>
      <c r="AA5" s="29"/>
      <c r="AB5" s="29"/>
      <c r="AC5" s="29"/>
      <c r="AD5" s="29"/>
      <c r="AE5" s="30"/>
      <c r="AF5" s="31"/>
      <c r="AG5" s="32"/>
      <c r="AH5" s="33"/>
      <c r="AI5" s="66"/>
    </row>
  </sheetData>
  <sheetProtection algorithmName="SHA-512" hashValue="OYau6erIkCrY6cqvlrf9wA6adlL69g+p4tdt132F6zc5HqgD3CdFz30YtvCJRwGjt+0BKDErLr2NE7AGcpmlzw==" saltValue="GuwVFVaZGxl0/nkoF/85EQ==" spinCount="100000" sheet="1" objects="1" scenarios="1"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COUNTA(Tabla_EM[Enunciado])</f>
        <v>0</v>
      </c>
    </row>
    <row r="3" spans="1:35" ht="50.1" customHeight="1" x14ac:dyDescent="0.5">
      <c r="A3" s="61" t="str">
        <f ca="1">INDIRECT("Z_BP_17_"&amp;IDIOMA)</f>
        <v xml:space="preserve">Pareja </v>
      </c>
      <c r="B3" s="1"/>
      <c r="C3" s="18"/>
      <c r="D3" s="18"/>
      <c r="E3" s="22" t="str">
        <f ca="1">'Datos OM'!E3</f>
        <v>Descripción</v>
      </c>
      <c r="F3" s="36" t="str">
        <f ca="1">"FastTest PlugIn - V"&amp;MID(Version,5,7)&amp;UPPER(INICIO!I24)&amp;"
"&amp;INDIRECT("Z_BP_03_"&amp;IDIOMA)</f>
        <v>FastTest PlugIn - V8.3  - EMPAREJAR
Enunciado de la pregunta</v>
      </c>
      <c r="G3" s="103" t="str">
        <f ca="1">$A$3&amp;" 01.1"</f>
        <v>Pareja  01.1</v>
      </c>
      <c r="H3" s="103" t="str">
        <f ca="1">$A$3&amp;" 01.2"</f>
        <v>Pareja  01.2</v>
      </c>
      <c r="I3" s="105" t="str">
        <f ca="1">$A$3&amp;" 02.1"</f>
        <v>Pareja  02.1</v>
      </c>
      <c r="J3" s="105" t="str">
        <f ca="1">$A$3&amp;" 02.2"</f>
        <v>Pareja  02.2</v>
      </c>
      <c r="K3" s="132" t="str">
        <f ca="1">$A$3&amp;" 03.1"</f>
        <v>Pareja  03.1</v>
      </c>
      <c r="L3" s="132" t="str">
        <f ca="1">$A$3&amp;" 03.2"</f>
        <v>Pareja  03.2</v>
      </c>
      <c r="M3" s="107" t="str">
        <f ca="1">$A$3&amp;" 04.1"</f>
        <v>Pareja  04.1</v>
      </c>
      <c r="N3" s="107" t="str">
        <f ca="1">$A$3&amp;" 04.2"</f>
        <v>Pareja  04.2</v>
      </c>
      <c r="O3" s="109" t="str">
        <f ca="1">$A$3&amp;" 05.1"</f>
        <v>Pareja  05.1</v>
      </c>
      <c r="P3" s="109" t="str">
        <f ca="1">$A$3&amp;" 05.2"</f>
        <v>Pareja  05.2</v>
      </c>
      <c r="Q3" s="111" t="str">
        <f ca="1">$A$3&amp;" 06.1"</f>
        <v>Pareja  06.1</v>
      </c>
      <c r="R3" s="111" t="str">
        <f ca="1">$A$3&amp;" 06.2"</f>
        <v>Pareja  06.2</v>
      </c>
      <c r="S3" s="103" t="str">
        <f ca="1">$A$3&amp;" 07.1"</f>
        <v>Pareja  07.1</v>
      </c>
      <c r="T3" s="103" t="str">
        <f ca="1">$A$3&amp;" 07.2"</f>
        <v>Pareja  07.2</v>
      </c>
      <c r="U3" s="105" t="str">
        <f ca="1">$A$3&amp;" 08.1"</f>
        <v>Pareja  08.1</v>
      </c>
      <c r="V3" s="105" t="str">
        <f ca="1">$A$3&amp;" 08.2"</f>
        <v>Pareja  08.2</v>
      </c>
      <c r="W3" s="132" t="str">
        <f ca="1">$A$3&amp;" 09.1"</f>
        <v>Pareja  09.1</v>
      </c>
      <c r="X3" s="132" t="str">
        <f ca="1">$A$3&amp;" 09.2"</f>
        <v>Pareja  09.2</v>
      </c>
      <c r="Y3" s="107" t="str">
        <f ca="1">$A$3&amp;" 10.1"</f>
        <v>Pareja  10.1</v>
      </c>
      <c r="Z3" s="107" t="str">
        <f ca="1">$A$3&amp;" 10.2"</f>
        <v>Pareja  10.2</v>
      </c>
      <c r="AA3" s="109" t="str">
        <f ca="1">$A$3&amp;" 11.1"</f>
        <v>Pareja  11.1</v>
      </c>
      <c r="AB3" s="109" t="str">
        <f ca="1">$A$3&amp;" 11.2"</f>
        <v>Pareja  11.2</v>
      </c>
      <c r="AC3" s="111" t="str">
        <f ca="1">$A$3&amp;" 12.1"</f>
        <v>Pareja  12.1</v>
      </c>
      <c r="AD3" s="111" t="str">
        <f ca="1">$A$3&amp;" 12.1"</f>
        <v>Pareja  12.1</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162</v>
      </c>
      <c r="B4" s="211" t="s">
        <v>379</v>
      </c>
      <c r="C4" s="214" t="s">
        <v>299</v>
      </c>
      <c r="D4" s="214" t="s">
        <v>300</v>
      </c>
      <c r="E4" s="204" t="s">
        <v>411</v>
      </c>
      <c r="F4" s="205" t="s">
        <v>412</v>
      </c>
      <c r="G4" s="212" t="s">
        <v>323</v>
      </c>
      <c r="H4" s="212" t="s">
        <v>324</v>
      </c>
      <c r="I4" s="212" t="s">
        <v>325</v>
      </c>
      <c r="J4" s="212" t="s">
        <v>326</v>
      </c>
      <c r="K4" s="212" t="s">
        <v>327</v>
      </c>
      <c r="L4" s="212" t="s">
        <v>328</v>
      </c>
      <c r="M4" s="212" t="s">
        <v>329</v>
      </c>
      <c r="N4" s="212" t="s">
        <v>330</v>
      </c>
      <c r="O4" s="212" t="s">
        <v>331</v>
      </c>
      <c r="P4" s="212" t="s">
        <v>332</v>
      </c>
      <c r="Q4" s="212" t="s">
        <v>333</v>
      </c>
      <c r="R4" s="212" t="s">
        <v>334</v>
      </c>
      <c r="S4" s="212" t="s">
        <v>335</v>
      </c>
      <c r="T4" s="212" t="s">
        <v>336</v>
      </c>
      <c r="U4" s="212" t="s">
        <v>337</v>
      </c>
      <c r="V4" s="212" t="s">
        <v>338</v>
      </c>
      <c r="W4" s="212" t="s">
        <v>339</v>
      </c>
      <c r="X4" s="212" t="s">
        <v>340</v>
      </c>
      <c r="Y4" s="212" t="s">
        <v>341</v>
      </c>
      <c r="Z4" s="212" t="s">
        <v>342</v>
      </c>
      <c r="AA4" s="212" t="s">
        <v>343</v>
      </c>
      <c r="AB4" s="212" t="s">
        <v>344</v>
      </c>
      <c r="AC4" s="212" t="s">
        <v>345</v>
      </c>
      <c r="AD4" s="212" t="s">
        <v>346</v>
      </c>
      <c r="AE4" s="213" t="s">
        <v>275</v>
      </c>
      <c r="AF4" s="213" t="s">
        <v>276</v>
      </c>
      <c r="AG4" s="213" t="s">
        <v>277</v>
      </c>
      <c r="AH4" s="213" t="s">
        <v>278</v>
      </c>
      <c r="AI4" s="208" t="s">
        <v>279</v>
      </c>
    </row>
    <row r="5" spans="1:35" x14ac:dyDescent="0.5">
      <c r="A5" s="62" t="str">
        <f>IF(COUNTA(Tabla_EM[[#This Row],[Pareja  01.1]:[Pareja  12.14]])/2=0,"",COUNTA(Tabla_EM[[#This Row],[Pareja  01.1]:[Pareja  12.14]])/2)</f>
        <v/>
      </c>
      <c r="B5" s="173"/>
      <c r="D5" s="23"/>
      <c r="E5" s="77"/>
      <c r="F5" s="76"/>
      <c r="G5" s="87"/>
      <c r="H5" s="87"/>
      <c r="I5" s="88"/>
      <c r="J5" s="88"/>
      <c r="K5" s="89"/>
      <c r="L5" s="89"/>
      <c r="M5" s="90"/>
      <c r="N5" s="90"/>
      <c r="O5" s="91"/>
      <c r="P5" s="91"/>
      <c r="Q5" s="92"/>
      <c r="R5" s="92"/>
      <c r="S5" s="87"/>
      <c r="T5" s="87"/>
      <c r="U5" s="88"/>
      <c r="V5" s="88"/>
      <c r="W5" s="89"/>
      <c r="X5" s="89"/>
      <c r="Y5" s="90"/>
      <c r="Z5" s="90"/>
      <c r="AA5" s="91"/>
      <c r="AB5" s="91"/>
      <c r="AC5" s="92"/>
      <c r="AD5" s="92"/>
      <c r="AE5" s="30"/>
      <c r="AF5" s="31"/>
      <c r="AG5" s="32"/>
      <c r="AH5" s="33"/>
      <c r="AI5" s="86"/>
    </row>
  </sheetData>
  <sheetProtection algorithmName="SHA-512" hashValue="STJ7T1Vl/5aYRyQNN08pQio/y9H2UkJJHRA6zoH87Voa4J6Be0PgquwiF4NJHwReTLab+yF9dwfeJCWz/NahrA==" saltValue="crx3EM9/rdADPR/AXCzvbQ==" spinCount="100000" sheet="1" objects="1" scenarios="1"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COUNTA(Tabl_RC[Enunciado])</f>
        <v>0</v>
      </c>
    </row>
    <row r="3" spans="1:35" ht="50.1" customHeight="1" x14ac:dyDescent="0.5">
      <c r="A3" s="61" t="str">
        <f ca="1">INDIRECT("Z_BP_19_"&amp;IDIOMA)</f>
        <v>Respuesta</v>
      </c>
      <c r="B3" s="3"/>
      <c r="C3" s="18"/>
      <c r="D3" s="53" t="str">
        <f ca="1">INDIRECT("Z_BP_18_"&amp;IDIOMA)</f>
        <v>Mayúsculas</v>
      </c>
      <c r="E3" s="22" t="str">
        <f ca="1">'Datos OM'!E3</f>
        <v>Descripción</v>
      </c>
      <c r="F3" s="36" t="str">
        <f ca="1">"FastTest PlugIn - V"&amp;MID(Version,5,7)&amp;UPPER(INICIO!K24)&amp;"
"&amp;INDIRECT("Z_BP_03_"&amp;IDIOMA)</f>
        <v>FastTest PlugIn - V8.3  - RESPUESTA CORTA
Enunciado de la pregunta</v>
      </c>
      <c r="G3" s="103" t="str">
        <f ca="1">$A$3&amp;" 01"</f>
        <v>Respuesta 01</v>
      </c>
      <c r="H3" s="104" t="str">
        <f ca="1">INDIRECT("Z_BP_09_"&amp;IDIOMA)&amp;" 01"</f>
        <v>Puntos 01</v>
      </c>
      <c r="I3" s="104" t="str">
        <f ca="1">INDIRECT("Z_BP_07_"&amp;IDIOMA)&amp;" 01"</f>
        <v>Retroalim. 01</v>
      </c>
      <c r="J3" s="105" t="str">
        <f ca="1">$A$3&amp;" 02"</f>
        <v>Respuesta 02</v>
      </c>
      <c r="K3" s="106" t="str">
        <f ca="1">INDIRECT("Z_BP_09_"&amp;IDIOMA)&amp;" 02"</f>
        <v>Puntos 02</v>
      </c>
      <c r="L3" s="106" t="str">
        <f ca="1">INDIRECT("Z_BP_07_"&amp;IDIOMA)&amp;" 02"</f>
        <v>Retroalim. 02</v>
      </c>
      <c r="M3" s="105" t="str">
        <f ca="1">$A$3&amp;" 03"</f>
        <v>Respuesta 03</v>
      </c>
      <c r="N3" s="106" t="str">
        <f ca="1">INDIRECT("Z_BP_09_"&amp;IDIOMA)&amp;" 03"</f>
        <v>Puntos 03</v>
      </c>
      <c r="O3" s="106" t="str">
        <f ca="1">INDIRECT("Z_BP_07_"&amp;IDIOMA)&amp;" 03"</f>
        <v>Retroalim. 03</v>
      </c>
      <c r="P3" s="107" t="str">
        <f ca="1">$A$3&amp;" 04"</f>
        <v>Respuesta 04</v>
      </c>
      <c r="Q3" s="108" t="str">
        <f ca="1">INDIRECT("Z_BP_09_"&amp;IDIOMA)&amp;" 04"</f>
        <v>Puntos 04</v>
      </c>
      <c r="R3" s="108" t="str">
        <f ca="1">INDIRECT("Z_BP_07_"&amp;IDIOMA)&amp;" 04"</f>
        <v>Retroalim. 04</v>
      </c>
      <c r="S3" s="109" t="str">
        <f ca="1">$A$3&amp;" 05"</f>
        <v>Respuesta 05</v>
      </c>
      <c r="T3" s="110" t="str">
        <f ca="1">INDIRECT("Z_BP_09_"&amp;IDIOMA)&amp;" 05"</f>
        <v>Puntos 05</v>
      </c>
      <c r="U3" s="110" t="str">
        <f ca="1">INDIRECT("Z_BP_07_"&amp;IDIOMA)&amp;" 05"</f>
        <v>Retroalim. 05</v>
      </c>
      <c r="V3" s="111" t="str">
        <f ca="1">$A$3&amp;" 06"</f>
        <v>Respuesta 06</v>
      </c>
      <c r="W3" s="112" t="str">
        <f ca="1">INDIRECT("Z_BP_09_"&amp;IDIOMA)&amp;" 06"</f>
        <v>Puntos 06</v>
      </c>
      <c r="X3" s="112" t="str">
        <f ca="1">INDIRECT("Z_BP_07_"&amp;IDIOMA)&amp;" 06"</f>
        <v>Retroalim. 06</v>
      </c>
      <c r="Y3" s="103" t="str">
        <f ca="1">$A$3&amp;" 07"</f>
        <v>Respuesta 07</v>
      </c>
      <c r="Z3" s="104" t="str">
        <f ca="1">INDIRECT("Z_BP_09_"&amp;IDIOMA)&amp;" 07"</f>
        <v>Puntos 07</v>
      </c>
      <c r="AA3" s="104" t="str">
        <f ca="1">INDIRECT("Z_BP_07_"&amp;IDIOMA)&amp;" 07"</f>
        <v>Retroalim. 07</v>
      </c>
      <c r="AB3" s="105" t="str">
        <f ca="1">$A$3&amp;" 08"</f>
        <v>Respuesta 08</v>
      </c>
      <c r="AC3" s="106" t="str">
        <f ca="1">INDIRECT("Z_BP_09_"&amp;IDIOMA)&amp;" 08"</f>
        <v>Puntos 08</v>
      </c>
      <c r="AD3" s="106" t="str">
        <f ca="1">INDIRECT("Z_BP_07_"&amp;IDIOMA)&amp;" 08"</f>
        <v>Retroalim. 08</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414</v>
      </c>
      <c r="B4" s="215" t="s">
        <v>298</v>
      </c>
      <c r="C4" s="214" t="s">
        <v>299</v>
      </c>
      <c r="D4" s="216" t="s">
        <v>413</v>
      </c>
      <c r="E4" s="207" t="s">
        <v>411</v>
      </c>
      <c r="F4" s="217" t="s">
        <v>412</v>
      </c>
      <c r="G4" s="212" t="s">
        <v>347</v>
      </c>
      <c r="H4" s="213" t="s">
        <v>348</v>
      </c>
      <c r="I4" s="213" t="s">
        <v>349</v>
      </c>
      <c r="J4" s="212" t="s">
        <v>350</v>
      </c>
      <c r="K4" s="213" t="s">
        <v>351</v>
      </c>
      <c r="L4" s="213" t="s">
        <v>352</v>
      </c>
      <c r="M4" s="212" t="s">
        <v>353</v>
      </c>
      <c r="N4" s="213" t="s">
        <v>354</v>
      </c>
      <c r="O4" s="213" t="s">
        <v>355</v>
      </c>
      <c r="P4" s="212" t="s">
        <v>356</v>
      </c>
      <c r="Q4" s="213" t="s">
        <v>357</v>
      </c>
      <c r="R4" s="213" t="s">
        <v>358</v>
      </c>
      <c r="S4" s="212" t="s">
        <v>359</v>
      </c>
      <c r="T4" s="213" t="s">
        <v>360</v>
      </c>
      <c r="U4" s="213" t="s">
        <v>361</v>
      </c>
      <c r="V4" s="212" t="s">
        <v>362</v>
      </c>
      <c r="W4" s="213" t="s">
        <v>363</v>
      </c>
      <c r="X4" s="213" t="s">
        <v>364</v>
      </c>
      <c r="Y4" s="212" t="s">
        <v>365</v>
      </c>
      <c r="Z4" s="213" t="s">
        <v>366</v>
      </c>
      <c r="AA4" s="213" t="s">
        <v>367</v>
      </c>
      <c r="AB4" s="212" t="s">
        <v>368</v>
      </c>
      <c r="AC4" s="213" t="s">
        <v>369</v>
      </c>
      <c r="AD4" s="213" t="s">
        <v>370</v>
      </c>
      <c r="AE4" s="213" t="s">
        <v>275</v>
      </c>
      <c r="AF4" s="213" t="s">
        <v>276</v>
      </c>
      <c r="AG4" s="213" t="s">
        <v>277</v>
      </c>
      <c r="AH4" s="213" t="s">
        <v>278</v>
      </c>
      <c r="AI4" s="209" t="s">
        <v>279</v>
      </c>
    </row>
    <row r="5" spans="1:35" x14ac:dyDescent="0.5">
      <c r="A5" s="63" t="str">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
      </c>
      <c r="B5" s="19"/>
      <c r="C5" s="20"/>
      <c r="D5" s="97"/>
      <c r="E5" s="77"/>
      <c r="F5" s="76"/>
      <c r="G5" s="87"/>
      <c r="H5" s="98"/>
      <c r="I5" s="98"/>
      <c r="J5" s="88"/>
      <c r="K5" s="99"/>
      <c r="L5" s="99"/>
      <c r="M5" s="88"/>
      <c r="N5" s="99"/>
      <c r="O5" s="99"/>
      <c r="P5" s="90"/>
      <c r="Q5" s="100"/>
      <c r="R5" s="100"/>
      <c r="S5" s="91"/>
      <c r="T5" s="101"/>
      <c r="U5" s="101"/>
      <c r="V5" s="92"/>
      <c r="W5" s="102"/>
      <c r="X5" s="102"/>
      <c r="Y5" s="87"/>
      <c r="Z5" s="98"/>
      <c r="AA5" s="98"/>
      <c r="AB5" s="88"/>
      <c r="AC5" s="99"/>
      <c r="AD5" s="99"/>
      <c r="AE5" s="93"/>
      <c r="AF5" s="94"/>
      <c r="AG5" s="95"/>
      <c r="AH5" s="96"/>
      <c r="AI5" s="86"/>
    </row>
  </sheetData>
  <sheetProtection algorithmName="SHA-512" hashValue="haCWziefuqpLYTcMVXINfWXdS9OVyPhKsCRCbfM7iul4cBjb/PeoTgiS2upKuvEq0CXxODzJcryOU8uRfIh2cA==" saltValue="D1kz96yjt/6eey9pxId+Xg==" spinCount="100000" sheet="1" objects="1" scenarios="1"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COUNTA(Tabla_PP[Enunciado])</f>
        <v>0</v>
      </c>
    </row>
    <row r="3" spans="1:35" ht="50.1" customHeight="1" x14ac:dyDescent="0.5">
      <c r="A3" s="64" t="str">
        <f ca="1">INDIRECT("Z_BP_20_"&amp;IDIOMA)</f>
        <v xml:space="preserve">Palabra </v>
      </c>
      <c r="B3" s="1"/>
      <c r="C3" s="18"/>
      <c r="D3" s="18"/>
      <c r="E3" s="11" t="str">
        <f ca="1">'Datos OM'!E3</f>
        <v>Descripción</v>
      </c>
      <c r="F3" s="36" t="str">
        <f ca="1">"FastTest PlugIn - V"&amp;MID(Version,5,7)&amp;UPPER(INICIO!M24)&amp;"
"&amp;INDIRECT("Z_BP_03_"&amp;IDIOMA)</f>
        <v>FastTest PlugIn - V8.3  - PALABRA PERDIDA
Enunciado de la pregunta</v>
      </c>
      <c r="G3" s="117" t="str">
        <f ca="1">INDIRECT("Z_BP_23_"&amp;IDIOMA)&amp;"
"&amp;H3</f>
        <v>Grupo 
Palabra  01</v>
      </c>
      <c r="H3" s="117" t="str">
        <f ca="1">INDIRECT("Z_BP_20_"&amp;IDIOMA)&amp;" 01"</f>
        <v>Palabra  01</v>
      </c>
      <c r="I3" s="118" t="str">
        <f ca="1">INDIRECT("Z_BP_23_"&amp;IDIOMA)&amp;"
"&amp;J3</f>
        <v>Grupo 
Palabra  02</v>
      </c>
      <c r="J3" s="118" t="str">
        <f ca="1">INDIRECT("Z_BP_20_"&amp;IDIOMA)&amp;" 02"</f>
        <v>Palabra  02</v>
      </c>
      <c r="K3" s="117" t="str">
        <f ca="1">INDIRECT("Z_BP_23_"&amp;IDIOMA)&amp;"
"&amp;L3</f>
        <v>Grupo 
Palabra  03</v>
      </c>
      <c r="L3" s="117" t="str">
        <f ca="1">INDIRECT("Z_BP_20_"&amp;IDIOMA)&amp;" 03"</f>
        <v>Palabra  03</v>
      </c>
      <c r="M3" s="118" t="str">
        <f ca="1">INDIRECT("Z_BP_23_"&amp;IDIOMA)&amp;"
"&amp;N3</f>
        <v>Grupo 
Palabra  04</v>
      </c>
      <c r="N3" s="118" t="str">
        <f ca="1">INDIRECT("Z_BP_20_"&amp;IDIOMA)&amp;" 04"</f>
        <v>Palabra  04</v>
      </c>
      <c r="O3" s="117" t="str">
        <f ca="1">INDIRECT("Z_BP_23_"&amp;IDIOMA)&amp;"
"&amp;P3</f>
        <v>Grupo 
Palabra  05</v>
      </c>
      <c r="P3" s="117" t="str">
        <f ca="1">INDIRECT("Z_BP_20_"&amp;IDIOMA)&amp;" 05"</f>
        <v>Palabra  05</v>
      </c>
      <c r="Q3" s="118" t="str">
        <f ca="1">INDIRECT("Z_BP_23_"&amp;IDIOMA)&amp;"
"&amp;R3</f>
        <v>Grupo 
Palabra  06</v>
      </c>
      <c r="R3" s="118" t="str">
        <f ca="1">INDIRECT("Z_BP_20_"&amp;IDIOMA)&amp;" 06"</f>
        <v>Palabra  06</v>
      </c>
      <c r="S3" s="117" t="str">
        <f ca="1">INDIRECT("Z_BP_23_"&amp;IDIOMA)&amp;"
"&amp;T3</f>
        <v>Grupo 
Palabra  07</v>
      </c>
      <c r="T3" s="117" t="str">
        <f ca="1">INDIRECT("Z_BP_20_"&amp;IDIOMA)&amp;" 07"</f>
        <v>Palabra  07</v>
      </c>
      <c r="U3" s="118" t="str">
        <f ca="1">INDIRECT("Z_BP_23_"&amp;IDIOMA)&amp;"
"&amp;V3</f>
        <v>Grupo 
Palabra  08</v>
      </c>
      <c r="V3" s="118" t="str">
        <f ca="1">INDIRECT("Z_BP_20_"&amp;IDIOMA)&amp;" 08"</f>
        <v>Palabra  08</v>
      </c>
      <c r="W3" s="117" t="str">
        <f ca="1">INDIRECT("Z_BP_23_"&amp;IDIOMA)&amp;"
"&amp;X3</f>
        <v>Grupo 
Palabra  09</v>
      </c>
      <c r="X3" s="117" t="str">
        <f ca="1">INDIRECT("Z_BP_20_"&amp;IDIOMA)&amp;" 09"</f>
        <v>Palabra  09</v>
      </c>
      <c r="Y3" s="118" t="str">
        <f ca="1">INDIRECT("Z_BP_23_"&amp;IDIOMA)&amp;"
"&amp;Z3</f>
        <v>Grupo 
Palabra  10</v>
      </c>
      <c r="Z3" s="118" t="str">
        <f ca="1">INDIRECT("Z_BP_20_"&amp;IDIOMA)&amp;" 10"</f>
        <v>Palabra  10</v>
      </c>
      <c r="AA3" s="117" t="str">
        <f ca="1">INDIRECT("Z_BP_23_"&amp;IDIOMA)&amp;"
"&amp;AB3</f>
        <v>Grupo 
Palabra  11</v>
      </c>
      <c r="AB3" s="117" t="str">
        <f ca="1">INDIRECT("Z_BP_20_"&amp;IDIOMA)&amp;" 11"</f>
        <v>Palabra  11</v>
      </c>
      <c r="AC3" s="118" t="str">
        <f ca="1">INDIRECT("Z_BP_23_"&amp;IDIOMA)&amp;"
"&amp;AD3</f>
        <v>Grupo 
Palabra  12</v>
      </c>
      <c r="AD3" s="118" t="str">
        <f ca="1">INDIRECT("Z_BP_20_"&amp;IDIOMA)&amp;" 12"</f>
        <v>Palabra  12</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8" t="s">
        <v>181</v>
      </c>
      <c r="B4" s="219" t="s">
        <v>379</v>
      </c>
      <c r="C4" s="221" t="s">
        <v>299</v>
      </c>
      <c r="D4" s="221" t="s">
        <v>300</v>
      </c>
      <c r="E4" s="220" t="s">
        <v>411</v>
      </c>
      <c r="F4" s="217" t="s">
        <v>412</v>
      </c>
      <c r="G4" s="217" t="s">
        <v>415</v>
      </c>
      <c r="H4" s="217" t="s">
        <v>416</v>
      </c>
      <c r="I4" s="217" t="s">
        <v>417</v>
      </c>
      <c r="J4" s="217" t="s">
        <v>418</v>
      </c>
      <c r="K4" s="217" t="s">
        <v>419</v>
      </c>
      <c r="L4" s="217" t="s">
        <v>420</v>
      </c>
      <c r="M4" s="217" t="s">
        <v>421</v>
      </c>
      <c r="N4" s="217" t="s">
        <v>422</v>
      </c>
      <c r="O4" s="217" t="s">
        <v>423</v>
      </c>
      <c r="P4" s="217" t="s">
        <v>425</v>
      </c>
      <c r="Q4" s="217" t="s">
        <v>426</v>
      </c>
      <c r="R4" s="217" t="s">
        <v>424</v>
      </c>
      <c r="S4" s="217" t="s">
        <v>427</v>
      </c>
      <c r="T4" s="217" t="s">
        <v>428</v>
      </c>
      <c r="U4" s="217" t="s">
        <v>429</v>
      </c>
      <c r="V4" s="217" t="s">
        <v>430</v>
      </c>
      <c r="W4" s="217" t="s">
        <v>431</v>
      </c>
      <c r="X4" s="217" t="s">
        <v>432</v>
      </c>
      <c r="Y4" s="217" t="s">
        <v>433</v>
      </c>
      <c r="Z4" s="217" t="s">
        <v>434</v>
      </c>
      <c r="AA4" s="217" t="s">
        <v>435</v>
      </c>
      <c r="AB4" s="217" t="s">
        <v>436</v>
      </c>
      <c r="AC4" s="217" t="s">
        <v>437</v>
      </c>
      <c r="AD4" s="217" t="s">
        <v>438</v>
      </c>
      <c r="AE4" s="213" t="s">
        <v>275</v>
      </c>
      <c r="AF4" s="213" t="s">
        <v>276</v>
      </c>
      <c r="AG4" s="213" t="s">
        <v>277</v>
      </c>
      <c r="AH4" s="213" t="s">
        <v>278</v>
      </c>
      <c r="AI4" s="209" t="s">
        <v>279</v>
      </c>
    </row>
    <row r="5" spans="1:35" x14ac:dyDescent="0.5">
      <c r="A5" s="62" t="str">
        <f>IF(COUNTA(Tabla_PP[[#This Row],[GP 01]:[P 12]])/2=0,"",COUNTA(Tabla_PP[[#This Row],[GP 01]:[P 12]])/2)</f>
        <v/>
      </c>
      <c r="B5" s="11"/>
      <c r="C5" s="152"/>
      <c r="D5" s="152"/>
      <c r="E5" s="119"/>
      <c r="F5" s="151"/>
      <c r="G5" s="12"/>
      <c r="H5" s="12"/>
      <c r="I5" s="13"/>
      <c r="J5" s="13"/>
      <c r="K5" s="12"/>
      <c r="L5" s="12"/>
      <c r="M5" s="13"/>
      <c r="N5" s="13"/>
      <c r="O5" s="12"/>
      <c r="P5" s="12"/>
      <c r="Q5" s="13"/>
      <c r="R5" s="13"/>
      <c r="S5" s="12"/>
      <c r="T5" s="12"/>
      <c r="U5" s="13"/>
      <c r="V5" s="13"/>
      <c r="W5" s="12"/>
      <c r="X5" s="12"/>
      <c r="Y5" s="13"/>
      <c r="Z5" s="13"/>
      <c r="AA5" s="12"/>
      <c r="AB5" s="12"/>
      <c r="AC5" s="13"/>
      <c r="AD5" s="13"/>
      <c r="AE5" s="153"/>
      <c r="AF5" s="154"/>
      <c r="AG5" s="155"/>
      <c r="AH5" s="156"/>
      <c r="AI5" s="86"/>
    </row>
  </sheetData>
  <sheetProtection algorithmName="SHA-512" hashValue="LlqEaBPsRfTwGF1otIbd0BiEgnccuDXsDY7cKlDWQ/kSBpfWals+TL4nJeP+9lgqPOQndNkOM5ltfozxL50zgA==" saltValue="DJyCYqDzfVFQM9PMZcbO3w==" spinCount="100000" sheet="1" objects="1" scenarios="1"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5"/>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COUNTA(Tabla_EN[FastTest PlugIn - ENSAYO
Enunciado de la pregunta])</f>
        <v>0</v>
      </c>
    </row>
    <row r="3" spans="1:35" ht="50.1" customHeight="1" x14ac:dyDescent="0.5">
      <c r="A3" s="174"/>
      <c r="B3" s="1"/>
      <c r="C3" s="18"/>
      <c r="D3" s="18"/>
      <c r="E3" s="11" t="str">
        <f ca="1">'Datos OM'!E3</f>
        <v>Descripción</v>
      </c>
      <c r="F3" s="36" t="str">
        <f ca="1">"FastTest PlugIn - V"&amp;MID(Version,5,7)&amp;UPPER(INICIO!O24)&amp;"
"&amp;INDIRECT("Z_BP_03_"&amp;IDIOMA)</f>
        <v>FastTest PlugIn - V8.3  - ENSAYO
Enunciado de la pregunta</v>
      </c>
      <c r="G3" s="55" t="str">
        <f ca="1">INDIRECT("Z_BP_24_"&amp;IDIOMA)&amp;"
"&amp;H3</f>
        <v>Formato de la Respuesta
Requerir texto</v>
      </c>
      <c r="H3" s="74" t="str">
        <f ca="1">INDIRECT("Z_BP_25_"&amp;IDIOMA)</f>
        <v>Requerir texto</v>
      </c>
      <c r="I3" s="69" t="str">
        <f ca="1">INDIRECT("Z_BP_26_"&amp;IDIOMA)</f>
        <v>Tamaño de la caja de entrada</v>
      </c>
      <c r="J3" s="56" t="str">
        <f ca="1">INDIRECT("Z_BP_27_"&amp;IDIOMA)</f>
        <v>Permitir archivos adjuntos</v>
      </c>
      <c r="K3" s="57" t="str">
        <f ca="1">INDIRECT("Z_BP_28_"&amp;IDIOMA)</f>
        <v>Archivos adjuntos requeridos</v>
      </c>
      <c r="L3" s="58" t="str">
        <f ca="1">INDIRECT("Z_BP_29_"&amp;IDIOMA)</f>
        <v>Plantilla de Respuesta</v>
      </c>
      <c r="M3" s="55" t="str">
        <f ca="1">INDIRECT("Z_BP_30_"&amp;IDIOMA)</f>
        <v>Información para el evaluador</v>
      </c>
      <c r="N3" s="122"/>
      <c r="O3" s="123"/>
      <c r="P3" s="123"/>
      <c r="Q3" s="122"/>
      <c r="R3" s="122"/>
      <c r="S3" s="123"/>
      <c r="T3" s="123"/>
      <c r="U3" s="122"/>
      <c r="V3" s="122"/>
      <c r="W3" s="123"/>
      <c r="X3" s="123"/>
      <c r="Y3" s="122"/>
      <c r="Z3" s="122"/>
      <c r="AA3" s="123"/>
      <c r="AB3" s="123"/>
      <c r="AC3" s="122"/>
      <c r="AD3" s="122"/>
      <c r="AE3" s="124"/>
      <c r="AF3" s="125"/>
      <c r="AG3" s="126"/>
      <c r="AH3" s="127"/>
      <c r="AI3" s="65" t="str">
        <f>'Datos OM'!AI3</f>
        <v>Imagen</v>
      </c>
    </row>
    <row r="4" spans="1:35" ht="9.9499999999999993" customHeight="1" x14ac:dyDescent="0.5">
      <c r="A4" s="222" t="s">
        <v>379</v>
      </c>
      <c r="B4" s="219" t="s">
        <v>380</v>
      </c>
      <c r="C4" s="221" t="s">
        <v>298</v>
      </c>
      <c r="D4" s="221" t="s">
        <v>299</v>
      </c>
      <c r="E4" s="220" t="s">
        <v>105</v>
      </c>
      <c r="F4" s="217" t="s">
        <v>377</v>
      </c>
      <c r="G4" s="223" t="s">
        <v>378</v>
      </c>
      <c r="H4" s="207" t="s">
        <v>218</v>
      </c>
      <c r="I4" s="206" t="s">
        <v>224</v>
      </c>
      <c r="J4" s="223" t="s">
        <v>230</v>
      </c>
      <c r="K4" s="223" t="s">
        <v>236</v>
      </c>
      <c r="L4" s="223" t="s">
        <v>242</v>
      </c>
      <c r="M4" s="223" t="s">
        <v>248</v>
      </c>
      <c r="N4" s="224" t="s">
        <v>300</v>
      </c>
      <c r="O4" s="224" t="s">
        <v>301</v>
      </c>
      <c r="P4" s="224" t="s">
        <v>302</v>
      </c>
      <c r="Q4" s="224" t="s">
        <v>303</v>
      </c>
      <c r="R4" s="224" t="s">
        <v>304</v>
      </c>
      <c r="S4" s="224" t="s">
        <v>305</v>
      </c>
      <c r="T4" s="224" t="s">
        <v>306</v>
      </c>
      <c r="U4" s="224" t="s">
        <v>307</v>
      </c>
      <c r="V4" s="224" t="s">
        <v>308</v>
      </c>
      <c r="W4" s="224" t="s">
        <v>309</v>
      </c>
      <c r="X4" s="224" t="s">
        <v>310</v>
      </c>
      <c r="Y4" s="224" t="s">
        <v>311</v>
      </c>
      <c r="Z4" s="224" t="s">
        <v>312</v>
      </c>
      <c r="AA4" s="224" t="s">
        <v>313</v>
      </c>
      <c r="AB4" s="224" t="s">
        <v>314</v>
      </c>
      <c r="AC4" s="224" t="s">
        <v>315</v>
      </c>
      <c r="AD4" s="224" t="s">
        <v>316</v>
      </c>
      <c r="AE4" s="225" t="s">
        <v>317</v>
      </c>
      <c r="AF4" s="225" t="s">
        <v>318</v>
      </c>
      <c r="AG4" s="225" t="s">
        <v>319</v>
      </c>
      <c r="AH4" s="225" t="s">
        <v>320</v>
      </c>
      <c r="AI4" s="209" t="s">
        <v>279</v>
      </c>
    </row>
    <row r="5" spans="1:35" x14ac:dyDescent="0.5">
      <c r="A5" s="175"/>
      <c r="B5" s="176"/>
      <c r="C5" s="152"/>
      <c r="D5" s="152"/>
      <c r="E5" s="119"/>
      <c r="F5" s="151"/>
      <c r="G5" s="128"/>
      <c r="H5" s="25"/>
      <c r="I5" s="14"/>
      <c r="J5" s="129"/>
      <c r="K5" s="130"/>
      <c r="L5" s="131"/>
      <c r="M5" s="128"/>
      <c r="N5" s="157"/>
      <c r="O5" s="158"/>
      <c r="P5" s="158"/>
      <c r="Q5" s="157"/>
      <c r="R5" s="157"/>
      <c r="S5" s="158"/>
      <c r="T5" s="158"/>
      <c r="U5" s="157"/>
      <c r="V5" s="157"/>
      <c r="W5" s="158"/>
      <c r="X5" s="158"/>
      <c r="Y5" s="157"/>
      <c r="Z5" s="157"/>
      <c r="AA5" s="158"/>
      <c r="AB5" s="158"/>
      <c r="AC5" s="157"/>
      <c r="AD5" s="157"/>
      <c r="AE5" s="159"/>
      <c r="AF5" s="160"/>
      <c r="AG5" s="161"/>
      <c r="AH5" s="162"/>
      <c r="AI5" s="86"/>
    </row>
  </sheetData>
  <sheetProtection algorithmName="SHA-512" hashValue="rnbvQwDmmjDwa7XbrhajQ/Q0iI2MMBuWQ6qGGySquMagnaLGpUjVQW5ktKfocNb5zOzkbua4DtdHGsqkaXLP4g==" saltValue="CaSJqRfWe1IZ1o/7uLRfoQ==" spinCount="100000" sheet="1" objects="1" scenarios="1" selectLockedCells="1" autoFilter="0"/>
  <conditionalFormatting sqref="G5:K5">
    <cfRule type="cellIs" dxfId="4" priority="3" operator="equal">
      <formula>""</formula>
    </cfRule>
    <cfRule type="cellIs" dxfId="3"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11"/>
  <sheetViews>
    <sheetView showGridLines="0" showRowColHeaders="0" tabSelected="1"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234375" customWidth="1"/>
    <col min="7" max="7" width="12.52734375" customWidth="1"/>
    <col min="8" max="8" width="12.52734375" hidden="1" customWidth="1"/>
    <col min="9" max="9" width="12.52734375" customWidth="1"/>
    <col min="10" max="12" width="12.52734375" hidden="1" customWidth="1"/>
    <col min="13" max="28" width="14.3515625" hidden="1" customWidth="1"/>
    <col min="29" max="30" width="14.3515625"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F1" s="35"/>
      <c r="AG1" s="35"/>
      <c r="AH1" s="35"/>
    </row>
    <row r="2" spans="1:35" ht="24.95" customHeight="1" x14ac:dyDescent="0.5">
      <c r="D2" s="1"/>
      <c r="E2"/>
      <c r="F2" s="60" t="str">
        <f ca="1">'Datos OM'!F2</f>
        <v xml:space="preserve">    RC                         PP                         EN                         CL                                 DICCIONARIO</v>
      </c>
      <c r="G2" s="34">
        <f>COUNTA(Tabla_CL[Enunciado])</f>
        <v>7</v>
      </c>
    </row>
    <row r="3" spans="1:35" ht="50.1" customHeight="1" x14ac:dyDescent="0.5">
      <c r="A3" s="295"/>
      <c r="B3" s="295"/>
      <c r="C3" s="18"/>
      <c r="D3" s="18"/>
      <c r="E3" s="22" t="str">
        <f ca="1">'Datos OM'!E3</f>
        <v>Descripción</v>
      </c>
      <c r="F3" s="36" t="str">
        <f ca="1">"FastTest PlugIn - V"&amp;MID(Version,5,7)&amp;UPPER(INICIO!Q24)&amp;"
"&amp;INDIRECT("Z_BP_03_"&amp;IDIOMA)</f>
        <v>FastTest PlugIn - V8.3  - CLOZE
Enunciado de la pregunta</v>
      </c>
      <c r="G3" s="133" t="str">
        <f ca="1">INDIRECT("Z_BP_32_"&amp;IDIOMA)</f>
        <v>Ancho RC</v>
      </c>
      <c r="H3" s="74"/>
      <c r="I3" s="69" t="str">
        <f ca="1">MID(G3,1,SEARCH(" ",G3,1))&amp;AI3</f>
        <v>Ancho Imagen</v>
      </c>
      <c r="J3" s="56"/>
      <c r="K3" s="57"/>
      <c r="L3" s="58"/>
      <c r="M3" s="55"/>
      <c r="N3" s="121"/>
      <c r="O3" s="120"/>
      <c r="P3" s="120"/>
      <c r="Q3" s="121"/>
      <c r="R3" s="121"/>
      <c r="S3" s="120"/>
      <c r="T3" s="120"/>
      <c r="U3" s="121"/>
      <c r="V3" s="121"/>
      <c r="W3" s="120"/>
      <c r="X3" s="120"/>
      <c r="Y3" s="121"/>
      <c r="Z3" s="121"/>
      <c r="AA3" s="120"/>
      <c r="AB3" s="120"/>
      <c r="AC3" s="121" t="s">
        <v>850</v>
      </c>
      <c r="AD3" s="121" t="s">
        <v>851</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20" t="s">
        <v>379</v>
      </c>
      <c r="B4" s="220" t="s">
        <v>380</v>
      </c>
      <c r="C4" s="220" t="s">
        <v>298</v>
      </c>
      <c r="D4" s="220" t="s">
        <v>299</v>
      </c>
      <c r="E4" s="204" t="s">
        <v>411</v>
      </c>
      <c r="F4" s="229" t="s">
        <v>412</v>
      </c>
      <c r="G4" s="208" t="s">
        <v>269</v>
      </c>
      <c r="H4" s="207" t="s">
        <v>300</v>
      </c>
      <c r="I4" s="206" t="s">
        <v>732</v>
      </c>
      <c r="J4" s="226" t="s">
        <v>302</v>
      </c>
      <c r="K4" s="226" t="s">
        <v>303</v>
      </c>
      <c r="L4" s="226" t="s">
        <v>304</v>
      </c>
      <c r="M4" s="226" t="s">
        <v>305</v>
      </c>
      <c r="N4" s="227" t="s">
        <v>306</v>
      </c>
      <c r="O4" s="227" t="s">
        <v>307</v>
      </c>
      <c r="P4" s="227" t="s">
        <v>308</v>
      </c>
      <c r="Q4" s="227" t="s">
        <v>309</v>
      </c>
      <c r="R4" s="227" t="s">
        <v>310</v>
      </c>
      <c r="S4" s="227" t="s">
        <v>311</v>
      </c>
      <c r="T4" s="227" t="s">
        <v>312</v>
      </c>
      <c r="U4" s="227" t="s">
        <v>313</v>
      </c>
      <c r="V4" s="227" t="s">
        <v>314</v>
      </c>
      <c r="W4" s="227" t="s">
        <v>315</v>
      </c>
      <c r="X4" s="227" t="s">
        <v>316</v>
      </c>
      <c r="Y4" s="227" t="s">
        <v>317</v>
      </c>
      <c r="Z4" s="227" t="s">
        <v>318</v>
      </c>
      <c r="AA4" s="227" t="s">
        <v>319</v>
      </c>
      <c r="AB4" s="227" t="s">
        <v>320</v>
      </c>
      <c r="AC4" s="227" t="s">
        <v>321</v>
      </c>
      <c r="AD4" s="227" t="s">
        <v>322</v>
      </c>
      <c r="AE4" s="228" t="s">
        <v>275</v>
      </c>
      <c r="AF4" s="228" t="s">
        <v>276</v>
      </c>
      <c r="AG4" s="228" t="s">
        <v>277</v>
      </c>
      <c r="AH4" s="228" t="s">
        <v>278</v>
      </c>
      <c r="AI4" s="208" t="s">
        <v>279</v>
      </c>
    </row>
    <row r="5" spans="1:35" ht="23.35" x14ac:dyDescent="0.5">
      <c r="A5" s="175"/>
      <c r="B5" s="176"/>
      <c r="C5" s="152"/>
      <c r="D5" s="152"/>
      <c r="E5" s="77" t="s">
        <v>832</v>
      </c>
      <c r="F5" s="151" t="s">
        <v>833</v>
      </c>
      <c r="G5" s="163"/>
      <c r="H5" s="25" t="s">
        <v>834</v>
      </c>
      <c r="I5" s="14"/>
      <c r="J5" s="129"/>
      <c r="K5" s="130"/>
      <c r="L5" s="131"/>
      <c r="M5" s="128"/>
      <c r="N5" s="157"/>
      <c r="O5" s="158"/>
      <c r="P5" s="158"/>
      <c r="Q5" s="157"/>
      <c r="R5" s="157"/>
      <c r="S5" s="158"/>
      <c r="T5" s="158"/>
      <c r="U5" s="157"/>
      <c r="V5" s="157"/>
      <c r="W5" s="158"/>
      <c r="X5" s="158"/>
      <c r="Y5" s="157"/>
      <c r="Z5" s="157"/>
      <c r="AA5" s="158"/>
      <c r="AB5" s="158"/>
      <c r="AC5" s="262"/>
      <c r="AD5" s="262">
        <v>0</v>
      </c>
      <c r="AE5" s="164" t="s">
        <v>834</v>
      </c>
      <c r="AF5" s="165" t="s">
        <v>834</v>
      </c>
      <c r="AG5" s="166" t="s">
        <v>834</v>
      </c>
      <c r="AH5" s="167" t="s">
        <v>834</v>
      </c>
      <c r="AI5" s="86" t="s">
        <v>834</v>
      </c>
    </row>
    <row r="6" spans="1:35" ht="23.35" x14ac:dyDescent="0.5">
      <c r="A6" s="243"/>
      <c r="B6" s="244"/>
      <c r="C6" s="245"/>
      <c r="D6" s="245"/>
      <c r="E6" s="246" t="s">
        <v>835</v>
      </c>
      <c r="F6" s="247" t="s">
        <v>836</v>
      </c>
      <c r="G6" s="248">
        <v>40</v>
      </c>
      <c r="H6" s="249" t="s">
        <v>834</v>
      </c>
      <c r="I6" s="250"/>
      <c r="J6" s="251"/>
      <c r="K6" s="252"/>
      <c r="L6" s="253"/>
      <c r="M6" s="254"/>
      <c r="N6" s="255"/>
      <c r="O6" s="256"/>
      <c r="P6" s="256"/>
      <c r="Q6" s="255"/>
      <c r="R6" s="255"/>
      <c r="S6" s="256"/>
      <c r="T6" s="256"/>
      <c r="U6" s="255"/>
      <c r="V6" s="255"/>
      <c r="W6" s="256"/>
      <c r="X6" s="256"/>
      <c r="Y6" s="255"/>
      <c r="Z6" s="255"/>
      <c r="AA6" s="256"/>
      <c r="AB6" s="256"/>
      <c r="AC6" s="262"/>
      <c r="AD6" s="262">
        <v>0</v>
      </c>
      <c r="AE6" s="257" t="s">
        <v>834</v>
      </c>
      <c r="AF6" s="258" t="s">
        <v>834</v>
      </c>
      <c r="AG6" s="259" t="s">
        <v>834</v>
      </c>
      <c r="AH6" s="260" t="s">
        <v>834</v>
      </c>
      <c r="AI6" s="261" t="s">
        <v>834</v>
      </c>
    </row>
    <row r="7" spans="1:35" ht="175" x14ac:dyDescent="0.5">
      <c r="A7" s="243"/>
      <c r="B7" s="244"/>
      <c r="C7" s="245"/>
      <c r="D7" s="245"/>
      <c r="E7" s="246" t="s">
        <v>837</v>
      </c>
      <c r="F7" s="247" t="s">
        <v>838</v>
      </c>
      <c r="G7" s="248">
        <v>30</v>
      </c>
      <c r="H7" s="249"/>
      <c r="I7" s="250"/>
      <c r="J7" s="251"/>
      <c r="K7" s="252"/>
      <c r="L7" s="253"/>
      <c r="M7" s="254"/>
      <c r="N7" s="255"/>
      <c r="O7" s="256"/>
      <c r="P7" s="256"/>
      <c r="Q7" s="255"/>
      <c r="R7" s="255"/>
      <c r="S7" s="256"/>
      <c r="T7" s="256"/>
      <c r="U7" s="255"/>
      <c r="V7" s="255"/>
      <c r="W7" s="256"/>
      <c r="X7" s="256"/>
      <c r="Y7" s="255"/>
      <c r="Z7" s="255"/>
      <c r="AA7" s="256"/>
      <c r="AB7" s="256"/>
      <c r="AC7" s="262"/>
      <c r="AD7" s="262">
        <v>1</v>
      </c>
      <c r="AE7" s="257" t="s">
        <v>834</v>
      </c>
      <c r="AF7" s="258" t="s">
        <v>834</v>
      </c>
      <c r="AG7" s="259" t="s">
        <v>834</v>
      </c>
      <c r="AH7" s="260" t="s">
        <v>834</v>
      </c>
      <c r="AI7" s="261" t="s">
        <v>834</v>
      </c>
    </row>
    <row r="8" spans="1:35" ht="409.6" x14ac:dyDescent="0.5">
      <c r="A8" s="243"/>
      <c r="B8" s="244"/>
      <c r="C8" s="245"/>
      <c r="D8" s="245"/>
      <c r="E8" s="246" t="s">
        <v>839</v>
      </c>
      <c r="F8" s="247" t="s">
        <v>840</v>
      </c>
      <c r="G8" s="248"/>
      <c r="H8" s="249" t="s">
        <v>834</v>
      </c>
      <c r="I8" s="250"/>
      <c r="J8" s="251"/>
      <c r="K8" s="252"/>
      <c r="L8" s="253"/>
      <c r="M8" s="254"/>
      <c r="N8" s="255"/>
      <c r="O8" s="256"/>
      <c r="P8" s="256"/>
      <c r="Q8" s="255"/>
      <c r="R8" s="255"/>
      <c r="S8" s="256"/>
      <c r="T8" s="256"/>
      <c r="U8" s="255"/>
      <c r="V8" s="255"/>
      <c r="W8" s="256"/>
      <c r="X8" s="256"/>
      <c r="Y8" s="255"/>
      <c r="Z8" s="255"/>
      <c r="AA8" s="256"/>
      <c r="AB8" s="256"/>
      <c r="AC8" s="262" t="s">
        <v>841</v>
      </c>
      <c r="AD8" s="262">
        <v>0</v>
      </c>
      <c r="AE8" s="257" t="s">
        <v>834</v>
      </c>
      <c r="AF8" s="258" t="s">
        <v>834</v>
      </c>
      <c r="AG8" s="259" t="s">
        <v>834</v>
      </c>
      <c r="AH8" s="260" t="s">
        <v>834</v>
      </c>
      <c r="AI8" s="261" t="s">
        <v>834</v>
      </c>
    </row>
    <row r="9" spans="1:35" ht="409.6" x14ac:dyDescent="0.5">
      <c r="A9" s="243"/>
      <c r="B9" s="244"/>
      <c r="C9" s="245"/>
      <c r="D9" s="245"/>
      <c r="E9" s="246" t="s">
        <v>842</v>
      </c>
      <c r="F9" s="247" t="s">
        <v>843</v>
      </c>
      <c r="G9" s="248">
        <v>30</v>
      </c>
      <c r="H9" s="249">
        <v>150</v>
      </c>
      <c r="I9" s="250"/>
      <c r="J9" s="251"/>
      <c r="K9" s="252"/>
      <c r="L9" s="253"/>
      <c r="M9" s="254"/>
      <c r="N9" s="255"/>
      <c r="O9" s="256"/>
      <c r="P9" s="256"/>
      <c r="Q9" s="255"/>
      <c r="R9" s="255"/>
      <c r="S9" s="256"/>
      <c r="T9" s="256"/>
      <c r="U9" s="255"/>
      <c r="V9" s="255"/>
      <c r="W9" s="256"/>
      <c r="X9" s="256"/>
      <c r="Y9" s="255"/>
      <c r="Z9" s="255"/>
      <c r="AA9" s="256"/>
      <c r="AB9" s="256"/>
      <c r="AC9" s="262" t="s">
        <v>844</v>
      </c>
      <c r="AD9" s="262">
        <v>169</v>
      </c>
      <c r="AE9" s="257" t="s">
        <v>834</v>
      </c>
      <c r="AF9" s="258" t="s">
        <v>834</v>
      </c>
      <c r="AG9" s="259" t="s">
        <v>834</v>
      </c>
      <c r="AH9" s="260" t="s">
        <v>834</v>
      </c>
      <c r="AI9" s="261" t="s">
        <v>845</v>
      </c>
    </row>
    <row r="10" spans="1:35" ht="105" x14ac:dyDescent="0.5">
      <c r="A10" s="243"/>
      <c r="B10" s="244"/>
      <c r="C10" s="245"/>
      <c r="D10" s="245"/>
      <c r="E10" s="246" t="s">
        <v>846</v>
      </c>
      <c r="F10" s="247" t="s">
        <v>847</v>
      </c>
      <c r="G10" s="248"/>
      <c r="H10" s="249"/>
      <c r="I10" s="250"/>
      <c r="J10" s="251"/>
      <c r="K10" s="252"/>
      <c r="L10" s="253"/>
      <c r="M10" s="254"/>
      <c r="N10" s="255"/>
      <c r="O10" s="256"/>
      <c r="P10" s="256"/>
      <c r="Q10" s="255"/>
      <c r="R10" s="255"/>
      <c r="S10" s="256"/>
      <c r="T10" s="256"/>
      <c r="U10" s="255"/>
      <c r="V10" s="255"/>
      <c r="W10" s="256"/>
      <c r="X10" s="256"/>
      <c r="Y10" s="255"/>
      <c r="Z10" s="255"/>
      <c r="AA10" s="256"/>
      <c r="AB10" s="256"/>
      <c r="AC10" s="262"/>
      <c r="AD10" s="262">
        <v>45</v>
      </c>
      <c r="AE10" s="257"/>
      <c r="AF10" s="258"/>
      <c r="AG10" s="259"/>
      <c r="AH10" s="260"/>
      <c r="AI10" s="261"/>
    </row>
    <row r="11" spans="1:35" ht="81.7" x14ac:dyDescent="0.5">
      <c r="A11" s="243"/>
      <c r="B11" s="244"/>
      <c r="C11" s="245"/>
      <c r="D11" s="245"/>
      <c r="E11" s="246" t="s">
        <v>848</v>
      </c>
      <c r="F11" s="247" t="s">
        <v>849</v>
      </c>
      <c r="G11" s="248"/>
      <c r="H11" s="249">
        <v>200</v>
      </c>
      <c r="I11" s="250"/>
      <c r="J11" s="251"/>
      <c r="K11" s="252"/>
      <c r="L11" s="253"/>
      <c r="M11" s="254"/>
      <c r="N11" s="255"/>
      <c r="O11" s="256"/>
      <c r="P11" s="256"/>
      <c r="Q11" s="255"/>
      <c r="R11" s="255"/>
      <c r="S11" s="256"/>
      <c r="T11" s="256"/>
      <c r="U11" s="255"/>
      <c r="V11" s="255"/>
      <c r="W11" s="256"/>
      <c r="X11" s="256"/>
      <c r="Y11" s="255"/>
      <c r="Z11" s="255"/>
      <c r="AA11" s="256"/>
      <c r="AB11" s="256"/>
      <c r="AC11" s="262"/>
      <c r="AD11" s="262">
        <v>24</v>
      </c>
      <c r="AE11" s="257"/>
      <c r="AF11" s="258"/>
      <c r="AG11" s="259"/>
      <c r="AH11" s="260"/>
      <c r="AI11" s="261"/>
    </row>
  </sheetData>
  <sheetProtection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21" zoomScaleNormal="121"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8" hidden="1" customWidth="1" outlineLevel="1"/>
    <col min="20" max="20" width="15.52734375" style="48" hidden="1" customWidth="1" outlineLevel="1"/>
    <col min="21" max="21" width="30.41015625" style="48" hidden="1" customWidth="1" outlineLevel="1"/>
    <col min="22" max="22" width="14.87890625" style="48" hidden="1" customWidth="1" outlineLevel="1"/>
    <col min="23" max="23" width="4.52734375" style="48" hidden="1" customWidth="1" outlineLevel="1"/>
    <col min="24" max="24" width="6.52734375" style="48" hidden="1" customWidth="1" outlineLevel="1"/>
    <col min="25" max="26" width="11.1171875" style="48" hidden="1" customWidth="1" outlineLevel="1"/>
    <col min="27" max="27" width="7.1171875" style="48" hidden="1" customWidth="1" outlineLevel="1"/>
    <col min="28" max="28" width="4.64453125" style="48" hidden="1" customWidth="1" outlineLevel="1"/>
    <col min="29" max="29" width="4.3515625" style="48" hidden="1" customWidth="1" outlineLevel="1"/>
    <col min="30" max="30" width="3.64453125" style="48" hidden="1" customWidth="1" outlineLevel="1"/>
    <col min="31" max="31" width="3.87890625" style="48"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5" t="s">
        <v>18</v>
      </c>
      <c r="B1" s="44"/>
      <c r="C1" s="45"/>
      <c r="D1" s="141" t="str">
        <f ca="1">INDIRECT("Z_IN_00_"&amp;IDIOMA)</f>
        <v>INICIO</v>
      </c>
      <c r="E1" s="34" t="str">
        <f>LANGUAGE</f>
        <v>ESPAÑOL</v>
      </c>
      <c r="F1" s="46" t="s">
        <v>12</v>
      </c>
      <c r="G1" s="46" t="s">
        <v>19</v>
      </c>
      <c r="H1" s="46" t="s">
        <v>20</v>
      </c>
      <c r="I1" s="46" t="s">
        <v>21</v>
      </c>
      <c r="J1" s="46" t="s">
        <v>22</v>
      </c>
      <c r="K1" s="46" t="s">
        <v>23</v>
      </c>
      <c r="L1" s="46" t="s">
        <v>716</v>
      </c>
      <c r="O1" s="178">
        <f>[1]DICCIONARIO!O1</f>
        <v>0</v>
      </c>
      <c r="S1" s="188">
        <v>1</v>
      </c>
      <c r="T1" s="188">
        <f>S1+1</f>
        <v>2</v>
      </c>
      <c r="U1" s="188">
        <f t="shared" ref="U1:AF1" si="0">T1+1</f>
        <v>3</v>
      </c>
      <c r="V1" s="188">
        <f t="shared" si="0"/>
        <v>4</v>
      </c>
      <c r="W1" s="188">
        <f t="shared" si="0"/>
        <v>5</v>
      </c>
      <c r="X1" s="188">
        <f t="shared" si="0"/>
        <v>6</v>
      </c>
      <c r="Y1" s="188">
        <f t="shared" si="0"/>
        <v>7</v>
      </c>
      <c r="Z1" s="188">
        <f t="shared" si="0"/>
        <v>8</v>
      </c>
      <c r="AA1" s="188">
        <f t="shared" si="0"/>
        <v>9</v>
      </c>
      <c r="AB1" s="188">
        <f t="shared" si="0"/>
        <v>10</v>
      </c>
      <c r="AC1" s="188">
        <f t="shared" si="0"/>
        <v>11</v>
      </c>
      <c r="AD1" s="188">
        <f t="shared" si="0"/>
        <v>12</v>
      </c>
      <c r="AE1" s="188">
        <f t="shared" si="0"/>
        <v>13</v>
      </c>
      <c r="AF1" s="188">
        <f t="shared" si="0"/>
        <v>14</v>
      </c>
      <c r="AH1" s="190" t="s">
        <v>610</v>
      </c>
      <c r="AI1" s="190"/>
    </row>
    <row r="2" spans="1:35" ht="30" customHeight="1" thickBot="1" x14ac:dyDescent="0.55000000000000004">
      <c r="A2" s="44" t="s">
        <v>717</v>
      </c>
      <c r="B2" s="44"/>
      <c r="C2" s="44"/>
      <c r="D2" s="142" t="str">
        <f>"LINK "&amp;INICIO!A46</f>
        <v>LINK PERSONALIZAR DICCIONARIO</v>
      </c>
      <c r="E2" s="35" t="str">
        <f>IFERROR(INDEX(F2:K20,1,MATCH(E1,F20:K20,0)),IDIOMA)</f>
        <v>S</v>
      </c>
      <c r="F2" s="47" t="s">
        <v>13</v>
      </c>
      <c r="G2" s="47" t="s">
        <v>17</v>
      </c>
      <c r="H2" s="47" t="s">
        <v>15</v>
      </c>
      <c r="I2" s="47" t="s">
        <v>16</v>
      </c>
      <c r="J2" s="47" t="s">
        <v>14</v>
      </c>
      <c r="K2" s="47" t="s">
        <v>24</v>
      </c>
      <c r="L2" s="47" t="s">
        <v>717</v>
      </c>
      <c r="O2" s="178">
        <f>[1]DICCIONARIO!O2</f>
        <v>0</v>
      </c>
      <c r="S2" s="193" t="s">
        <v>479</v>
      </c>
      <c r="T2" s="193" t="s">
        <v>480</v>
      </c>
      <c r="U2" s="193" t="s">
        <v>481</v>
      </c>
      <c r="V2" s="193" t="s">
        <v>482</v>
      </c>
      <c r="W2" s="186" t="s">
        <v>483</v>
      </c>
      <c r="X2" s="186" t="s">
        <v>484</v>
      </c>
      <c r="Y2" s="193" t="s">
        <v>603</v>
      </c>
      <c r="Z2" s="193" t="s">
        <v>604</v>
      </c>
      <c r="AA2" s="193" t="s">
        <v>605</v>
      </c>
      <c r="AB2" s="194" t="s">
        <v>486</v>
      </c>
      <c r="AC2" s="186" t="s">
        <v>485</v>
      </c>
      <c r="AD2" s="186" t="s">
        <v>606</v>
      </c>
      <c r="AE2" s="186" t="s">
        <v>487</v>
      </c>
      <c r="AF2" s="193" t="s">
        <v>607</v>
      </c>
      <c r="AH2" s="190" t="s">
        <v>611</v>
      </c>
      <c r="AI2" s="190" t="str">
        <f>IF(IDIOMA="S","May","Shift")&amp;"+"</f>
        <v>May+</v>
      </c>
    </row>
    <row r="3" spans="1:35" ht="14.7" thickBot="1" x14ac:dyDescent="0.55000000000000004">
      <c r="A3" s="50" t="str">
        <f t="shared" ref="A3:A44" si="1">$A$1&amp;B3&amp;"_"&amp;C3&amp;"_"&amp;$A$2</f>
        <v>Z_IN_00_CS</v>
      </c>
      <c r="B3" s="49" t="s">
        <v>25</v>
      </c>
      <c r="C3" s="50" t="s">
        <v>26</v>
      </c>
      <c r="D3" s="168"/>
      <c r="E3" s="146" t="str">
        <f>IFERROR(IF(D3&lt;&gt;"",D3,HLOOKUP($E$2,$F$2:K3,ROW(D3)-1,0)),F3)</f>
        <v>INICIO</v>
      </c>
      <c r="F3" s="146" t="s">
        <v>11</v>
      </c>
      <c r="G3" s="146" t="s">
        <v>27</v>
      </c>
      <c r="H3" s="146" t="s">
        <v>28</v>
      </c>
      <c r="I3" s="146" t="s">
        <v>29</v>
      </c>
      <c r="J3" s="146" t="s">
        <v>27</v>
      </c>
      <c r="K3" s="146" t="s">
        <v>30</v>
      </c>
      <c r="L3" s="146" t="s">
        <v>659</v>
      </c>
      <c r="M3" s="48" t="s">
        <v>31</v>
      </c>
      <c r="N3" s="48" t="s">
        <v>31</v>
      </c>
      <c r="O3" s="232" t="s">
        <v>733</v>
      </c>
      <c r="P3" s="233" t="s">
        <v>734</v>
      </c>
      <c r="Q3" s="234">
        <v>0</v>
      </c>
      <c r="R3" s="48"/>
      <c r="S3" s="197">
        <f ca="1">IF(Tabla_Menu[[#This Row],[Nivel]]=T2,0,COUNTIF(Tabla_Menu[Nivel],Tabla_Menu[[#This Row],[Nivel]]))</f>
        <v>1</v>
      </c>
      <c r="T3" s="191" t="str">
        <f ca="1">IFERROR(INDIRECT(Tabla_Menu[[#This Row],[Nivel 1]]&amp;IDIOMA),"")</f>
        <v>MENU EXCEL</v>
      </c>
      <c r="U3" s="191" t="str">
        <f ca="1">IFERROR(INDIRECT(Tabla_Menu[[#This Row],[Nivel 2]]&amp;IDIOMA)&amp;IF(Tabla_Menu[[#This Row],[Nivel]]="",""," "&amp;Tabla_Menu[[#This Row],['[Teclas']]]),"")</f>
        <v xml:space="preserve">MENU EXCEL </v>
      </c>
      <c r="V3" s="191" t="s">
        <v>650</v>
      </c>
      <c r="W3" s="192">
        <v>263</v>
      </c>
      <c r="X3" s="177" t="s">
        <v>488</v>
      </c>
      <c r="Y3" s="179" t="s">
        <v>648</v>
      </c>
      <c r="Z3" s="179" t="s">
        <v>648</v>
      </c>
      <c r="AA3" s="196" t="s">
        <v>644</v>
      </c>
      <c r="AB3" s="180" t="s">
        <v>586</v>
      </c>
      <c r="AC3" s="177" t="str">
        <f ca="1">IF(OR(Tabla_Menu[[#This Row],[Nivel]]="",IFERROR(SEARCH(MID(CELL("nombrearchivo"),FIND(".xlsm]",CELL("nombrearchivo"),1)+6,100),Tabla_Menu[[#This Row],[HOJAS NO MUESTRA]],1),0)&gt;0),"N/A","")</f>
        <v/>
      </c>
      <c r="AD3" s="191">
        <f ca="1">IF(Tabla_Menu[[#This Row],[N/A]]="",,COUNTIF(Tabla_Menu[Nivel &amp; Incluir],Tabla_Menu[[#This Row],[Nivel &amp; Incluir]]))</f>
        <v>0</v>
      </c>
      <c r="AE3" s="181" t="str">
        <f ca="1">Tabla_Menu[[#This Row],[Nivel]]&amp;Tabla_Menu[[#This Row],[N/A]]</f>
        <v>MENU EXCEL</v>
      </c>
      <c r="AF3" s="179"/>
    </row>
    <row r="4" spans="1:35" outlineLevel="1" x14ac:dyDescent="0.5">
      <c r="A4" s="136" t="str">
        <f t="shared" si="1"/>
        <v>Z_IN_01_CS</v>
      </c>
      <c r="B4" s="135" t="str">
        <f t="shared" ref="B4:B20" si="2">B3</f>
        <v>IN</v>
      </c>
      <c r="C4" s="136" t="s">
        <v>32</v>
      </c>
      <c r="D4" s="198"/>
      <c r="E4" s="149" t="str">
        <f>IFERROR(IF(D4&lt;&gt;"",D4,HLOOKUP($E$2,$F$2:K4,ROW(D4)-1,0)),F4)</f>
        <v>CANAL YOUTUBE</v>
      </c>
      <c r="F4" s="147" t="s">
        <v>403</v>
      </c>
      <c r="G4" s="147" t="s">
        <v>404</v>
      </c>
      <c r="H4" s="147" t="s">
        <v>405</v>
      </c>
      <c r="I4" s="147" t="s">
        <v>406</v>
      </c>
      <c r="J4" s="147" t="s">
        <v>407</v>
      </c>
      <c r="K4" s="147" t="s">
        <v>408</v>
      </c>
      <c r="L4" s="147" t="s">
        <v>660</v>
      </c>
      <c r="M4" s="48"/>
      <c r="N4" s="48"/>
      <c r="O4" s="235" t="s">
        <v>735</v>
      </c>
      <c r="P4" s="230" t="s">
        <v>736</v>
      </c>
      <c r="Q4" s="236">
        <v>0</v>
      </c>
      <c r="R4" s="48"/>
      <c r="S4" s="177">
        <f ca="1">IF(Tabla_Menu[[#This Row],[Nivel]]=T2,0,COUNTIF(Tabla_Menu[Nivel],Tabla_Menu[[#This Row],[Nivel]]))</f>
        <v>4</v>
      </c>
      <c r="T4" s="191" t="str">
        <f ca="1">IFERROR(INDIRECT(Tabla_Menu[[#This Row],[Nivel 1]]&amp;IDIOMA),"")</f>
        <v>MENÚ GENERAL</v>
      </c>
      <c r="U4" s="191" t="str">
        <f ca="1">IFERROR(INDIRECT(Tabla_Menu[[#This Row],[Nivel 2]]&amp;IDIOMA)&amp;IF(Tabla_Menu[[#This Row],[Nivel]]="",""," "&amp;Tabla_Menu[[#This Row],['[Teclas']]]),"")</f>
        <v xml:space="preserve">GUARDAR  </v>
      </c>
      <c r="V4" s="191" t="s">
        <v>489</v>
      </c>
      <c r="W4" s="192">
        <v>3</v>
      </c>
      <c r="X4" s="177" t="s">
        <v>488</v>
      </c>
      <c r="Y4" s="179" t="s">
        <v>491</v>
      </c>
      <c r="Z4" s="179" t="s">
        <v>492</v>
      </c>
      <c r="AA4" s="179" t="s">
        <v>612</v>
      </c>
      <c r="AB4" s="180"/>
      <c r="AC4" s="177" t="str">
        <f ca="1">IF(OR(Tabla_Menu[[#This Row],[Nivel]]="",IFERROR(SEARCH(MID(CELL("nombrearchivo"),FIND(".xlsm]",CELL("nombrearchivo"),1)+6,100),Tabla_Menu[[#This Row],[HOJAS NO MUESTRA]],1),0)&gt;0),"N/A","")</f>
        <v/>
      </c>
      <c r="AD4" s="191">
        <f ca="1">IF(Tabla_Menu[[#This Row],[N/A]]="",,COUNTIF(Tabla_Menu[Nivel &amp; Incluir],Tabla_Menu[[#This Row],[Nivel &amp; Incluir]]))</f>
        <v>0</v>
      </c>
      <c r="AE4" s="181" t="str">
        <f ca="1">Tabla_Menu[[#This Row],[Nivel]]&amp;Tabla_Menu[[#This Row],[N/A]]</f>
        <v>MENÚ GENERAL</v>
      </c>
      <c r="AF4" s="179"/>
    </row>
    <row r="5" spans="1:35" outlineLevel="1" x14ac:dyDescent="0.5">
      <c r="A5" s="138" t="str">
        <f t="shared" si="1"/>
        <v>Z_IN_02_CS</v>
      </c>
      <c r="B5" s="137" t="str">
        <f t="shared" si="2"/>
        <v>IN</v>
      </c>
      <c r="C5" s="138" t="s">
        <v>33</v>
      </c>
      <c r="D5" s="170"/>
      <c r="E5" s="148" t="str">
        <f>IFERROR(IF(D5&lt;&gt;"",D5,HLOOKUP($E$2,$F$2:K5,ROW(D5)-1,0)),F5)</f>
        <v>NO FUNCIONA CON
VERSIONES DE EXCEL 
ANTERIORES A 2007
NI CON LA ÚLTIMA ACTUALIZACIÓN DE MAC</v>
      </c>
      <c r="F5" s="148" t="s">
        <v>34</v>
      </c>
      <c r="G5" s="148" t="s">
        <v>35</v>
      </c>
      <c r="H5" s="148" t="s">
        <v>36</v>
      </c>
      <c r="I5" s="148" t="s">
        <v>37</v>
      </c>
      <c r="J5" s="148" t="s">
        <v>38</v>
      </c>
      <c r="K5" s="148" t="s">
        <v>39</v>
      </c>
      <c r="L5" s="148" t="s">
        <v>661</v>
      </c>
      <c r="M5" s="48" t="s">
        <v>31</v>
      </c>
      <c r="N5" s="48" t="s">
        <v>31</v>
      </c>
      <c r="O5" s="237" t="s">
        <v>737</v>
      </c>
      <c r="P5" s="178" t="s">
        <v>738</v>
      </c>
      <c r="Q5" s="238">
        <v>0</v>
      </c>
      <c r="R5" s="48"/>
      <c r="S5" s="177">
        <f ca="1">IF(Tabla_Menu[[#This Row],[Nivel]]=T4,0,COUNTIF(Tabla_Menu[Nivel],Tabla_Menu[[#This Row],[Nivel]]))</f>
        <v>0</v>
      </c>
      <c r="T5" s="191" t="str">
        <f ca="1">IFERROR(INDIRECT(Tabla_Menu[[#This Row],[Nivel 1]]&amp;IDIOMA),"")</f>
        <v>MENÚ GENERAL</v>
      </c>
      <c r="U5" s="191" t="str">
        <f ca="1">IFERROR(INDIRECT(Tabla_Menu[[#This Row],[Nivel 2]]&amp;IDIOMA)&amp;IF(Tabla_Menu[[#This Row],[Nivel]]="",""," "&amp;Tabla_Menu[[#This Row],['[Teclas']]]),"")</f>
        <v xml:space="preserve">CERRAR </v>
      </c>
      <c r="V5" s="191" t="s">
        <v>493</v>
      </c>
      <c r="W5" s="192">
        <v>478</v>
      </c>
      <c r="X5" s="177" t="s">
        <v>488</v>
      </c>
      <c r="Y5" s="179" t="s">
        <v>491</v>
      </c>
      <c r="Z5" s="179" t="s">
        <v>494</v>
      </c>
      <c r="AA5" s="179" t="s">
        <v>608</v>
      </c>
      <c r="AB5" s="180"/>
      <c r="AC5" s="177" t="str">
        <f ca="1">IF(OR(Tabla_Menu[[#This Row],[Nivel]]="",IFERROR(SEARCH(MID(CELL("nombrearchivo"),FIND(".xlsm]",CELL("nombrearchivo"),1)+6,100),Tabla_Menu[[#This Row],[HOJAS NO MUESTRA]],1),0)&gt;0),"N/A","")</f>
        <v/>
      </c>
      <c r="AD5" s="191">
        <f ca="1">IF(Tabla_Menu[[#This Row],[N/A]]="",,COUNTIF(Tabla_Menu[Nivel &amp; Incluir],Tabla_Menu[[#This Row],[Nivel &amp; Incluir]]))</f>
        <v>0</v>
      </c>
      <c r="AE5" s="181" t="str">
        <f ca="1">Tabla_Menu[[#This Row],[Nivel]]&amp;Tabla_Menu[[#This Row],[N/A]]</f>
        <v>MENÚ GENERAL</v>
      </c>
      <c r="AF5" s="179"/>
    </row>
    <row r="6" spans="1:35" outlineLevel="1" x14ac:dyDescent="0.5">
      <c r="A6" s="136" t="str">
        <f t="shared" si="1"/>
        <v>Z_IN_03_CS</v>
      </c>
      <c r="B6" s="135" t="str">
        <f t="shared" si="2"/>
        <v>IN</v>
      </c>
      <c r="C6" s="136" t="s">
        <v>40</v>
      </c>
      <c r="D6" s="169"/>
      <c r="E6" s="147" t="str">
        <f>IFERROR(IF(D6&lt;&gt;"",D6,HLOOKUP($E$2,$F$2:K6,ROW(D6)-1,0)),F6)</f>
        <v>LEER CON ATENCIÓN</v>
      </c>
      <c r="F6" s="147" t="s">
        <v>2</v>
      </c>
      <c r="G6" s="147" t="s">
        <v>41</v>
      </c>
      <c r="H6" s="147" t="s">
        <v>42</v>
      </c>
      <c r="I6" s="147" t="s">
        <v>43</v>
      </c>
      <c r="J6" s="147" t="s">
        <v>44</v>
      </c>
      <c r="K6" s="147" t="s">
        <v>45</v>
      </c>
      <c r="L6" s="147" t="s">
        <v>662</v>
      </c>
      <c r="M6" s="48" t="s">
        <v>31</v>
      </c>
      <c r="N6" s="48" t="s">
        <v>31</v>
      </c>
      <c r="O6" s="235" t="s">
        <v>739</v>
      </c>
      <c r="P6" s="230" t="s">
        <v>740</v>
      </c>
      <c r="Q6" s="236">
        <v>0</v>
      </c>
      <c r="R6" s="48"/>
      <c r="S6" s="177">
        <f ca="1">IF(Tabla_Menu[[#This Row],[Nivel]]=T5,0,COUNTIF(Tabla_Menu[Nivel],Tabla_Menu[[#This Row],[Nivel]]))</f>
        <v>0</v>
      </c>
      <c r="T6" s="191" t="str">
        <f ca="1">IFERROR(INDIRECT(Tabla_Menu[[#This Row],[Nivel 1]]&amp;IDIOMA),"")</f>
        <v>MENÚ GENERAL</v>
      </c>
      <c r="U6" s="191" t="str">
        <f ca="1">IFERROR(INDIRECT(Tabla_Menu[[#This Row],[Nivel 2]]&amp;IDIOMA)&amp;IF(Tabla_Menu[[#This Row],[Nivel]]="",""," "&amp;Tabla_Menu[[#This Row],['[Teclas']]]),"")</f>
        <v xml:space="preserve">COPIAR </v>
      </c>
      <c r="V6" s="191" t="s">
        <v>495</v>
      </c>
      <c r="W6" s="192">
        <v>19</v>
      </c>
      <c r="X6" s="177" t="s">
        <v>490</v>
      </c>
      <c r="Y6" s="179" t="s">
        <v>491</v>
      </c>
      <c r="Z6" s="179" t="s">
        <v>496</v>
      </c>
      <c r="AA6" s="179" t="s">
        <v>613</v>
      </c>
      <c r="AB6" s="180" t="s">
        <v>11</v>
      </c>
      <c r="AC6" s="177" t="str">
        <f ca="1">IF(OR(Tabla_Menu[[#This Row],[Nivel]]="",IFERROR(SEARCH(MID(CELL("nombrearchivo"),FIND(".xlsm]",CELL("nombrearchivo"),1)+6,100),Tabla_Menu[[#This Row],[HOJAS NO MUESTRA]],1),0)&gt;0),"N/A","")</f>
        <v/>
      </c>
      <c r="AD6" s="191">
        <f ca="1">IF(Tabla_Menu[[#This Row],[N/A]]="",,COUNTIF(Tabla_Menu[Nivel &amp; Incluir],Tabla_Menu[[#This Row],[Nivel &amp; Incluir]]))</f>
        <v>0</v>
      </c>
      <c r="AE6" s="181" t="str">
        <f ca="1">Tabla_Menu[[#This Row],[Nivel]]&amp;Tabla_Menu[[#This Row],[N/A]]</f>
        <v>MENÚ GENERAL</v>
      </c>
      <c r="AF6" s="179"/>
    </row>
    <row r="7" spans="1:35" outlineLevel="1" x14ac:dyDescent="0.5">
      <c r="A7" s="138" t="str">
        <f t="shared" si="1"/>
        <v>Z_IN_04_CS</v>
      </c>
      <c r="B7" s="137" t="str">
        <f t="shared" si="2"/>
        <v>IN</v>
      </c>
      <c r="C7" s="138" t="s">
        <v>46</v>
      </c>
      <c r="D7" s="170"/>
      <c r="E7" s="148" t="str">
        <f>IFERROR(IF(D7&lt;&gt;"",D7,HLOOKUP($E$2,$F$2:K7,ROW(D7)-1,0)),F7)</f>
        <v>Esta Aplicación ha sido desarrollada, en la primera versión, por:</v>
      </c>
      <c r="F7" s="148" t="s">
        <v>4</v>
      </c>
      <c r="G7" s="148" t="s">
        <v>47</v>
      </c>
      <c r="H7" s="148" t="s">
        <v>48</v>
      </c>
      <c r="I7" s="148" t="s">
        <v>49</v>
      </c>
      <c r="J7" s="148" t="s">
        <v>50</v>
      </c>
      <c r="K7" s="148" t="s">
        <v>51</v>
      </c>
      <c r="L7" s="148" t="s">
        <v>663</v>
      </c>
      <c r="M7" s="48" t="s">
        <v>31</v>
      </c>
      <c r="N7" s="48" t="s">
        <v>31</v>
      </c>
      <c r="O7" s="237" t="s">
        <v>741</v>
      </c>
      <c r="P7" s="178" t="s">
        <v>742</v>
      </c>
      <c r="Q7" s="238">
        <v>0</v>
      </c>
      <c r="R7" s="48"/>
      <c r="S7" s="177">
        <f ca="1">IF(Tabla_Menu[[#This Row],[Nivel]]=T6,0,COUNTIF(Tabla_Menu[Nivel],Tabla_Menu[[#This Row],[Nivel]]))</f>
        <v>0</v>
      </c>
      <c r="T7" s="191" t="str">
        <f ca="1">IFERROR(INDIRECT(Tabla_Menu[[#This Row],[Nivel 1]]&amp;IDIOMA),"")</f>
        <v>MENÚ GENERAL</v>
      </c>
      <c r="U7" s="191" t="str">
        <f ca="1">IFERROR(INDIRECT(Tabla_Menu[[#This Row],[Nivel 2]]&amp;IDIOMA)&amp;IF(Tabla_Menu[[#This Row],[Nivel]]="",""," "&amp;Tabla_Menu[[#This Row],['[Teclas']]]),"")</f>
        <v xml:space="preserve">PEGAR </v>
      </c>
      <c r="V7" s="191" t="s">
        <v>497</v>
      </c>
      <c r="W7" s="192">
        <v>22</v>
      </c>
      <c r="X7" s="177" t="s">
        <v>488</v>
      </c>
      <c r="Y7" s="179" t="s">
        <v>491</v>
      </c>
      <c r="Z7" s="179" t="s">
        <v>498</v>
      </c>
      <c r="AA7" s="179" t="s">
        <v>614</v>
      </c>
      <c r="AB7" s="180" t="s">
        <v>11</v>
      </c>
      <c r="AC7" s="177" t="str">
        <f ca="1">IF(OR(Tabla_Menu[[#This Row],[Nivel]]="",IFERROR(SEARCH(MID(CELL("nombrearchivo"),FIND(".xlsm]",CELL("nombrearchivo"),1)+6,100),Tabla_Menu[[#This Row],[HOJAS NO MUESTRA]],1),0)&gt;0),"N/A","")</f>
        <v/>
      </c>
      <c r="AD7" s="191">
        <f ca="1">IF(Tabla_Menu[[#This Row],[N/A]]="",,COUNTIF(Tabla_Menu[Nivel &amp; Incluir],Tabla_Menu[[#This Row],[Nivel &amp; Incluir]]))</f>
        <v>0</v>
      </c>
      <c r="AE7" s="181" t="str">
        <f ca="1">Tabla_Menu[[#This Row],[Nivel]]&amp;Tabla_Menu[[#This Row],[N/A]]</f>
        <v>MENÚ GENERAL</v>
      </c>
      <c r="AF7" s="179"/>
    </row>
    <row r="8" spans="1:35" outlineLevel="1" x14ac:dyDescent="0.5">
      <c r="A8" s="136" t="str">
        <f t="shared" si="1"/>
        <v>Z_IN_05_CS</v>
      </c>
      <c r="B8" s="135" t="str">
        <f t="shared" si="2"/>
        <v>IN</v>
      </c>
      <c r="C8" s="136" t="s">
        <v>52</v>
      </c>
      <c r="D8" s="169"/>
      <c r="E8" s="147" t="str">
        <f>IFERROR(IF(D8&lt;&gt;"",D8,HLOOKUP($E$2,$F$2:K8,ROW(D8)-1,0)),F8)</f>
        <v>Universidad de Cádiz</v>
      </c>
      <c r="F8" s="147" t="s">
        <v>1</v>
      </c>
      <c r="G8" s="147" t="s">
        <v>53</v>
      </c>
      <c r="H8" s="147" t="s">
        <v>54</v>
      </c>
      <c r="I8" s="147" t="s">
        <v>55</v>
      </c>
      <c r="J8" s="147" t="s">
        <v>56</v>
      </c>
      <c r="K8" s="147" t="s">
        <v>57</v>
      </c>
      <c r="L8" s="147" t="s">
        <v>664</v>
      </c>
      <c r="M8" s="48" t="s">
        <v>31</v>
      </c>
      <c r="N8" s="48" t="s">
        <v>31</v>
      </c>
      <c r="O8" s="235" t="s">
        <v>743</v>
      </c>
      <c r="P8" s="230" t="s">
        <v>744</v>
      </c>
      <c r="Q8" s="236">
        <v>0</v>
      </c>
      <c r="R8" s="48"/>
      <c r="S8" s="177">
        <f ca="1">IF(Tabla_Menu[[#This Row],[Nivel]]=T7,0,COUNTIF(Tabla_Menu[Nivel],Tabla_Menu[[#This Row],[Nivel]]))</f>
        <v>10</v>
      </c>
      <c r="T8" s="191" t="str">
        <f ca="1">IFERROR(INDIRECT(Tabla_Menu[[#This Row],[Nivel 1]]&amp;IDIOMA),"")</f>
        <v>IR A…</v>
      </c>
      <c r="U8" s="191" t="str">
        <f ca="1">IFERROR(INDIRECT(Tabla_Menu[[#This Row],[Nivel 2]]&amp;IDIOMA)&amp;IF(Tabla_Menu[[#This Row],[Nivel]]="",""," "&amp;Tabla_Menu[[#This Row],['[Teclas']]]),"")</f>
        <v xml:space="preserve">INICIO </v>
      </c>
      <c r="V8" s="191" t="s">
        <v>499</v>
      </c>
      <c r="W8" s="192">
        <v>1016</v>
      </c>
      <c r="X8" s="177" t="s">
        <v>488</v>
      </c>
      <c r="Y8" s="179" t="s">
        <v>500</v>
      </c>
      <c r="Z8" s="179" t="s">
        <v>501</v>
      </c>
      <c r="AA8" s="179" t="s">
        <v>609</v>
      </c>
      <c r="AB8" s="180" t="s">
        <v>11</v>
      </c>
      <c r="AC8" s="177" t="str">
        <f ca="1">IF(OR(Tabla_Menu[[#This Row],[Nivel]]="",IFERROR(SEARCH(MID(CELL("nombrearchivo"),FIND(".xlsm]",CELL("nombrearchivo"),1)+6,100),Tabla_Menu[[#This Row],[HOJAS NO MUESTRA]],1),0)&gt;0),"N/A","")</f>
        <v/>
      </c>
      <c r="AD8" s="191">
        <f ca="1">IF(Tabla_Menu[[#This Row],[N/A]]="",,COUNTIF(Tabla_Menu[Nivel &amp; Incluir],Tabla_Menu[[#This Row],[Nivel &amp; Incluir]]))</f>
        <v>0</v>
      </c>
      <c r="AE8" s="181" t="str">
        <f ca="1">Tabla_Menu[[#This Row],[Nivel]]&amp;Tabla_Menu[[#This Row],[N/A]]</f>
        <v>IR A…</v>
      </c>
      <c r="AF8" s="179"/>
    </row>
    <row r="9" spans="1:35" outlineLevel="1" x14ac:dyDescent="0.5">
      <c r="A9" s="138" t="str">
        <f t="shared" si="1"/>
        <v>Z_IN_06_CS</v>
      </c>
      <c r="B9" s="137" t="str">
        <f t="shared" si="2"/>
        <v>IN</v>
      </c>
      <c r="C9" s="138" t="s">
        <v>58</v>
      </c>
      <c r="D9" s="170"/>
      <c r="E9" s="14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48" t="s">
        <v>59</v>
      </c>
      <c r="G9" s="148" t="s">
        <v>60</v>
      </c>
      <c r="H9" s="148" t="s">
        <v>61</v>
      </c>
      <c r="I9" s="148" t="s">
        <v>62</v>
      </c>
      <c r="J9" s="148" t="s">
        <v>63</v>
      </c>
      <c r="K9" s="148" t="s">
        <v>64</v>
      </c>
      <c r="L9" s="148" t="s">
        <v>665</v>
      </c>
      <c r="M9" s="48" t="s">
        <v>31</v>
      </c>
      <c r="N9" s="48" t="s">
        <v>31</v>
      </c>
      <c r="O9" s="237" t="s">
        <v>745</v>
      </c>
      <c r="P9" s="178" t="s">
        <v>746</v>
      </c>
      <c r="Q9" s="238">
        <v>0</v>
      </c>
      <c r="R9" s="48"/>
      <c r="S9" s="177">
        <f ca="1">IF(Tabla_Menu[[#This Row],[Nivel]]=T8,0,COUNTIF(Tabla_Menu[Nivel],Tabla_Menu[[#This Row],[Nivel]]))</f>
        <v>0</v>
      </c>
      <c r="T9" s="191" t="str">
        <f ca="1">IFERROR(INDIRECT(Tabla_Menu[[#This Row],[Nivel 1]]&amp;IDIOMA),"")</f>
        <v>IR A…</v>
      </c>
      <c r="U9" s="191" t="str">
        <f ca="1">IFERROR(INDIRECT(Tabla_Menu[[#This Row],[Nivel 2]]&amp;IDIOMA)&amp;IF(Tabla_Menu[[#This Row],[Nivel]]="",""," "&amp;Tabla_Menu[[#This Row],['[Teclas']]]),"")</f>
        <v xml:space="preserve">DICCIONARIO </v>
      </c>
      <c r="V9" s="191" t="s">
        <v>502</v>
      </c>
      <c r="W9" s="192">
        <v>2</v>
      </c>
      <c r="X9" s="177" t="s">
        <v>488</v>
      </c>
      <c r="Y9" s="179" t="s">
        <v>500</v>
      </c>
      <c r="Z9" s="179" t="s">
        <v>569</v>
      </c>
      <c r="AA9" s="179" t="s">
        <v>615</v>
      </c>
      <c r="AB9" s="180" t="s">
        <v>391</v>
      </c>
      <c r="AC9" s="177" t="str">
        <f ca="1">IF(OR(Tabla_Menu[[#This Row],[Nivel]]="",IFERROR(SEARCH(MID(CELL("nombrearchivo"),FIND(".xlsm]",CELL("nombrearchivo"),1)+6,100),Tabla_Menu[[#This Row],[HOJAS NO MUESTRA]],1),0)&gt;0),"N/A","")</f>
        <v/>
      </c>
      <c r="AD9" s="191">
        <f ca="1">IF(Tabla_Menu[[#This Row],[N/A]]="",,COUNTIF(Tabla_Menu[Nivel &amp; Incluir],Tabla_Menu[[#This Row],[Nivel &amp; Incluir]]))</f>
        <v>0</v>
      </c>
      <c r="AE9" s="181" t="str">
        <f ca="1">Tabla_Menu[[#This Row],[Nivel]]&amp;Tabla_Menu[[#This Row],[N/A]]</f>
        <v>IR A…</v>
      </c>
      <c r="AF9" s="179"/>
    </row>
    <row r="10" spans="1:35" outlineLevel="1" x14ac:dyDescent="0.5">
      <c r="A10" s="136" t="str">
        <f t="shared" si="1"/>
        <v>Z_IN_07_CS</v>
      </c>
      <c r="B10" s="135" t="str">
        <f t="shared" si="2"/>
        <v>IN</v>
      </c>
      <c r="C10" s="136" t="s">
        <v>65</v>
      </c>
      <c r="D10" s="169"/>
      <c r="E10" s="147" t="str">
        <f>IFERROR(IF(D10&lt;&gt;"",D10,HLOOKUP($E$2,$F$2:K10,ROW(D10)-1,0)),F10)</f>
        <v>Esta HOJA sirve para almacenar las preguntas y poder reutilizarlas cuando sea necesario, sin tener que volver a escribirlas para un nuevo BANCO DE PREGUNTAS.</v>
      </c>
      <c r="F10" s="147" t="s">
        <v>381</v>
      </c>
      <c r="G10" s="147" t="s">
        <v>382</v>
      </c>
      <c r="H10" s="147" t="s">
        <v>383</v>
      </c>
      <c r="I10" s="147" t="s">
        <v>384</v>
      </c>
      <c r="J10" s="147" t="s">
        <v>385</v>
      </c>
      <c r="K10" s="147" t="s">
        <v>386</v>
      </c>
      <c r="L10" s="147" t="s">
        <v>666</v>
      </c>
      <c r="M10" s="48" t="s">
        <v>31</v>
      </c>
      <c r="N10" s="48" t="s">
        <v>31</v>
      </c>
      <c r="O10" s="235" t="s">
        <v>747</v>
      </c>
      <c r="P10" s="230" t="s">
        <v>748</v>
      </c>
      <c r="Q10" s="236">
        <v>0</v>
      </c>
      <c r="R10" s="48"/>
      <c r="S10" s="177">
        <f ca="1">IF(Tabla_Menu[[#This Row],[Nivel]]=T9,0,COUNTIF(Tabla_Menu[Nivel],Tabla_Menu[[#This Row],[Nivel]]))</f>
        <v>0</v>
      </c>
      <c r="T10" s="191" t="str">
        <f ca="1">IFERROR(INDIRECT(Tabla_Menu[[#This Row],[Nivel 1]]&amp;IDIOMA),"")</f>
        <v>IR A…</v>
      </c>
      <c r="U10" s="191" t="str">
        <f ca="1">IFERROR(INDIRECT(Tabla_Menu[[#This Row],[Nivel 2]]&amp;IDIOMA)&amp;IF(Tabla_Menu[[#This Row],[Nivel]]="",""," "&amp;Tabla_Menu[[#This Row],['[Teclas']]]),"")</f>
        <v xml:space="preserve">Opción Múltiple 1R  </v>
      </c>
      <c r="V10" s="191" t="s">
        <v>570</v>
      </c>
      <c r="W10" s="192">
        <v>5</v>
      </c>
      <c r="X10" s="177" t="s">
        <v>490</v>
      </c>
      <c r="Y10" s="179" t="s">
        <v>500</v>
      </c>
      <c r="Z10" s="179" t="s">
        <v>563</v>
      </c>
      <c r="AA10" s="179" t="s">
        <v>636</v>
      </c>
      <c r="AB10" s="180" t="s">
        <v>578</v>
      </c>
      <c r="AC10" s="177" t="str">
        <f ca="1">IF(OR(Tabla_Menu[[#This Row],[Nivel]]="",IFERROR(SEARCH(MID(CELL("nombrearchivo"),FIND(".xlsm]",CELL("nombrearchivo"),1)+6,100),Tabla_Menu[[#This Row],[HOJAS NO MUESTRA]],1),0)&gt;0),"N/A","")</f>
        <v/>
      </c>
      <c r="AD10" s="191">
        <f ca="1">IF(Tabla_Menu[[#This Row],[N/A]]="",,COUNTIF(Tabla_Menu[Nivel &amp; Incluir],Tabla_Menu[[#This Row],[Nivel &amp; Incluir]]))</f>
        <v>0</v>
      </c>
      <c r="AE10" s="181" t="str">
        <f ca="1">Tabla_Menu[[#This Row],[Nivel]]&amp;Tabla_Menu[[#This Row],[N/A]]</f>
        <v>IR A…</v>
      </c>
      <c r="AF10" s="179"/>
    </row>
    <row r="11" spans="1:35" outlineLevel="1" x14ac:dyDescent="0.5">
      <c r="A11" s="138" t="str">
        <f t="shared" si="1"/>
        <v>Z_IN_08_CS</v>
      </c>
      <c r="B11" s="137" t="str">
        <f t="shared" si="2"/>
        <v>IN</v>
      </c>
      <c r="C11" s="138" t="s">
        <v>66</v>
      </c>
      <c r="D11" s="170"/>
      <c r="E11" s="148" t="str">
        <f>IFERROR(IF(D11&lt;&gt;"",D11,HLOOKUP($E$2,$F$2:K11,ROW(D11)-1,0)),F11)</f>
        <v xml:space="preserve">Opción Múltiple 1R </v>
      </c>
      <c r="F11" s="148" t="s">
        <v>67</v>
      </c>
      <c r="G11" s="148" t="s">
        <v>449</v>
      </c>
      <c r="H11" s="148" t="s">
        <v>68</v>
      </c>
      <c r="I11" s="148" t="s">
        <v>69</v>
      </c>
      <c r="J11" s="148" t="s">
        <v>450</v>
      </c>
      <c r="K11" s="148" t="s">
        <v>449</v>
      </c>
      <c r="L11" s="148" t="s">
        <v>667</v>
      </c>
      <c r="M11" s="48" t="s">
        <v>31</v>
      </c>
      <c r="N11" s="48" t="s">
        <v>31</v>
      </c>
      <c r="O11" s="237" t="s">
        <v>749</v>
      </c>
      <c r="P11" s="178" t="s">
        <v>750</v>
      </c>
      <c r="Q11" s="238">
        <v>0</v>
      </c>
      <c r="R11" s="48"/>
      <c r="S11" s="177">
        <f ca="1">IF(Tabla_Menu[[#This Row],[Nivel]]=T10,0,COUNTIF(Tabla_Menu[Nivel],Tabla_Menu[[#This Row],[Nivel]]))</f>
        <v>0</v>
      </c>
      <c r="T11" s="191" t="str">
        <f ca="1">IFERROR(INDIRECT(Tabla_Menu[[#This Row],[Nivel 1]]&amp;IDIOMA),"")</f>
        <v>IR A…</v>
      </c>
      <c r="U11" s="191" t="str">
        <f ca="1">IFERROR(INDIRECT(Tabla_Menu[[#This Row],[Nivel 2]]&amp;IDIOMA)&amp;IF(Tabla_Menu[[#This Row],[Nivel]]="",""," "&amp;Tabla_Menu[[#This Row],['[Teclas']]]),"")</f>
        <v xml:space="preserve">Opción Múltiple +R  </v>
      </c>
      <c r="V11" s="191" t="s">
        <v>571</v>
      </c>
      <c r="W11" s="192">
        <v>5</v>
      </c>
      <c r="X11" s="177" t="s">
        <v>488</v>
      </c>
      <c r="Y11" s="179" t="s">
        <v>500</v>
      </c>
      <c r="Z11" s="179" t="s">
        <v>505</v>
      </c>
      <c r="AA11" s="179" t="s">
        <v>637</v>
      </c>
      <c r="AB11" s="180" t="s">
        <v>579</v>
      </c>
      <c r="AC11" s="177" t="str">
        <f ca="1">IF(OR(Tabla_Menu[[#This Row],[Nivel]]="",IFERROR(SEARCH(MID(CELL("nombrearchivo"),FIND(".xlsm]",CELL("nombrearchivo"),1)+6,100),Tabla_Menu[[#This Row],[HOJAS NO MUESTRA]],1),0)&gt;0),"N/A","")</f>
        <v/>
      </c>
      <c r="AD11" s="191">
        <f ca="1">IF(Tabla_Menu[[#This Row],[N/A]]="",,COUNTIF(Tabla_Menu[Nivel &amp; Incluir],Tabla_Menu[[#This Row],[Nivel &amp; Incluir]]))</f>
        <v>0</v>
      </c>
      <c r="AE11" s="181" t="str">
        <f ca="1">Tabla_Menu[[#This Row],[Nivel]]&amp;Tabla_Menu[[#This Row],[N/A]]</f>
        <v>IR A…</v>
      </c>
      <c r="AF11" s="179"/>
    </row>
    <row r="12" spans="1:35" outlineLevel="1" x14ac:dyDescent="0.5">
      <c r="A12" s="136" t="str">
        <f t="shared" si="1"/>
        <v>Z_IN_09_CS</v>
      </c>
      <c r="B12" s="135" t="str">
        <f t="shared" si="2"/>
        <v>IN</v>
      </c>
      <c r="C12" s="136" t="s">
        <v>70</v>
      </c>
      <c r="D12" s="169"/>
      <c r="E12" s="147" t="str">
        <f>IFERROR(IF(D12&lt;&gt;"",D12,HLOOKUP($E$2,$F$2:K12,ROW(D12)-1,0)),F12)</f>
        <v xml:space="preserve">Opción Múltiple +R </v>
      </c>
      <c r="F12" s="147" t="s">
        <v>451</v>
      </c>
      <c r="G12" s="147" t="s">
        <v>452</v>
      </c>
      <c r="H12" s="147" t="s">
        <v>453</v>
      </c>
      <c r="I12" s="147" t="s">
        <v>454</v>
      </c>
      <c r="J12" s="147" t="s">
        <v>455</v>
      </c>
      <c r="K12" s="147" t="s">
        <v>456</v>
      </c>
      <c r="L12" s="147" t="s">
        <v>668</v>
      </c>
      <c r="M12" s="48" t="s">
        <v>31</v>
      </c>
      <c r="N12" s="48" t="s">
        <v>31</v>
      </c>
      <c r="O12" s="235" t="s">
        <v>751</v>
      </c>
      <c r="P12" s="230" t="s">
        <v>752</v>
      </c>
      <c r="Q12" s="236">
        <v>0</v>
      </c>
      <c r="R12" s="48"/>
      <c r="S12" s="177">
        <f ca="1">IF(Tabla_Menu[[#This Row],[Nivel]]=T11,0,COUNTIF(Tabla_Menu[Nivel],Tabla_Menu[[#This Row],[Nivel]]))</f>
        <v>0</v>
      </c>
      <c r="T12" s="191" t="str">
        <f ca="1">IFERROR(INDIRECT(Tabla_Menu[[#This Row],[Nivel 1]]&amp;IDIOMA),"")</f>
        <v>IR A…</v>
      </c>
      <c r="U12" s="191" t="str">
        <f ca="1">IFERROR(INDIRECT(Tabla_Menu[[#This Row],[Nivel 2]]&amp;IDIOMA)&amp;IF(Tabla_Menu[[#This Row],[Nivel]]="",""," "&amp;Tabla_Menu[[#This Row],['[Teclas']]]),"")</f>
        <v xml:space="preserve">Verdadero/Falso </v>
      </c>
      <c r="V12" s="191" t="s">
        <v>572</v>
      </c>
      <c r="W12" s="192">
        <v>5</v>
      </c>
      <c r="X12" s="177" t="s">
        <v>488</v>
      </c>
      <c r="Y12" s="179" t="s">
        <v>500</v>
      </c>
      <c r="Z12" s="179" t="s">
        <v>503</v>
      </c>
      <c r="AA12" s="179" t="s">
        <v>638</v>
      </c>
      <c r="AB12" s="180" t="s">
        <v>580</v>
      </c>
      <c r="AC12" s="177" t="str">
        <f ca="1">IF(OR(Tabla_Menu[[#This Row],[Nivel]]="",IFERROR(SEARCH(MID(CELL("nombrearchivo"),FIND(".xlsm]",CELL("nombrearchivo"),1)+6,100),Tabla_Menu[[#This Row],[HOJAS NO MUESTRA]],1),0)&gt;0),"N/A","")</f>
        <v/>
      </c>
      <c r="AD12" s="191">
        <f ca="1">IF(Tabla_Menu[[#This Row],[N/A]]="",,COUNTIF(Tabla_Menu[Nivel &amp; Incluir],Tabla_Menu[[#This Row],[Nivel &amp; Incluir]]))</f>
        <v>0</v>
      </c>
      <c r="AE12" s="181" t="str">
        <f ca="1">Tabla_Menu[[#This Row],[Nivel]]&amp;Tabla_Menu[[#This Row],[N/A]]</f>
        <v>IR A…</v>
      </c>
      <c r="AF12" s="179"/>
    </row>
    <row r="13" spans="1:35" outlineLevel="1" x14ac:dyDescent="0.5">
      <c r="A13" s="138" t="str">
        <f t="shared" si="1"/>
        <v>Z_IN_10_CS</v>
      </c>
      <c r="B13" s="137" t="str">
        <f t="shared" si="2"/>
        <v>IN</v>
      </c>
      <c r="C13" s="138" t="s">
        <v>71</v>
      </c>
      <c r="D13" s="170"/>
      <c r="E13" s="148" t="str">
        <f>IFERROR(IF(D13&lt;&gt;"",D13,HLOOKUP($E$2,$F$2:K13,ROW(D13)-1,0)),F13)</f>
        <v>Verdadero/Falso</v>
      </c>
      <c r="F13" s="148" t="s">
        <v>457</v>
      </c>
      <c r="G13" s="148" t="s">
        <v>458</v>
      </c>
      <c r="H13" s="148" t="s">
        <v>459</v>
      </c>
      <c r="I13" s="148" t="s">
        <v>460</v>
      </c>
      <c r="J13" s="148" t="s">
        <v>461</v>
      </c>
      <c r="K13" s="148" t="s">
        <v>462</v>
      </c>
      <c r="L13" s="148" t="s">
        <v>669</v>
      </c>
      <c r="M13" s="48" t="s">
        <v>31</v>
      </c>
      <c r="N13" s="48" t="s">
        <v>31</v>
      </c>
      <c r="O13" s="237" t="s">
        <v>753</v>
      </c>
      <c r="P13" s="178" t="s">
        <v>754</v>
      </c>
      <c r="Q13" s="238">
        <v>0</v>
      </c>
      <c r="R13" s="48"/>
      <c r="S13" s="177">
        <f ca="1">IF(Tabla_Menu[[#This Row],[Nivel]]=T12,0,COUNTIF(Tabla_Menu[Nivel],Tabla_Menu[[#This Row],[Nivel]]))</f>
        <v>0</v>
      </c>
      <c r="T13" s="191" t="str">
        <f ca="1">IFERROR(INDIRECT(Tabla_Menu[[#This Row],[Nivel 1]]&amp;IDIOMA),"")</f>
        <v>IR A…</v>
      </c>
      <c r="U13" s="191" t="str">
        <f ca="1">IFERROR(INDIRECT(Tabla_Menu[[#This Row],[Nivel 2]]&amp;IDIOMA)&amp;IF(Tabla_Menu[[#This Row],[Nivel]]="",""," "&amp;Tabla_Menu[[#This Row],['[Teclas']]]),"")</f>
        <v xml:space="preserve">Emparejar </v>
      </c>
      <c r="V13" s="191" t="s">
        <v>587</v>
      </c>
      <c r="W13" s="192">
        <v>5</v>
      </c>
      <c r="X13" s="177" t="s">
        <v>488</v>
      </c>
      <c r="Y13" s="179" t="s">
        <v>500</v>
      </c>
      <c r="Z13" s="179" t="s">
        <v>564</v>
      </c>
      <c r="AA13" s="179" t="s">
        <v>639</v>
      </c>
      <c r="AB13" s="180" t="s">
        <v>581</v>
      </c>
      <c r="AC13" s="177" t="str">
        <f ca="1">IF(OR(Tabla_Menu[[#This Row],[Nivel]]="",IFERROR(SEARCH(MID(CELL("nombrearchivo"),FIND(".xlsm]",CELL("nombrearchivo"),1)+6,100),Tabla_Menu[[#This Row],[HOJAS NO MUESTRA]],1),0)&gt;0),"N/A","")</f>
        <v/>
      </c>
      <c r="AD13" s="191">
        <f ca="1">IF(Tabla_Menu[[#This Row],[N/A]]="",,COUNTIF(Tabla_Menu[Nivel &amp; Incluir],Tabla_Menu[[#This Row],[Nivel &amp; Incluir]]))</f>
        <v>0</v>
      </c>
      <c r="AE13" s="181" t="str">
        <f ca="1">Tabla_Menu[[#This Row],[Nivel]]&amp;Tabla_Menu[[#This Row],[N/A]]</f>
        <v>IR A…</v>
      </c>
      <c r="AF13" s="179"/>
    </row>
    <row r="14" spans="1:35" outlineLevel="1" x14ac:dyDescent="0.5">
      <c r="A14" s="136" t="str">
        <f t="shared" si="1"/>
        <v>Z_IN_11_CS</v>
      </c>
      <c r="B14" s="135" t="str">
        <f t="shared" si="2"/>
        <v>IN</v>
      </c>
      <c r="C14" s="136" t="s">
        <v>72</v>
      </c>
      <c r="D14" s="169"/>
      <c r="E14" s="147" t="str">
        <f>IFERROR(IF(D14&lt;&gt;"",D14,HLOOKUP($E$2,$F$2:K14,ROW(D14)-1,0)),F14)</f>
        <v>Emparejar</v>
      </c>
      <c r="F14" s="147" t="s">
        <v>7</v>
      </c>
      <c r="G14" s="147" t="s">
        <v>463</v>
      </c>
      <c r="H14" s="147" t="s">
        <v>464</v>
      </c>
      <c r="I14" s="147" t="s">
        <v>73</v>
      </c>
      <c r="J14" s="147" t="s">
        <v>465</v>
      </c>
      <c r="K14" s="147" t="s">
        <v>466</v>
      </c>
      <c r="L14" s="147" t="s">
        <v>670</v>
      </c>
      <c r="M14" s="48" t="s">
        <v>31</v>
      </c>
      <c r="N14" s="48" t="s">
        <v>31</v>
      </c>
      <c r="O14" s="235" t="s">
        <v>755</v>
      </c>
      <c r="P14" s="230" t="s">
        <v>756</v>
      </c>
      <c r="Q14" s="236">
        <v>0</v>
      </c>
      <c r="R14" s="48"/>
      <c r="S14" s="177">
        <f ca="1">IF(Tabla_Menu[[#This Row],[Nivel]]=T13,0,COUNTIF(Tabla_Menu[Nivel],Tabla_Menu[[#This Row],[Nivel]]))</f>
        <v>0</v>
      </c>
      <c r="T14" s="191" t="str">
        <f ca="1">IFERROR(INDIRECT(Tabla_Menu[[#This Row],[Nivel 1]]&amp;IDIOMA),"")</f>
        <v>IR A…</v>
      </c>
      <c r="U14" s="191" t="str">
        <f ca="1">IFERROR(INDIRECT(Tabla_Menu[[#This Row],[Nivel 2]]&amp;IDIOMA)&amp;IF(Tabla_Menu[[#This Row],[Nivel]]="",""," "&amp;Tabla_Menu[[#This Row],['[Teclas']]]),"")</f>
        <v xml:space="preserve">Respuesta Corta </v>
      </c>
      <c r="V14" s="191" t="s">
        <v>573</v>
      </c>
      <c r="W14" s="192">
        <v>5</v>
      </c>
      <c r="X14" s="177" t="s">
        <v>488</v>
      </c>
      <c r="Y14" s="179" t="s">
        <v>500</v>
      </c>
      <c r="Z14" s="179" t="s">
        <v>565</v>
      </c>
      <c r="AA14" s="179" t="s">
        <v>640</v>
      </c>
      <c r="AB14" s="180" t="s">
        <v>582</v>
      </c>
      <c r="AC14" s="177" t="str">
        <f ca="1">IF(OR(Tabla_Menu[[#This Row],[Nivel]]="",IFERROR(SEARCH(MID(CELL("nombrearchivo"),FIND(".xlsm]",CELL("nombrearchivo"),1)+6,100),Tabla_Menu[[#This Row],[HOJAS NO MUESTRA]],1),0)&gt;0),"N/A","")</f>
        <v/>
      </c>
      <c r="AD14" s="191">
        <f ca="1">IF(Tabla_Menu[[#This Row],[N/A]]="",,COUNTIF(Tabla_Menu[Nivel &amp; Incluir],Tabla_Menu[[#This Row],[Nivel &amp; Incluir]]))</f>
        <v>0</v>
      </c>
      <c r="AE14" s="181" t="str">
        <f ca="1">Tabla_Menu[[#This Row],[Nivel]]&amp;Tabla_Menu[[#This Row],[N/A]]</f>
        <v>IR A…</v>
      </c>
      <c r="AF14" s="179"/>
    </row>
    <row r="15" spans="1:35" outlineLevel="1" x14ac:dyDescent="0.5">
      <c r="A15" s="138" t="str">
        <f t="shared" si="1"/>
        <v>Z_IN_12_CS</v>
      </c>
      <c r="B15" s="137" t="str">
        <f t="shared" si="2"/>
        <v>IN</v>
      </c>
      <c r="C15" s="138" t="s">
        <v>74</v>
      </c>
      <c r="D15" s="170"/>
      <c r="E15" s="148" t="str">
        <f>IFERROR(IF(D15&lt;&gt;"",D15,HLOOKUP($E$2,$F$2:K15,ROW(D15)-1,0)),F15)</f>
        <v>Respuesta Corta</v>
      </c>
      <c r="F15" s="148" t="s">
        <v>8</v>
      </c>
      <c r="G15" s="148" t="s">
        <v>75</v>
      </c>
      <c r="H15" s="148" t="s">
        <v>265</v>
      </c>
      <c r="I15" s="148" t="s">
        <v>266</v>
      </c>
      <c r="J15" s="148" t="s">
        <v>267</v>
      </c>
      <c r="K15" s="148" t="s">
        <v>467</v>
      </c>
      <c r="L15" s="148" t="s">
        <v>671</v>
      </c>
      <c r="M15" s="48" t="s">
        <v>31</v>
      </c>
      <c r="N15" s="48" t="s">
        <v>31</v>
      </c>
      <c r="O15" s="237" t="s">
        <v>757</v>
      </c>
      <c r="P15" s="178" t="s">
        <v>758</v>
      </c>
      <c r="Q15" s="238">
        <v>0</v>
      </c>
      <c r="R15" s="48"/>
      <c r="S15" s="177">
        <f ca="1">IF(Tabla_Menu[[#This Row],[Nivel]]=T14,0,COUNTIF(Tabla_Menu[Nivel],Tabla_Menu[[#This Row],[Nivel]]))</f>
        <v>0</v>
      </c>
      <c r="T15" s="191" t="str">
        <f ca="1">IFERROR(INDIRECT(Tabla_Menu[[#This Row],[Nivel 1]]&amp;IDIOMA),"")</f>
        <v>IR A…</v>
      </c>
      <c r="U15" s="191" t="str">
        <f ca="1">IFERROR(INDIRECT(Tabla_Menu[[#This Row],[Nivel 2]]&amp;IDIOMA)&amp;IF(Tabla_Menu[[#This Row],[Nivel]]="",""," "&amp;Tabla_Menu[[#This Row],['[Teclas']]]),"")</f>
        <v xml:space="preserve">Palabra Perdida </v>
      </c>
      <c r="V15" s="191" t="s">
        <v>574</v>
      </c>
      <c r="W15" s="192">
        <v>5</v>
      </c>
      <c r="X15" s="177" t="s">
        <v>488</v>
      </c>
      <c r="Y15" s="179" t="s">
        <v>500</v>
      </c>
      <c r="Z15" s="179" t="s">
        <v>566</v>
      </c>
      <c r="AA15" s="179" t="s">
        <v>641</v>
      </c>
      <c r="AB15" s="180" t="s">
        <v>583</v>
      </c>
      <c r="AC15" s="177" t="str">
        <f ca="1">IF(OR(Tabla_Menu[[#This Row],[Nivel]]="",IFERROR(SEARCH(MID(CELL("nombrearchivo"),FIND(".xlsm]",CELL("nombrearchivo"),1)+6,100),Tabla_Menu[[#This Row],[HOJAS NO MUESTRA]],1),0)&gt;0),"N/A","")</f>
        <v/>
      </c>
      <c r="AD15" s="191">
        <f ca="1">IF(Tabla_Menu[[#This Row],[N/A]]="",,COUNTIF(Tabla_Menu[Nivel &amp; Incluir],Tabla_Menu[[#This Row],[Nivel &amp; Incluir]]))</f>
        <v>0</v>
      </c>
      <c r="AE15" s="181" t="str">
        <f ca="1">Tabla_Menu[[#This Row],[Nivel]]&amp;Tabla_Menu[[#This Row],[N/A]]</f>
        <v>IR A…</v>
      </c>
      <c r="AF15" s="179"/>
    </row>
    <row r="16" spans="1:35" outlineLevel="1" x14ac:dyDescent="0.5">
      <c r="A16" s="136" t="str">
        <f t="shared" si="1"/>
        <v>Z_IN_13_CS</v>
      </c>
      <c r="B16" s="135" t="str">
        <f t="shared" si="2"/>
        <v>IN</v>
      </c>
      <c r="C16" s="136" t="s">
        <v>76</v>
      </c>
      <c r="D16" s="169"/>
      <c r="E16" s="147" t="str">
        <f>IFERROR(IF(D16&lt;&gt;"",D16,HLOOKUP($E$2,$F$2:K16,ROW(D16)-1,0)),F16)</f>
        <v>Palabra Perdida</v>
      </c>
      <c r="F16" s="147" t="s">
        <v>9</v>
      </c>
      <c r="G16" s="147" t="s">
        <v>77</v>
      </c>
      <c r="H16" s="147" t="s">
        <v>468</v>
      </c>
      <c r="I16" s="147" t="s">
        <v>268</v>
      </c>
      <c r="J16" s="147" t="s">
        <v>469</v>
      </c>
      <c r="K16" s="147" t="s">
        <v>470</v>
      </c>
      <c r="L16" s="147" t="s">
        <v>672</v>
      </c>
      <c r="M16" s="48" t="s">
        <v>31</v>
      </c>
      <c r="N16" s="48" t="s">
        <v>31</v>
      </c>
      <c r="O16" s="235" t="s">
        <v>759</v>
      </c>
      <c r="P16" s="230" t="s">
        <v>760</v>
      </c>
      <c r="Q16" s="236">
        <v>0</v>
      </c>
      <c r="R16" s="48"/>
      <c r="S16" s="177">
        <f ca="1">IF(Tabla_Menu[[#This Row],[Nivel]]=T15,0,COUNTIF(Tabla_Menu[Nivel],Tabla_Menu[[#This Row],[Nivel]]))</f>
        <v>0</v>
      </c>
      <c r="T16" s="191" t="str">
        <f ca="1">IFERROR(INDIRECT(Tabla_Menu[[#This Row],[Nivel 1]]&amp;IDIOMA),"")</f>
        <v>IR A…</v>
      </c>
      <c r="U16" s="191" t="str">
        <f ca="1">IFERROR(INDIRECT(Tabla_Menu[[#This Row],[Nivel 2]]&amp;IDIOMA)&amp;IF(Tabla_Menu[[#This Row],[Nivel]]="",""," "&amp;Tabla_Menu[[#This Row],['[Teclas']]]),"")</f>
        <v xml:space="preserve">Ensayo </v>
      </c>
      <c r="V16" s="191" t="s">
        <v>575</v>
      </c>
      <c r="W16" s="192">
        <v>5</v>
      </c>
      <c r="X16" s="177" t="s">
        <v>488</v>
      </c>
      <c r="Y16" s="179" t="s">
        <v>500</v>
      </c>
      <c r="Z16" s="179" t="s">
        <v>568</v>
      </c>
      <c r="AA16" s="179" t="s">
        <v>642</v>
      </c>
      <c r="AB16" s="180" t="s">
        <v>584</v>
      </c>
      <c r="AC16" s="177" t="str">
        <f ca="1">IF(OR(Tabla_Menu[[#This Row],[Nivel]]="",IFERROR(SEARCH(MID(CELL("nombrearchivo"),FIND(".xlsm]",CELL("nombrearchivo"),1)+6,100),Tabla_Menu[[#This Row],[HOJAS NO MUESTRA]],1),0)&gt;0),"N/A","")</f>
        <v/>
      </c>
      <c r="AD16" s="191">
        <f ca="1">IF(Tabla_Menu[[#This Row],[N/A]]="",,COUNTIF(Tabla_Menu[Nivel &amp; Incluir],Tabla_Menu[[#This Row],[Nivel &amp; Incluir]]))</f>
        <v>0</v>
      </c>
      <c r="AE16" s="181" t="str">
        <f ca="1">Tabla_Menu[[#This Row],[Nivel]]&amp;Tabla_Menu[[#This Row],[N/A]]</f>
        <v>IR A…</v>
      </c>
      <c r="AF16" s="179"/>
    </row>
    <row r="17" spans="1:32" outlineLevel="1" x14ac:dyDescent="0.5">
      <c r="A17" s="138" t="str">
        <f t="shared" si="1"/>
        <v>Z_IN_14_CS</v>
      </c>
      <c r="B17" s="137" t="str">
        <f t="shared" si="2"/>
        <v>IN</v>
      </c>
      <c r="C17" s="138" t="s">
        <v>78</v>
      </c>
      <c r="D17" s="170"/>
      <c r="E17" s="148" t="str">
        <f>IFERROR(IF(D17&lt;&gt;"",D17,HLOOKUP($E$2,$F$2:K17,ROW(D17)-1,0)),F17)</f>
        <v>Cloze</v>
      </c>
      <c r="F17" s="148" t="s">
        <v>79</v>
      </c>
      <c r="G17" s="148" t="s">
        <v>79</v>
      </c>
      <c r="H17" s="148" t="s">
        <v>79</v>
      </c>
      <c r="I17" s="148" t="s">
        <v>79</v>
      </c>
      <c r="J17" s="148" t="s">
        <v>79</v>
      </c>
      <c r="K17" s="148" t="s">
        <v>80</v>
      </c>
      <c r="L17" s="148" t="s">
        <v>673</v>
      </c>
      <c r="M17" s="48" t="s">
        <v>31</v>
      </c>
      <c r="N17" s="48" t="s">
        <v>31</v>
      </c>
      <c r="O17" s="237" t="s">
        <v>761</v>
      </c>
      <c r="P17" s="178" t="s">
        <v>762</v>
      </c>
      <c r="Q17" s="238">
        <v>0</v>
      </c>
      <c r="R17" s="48"/>
      <c r="S17" s="177">
        <f ca="1">IF(Tabla_Menu[[#This Row],[Nivel]]=T16,0,COUNTIF(Tabla_Menu[Nivel],Tabla_Menu[[#This Row],[Nivel]]))</f>
        <v>0</v>
      </c>
      <c r="T17" s="191" t="str">
        <f ca="1">IFERROR(INDIRECT(Tabla_Menu[[#This Row],[Nivel 1]]&amp;IDIOMA),"")</f>
        <v>IR A…</v>
      </c>
      <c r="U17" s="191" t="str">
        <f ca="1">IFERROR(INDIRECT(Tabla_Menu[[#This Row],[Nivel 2]]&amp;IDIOMA)&amp;IF(Tabla_Menu[[#This Row],[Nivel]]="",""," "&amp;Tabla_Menu[[#This Row],['[Teclas']]]),"")</f>
        <v xml:space="preserve">Cloze </v>
      </c>
      <c r="V17" s="191" t="s">
        <v>576</v>
      </c>
      <c r="W17" s="192">
        <v>5</v>
      </c>
      <c r="X17" s="177" t="s">
        <v>488</v>
      </c>
      <c r="Y17" s="179" t="s">
        <v>500</v>
      </c>
      <c r="Z17" s="179" t="s">
        <v>567</v>
      </c>
      <c r="AA17" s="179" t="s">
        <v>643</v>
      </c>
      <c r="AB17" s="180" t="s">
        <v>585</v>
      </c>
      <c r="AC17" s="177" t="str">
        <f ca="1">IF(OR(Tabla_Menu[[#This Row],[Nivel]]="",IFERROR(SEARCH(MID(CELL("nombrearchivo"),FIND(".xlsm]",CELL("nombrearchivo"),1)+6,100),Tabla_Menu[[#This Row],[HOJAS NO MUESTRA]],1),0)&gt;0),"N/A","")</f>
        <v/>
      </c>
      <c r="AD17" s="191">
        <f ca="1">IF(Tabla_Menu[[#This Row],[N/A]]="",,COUNTIF(Tabla_Menu[Nivel &amp; Incluir],Tabla_Menu[[#This Row],[Nivel &amp; Incluir]]))</f>
        <v>0</v>
      </c>
      <c r="AE17" s="181" t="str">
        <f ca="1">Tabla_Menu[[#This Row],[Nivel]]&amp;Tabla_Menu[[#This Row],[N/A]]</f>
        <v>IR A…</v>
      </c>
      <c r="AF17" s="179"/>
    </row>
    <row r="18" spans="1:32" outlineLevel="1" x14ac:dyDescent="0.5">
      <c r="A18" s="136" t="str">
        <f t="shared" si="1"/>
        <v>Z_IN_15_CS</v>
      </c>
      <c r="B18" s="135" t="str">
        <f t="shared" si="2"/>
        <v>IN</v>
      </c>
      <c r="C18" s="136" t="s">
        <v>81</v>
      </c>
      <c r="D18" s="169"/>
      <c r="E18" s="147" t="str">
        <f>IFERROR(IF(D18&lt;&gt;"",D18,HLOOKUP($E$2,$F$2:K18,ROW(D18)-1,0)),F18)</f>
        <v>Preguntas</v>
      </c>
      <c r="F18" s="147" t="s">
        <v>6</v>
      </c>
      <c r="G18" s="147" t="s">
        <v>82</v>
      </c>
      <c r="H18" s="147" t="s">
        <v>82</v>
      </c>
      <c r="I18" s="147" t="s">
        <v>83</v>
      </c>
      <c r="J18" s="147" t="s">
        <v>84</v>
      </c>
      <c r="K18" s="147" t="s">
        <v>85</v>
      </c>
      <c r="L18" s="147" t="s">
        <v>674</v>
      </c>
      <c r="M18" s="48" t="s">
        <v>31</v>
      </c>
      <c r="N18" s="48" t="s">
        <v>31</v>
      </c>
      <c r="O18" s="235" t="s">
        <v>763</v>
      </c>
      <c r="P18" s="230" t="s">
        <v>764</v>
      </c>
      <c r="Q18" s="236">
        <v>0</v>
      </c>
      <c r="R18" s="48"/>
      <c r="S18" s="177">
        <f ca="1">IF(Tabla_Menu[[#This Row],[Nivel]]=T17,0,COUNTIF(Tabla_Menu[Nivel],Tabla_Menu[[#This Row],[Nivel]]))</f>
        <v>1</v>
      </c>
      <c r="T18" s="191" t="str">
        <f ca="1">IFERROR(INDIRECT(Tabla_Menu[[#This Row],[Nivel 1]]&amp;IDIOMA),"")</f>
        <v>LINK DICCIONARIO</v>
      </c>
      <c r="U18" s="191" t="str">
        <f ca="1">IFERROR(INDIRECT(Tabla_Menu[[#This Row],[Nivel 2]]&amp;IDIOMA)&amp;IF(Tabla_Menu[[#This Row],[Nivel]]="",""," "&amp;Tabla_Menu[[#This Row],['[Teclas']]]),"")</f>
        <v xml:space="preserve">LINK DICCIONARIO </v>
      </c>
      <c r="V18" s="191" t="s">
        <v>577</v>
      </c>
      <c r="W18" s="192">
        <v>91</v>
      </c>
      <c r="X18" s="177" t="s">
        <v>490</v>
      </c>
      <c r="Y18" s="179" t="s">
        <v>504</v>
      </c>
      <c r="Z18" s="179" t="s">
        <v>504</v>
      </c>
      <c r="AA18" s="179" t="s">
        <v>616</v>
      </c>
      <c r="AB18" s="180" t="s">
        <v>586</v>
      </c>
      <c r="AC18" s="177" t="str">
        <f ca="1">IF(OR(Tabla_Menu[[#This Row],[Nivel]]="",IFERROR(SEARCH(MID(CELL("nombrearchivo"),FIND(".xlsm]",CELL("nombrearchivo"),1)+6,100),Tabla_Menu[[#This Row],[HOJAS NO MUESTRA]],1),0)&gt;0),"N/A","")</f>
        <v/>
      </c>
      <c r="AD18" s="191">
        <f ca="1">IF(Tabla_Menu[[#This Row],[N/A]]="",,COUNTIF(Tabla_Menu[Nivel &amp; Incluir],Tabla_Menu[[#This Row],[Nivel &amp; Incluir]]))</f>
        <v>0</v>
      </c>
      <c r="AE18" s="181" t="str">
        <f ca="1">Tabla_Menu[[#This Row],[Nivel]]&amp;Tabla_Menu[[#This Row],[N/A]]</f>
        <v>LINK DICCIONARIO</v>
      </c>
      <c r="AF18" s="179"/>
    </row>
    <row r="19" spans="1:32" outlineLevel="1" x14ac:dyDescent="0.5">
      <c r="A19" s="138" t="str">
        <f t="shared" ref="A19:A20" si="3">$A$1&amp;B19&amp;"_"&amp;C19&amp;"_"&amp;$A$2</f>
        <v>Z_IN_16_CS</v>
      </c>
      <c r="B19" s="137" t="str">
        <f t="shared" si="2"/>
        <v>IN</v>
      </c>
      <c r="C19" s="138" t="s">
        <v>159</v>
      </c>
      <c r="D19" s="170"/>
      <c r="E19" s="148" t="str">
        <f>IFERROR(IF(D19&lt;&gt;"",D19,HLOOKUP($E$2,$F$2:K19,ROW(D19)-1,0)),F19)</f>
        <v>Ensayo</v>
      </c>
      <c r="F19" s="148" t="s">
        <v>206</v>
      </c>
      <c r="G19" s="148" t="s">
        <v>207</v>
      </c>
      <c r="H19" s="148" t="s">
        <v>208</v>
      </c>
      <c r="I19" s="148" t="s">
        <v>209</v>
      </c>
      <c r="J19" s="148" t="s">
        <v>210</v>
      </c>
      <c r="K19" s="148" t="s">
        <v>471</v>
      </c>
      <c r="L19" s="148" t="s">
        <v>675</v>
      </c>
      <c r="M19" s="48" t="s">
        <v>31</v>
      </c>
      <c r="N19" s="48" t="s">
        <v>31</v>
      </c>
      <c r="O19" s="237" t="s">
        <v>765</v>
      </c>
      <c r="P19" s="178" t="s">
        <v>766</v>
      </c>
      <c r="Q19" s="238">
        <v>0</v>
      </c>
      <c r="R19" s="48"/>
      <c r="S19" s="177">
        <f ca="1">IF(Tabla_Menu[[#This Row],[Nivel]]=T18,0,COUNTIF(Tabla_Menu[Nivel],Tabla_Menu[[#This Row],[Nivel]]))</f>
        <v>11</v>
      </c>
      <c r="T19" s="191" t="str">
        <f ca="1">IFERROR(INDIRECT(Tabla_Menu[[#This Row],[Nivel 1]]&amp;IDIOMA),"")</f>
        <v/>
      </c>
      <c r="U19" s="191" t="str">
        <f ca="1">IFERROR(INDIRECT(Tabla_Menu[[#This Row],[Nivel 2]]&amp;IDIOMA)&amp;IF(Tabla_Menu[[#This Row],[Nivel]]="",""," "&amp;Tabla_Menu[[#This Row],['[Teclas']]]),"")</f>
        <v/>
      </c>
      <c r="V19" s="191"/>
      <c r="W19" s="192"/>
      <c r="X19" s="177"/>
      <c r="Y19" s="179"/>
      <c r="Z19" s="185" t="s">
        <v>617</v>
      </c>
      <c r="AA19" s="184" t="s">
        <v>618</v>
      </c>
      <c r="AB19" s="180"/>
      <c r="AC19" s="177" t="str">
        <f ca="1">IF(OR(Tabla_Menu[[#This Row],[Nivel]]="",IFERROR(SEARCH(MID(CELL("nombrearchivo"),FIND(".xlsm]",CELL("nombrearchivo"),1)+6,100),Tabla_Menu[[#This Row],[HOJAS NO MUESTRA]],1),0)&gt;0),"N/A","")</f>
        <v>N/A</v>
      </c>
      <c r="AD19" s="191">
        <f ca="1">IF(Tabla_Menu[[#This Row],[N/A]]="",,COUNTIF(Tabla_Menu[Nivel &amp; Incluir],Tabla_Menu[[#This Row],[Nivel &amp; Incluir]]))</f>
        <v>11</v>
      </c>
      <c r="AE19" s="181" t="str">
        <f ca="1">Tabla_Menu[[#This Row],[Nivel]]&amp;Tabla_Menu[[#This Row],[N/A]]</f>
        <v>N/A</v>
      </c>
      <c r="AF19" s="179"/>
    </row>
    <row r="20" spans="1:32" outlineLevel="1" x14ac:dyDescent="0.5">
      <c r="A20" s="136" t="str">
        <f t="shared" si="3"/>
        <v>Z_IN_17_CS</v>
      </c>
      <c r="B20" s="135" t="str">
        <f t="shared" si="2"/>
        <v>IN</v>
      </c>
      <c r="C20" s="136">
        <v>17</v>
      </c>
      <c r="D20" s="169"/>
      <c r="E20" s="147" t="str">
        <f>IFERROR(IF(D20&lt;&gt;"",D20,HLOOKUP($E$2,$F$2:K20,ROW(D20)-1,0)),F20)</f>
        <v>PERSONALIZAR DICCIONARIO</v>
      </c>
      <c r="F20" s="147" t="s">
        <v>393</v>
      </c>
      <c r="G20" s="147" t="s">
        <v>394</v>
      </c>
      <c r="H20" s="147" t="s">
        <v>395</v>
      </c>
      <c r="I20" s="147" t="s">
        <v>396</v>
      </c>
      <c r="J20" s="147" t="s">
        <v>397</v>
      </c>
      <c r="K20" s="147" t="s">
        <v>398</v>
      </c>
      <c r="L20" s="147" t="s">
        <v>676</v>
      </c>
      <c r="M20" s="48"/>
      <c r="N20" s="48"/>
      <c r="O20" s="235" t="s">
        <v>767</v>
      </c>
      <c r="P20" s="230" t="s">
        <v>768</v>
      </c>
      <c r="Q20" s="236">
        <v>0</v>
      </c>
      <c r="R20" s="48"/>
      <c r="S20" s="177">
        <f ca="1">IF(Tabla_Menu[[#This Row],[Nivel]]=T19,0,COUNTIF(Tabla_Menu[Nivel],Tabla_Menu[[#This Row],[Nivel]]))</f>
        <v>0</v>
      </c>
      <c r="T20" s="191" t="str">
        <f ca="1">IFERROR(INDIRECT(Tabla_Menu[[#This Row],[Nivel 1]]&amp;IDIOMA),"")</f>
        <v/>
      </c>
      <c r="U20" s="191" t="str">
        <f ca="1">IFERROR(INDIRECT(Tabla_Menu[[#This Row],[Nivel 2]]&amp;IDIOMA)&amp;IF(Tabla_Menu[[#This Row],[Nivel]]="",""," "&amp;Tabla_Menu[[#This Row],['[Teclas']]]),"")</f>
        <v/>
      </c>
      <c r="V20" s="191"/>
      <c r="W20" s="192"/>
      <c r="X20" s="177"/>
      <c r="Y20" s="179"/>
      <c r="Z20" s="181" t="s">
        <v>619</v>
      </c>
      <c r="AA20" s="177" t="s">
        <v>620</v>
      </c>
      <c r="AB20" s="180"/>
      <c r="AC20" s="177" t="str">
        <f ca="1">IF(OR(Tabla_Menu[[#This Row],[Nivel]]="",IFERROR(SEARCH(MID(CELL("nombrearchivo"),FIND(".xlsm]",CELL("nombrearchivo"),1)+6,100),Tabla_Menu[[#This Row],[HOJAS NO MUESTRA]],1),0)&gt;0),"N/A","")</f>
        <v>N/A</v>
      </c>
      <c r="AD20" s="191">
        <f ca="1">IF(Tabla_Menu[[#This Row],[N/A]]="",,COUNTIF(Tabla_Menu[Nivel &amp; Incluir],Tabla_Menu[[#This Row],[Nivel &amp; Incluir]]))</f>
        <v>11</v>
      </c>
      <c r="AE20" s="181" t="str">
        <f ca="1">Tabla_Menu[[#This Row],[Nivel]]&amp;Tabla_Menu[[#This Row],[N/A]]</f>
        <v>N/A</v>
      </c>
      <c r="AF20" s="179"/>
    </row>
    <row r="21" spans="1:32" x14ac:dyDescent="0.5">
      <c r="A21" s="50" t="str">
        <f t="shared" si="1"/>
        <v>Z_BP_00_CS</v>
      </c>
      <c r="B21" s="49" t="s">
        <v>86</v>
      </c>
      <c r="C21" s="50" t="s">
        <v>26</v>
      </c>
      <c r="D21" s="168"/>
      <c r="E21" s="146" t="str">
        <f>IFERROR(IF(D21&lt;&gt;"",D21,HLOOKUP($E$2,$F$2:K21,ROW(D21)-1,0)),F21)</f>
        <v>Banco de preguntas</v>
      </c>
      <c r="F21" s="146" t="s">
        <v>87</v>
      </c>
      <c r="G21" s="146" t="s">
        <v>88</v>
      </c>
      <c r="H21" s="146" t="s">
        <v>89</v>
      </c>
      <c r="I21" s="146" t="s">
        <v>90</v>
      </c>
      <c r="J21" s="146" t="s">
        <v>91</v>
      </c>
      <c r="K21" s="146" t="s">
        <v>92</v>
      </c>
      <c r="L21" s="146" t="s">
        <v>677</v>
      </c>
      <c r="M21" s="48" t="s">
        <v>31</v>
      </c>
      <c r="N21" s="48" t="s">
        <v>31</v>
      </c>
      <c r="O21" s="237" t="s">
        <v>769</v>
      </c>
      <c r="P21" s="178" t="s">
        <v>770</v>
      </c>
      <c r="Q21" s="238">
        <v>0</v>
      </c>
      <c r="R21" s="48"/>
      <c r="S21" s="177">
        <f ca="1">IF(Tabla_Menu[[#This Row],[Nivel]]=T20,0,COUNTIF(Tabla_Menu[Nivel],Tabla_Menu[[#This Row],[Nivel]]))</f>
        <v>0</v>
      </c>
      <c r="T21" s="191" t="str">
        <f ca="1">IFERROR(INDIRECT(Tabla_Menu[[#This Row],[Nivel 1]]&amp;IDIOMA),"")</f>
        <v/>
      </c>
      <c r="U21" s="191" t="str">
        <f ca="1">IFERROR(INDIRECT(Tabla_Menu[[#This Row],[Nivel 2]]&amp;IDIOMA)&amp;IF(Tabla_Menu[[#This Row],[Nivel]]="",""," "&amp;Tabla_Menu[[#This Row],['[Teclas']]]),"")</f>
        <v/>
      </c>
      <c r="V21" s="191"/>
      <c r="W21" s="192"/>
      <c r="X21" s="177"/>
      <c r="Y21" s="179"/>
      <c r="Z21" s="185" t="s">
        <v>621</v>
      </c>
      <c r="AA21" s="184" t="s">
        <v>622</v>
      </c>
      <c r="AB21" s="180"/>
      <c r="AC21" s="177" t="str">
        <f ca="1">IF(OR(Tabla_Menu[[#This Row],[Nivel]]="",IFERROR(SEARCH(MID(CELL("nombrearchivo"),FIND(".xlsm]",CELL("nombrearchivo"),1)+6,100),Tabla_Menu[[#This Row],[HOJAS NO MUESTRA]],1),0)&gt;0),"N/A","")</f>
        <v>N/A</v>
      </c>
      <c r="AD21" s="191">
        <f ca="1">IF(Tabla_Menu[[#This Row],[N/A]]="",,COUNTIF(Tabla_Menu[Nivel &amp; Incluir],Tabla_Menu[[#This Row],[Nivel &amp; Incluir]]))</f>
        <v>11</v>
      </c>
      <c r="AE21" s="181" t="str">
        <f ca="1">Tabla_Menu[[#This Row],[Nivel]]&amp;Tabla_Menu[[#This Row],[N/A]]</f>
        <v>N/A</v>
      </c>
      <c r="AF21" s="179"/>
    </row>
    <row r="22" spans="1:32" outlineLevel="1" x14ac:dyDescent="0.5">
      <c r="A22" s="136" t="str">
        <f t="shared" si="1"/>
        <v>Z_BP_01_CS</v>
      </c>
      <c r="B22" s="135" t="str">
        <f t="shared" ref="B22:B54" si="4">B21</f>
        <v>BP</v>
      </c>
      <c r="C22" s="136" t="s">
        <v>32</v>
      </c>
      <c r="D22" s="169"/>
      <c r="E22" s="147" t="str">
        <f>IFERROR(IF(D22&lt;&gt;"",D22,HLOOKUP($E$2,$F$2:K22,ROW(D22)-1,0)),F22)</f>
        <v>Preguntas Almacenadas</v>
      </c>
      <c r="F22" s="147" t="s">
        <v>93</v>
      </c>
      <c r="G22" s="147" t="s">
        <v>94</v>
      </c>
      <c r="H22" s="147" t="s">
        <v>95</v>
      </c>
      <c r="I22" s="147" t="s">
        <v>96</v>
      </c>
      <c r="J22" s="147" t="s">
        <v>97</v>
      </c>
      <c r="K22" s="147" t="s">
        <v>98</v>
      </c>
      <c r="L22" s="147" t="s">
        <v>678</v>
      </c>
      <c r="M22" s="48" t="s">
        <v>31</v>
      </c>
      <c r="N22" s="48" t="s">
        <v>31</v>
      </c>
      <c r="O22" s="235" t="s">
        <v>771</v>
      </c>
      <c r="P22" s="230" t="s">
        <v>772</v>
      </c>
      <c r="Q22" s="236">
        <v>0</v>
      </c>
      <c r="R22" s="48"/>
      <c r="S22" s="177">
        <f ca="1">IF(Tabla_Menu[[#This Row],[Nivel]]=T21,0,COUNTIF(Tabla_Menu[Nivel],Tabla_Menu[[#This Row],[Nivel]]))</f>
        <v>0</v>
      </c>
      <c r="T22" s="191" t="str">
        <f ca="1">IFERROR(INDIRECT(Tabla_Menu[[#This Row],[Nivel 1]]&amp;IDIOMA),"")</f>
        <v/>
      </c>
      <c r="U22" s="191" t="str">
        <f ca="1">IFERROR(INDIRECT(Tabla_Menu[[#This Row],[Nivel 2]]&amp;IDIOMA)&amp;IF(Tabla_Menu[[#This Row],[Nivel]]="",""," "&amp;Tabla_Menu[[#This Row],['[Teclas']]]),"")</f>
        <v/>
      </c>
      <c r="V22" s="191"/>
      <c r="W22" s="192"/>
      <c r="X22" s="177"/>
      <c r="Y22" s="179"/>
      <c r="Z22" s="181" t="s">
        <v>623</v>
      </c>
      <c r="AA22" s="177" t="s">
        <v>624</v>
      </c>
      <c r="AB22" s="180"/>
      <c r="AC22" s="177" t="str">
        <f ca="1">IF(OR(Tabla_Menu[[#This Row],[Nivel]]="",IFERROR(SEARCH(MID(CELL("nombrearchivo"),FIND(".xlsm]",CELL("nombrearchivo"),1)+6,100),Tabla_Menu[[#This Row],[HOJAS NO MUESTRA]],1),0)&gt;0),"N/A","")</f>
        <v>N/A</v>
      </c>
      <c r="AD22" s="191">
        <f ca="1">IF(Tabla_Menu[[#This Row],[N/A]]="",,COUNTIF(Tabla_Menu[Nivel &amp; Incluir],Tabla_Menu[[#This Row],[Nivel &amp; Incluir]]))</f>
        <v>11</v>
      </c>
      <c r="AE22" s="181" t="str">
        <f ca="1">Tabla_Menu[[#This Row],[Nivel]]&amp;Tabla_Menu[[#This Row],[N/A]]</f>
        <v>N/A</v>
      </c>
      <c r="AF22" s="179"/>
    </row>
    <row r="23" spans="1:32" outlineLevel="1" x14ac:dyDescent="0.5">
      <c r="A23" s="138" t="str">
        <f t="shared" si="1"/>
        <v>Z_BP_02_CS</v>
      </c>
      <c r="B23" s="137" t="str">
        <f t="shared" si="4"/>
        <v>BP</v>
      </c>
      <c r="C23" s="138" t="s">
        <v>33</v>
      </c>
      <c r="D23" s="170"/>
      <c r="E23" s="148" t="str">
        <f>IFERROR(IF(D23&lt;&gt;"",D23,HLOOKUP($E$2,$F$2:K23,ROW(D23)-1,0)),F23)</f>
        <v>DICCIONARIO</v>
      </c>
      <c r="F23" s="148" t="s">
        <v>391</v>
      </c>
      <c r="G23" s="148" t="s">
        <v>392</v>
      </c>
      <c r="H23" s="148" t="s">
        <v>399</v>
      </c>
      <c r="I23" s="148" t="s">
        <v>400</v>
      </c>
      <c r="J23" s="148" t="s">
        <v>401</v>
      </c>
      <c r="K23" s="148" t="s">
        <v>402</v>
      </c>
      <c r="L23" s="148" t="s">
        <v>679</v>
      </c>
      <c r="O23" s="237" t="s">
        <v>773</v>
      </c>
      <c r="P23" s="178" t="s">
        <v>774</v>
      </c>
      <c r="Q23" s="238">
        <v>0</v>
      </c>
      <c r="S23" s="177">
        <f ca="1">IF(Tabla_Menu[[#This Row],[Nivel]]=T22,0,COUNTIF(Tabla_Menu[Nivel],Tabla_Menu[[#This Row],[Nivel]]))</f>
        <v>0</v>
      </c>
      <c r="T23" s="191" t="str">
        <f ca="1">IFERROR(INDIRECT(Tabla_Menu[[#This Row],[Nivel 1]]&amp;IDIOMA),"")</f>
        <v/>
      </c>
      <c r="U23" s="191" t="str">
        <f ca="1">IFERROR(INDIRECT(Tabla_Menu[[#This Row],[Nivel 2]]&amp;IDIOMA)&amp;IF(Tabla_Menu[[#This Row],[Nivel]]="",""," "&amp;Tabla_Menu[[#This Row],['[Teclas']]]),"")</f>
        <v/>
      </c>
      <c r="V23" s="191"/>
      <c r="W23" s="192"/>
      <c r="X23" s="177"/>
      <c r="Y23" s="179"/>
      <c r="Z23" s="185" t="s">
        <v>625</v>
      </c>
      <c r="AA23" s="184" t="s">
        <v>626</v>
      </c>
      <c r="AB23" s="180"/>
      <c r="AC23" s="177" t="str">
        <f ca="1">IF(OR(Tabla_Menu[[#This Row],[Nivel]]="",IFERROR(SEARCH(MID(CELL("nombrearchivo"),FIND(".xlsm]",CELL("nombrearchivo"),1)+6,100),Tabla_Menu[[#This Row],[HOJAS NO MUESTRA]],1),0)&gt;0),"N/A","")</f>
        <v>N/A</v>
      </c>
      <c r="AD23" s="191">
        <f ca="1">IF(Tabla_Menu[[#This Row],[N/A]]="",,COUNTIF(Tabla_Menu[Nivel &amp; Incluir],Tabla_Menu[[#This Row],[Nivel &amp; Incluir]]))</f>
        <v>11</v>
      </c>
      <c r="AE23" s="181" t="str">
        <f ca="1">Tabla_Menu[[#This Row],[Nivel]]&amp;Tabla_Menu[[#This Row],[N/A]]</f>
        <v>N/A</v>
      </c>
      <c r="AF23" s="179"/>
    </row>
    <row r="24" spans="1:32" outlineLevel="1" x14ac:dyDescent="0.5">
      <c r="A24" s="136" t="str">
        <f t="shared" si="1"/>
        <v>Z_BP_03_CS</v>
      </c>
      <c r="B24" s="135" t="str">
        <f t="shared" si="4"/>
        <v>BP</v>
      </c>
      <c r="C24" s="136" t="s">
        <v>40</v>
      </c>
      <c r="D24" s="169"/>
      <c r="E24" s="147" t="str">
        <f>IFERROR(IF(D24&lt;&gt;"",D24,HLOOKUP($E$2,$F$2:K24,ROW(D24)-1,0)),F24)</f>
        <v>Enunciado de la pregunta</v>
      </c>
      <c r="F24" s="147" t="s">
        <v>99</v>
      </c>
      <c r="G24" s="147" t="s">
        <v>100</v>
      </c>
      <c r="H24" s="147" t="s">
        <v>101</v>
      </c>
      <c r="I24" s="147" t="s">
        <v>102</v>
      </c>
      <c r="J24" s="147" t="s">
        <v>103</v>
      </c>
      <c r="K24" s="147" t="s">
        <v>104</v>
      </c>
      <c r="L24" s="147" t="s">
        <v>680</v>
      </c>
      <c r="O24" s="235" t="s">
        <v>775</v>
      </c>
      <c r="P24" s="230" t="s">
        <v>776</v>
      </c>
      <c r="Q24" s="236">
        <v>0</v>
      </c>
      <c r="S24" s="177">
        <f ca="1">IF(Tabla_Menu[[#This Row],[Nivel]]=T23,0,COUNTIF(Tabla_Menu[Nivel],Tabla_Menu[[#This Row],[Nivel]]))</f>
        <v>0</v>
      </c>
      <c r="T24" s="191" t="str">
        <f ca="1">IFERROR(INDIRECT(Tabla_Menu[[#This Row],[Nivel 1]]&amp;IDIOMA),"")</f>
        <v/>
      </c>
      <c r="U24" s="191" t="str">
        <f ca="1">IFERROR(INDIRECT(Tabla_Menu[[#This Row],[Nivel 2]]&amp;IDIOMA)&amp;IF(Tabla_Menu[[#This Row],[Nivel]]="",""," "&amp;Tabla_Menu[[#This Row],['[Teclas']]]),"")</f>
        <v/>
      </c>
      <c r="V24" s="191"/>
      <c r="W24" s="192"/>
      <c r="X24" s="177"/>
      <c r="Y24" s="179"/>
      <c r="Z24" s="181" t="s">
        <v>627</v>
      </c>
      <c r="AA24" s="177" t="s">
        <v>628</v>
      </c>
      <c r="AB24" s="180"/>
      <c r="AC24" s="177" t="str">
        <f ca="1">IF(OR(Tabla_Menu[[#This Row],[Nivel]]="",IFERROR(SEARCH(MID(CELL("nombrearchivo"),FIND(".xlsm]",CELL("nombrearchivo"),1)+6,100),Tabla_Menu[[#This Row],[HOJAS NO MUESTRA]],1),0)&gt;0),"N/A","")</f>
        <v>N/A</v>
      </c>
      <c r="AD24" s="191">
        <f ca="1">IF(Tabla_Menu[[#This Row],[N/A]]="",,COUNTIF(Tabla_Menu[Nivel &amp; Incluir],Tabla_Menu[[#This Row],[Nivel &amp; Incluir]]))</f>
        <v>11</v>
      </c>
      <c r="AE24" s="181" t="str">
        <f ca="1">Tabla_Menu[[#This Row],[Nivel]]&amp;Tabla_Menu[[#This Row],[N/A]]</f>
        <v>N/A</v>
      </c>
      <c r="AF24" s="179"/>
    </row>
    <row r="25" spans="1:32" outlineLevel="1" x14ac:dyDescent="0.5">
      <c r="A25" s="138" t="str">
        <f t="shared" si="1"/>
        <v>Z_BP_04_CS</v>
      </c>
      <c r="B25" s="137" t="str">
        <f t="shared" si="4"/>
        <v>BP</v>
      </c>
      <c r="C25" s="138" t="s">
        <v>46</v>
      </c>
      <c r="D25" s="170"/>
      <c r="E25" s="148" t="str">
        <f>IFERROR(IF(D25&lt;&gt;"",D25,HLOOKUP($E$2,$F$2:K25,ROW(D25)-1,0)),F25)</f>
        <v>Descripción</v>
      </c>
      <c r="F25" s="148" t="s">
        <v>105</v>
      </c>
      <c r="G25" s="148" t="s">
        <v>106</v>
      </c>
      <c r="H25" s="148" t="s">
        <v>106</v>
      </c>
      <c r="I25" s="148" t="s">
        <v>107</v>
      </c>
      <c r="J25" s="148" t="s">
        <v>108</v>
      </c>
      <c r="K25" s="148" t="s">
        <v>109</v>
      </c>
      <c r="L25" s="148" t="s">
        <v>681</v>
      </c>
      <c r="O25" s="237" t="s">
        <v>777</v>
      </c>
      <c r="P25" s="178" t="s">
        <v>778</v>
      </c>
      <c r="Q25" s="238">
        <v>0</v>
      </c>
      <c r="S25" s="177">
        <f ca="1">IF(Tabla_Menu[[#This Row],[Nivel]]=T24,0,COUNTIF(Tabla_Menu[Nivel],Tabla_Menu[[#This Row],[Nivel]]))</f>
        <v>0</v>
      </c>
      <c r="T25" s="191" t="str">
        <f ca="1">IFERROR(INDIRECT(Tabla_Menu[[#This Row],[Nivel 1]]&amp;IDIOMA),"")</f>
        <v/>
      </c>
      <c r="U25" s="191" t="str">
        <f ca="1">IFERROR(INDIRECT(Tabla_Menu[[#This Row],[Nivel 2]]&amp;IDIOMA)&amp;IF(Tabla_Menu[[#This Row],[Nivel]]="",""," "&amp;Tabla_Menu[[#This Row],['[Teclas']]]),"")</f>
        <v/>
      </c>
      <c r="V25" s="191"/>
      <c r="W25" s="192"/>
      <c r="X25" s="177"/>
      <c r="Y25" s="179"/>
      <c r="Z25" s="185" t="s">
        <v>629</v>
      </c>
      <c r="AA25" s="184" t="s">
        <v>630</v>
      </c>
      <c r="AB25" s="180"/>
      <c r="AC25" s="177" t="str">
        <f ca="1">IF(OR(Tabla_Menu[[#This Row],[Nivel]]="",IFERROR(SEARCH(MID(CELL("nombrearchivo"),FIND(".xlsm]",CELL("nombrearchivo"),1)+6,100),Tabla_Menu[[#This Row],[HOJAS NO MUESTRA]],1),0)&gt;0),"N/A","")</f>
        <v>N/A</v>
      </c>
      <c r="AD25" s="191">
        <f ca="1">IF(Tabla_Menu[[#This Row],[N/A]]="",,COUNTIF(Tabla_Menu[Nivel &amp; Incluir],Tabla_Menu[[#This Row],[Nivel &amp; Incluir]]))</f>
        <v>11</v>
      </c>
      <c r="AE25" s="181" t="str">
        <f ca="1">Tabla_Menu[[#This Row],[Nivel]]&amp;Tabla_Menu[[#This Row],[N/A]]</f>
        <v>N/A</v>
      </c>
      <c r="AF25" s="179"/>
    </row>
    <row r="26" spans="1:32" outlineLevel="1" x14ac:dyDescent="0.5">
      <c r="A26" s="136" t="str">
        <f t="shared" si="1"/>
        <v>Z_BP_05_CS</v>
      </c>
      <c r="B26" s="135" t="str">
        <f t="shared" si="4"/>
        <v>BP</v>
      </c>
      <c r="C26" s="136" t="s">
        <v>52</v>
      </c>
      <c r="D26" s="169"/>
      <c r="E26" s="147" t="str">
        <f>IFERROR(IF(D26&lt;&gt;"",D26,HLOOKUP($E$2,$F$2:K26,ROW(D26)-1,0)),F26)</f>
        <v>Respuesta Correcta</v>
      </c>
      <c r="F26" s="147" t="s">
        <v>110</v>
      </c>
      <c r="G26" s="147" t="s">
        <v>111</v>
      </c>
      <c r="H26" s="147" t="s">
        <v>112</v>
      </c>
      <c r="I26" s="147" t="s">
        <v>113</v>
      </c>
      <c r="J26" s="147" t="s">
        <v>114</v>
      </c>
      <c r="K26" s="147" t="s">
        <v>115</v>
      </c>
      <c r="L26" s="147" t="s">
        <v>682</v>
      </c>
      <c r="O26" s="235" t="s">
        <v>779</v>
      </c>
      <c r="P26" s="230" t="s">
        <v>780</v>
      </c>
      <c r="Q26" s="236">
        <v>0</v>
      </c>
      <c r="S26" s="177">
        <f ca="1">IF(Tabla_Menu[[#This Row],[Nivel]]=T25,0,COUNTIF(Tabla_Menu[Nivel],Tabla_Menu[[#This Row],[Nivel]]))</f>
        <v>0</v>
      </c>
      <c r="T26" s="191" t="str">
        <f ca="1">IFERROR(INDIRECT(Tabla_Menu[[#This Row],[Nivel 1]]&amp;IDIOMA),"")</f>
        <v/>
      </c>
      <c r="U26" s="191" t="str">
        <f ca="1">IFERROR(INDIRECT(Tabla_Menu[[#This Row],[Nivel 2]]&amp;IDIOMA)&amp;IF(Tabla_Menu[[#This Row],[Nivel]]="",""," "&amp;Tabla_Menu[[#This Row],['[Teclas']]]),"")</f>
        <v/>
      </c>
      <c r="V26" s="191"/>
      <c r="W26" s="192"/>
      <c r="X26" s="177"/>
      <c r="Y26" s="179"/>
      <c r="Z26" s="181" t="s">
        <v>632</v>
      </c>
      <c r="AA26" s="177" t="s">
        <v>633</v>
      </c>
      <c r="AB26" s="180"/>
      <c r="AC26" s="177" t="str">
        <f ca="1">IF(OR(Tabla_Menu[[#This Row],[Nivel]]="",IFERROR(SEARCH(MID(CELL("nombrearchivo"),FIND(".xlsm]",CELL("nombrearchivo"),1)+6,100),Tabla_Menu[[#This Row],[HOJAS NO MUESTRA]],1),0)&gt;0),"N/A","")</f>
        <v>N/A</v>
      </c>
      <c r="AD26" s="191">
        <f ca="1">IF(Tabla_Menu[[#This Row],[N/A]]="",,COUNTIF(Tabla_Menu[Nivel &amp; Incluir],Tabla_Menu[[#This Row],[Nivel &amp; Incluir]]))</f>
        <v>11</v>
      </c>
      <c r="AE26" s="181" t="str">
        <f ca="1">Tabla_Menu[[#This Row],[Nivel]]&amp;Tabla_Menu[[#This Row],[N/A]]</f>
        <v>N/A</v>
      </c>
      <c r="AF26" s="179"/>
    </row>
    <row r="27" spans="1:32" outlineLevel="1" x14ac:dyDescent="0.5">
      <c r="A27" s="138" t="str">
        <f t="shared" si="1"/>
        <v>Z_BP_06_CS</v>
      </c>
      <c r="B27" s="137" t="str">
        <f t="shared" si="4"/>
        <v>BP</v>
      </c>
      <c r="C27" s="138" t="s">
        <v>58</v>
      </c>
      <c r="D27" s="170"/>
      <c r="E27" s="148" t="str">
        <f>IFERROR(IF(D27&lt;&gt;"",D27,HLOOKUP($E$2,$F$2:K27,ROW(D27)-1,0)),F27)</f>
        <v>Respuesta Incorrecta</v>
      </c>
      <c r="F27" s="148" t="s">
        <v>116</v>
      </c>
      <c r="G27" s="148" t="s">
        <v>117</v>
      </c>
      <c r="H27" s="148" t="s">
        <v>118</v>
      </c>
      <c r="I27" s="148" t="s">
        <v>119</v>
      </c>
      <c r="J27" s="148" t="s">
        <v>120</v>
      </c>
      <c r="K27" s="148" t="s">
        <v>121</v>
      </c>
      <c r="L27" s="148" t="s">
        <v>683</v>
      </c>
      <c r="O27" s="237" t="s">
        <v>781</v>
      </c>
      <c r="P27" s="178" t="s">
        <v>782</v>
      </c>
      <c r="Q27" s="238">
        <v>0</v>
      </c>
      <c r="S27" s="177">
        <f ca="1">IF(Tabla_Menu[[#This Row],[Nivel]]=T26,0,COUNTIF(Tabla_Menu[Nivel],Tabla_Menu[[#This Row],[Nivel]]))</f>
        <v>0</v>
      </c>
      <c r="T27" s="191" t="str">
        <f ca="1">IFERROR(INDIRECT(Tabla_Menu[[#This Row],[Nivel 1]]&amp;IDIOMA),"")</f>
        <v/>
      </c>
      <c r="U27" s="191" t="str">
        <f ca="1">IFERROR(INDIRECT(Tabla_Menu[[#This Row],[Nivel 2]]&amp;IDIOMA)&amp;IF(Tabla_Menu[[#This Row],[Nivel]]="",""," "&amp;Tabla_Menu[[#This Row],['[Teclas']]]),"")</f>
        <v/>
      </c>
      <c r="V27" s="191"/>
      <c r="W27" s="192"/>
      <c r="X27" s="177"/>
      <c r="Y27" s="179"/>
      <c r="Z27" s="181" t="s">
        <v>634</v>
      </c>
      <c r="AA27" s="177" t="s">
        <v>635</v>
      </c>
      <c r="AB27" s="180"/>
      <c r="AC27" s="177" t="str">
        <f ca="1">IF(OR(Tabla_Menu[[#This Row],[Nivel]]="",IFERROR(SEARCH(MID(CELL("nombrearchivo"),FIND(".xlsm]",CELL("nombrearchivo"),1)+6,100),Tabla_Menu[[#This Row],[HOJAS NO MUESTRA]],1),0)&gt;0),"N/A","")</f>
        <v>N/A</v>
      </c>
      <c r="AD27" s="191">
        <f ca="1">IF(Tabla_Menu[[#This Row],[N/A]]="",,COUNTIF(Tabla_Menu[Nivel &amp; Incluir],Tabla_Menu[[#This Row],[Nivel &amp; Incluir]]))</f>
        <v>11</v>
      </c>
      <c r="AE27" s="181" t="str">
        <f ca="1">Tabla_Menu[[#This Row],[Nivel]]&amp;Tabla_Menu[[#This Row],[N/A]]</f>
        <v>N/A</v>
      </c>
      <c r="AF27" s="179"/>
    </row>
    <row r="28" spans="1:32" outlineLevel="1" x14ac:dyDescent="0.5">
      <c r="A28" s="136" t="str">
        <f t="shared" si="1"/>
        <v>Z_BP_07_CS</v>
      </c>
      <c r="B28" s="135" t="str">
        <f t="shared" si="4"/>
        <v>BP</v>
      </c>
      <c r="C28" s="136" t="s">
        <v>65</v>
      </c>
      <c r="D28" s="169"/>
      <c r="E28" s="147" t="str">
        <f>IFERROR(IF(D28&lt;&gt;"",D28,HLOOKUP($E$2,$F$2:K28,ROW(D28)-1,0)),F28)</f>
        <v>Retroalim.</v>
      </c>
      <c r="F28" s="147" t="s">
        <v>122</v>
      </c>
      <c r="G28" s="147" t="s">
        <v>123</v>
      </c>
      <c r="H28" s="147" t="s">
        <v>124</v>
      </c>
      <c r="I28" s="147" t="s">
        <v>125</v>
      </c>
      <c r="J28" s="147" t="s">
        <v>126</v>
      </c>
      <c r="K28" s="147" t="s">
        <v>123</v>
      </c>
      <c r="L28" s="147" t="s">
        <v>684</v>
      </c>
      <c r="O28" s="235" t="s">
        <v>783</v>
      </c>
      <c r="P28" s="230" t="s">
        <v>784</v>
      </c>
      <c r="Q28" s="236">
        <v>0</v>
      </c>
      <c r="S28" s="177">
        <f ca="1">IF(Tabla_Menu[[#This Row],[Nivel]]=T27,0,COUNTIF(Tabla_Menu[Nivel],Tabla_Menu[[#This Row],[Nivel]]))</f>
        <v>0</v>
      </c>
      <c r="T28" s="191" t="str">
        <f ca="1">IFERROR(INDIRECT(Tabla_Menu[[#This Row],[Nivel 1]]&amp;IDIOMA),"")</f>
        <v/>
      </c>
      <c r="U28" s="191" t="str">
        <f ca="1">IFERROR(INDIRECT(Tabla_Menu[[#This Row],[Nivel 2]]&amp;IDIOMA)&amp;IF(Tabla_Menu[[#This Row],[Nivel]]="",""," "&amp;Tabla_Menu[[#This Row],['[Teclas']]]),"")</f>
        <v/>
      </c>
      <c r="V28" s="191" t="s">
        <v>495</v>
      </c>
      <c r="W28" s="192"/>
      <c r="X28" s="177"/>
      <c r="Y28" s="179"/>
      <c r="Z28" s="179"/>
      <c r="AA28" s="179" t="s">
        <v>631</v>
      </c>
      <c r="AB28" s="180"/>
      <c r="AC28" s="177" t="str">
        <f ca="1">IF(OR(Tabla_Menu[[#This Row],[Nivel]]="",IFERROR(SEARCH(MID(CELL("nombrearchivo"),FIND(".xlsm]",CELL("nombrearchivo"),1)+6,100),Tabla_Menu[[#This Row],[HOJAS NO MUESTRA]],1),0)&gt;0),"N/A","")</f>
        <v>N/A</v>
      </c>
      <c r="AD28" s="191">
        <f ca="1">IF(Tabla_Menu[[#This Row],[N/A]]="",,COUNTIF(Tabla_Menu[Nivel &amp; Incluir],Tabla_Menu[[#This Row],[Nivel &amp; Incluir]]))</f>
        <v>11</v>
      </c>
      <c r="AE28" s="181" t="str">
        <f ca="1">Tabla_Menu[[#This Row],[Nivel]]&amp;Tabla_Menu[[#This Row],[N/A]]</f>
        <v>N/A</v>
      </c>
      <c r="AF28" s="179"/>
    </row>
    <row r="29" spans="1:32" outlineLevel="1" x14ac:dyDescent="0.5">
      <c r="A29" s="138" t="str">
        <f t="shared" si="1"/>
        <v>Z_BP_08_CS</v>
      </c>
      <c r="B29" s="137" t="str">
        <f t="shared" si="4"/>
        <v>BP</v>
      </c>
      <c r="C29" s="138" t="s">
        <v>66</v>
      </c>
      <c r="D29" s="170"/>
      <c r="E29" s="148" t="str">
        <f>IFERROR(IF(D29&lt;&gt;"",D29,HLOOKUP($E$2,$F$2:K29,ROW(D29)-1,0)),F29)</f>
        <v>Pista</v>
      </c>
      <c r="F29" s="148" t="s">
        <v>127</v>
      </c>
      <c r="G29" s="148" t="s">
        <v>128</v>
      </c>
      <c r="H29" s="148" t="s">
        <v>129</v>
      </c>
      <c r="I29" s="148" t="s">
        <v>130</v>
      </c>
      <c r="J29" s="148" t="s">
        <v>131</v>
      </c>
      <c r="K29" s="148" t="s">
        <v>132</v>
      </c>
      <c r="L29" s="148" t="s">
        <v>685</v>
      </c>
      <c r="O29" s="237" t="s">
        <v>785</v>
      </c>
      <c r="P29" s="178" t="s">
        <v>786</v>
      </c>
      <c r="Q29" s="238">
        <v>0</v>
      </c>
      <c r="S29" s="177">
        <f ca="1">IF(Tabla_Menu[[#This Row],[Nivel]]=T28,0,COUNTIF(Tabla_Menu[Nivel],Tabla_Menu[[#This Row],[Nivel]]))</f>
        <v>0</v>
      </c>
      <c r="T29" s="191" t="str">
        <f ca="1">IFERROR(INDIRECT(Tabla_Menu[[#This Row],[Nivel 1]]&amp;IDIOMA),"")</f>
        <v/>
      </c>
      <c r="U29" s="191" t="str">
        <f ca="1">IFERROR(INDIRECT(Tabla_Menu[[#This Row],[Nivel 2]]&amp;IDIOMA)&amp;IF(Tabla_Menu[[#This Row],[Nivel]]="",""," "&amp;Tabla_Menu[[#This Row],['[Teclas']]]),"")</f>
        <v/>
      </c>
      <c r="V29" s="191" t="s">
        <v>489</v>
      </c>
      <c r="W29" s="192"/>
      <c r="X29" s="177"/>
      <c r="Y29" s="179"/>
      <c r="Z29" s="179"/>
      <c r="AA29" s="179" t="s">
        <v>649</v>
      </c>
      <c r="AB29" s="180"/>
      <c r="AC29" s="177" t="str">
        <f ca="1">IF(OR(Tabla_Menu[[#This Row],[Nivel]]="",IFERROR(SEARCH(MID(CELL("nombrearchivo"),FIND(".xlsm]",CELL("nombrearchivo"),1)+6,100),Tabla_Menu[[#This Row],[HOJAS NO MUESTRA]],1),0)&gt;0),"N/A","")</f>
        <v>N/A</v>
      </c>
      <c r="AD29" s="191">
        <f ca="1">IF(Tabla_Menu[[#This Row],[N/A]]="",,COUNTIF(Tabla_Menu[Nivel &amp; Incluir],Tabla_Menu[[#This Row],[Nivel &amp; Incluir]]))</f>
        <v>11</v>
      </c>
      <c r="AE29" s="181" t="str">
        <f ca="1">Tabla_Menu[[#This Row],[Nivel]]&amp;Tabla_Menu[[#This Row],[N/A]]</f>
        <v>N/A</v>
      </c>
      <c r="AF29" s="179"/>
    </row>
    <row r="30" spans="1:32" outlineLevel="1" x14ac:dyDescent="0.5">
      <c r="A30" s="136" t="str">
        <f t="shared" si="1"/>
        <v>Z_BP_09_CS</v>
      </c>
      <c r="B30" s="135" t="str">
        <f t="shared" si="4"/>
        <v>BP</v>
      </c>
      <c r="C30" s="136" t="s">
        <v>70</v>
      </c>
      <c r="D30" s="169"/>
      <c r="E30" s="147" t="str">
        <f>IFERROR(IF(D30&lt;&gt;"",D30,HLOOKUP($E$2,$F$2:K30,ROW(D30)-1,0)),F30)</f>
        <v>Puntos</v>
      </c>
      <c r="F30" s="147" t="s">
        <v>133</v>
      </c>
      <c r="G30" s="147" t="s">
        <v>134</v>
      </c>
      <c r="H30" s="147" t="s">
        <v>134</v>
      </c>
      <c r="I30" s="147" t="s">
        <v>135</v>
      </c>
      <c r="J30" s="147" t="s">
        <v>136</v>
      </c>
      <c r="K30" s="147" t="s">
        <v>137</v>
      </c>
      <c r="L30" s="147" t="s">
        <v>686</v>
      </c>
      <c r="O30" s="235" t="s">
        <v>787</v>
      </c>
      <c r="P30" s="230" t="s">
        <v>788</v>
      </c>
      <c r="Q30" s="236">
        <v>0</v>
      </c>
      <c r="S30" s="182">
        <f ca="1">COUNTIF(Tabla_Menu[N Sub],"&lt;&gt;0")</f>
        <v>5</v>
      </c>
      <c r="T30" s="178"/>
      <c r="U30" s="178"/>
      <c r="V30" s="178"/>
      <c r="W30" s="178"/>
      <c r="X30" s="178"/>
      <c r="Y30" s="178"/>
      <c r="Z30" s="178"/>
      <c r="AA30" s="178"/>
      <c r="AB30" s="178"/>
      <c r="AC30" s="178"/>
      <c r="AD30" s="178"/>
      <c r="AE30" s="178"/>
      <c r="AF30" s="178"/>
    </row>
    <row r="31" spans="1:32" outlineLevel="1" x14ac:dyDescent="0.5">
      <c r="A31" s="138" t="str">
        <f t="shared" si="1"/>
        <v>Z_BP_10_CS</v>
      </c>
      <c r="B31" s="137" t="str">
        <f t="shared" si="4"/>
        <v>BP</v>
      </c>
      <c r="C31" s="138" t="s">
        <v>71</v>
      </c>
      <c r="D31" s="170"/>
      <c r="E31" s="148" t="str">
        <f>IFERROR(IF(D31&lt;&gt;"",D31,HLOOKUP($E$2,$F$2:K31,ROW(D31)-1,0)),F31)</f>
        <v>OM 1R</v>
      </c>
      <c r="F31" s="148" t="s">
        <v>138</v>
      </c>
      <c r="G31" s="148" t="s">
        <v>472</v>
      </c>
      <c r="H31" s="148" t="s">
        <v>139</v>
      </c>
      <c r="I31" s="148" t="s">
        <v>140</v>
      </c>
      <c r="J31" s="148" t="s">
        <v>141</v>
      </c>
      <c r="K31" s="148" t="s">
        <v>142</v>
      </c>
      <c r="L31" s="148" t="s">
        <v>472</v>
      </c>
      <c r="O31" s="237" t="s">
        <v>789</v>
      </c>
      <c r="P31" s="178" t="s">
        <v>790</v>
      </c>
      <c r="Q31" s="238">
        <v>0</v>
      </c>
      <c r="S31" s="48" t="s">
        <v>31</v>
      </c>
    </row>
    <row r="32" spans="1:32" outlineLevel="1" x14ac:dyDescent="0.5">
      <c r="A32" s="136" t="str">
        <f t="shared" si="1"/>
        <v>Z_BP_11_CS</v>
      </c>
      <c r="B32" s="135" t="str">
        <f t="shared" si="4"/>
        <v>BP</v>
      </c>
      <c r="C32" s="136" t="s">
        <v>72</v>
      </c>
      <c r="D32" s="169"/>
      <c r="E32" s="147" t="str">
        <f>IFERROR(IF(D32&lt;&gt;"",D32,HLOOKUP($E$2,$F$2:K32,ROW(D32)-1,0)),F32)</f>
        <v>OM +R</v>
      </c>
      <c r="F32" s="147" t="s">
        <v>478</v>
      </c>
      <c r="G32" s="147" t="s">
        <v>477</v>
      </c>
      <c r="H32" s="147" t="s">
        <v>473</v>
      </c>
      <c r="I32" s="147" t="s">
        <v>474</v>
      </c>
      <c r="J32" s="147" t="s">
        <v>475</v>
      </c>
      <c r="K32" s="147" t="s">
        <v>476</v>
      </c>
      <c r="L32" s="147" t="s">
        <v>687</v>
      </c>
      <c r="O32" s="235" t="s">
        <v>791</v>
      </c>
      <c r="P32" s="230" t="s">
        <v>792</v>
      </c>
      <c r="Q32" s="236">
        <v>0</v>
      </c>
      <c r="S32" s="48" t="s">
        <v>31</v>
      </c>
    </row>
    <row r="33" spans="1:23" outlineLevel="1" x14ac:dyDescent="0.5">
      <c r="A33" s="138" t="str">
        <f t="shared" si="1"/>
        <v>Z_BP_12_CS</v>
      </c>
      <c r="B33" s="137" t="str">
        <f t="shared" si="4"/>
        <v>BP</v>
      </c>
      <c r="C33" s="138" t="s">
        <v>74</v>
      </c>
      <c r="D33" s="170"/>
      <c r="E33" s="148" t="str">
        <f>IFERROR(IF(D33&lt;&gt;"",D33,HLOOKUP($E$2,$F$2:K33,ROW(D33)-1,0)),F33)</f>
        <v>VF</v>
      </c>
      <c r="F33" s="148" t="s">
        <v>143</v>
      </c>
      <c r="G33" s="148" t="s">
        <v>144</v>
      </c>
      <c r="H33" s="148" t="s">
        <v>143</v>
      </c>
      <c r="I33" s="148" t="s">
        <v>143</v>
      </c>
      <c r="J33" s="148" t="s">
        <v>143</v>
      </c>
      <c r="K33" s="148" t="s">
        <v>145</v>
      </c>
      <c r="L33" s="148" t="s">
        <v>144</v>
      </c>
      <c r="O33" s="237" t="s">
        <v>793</v>
      </c>
      <c r="P33" s="178" t="s">
        <v>794</v>
      </c>
      <c r="Q33" s="238">
        <v>0</v>
      </c>
      <c r="S33" s="48" t="s">
        <v>31</v>
      </c>
    </row>
    <row r="34" spans="1:23" outlineLevel="1" x14ac:dyDescent="0.5">
      <c r="A34" s="136" t="str">
        <f t="shared" si="1"/>
        <v>Z_BP_13_CS</v>
      </c>
      <c r="B34" s="135" t="str">
        <f t="shared" si="4"/>
        <v>BP</v>
      </c>
      <c r="C34" s="136" t="s">
        <v>76</v>
      </c>
      <c r="D34" s="169"/>
      <c r="E34" s="147" t="str">
        <f>IFERROR(IF(D34&lt;&gt;"",D34,HLOOKUP($E$2,$F$2:K34,ROW(D34)-1,0)),F34)</f>
        <v>EM</v>
      </c>
      <c r="F34" s="147" t="s">
        <v>146</v>
      </c>
      <c r="G34" s="147" t="s">
        <v>147</v>
      </c>
      <c r="H34" s="147" t="s">
        <v>148</v>
      </c>
      <c r="I34" s="147" t="s">
        <v>149</v>
      </c>
      <c r="J34" s="147" t="s">
        <v>25</v>
      </c>
      <c r="K34" s="147" t="s">
        <v>150</v>
      </c>
      <c r="L34" s="147" t="s">
        <v>688</v>
      </c>
      <c r="O34" s="235" t="s">
        <v>795</v>
      </c>
      <c r="P34" s="230" t="s">
        <v>796</v>
      </c>
      <c r="Q34" s="236">
        <v>0</v>
      </c>
      <c r="S34" s="48" t="s">
        <v>31</v>
      </c>
    </row>
    <row r="35" spans="1:23" outlineLevel="1" x14ac:dyDescent="0.5">
      <c r="A35" s="138" t="str">
        <f t="shared" si="1"/>
        <v>Z_BP_14_CS</v>
      </c>
      <c r="B35" s="137" t="str">
        <f t="shared" si="4"/>
        <v>BP</v>
      </c>
      <c r="C35" s="138" t="s">
        <v>78</v>
      </c>
      <c r="D35" s="170"/>
      <c r="E35" s="148" t="str">
        <f>IFERROR(IF(D35&lt;&gt;"",D35,HLOOKUP($E$2,$F$2:K35,ROW(D35)-1,0)),F35)</f>
        <v>RC</v>
      </c>
      <c r="F35" s="148" t="s">
        <v>151</v>
      </c>
      <c r="G35" s="148" t="s">
        <v>152</v>
      </c>
      <c r="H35" s="148" t="s">
        <v>151</v>
      </c>
      <c r="I35" s="148" t="s">
        <v>151</v>
      </c>
      <c r="J35" s="148" t="s">
        <v>153</v>
      </c>
      <c r="K35" s="148" t="s">
        <v>154</v>
      </c>
      <c r="L35" s="148" t="s">
        <v>152</v>
      </c>
      <c r="O35" s="237" t="s">
        <v>797</v>
      </c>
      <c r="P35" s="178" t="s">
        <v>798</v>
      </c>
      <c r="Q35" s="238">
        <v>0</v>
      </c>
      <c r="S35" s="48" t="s">
        <v>31</v>
      </c>
    </row>
    <row r="36" spans="1:23" outlineLevel="1" x14ac:dyDescent="0.5">
      <c r="A36" s="136" t="str">
        <f t="shared" si="1"/>
        <v>Z_BP_15_CS</v>
      </c>
      <c r="B36" s="135" t="str">
        <f t="shared" si="4"/>
        <v>BP</v>
      </c>
      <c r="C36" s="136" t="s">
        <v>81</v>
      </c>
      <c r="D36" s="169"/>
      <c r="E36" s="147" t="str">
        <f>IFERROR(IF(D36&lt;&gt;"",D36,HLOOKUP($E$2,$F$2:K36,ROW(D36)-1,0)),F36)</f>
        <v>PP</v>
      </c>
      <c r="F36" s="147" t="s">
        <v>155</v>
      </c>
      <c r="G36" s="147" t="s">
        <v>156</v>
      </c>
      <c r="H36" s="147" t="s">
        <v>157</v>
      </c>
      <c r="I36" s="147" t="s">
        <v>155</v>
      </c>
      <c r="J36" s="147" t="s">
        <v>155</v>
      </c>
      <c r="K36" s="147" t="s">
        <v>158</v>
      </c>
      <c r="L36" s="147" t="s">
        <v>156</v>
      </c>
      <c r="O36" s="235" t="s">
        <v>799</v>
      </c>
      <c r="P36" s="230" t="s">
        <v>800</v>
      </c>
      <c r="Q36" s="236">
        <v>0</v>
      </c>
      <c r="S36" s="48" t="s">
        <v>31</v>
      </c>
    </row>
    <row r="37" spans="1:23" outlineLevel="1" x14ac:dyDescent="0.5">
      <c r="A37" s="138" t="str">
        <f t="shared" si="1"/>
        <v>Z_BP_16_CS</v>
      </c>
      <c r="B37" s="137" t="str">
        <f>B36</f>
        <v>BP</v>
      </c>
      <c r="C37" s="138">
        <v>16</v>
      </c>
      <c r="D37" s="170"/>
      <c r="E37" s="148" t="str">
        <f>IFERROR(IF(D37&lt;&gt;"",D37,HLOOKUP($E$2,$F$2:K37,ROW(D37)-1,0)),F37)</f>
        <v>CL</v>
      </c>
      <c r="F37" s="148" t="s">
        <v>160</v>
      </c>
      <c r="G37" s="148" t="s">
        <v>160</v>
      </c>
      <c r="H37" s="148" t="s">
        <v>160</v>
      </c>
      <c r="I37" s="148" t="s">
        <v>160</v>
      </c>
      <c r="J37" s="148" t="s">
        <v>160</v>
      </c>
      <c r="K37" s="148" t="s">
        <v>160</v>
      </c>
      <c r="L37" s="148" t="s">
        <v>160</v>
      </c>
      <c r="O37" s="237" t="s">
        <v>801</v>
      </c>
      <c r="P37" s="178" t="s">
        <v>802</v>
      </c>
      <c r="Q37" s="238">
        <v>0</v>
      </c>
      <c r="S37" s="48" t="s">
        <v>31</v>
      </c>
      <c r="U37" s="187" t="s">
        <v>588</v>
      </c>
      <c r="V37" s="187" t="s">
        <v>589</v>
      </c>
      <c r="W37" s="187" t="s">
        <v>590</v>
      </c>
    </row>
    <row r="38" spans="1:23" outlineLevel="1" x14ac:dyDescent="0.5">
      <c r="A38" s="136" t="str">
        <f t="shared" si="1"/>
        <v>Z_BP_17_CS</v>
      </c>
      <c r="B38" s="135" t="str">
        <f t="shared" si="4"/>
        <v>BP</v>
      </c>
      <c r="C38" s="136" t="s">
        <v>161</v>
      </c>
      <c r="D38" s="169"/>
      <c r="E38" s="147" t="str">
        <f>IFERROR(IF(D38&lt;&gt;"",D38,HLOOKUP($E$2,$F$2:K38,ROW(D38)-1,0)),F38)</f>
        <v xml:space="preserve">Pareja </v>
      </c>
      <c r="F38" s="147" t="s">
        <v>162</v>
      </c>
      <c r="G38" s="147" t="s">
        <v>163</v>
      </c>
      <c r="H38" s="147" t="s">
        <v>164</v>
      </c>
      <c r="I38" s="147" t="s">
        <v>165</v>
      </c>
      <c r="J38" s="147" t="s">
        <v>166</v>
      </c>
      <c r="K38" s="147" t="s">
        <v>167</v>
      </c>
      <c r="L38" s="147" t="s">
        <v>689</v>
      </c>
      <c r="O38" s="235" t="s">
        <v>803</v>
      </c>
      <c r="P38" s="230" t="s">
        <v>804</v>
      </c>
      <c r="Q38" s="236">
        <v>0</v>
      </c>
      <c r="S38" s="48" t="s">
        <v>31</v>
      </c>
      <c r="U38" s="178" t="s">
        <v>591</v>
      </c>
      <c r="V38" s="178" t="s">
        <v>592</v>
      </c>
      <c r="W38" s="189" t="s">
        <v>490</v>
      </c>
    </row>
    <row r="39" spans="1:23" outlineLevel="1" x14ac:dyDescent="0.5">
      <c r="A39" s="138" t="str">
        <f t="shared" si="1"/>
        <v>Z_BP_18_CS</v>
      </c>
      <c r="B39" s="137" t="str">
        <f t="shared" si="4"/>
        <v>BP</v>
      </c>
      <c r="C39" s="138" t="s">
        <v>168</v>
      </c>
      <c r="D39" s="170"/>
      <c r="E39" s="148" t="str">
        <f>IFERROR(IF(D39&lt;&gt;"",D39,HLOOKUP($E$2,$F$2:K39,ROW(D39)-1,0)),F39)</f>
        <v>Mayúsculas</v>
      </c>
      <c r="F39" s="148" t="s">
        <v>3</v>
      </c>
      <c r="G39" s="148" t="s">
        <v>169</v>
      </c>
      <c r="H39" s="148" t="s">
        <v>170</v>
      </c>
      <c r="I39" s="148" t="s">
        <v>171</v>
      </c>
      <c r="J39" s="148" t="s">
        <v>172</v>
      </c>
      <c r="K39" s="148" t="s">
        <v>173</v>
      </c>
      <c r="L39" s="148" t="s">
        <v>690</v>
      </c>
      <c r="O39" s="237" t="s">
        <v>805</v>
      </c>
      <c r="P39" s="178" t="s">
        <v>806</v>
      </c>
      <c r="Q39" s="238">
        <v>0</v>
      </c>
      <c r="S39" s="48" t="s">
        <v>31</v>
      </c>
      <c r="U39" s="178" t="s">
        <v>593</v>
      </c>
      <c r="V39" s="178" t="s">
        <v>594</v>
      </c>
      <c r="W39" s="189" t="s">
        <v>490</v>
      </c>
    </row>
    <row r="40" spans="1:23" outlineLevel="1" x14ac:dyDescent="0.5">
      <c r="A40" s="136" t="str">
        <f t="shared" si="1"/>
        <v>Z_BP_19_CS</v>
      </c>
      <c r="B40" s="135" t="str">
        <f t="shared" si="4"/>
        <v>BP</v>
      </c>
      <c r="C40" s="136" t="s">
        <v>174</v>
      </c>
      <c r="D40" s="169"/>
      <c r="E40" s="147" t="str">
        <f>IFERROR(IF(D40&lt;&gt;"",D40,HLOOKUP($E$2,$F$2:K40,ROW(D40)-1,0)),F40)</f>
        <v>Respuesta</v>
      </c>
      <c r="F40" s="147" t="s">
        <v>175</v>
      </c>
      <c r="G40" s="147" t="s">
        <v>176</v>
      </c>
      <c r="H40" s="147" t="s">
        <v>177</v>
      </c>
      <c r="I40" s="147" t="s">
        <v>178</v>
      </c>
      <c r="J40" s="147" t="s">
        <v>126</v>
      </c>
      <c r="K40" s="147" t="s">
        <v>179</v>
      </c>
      <c r="L40" s="147" t="s">
        <v>691</v>
      </c>
      <c r="O40" s="235" t="s">
        <v>807</v>
      </c>
      <c r="P40" s="230" t="s">
        <v>808</v>
      </c>
      <c r="Q40" s="236">
        <v>0</v>
      </c>
      <c r="S40" s="48" t="s">
        <v>31</v>
      </c>
      <c r="U40" s="178" t="s">
        <v>595</v>
      </c>
      <c r="V40" s="178" t="s">
        <v>596</v>
      </c>
      <c r="W40" s="189" t="s">
        <v>490</v>
      </c>
    </row>
    <row r="41" spans="1:23" outlineLevel="1" x14ac:dyDescent="0.5">
      <c r="A41" s="138" t="str">
        <f t="shared" si="1"/>
        <v>Z_BP_20_CS</v>
      </c>
      <c r="B41" s="137" t="str">
        <f t="shared" si="4"/>
        <v>BP</v>
      </c>
      <c r="C41" s="138" t="s">
        <v>180</v>
      </c>
      <c r="D41" s="170"/>
      <c r="E41" s="148" t="str">
        <f>IFERROR(IF(D41&lt;&gt;"",D41,HLOOKUP($E$2,$F$2:K41,ROW(D41)-1,0)),F41)</f>
        <v xml:space="preserve">Palabra </v>
      </c>
      <c r="F41" s="148" t="s">
        <v>181</v>
      </c>
      <c r="G41" s="148" t="s">
        <v>182</v>
      </c>
      <c r="H41" s="148" t="s">
        <v>183</v>
      </c>
      <c r="I41" s="148" t="s">
        <v>184</v>
      </c>
      <c r="J41" s="148" t="s">
        <v>185</v>
      </c>
      <c r="K41" s="148" t="s">
        <v>186</v>
      </c>
      <c r="L41" s="148" t="s">
        <v>692</v>
      </c>
      <c r="O41" s="237" t="s">
        <v>809</v>
      </c>
      <c r="P41" s="178" t="s">
        <v>810</v>
      </c>
      <c r="Q41" s="238">
        <v>0</v>
      </c>
      <c r="S41" s="48" t="s">
        <v>31</v>
      </c>
      <c r="U41" s="178" t="s">
        <v>597</v>
      </c>
      <c r="V41" s="178" t="s">
        <v>598</v>
      </c>
      <c r="W41" s="189" t="s">
        <v>488</v>
      </c>
    </row>
    <row r="42" spans="1:23" outlineLevel="1" x14ac:dyDescent="0.5">
      <c r="A42" s="136" t="str">
        <f t="shared" si="1"/>
        <v>Z_BP_21_CS</v>
      </c>
      <c r="B42" s="135" t="str">
        <f t="shared" si="4"/>
        <v>BP</v>
      </c>
      <c r="C42" s="136" t="s">
        <v>187</v>
      </c>
      <c r="D42" s="169"/>
      <c r="E42" s="147" t="str">
        <f>IFERROR(IF(D42&lt;&gt;"",D42,HLOOKUP($E$2,$F$2:K42,ROW(D42)-1,0)),F42)</f>
        <v>VERDADERO</v>
      </c>
      <c r="F42" s="147" t="s">
        <v>188</v>
      </c>
      <c r="G42" s="147" t="s">
        <v>189</v>
      </c>
      <c r="H42" s="147" t="s">
        <v>190</v>
      </c>
      <c r="I42" s="147" t="s">
        <v>191</v>
      </c>
      <c r="J42" s="147" t="s">
        <v>192</v>
      </c>
      <c r="K42" s="147" t="s">
        <v>193</v>
      </c>
      <c r="L42" s="147" t="s">
        <v>693</v>
      </c>
      <c r="O42" s="235" t="s">
        <v>811</v>
      </c>
      <c r="P42" s="230" t="s">
        <v>812</v>
      </c>
      <c r="Q42" s="236">
        <v>0</v>
      </c>
      <c r="S42" s="48" t="s">
        <v>31</v>
      </c>
      <c r="U42" s="178" t="s">
        <v>599</v>
      </c>
      <c r="V42" s="178" t="s">
        <v>600</v>
      </c>
      <c r="W42" s="189" t="s">
        <v>488</v>
      </c>
    </row>
    <row r="43" spans="1:23" outlineLevel="1" x14ac:dyDescent="0.5">
      <c r="A43" s="138" t="str">
        <f t="shared" si="1"/>
        <v>Z_BP_22_CS</v>
      </c>
      <c r="B43" s="137" t="str">
        <f t="shared" si="4"/>
        <v>BP</v>
      </c>
      <c r="C43" s="138" t="s">
        <v>194</v>
      </c>
      <c r="D43" s="170"/>
      <c r="E43" s="148" t="str">
        <f>IFERROR(IF(D43&lt;&gt;"",D43,HLOOKUP($E$2,$F$2:K43,ROW(D43)-1,0)),F43)</f>
        <v>FALSO</v>
      </c>
      <c r="F43" s="148" t="s">
        <v>195</v>
      </c>
      <c r="G43" s="148" t="s">
        <v>196</v>
      </c>
      <c r="H43" s="148" t="s">
        <v>197</v>
      </c>
      <c r="I43" s="148" t="s">
        <v>195</v>
      </c>
      <c r="J43" s="148" t="s">
        <v>195</v>
      </c>
      <c r="K43" s="148" t="s">
        <v>198</v>
      </c>
      <c r="L43" s="148" t="s">
        <v>694</v>
      </c>
      <c r="O43" s="237" t="s">
        <v>813</v>
      </c>
      <c r="P43" s="178" t="s">
        <v>814</v>
      </c>
      <c r="Q43" s="238">
        <v>0</v>
      </c>
      <c r="S43" s="48" t="s">
        <v>31</v>
      </c>
      <c r="U43" s="178" t="s">
        <v>601</v>
      </c>
      <c r="V43" s="178" t="s">
        <v>602</v>
      </c>
      <c r="W43" s="189" t="s">
        <v>490</v>
      </c>
    </row>
    <row r="44" spans="1:23" outlineLevel="1" x14ac:dyDescent="0.5">
      <c r="A44" s="136" t="str">
        <f t="shared" si="1"/>
        <v>Z_BP_23_CS</v>
      </c>
      <c r="B44" s="135" t="str">
        <f t="shared" si="4"/>
        <v>BP</v>
      </c>
      <c r="C44" s="136" t="s">
        <v>199</v>
      </c>
      <c r="D44" s="169"/>
      <c r="E44" s="147" t="str">
        <f>IFERROR(IF(D44&lt;&gt;"",D44,HLOOKUP($E$2,$F$2:K44,ROW(D44)-1,0)),F44)</f>
        <v xml:space="preserve">Grupo </v>
      </c>
      <c r="F44" s="147" t="s">
        <v>200</v>
      </c>
      <c r="G44" s="147" t="s">
        <v>201</v>
      </c>
      <c r="H44" s="147" t="s">
        <v>202</v>
      </c>
      <c r="I44" s="147" t="s">
        <v>203</v>
      </c>
      <c r="J44" s="147" t="s">
        <v>204</v>
      </c>
      <c r="K44" s="147" t="s">
        <v>205</v>
      </c>
      <c r="L44" s="147" t="s">
        <v>695</v>
      </c>
      <c r="M44" t="s">
        <v>31</v>
      </c>
      <c r="N44" t="s">
        <v>31</v>
      </c>
      <c r="O44" s="235" t="s">
        <v>815</v>
      </c>
      <c r="P44" s="230" t="s">
        <v>816</v>
      </c>
      <c r="Q44" s="236">
        <v>0</v>
      </c>
      <c r="S44" s="48" t="s">
        <v>31</v>
      </c>
      <c r="U44" s="177">
        <f>COUNTA(Tabla_Comandos[CommandBars])</f>
        <v>6</v>
      </c>
      <c r="V44" s="178"/>
      <c r="W44" s="178"/>
    </row>
    <row r="45" spans="1:23" outlineLevel="1" x14ac:dyDescent="0.5">
      <c r="A45" s="138" t="str">
        <f t="shared" ref="A45:A52" si="5">$A$1&amp;B45&amp;"_"&amp;C45&amp;"_"&amp;$A$2</f>
        <v>Z_BP_24_CS</v>
      </c>
      <c r="B45" s="137" t="str">
        <f t="shared" si="4"/>
        <v>BP</v>
      </c>
      <c r="C45" s="138" t="s">
        <v>254</v>
      </c>
      <c r="D45" s="170"/>
      <c r="E45" s="148" t="str">
        <f>IFERROR(IF(D45&lt;&gt;"",D45,HLOOKUP($E$2,$F$2:K45,ROW(D45)-1,0)),F45)</f>
        <v>Formato de la Respuesta</v>
      </c>
      <c r="F45" s="148" t="s">
        <v>212</v>
      </c>
      <c r="G45" s="148" t="s">
        <v>213</v>
      </c>
      <c r="H45" s="148" t="s">
        <v>214</v>
      </c>
      <c r="I45" s="148" t="s">
        <v>215</v>
      </c>
      <c r="J45" s="148" t="s">
        <v>216</v>
      </c>
      <c r="K45" s="148" t="s">
        <v>217</v>
      </c>
      <c r="L45" s="148" t="s">
        <v>696</v>
      </c>
      <c r="O45" s="237" t="s">
        <v>817</v>
      </c>
      <c r="P45" s="178" t="s">
        <v>818</v>
      </c>
      <c r="Q45" s="238">
        <v>0</v>
      </c>
      <c r="S45" s="48" t="s">
        <v>31</v>
      </c>
    </row>
    <row r="46" spans="1:23" outlineLevel="1" x14ac:dyDescent="0.5">
      <c r="A46" s="136" t="str">
        <f t="shared" si="5"/>
        <v>Z_BP_25_CS</v>
      </c>
      <c r="B46" s="135" t="str">
        <f t="shared" si="4"/>
        <v>BP</v>
      </c>
      <c r="C46" s="136" t="s">
        <v>255</v>
      </c>
      <c r="D46" s="169"/>
      <c r="E46" s="147" t="str">
        <f>IFERROR(IF(D46&lt;&gt;"",D46,HLOOKUP($E$2,$F$2:K46,ROW(D46)-1,0)),F46)</f>
        <v>Requerir texto</v>
      </c>
      <c r="F46" s="147" t="s">
        <v>218</v>
      </c>
      <c r="G46" s="147" t="s">
        <v>219</v>
      </c>
      <c r="H46" s="147" t="s">
        <v>220</v>
      </c>
      <c r="I46" s="147" t="s">
        <v>221</v>
      </c>
      <c r="J46" s="147" t="s">
        <v>222</v>
      </c>
      <c r="K46" s="147" t="s">
        <v>223</v>
      </c>
      <c r="L46" s="147" t="s">
        <v>697</v>
      </c>
      <c r="O46" s="235" t="s">
        <v>819</v>
      </c>
      <c r="P46" s="230" t="s">
        <v>820</v>
      </c>
      <c r="Q46" s="236" t="s">
        <v>821</v>
      </c>
      <c r="S46" s="48" t="s">
        <v>31</v>
      </c>
    </row>
    <row r="47" spans="1:23" outlineLevel="1" x14ac:dyDescent="0.5">
      <c r="A47" s="138" t="str">
        <f t="shared" si="5"/>
        <v>Z_BP_26_CS</v>
      </c>
      <c r="B47" s="137" t="str">
        <f t="shared" si="4"/>
        <v>BP</v>
      </c>
      <c r="C47" s="138" t="s">
        <v>256</v>
      </c>
      <c r="D47" s="170"/>
      <c r="E47" s="148" t="str">
        <f>IFERROR(IF(D47&lt;&gt;"",D47,HLOOKUP($E$2,$F$2:K47,ROW(D47)-1,0)),F47)</f>
        <v>Tamaño de la caja de entrada</v>
      </c>
      <c r="F47" s="148" t="s">
        <v>224</v>
      </c>
      <c r="G47" s="148" t="s">
        <v>225</v>
      </c>
      <c r="H47" s="148" t="s">
        <v>226</v>
      </c>
      <c r="I47" s="148" t="s">
        <v>227</v>
      </c>
      <c r="J47" s="148" t="s">
        <v>228</v>
      </c>
      <c r="K47" s="148" t="s">
        <v>229</v>
      </c>
      <c r="L47" s="148" t="s">
        <v>698</v>
      </c>
      <c r="O47" s="237" t="s">
        <v>822</v>
      </c>
      <c r="P47" s="178" t="s">
        <v>823</v>
      </c>
      <c r="Q47" s="238" t="s">
        <v>821</v>
      </c>
    </row>
    <row r="48" spans="1:23" outlineLevel="1" x14ac:dyDescent="0.5">
      <c r="A48" s="136" t="str">
        <f t="shared" si="5"/>
        <v>Z_BP_27_CS</v>
      </c>
      <c r="B48" s="135" t="str">
        <f t="shared" si="4"/>
        <v>BP</v>
      </c>
      <c r="C48" s="136" t="s">
        <v>257</v>
      </c>
      <c r="D48" s="169"/>
      <c r="E48" s="147" t="str">
        <f>IFERROR(IF(D48&lt;&gt;"",D48,HLOOKUP($E$2,$F$2:K48,ROW(D48)-1,0)),F48)</f>
        <v>Permitir archivos adjuntos</v>
      </c>
      <c r="F48" s="147" t="s">
        <v>230</v>
      </c>
      <c r="G48" s="147" t="s">
        <v>231</v>
      </c>
      <c r="H48" s="147" t="s">
        <v>232</v>
      </c>
      <c r="I48" s="147" t="s">
        <v>233</v>
      </c>
      <c r="J48" s="147" t="s">
        <v>234</v>
      </c>
      <c r="K48" s="147" t="s">
        <v>235</v>
      </c>
      <c r="L48" s="147" t="s">
        <v>699</v>
      </c>
      <c r="O48" s="235" t="s">
        <v>824</v>
      </c>
      <c r="P48" s="230" t="s">
        <v>825</v>
      </c>
      <c r="Q48" s="236" t="s">
        <v>821</v>
      </c>
    </row>
    <row r="49" spans="1:18" outlineLevel="1" x14ac:dyDescent="0.5">
      <c r="A49" s="138" t="str">
        <f t="shared" si="5"/>
        <v>Z_BP_28_CS</v>
      </c>
      <c r="B49" s="137" t="str">
        <f t="shared" si="4"/>
        <v>BP</v>
      </c>
      <c r="C49" s="138" t="s">
        <v>258</v>
      </c>
      <c r="D49" s="170"/>
      <c r="E49" s="148" t="str">
        <f>IFERROR(IF(D49&lt;&gt;"",D49,HLOOKUP($E$2,$F$2:K49,ROW(D49)-1,0)),F49)</f>
        <v>Archivos adjuntos requeridos</v>
      </c>
      <c r="F49" s="148" t="s">
        <v>236</v>
      </c>
      <c r="G49" s="148" t="s">
        <v>237</v>
      </c>
      <c r="H49" s="148" t="s">
        <v>238</v>
      </c>
      <c r="I49" s="148" t="s">
        <v>239</v>
      </c>
      <c r="J49" s="148" t="s">
        <v>240</v>
      </c>
      <c r="K49" s="148" t="s">
        <v>241</v>
      </c>
      <c r="L49" s="148" t="s">
        <v>700</v>
      </c>
      <c r="O49" s="237" t="s">
        <v>826</v>
      </c>
      <c r="P49" s="178" t="s">
        <v>827</v>
      </c>
      <c r="Q49" s="238" t="s">
        <v>821</v>
      </c>
    </row>
    <row r="50" spans="1:18" ht="14.7" outlineLevel="1" thickBot="1" x14ac:dyDescent="0.55000000000000004">
      <c r="A50" s="136" t="str">
        <f t="shared" si="5"/>
        <v>Z_BP_29_CS</v>
      </c>
      <c r="B50" s="135" t="str">
        <f t="shared" si="4"/>
        <v>BP</v>
      </c>
      <c r="C50" s="136" t="s">
        <v>259</v>
      </c>
      <c r="D50" s="169"/>
      <c r="E50" s="147" t="str">
        <f>IFERROR(IF(D50&lt;&gt;"",D50,HLOOKUP($E$2,$F$2:K50,ROW(D50)-1,0)),F50)</f>
        <v>Plantilla de Respuesta</v>
      </c>
      <c r="F50" s="147" t="s">
        <v>242</v>
      </c>
      <c r="G50" s="147" t="s">
        <v>243</v>
      </c>
      <c r="H50" s="147" t="s">
        <v>244</v>
      </c>
      <c r="I50" s="147" t="s">
        <v>245</v>
      </c>
      <c r="J50" s="147" t="s">
        <v>246</v>
      </c>
      <c r="K50" s="147" t="s">
        <v>247</v>
      </c>
      <c r="L50" s="147" t="s">
        <v>701</v>
      </c>
      <c r="O50" s="239" t="s">
        <v>828</v>
      </c>
      <c r="P50" s="240" t="s">
        <v>829</v>
      </c>
      <c r="Q50" s="241" t="s">
        <v>821</v>
      </c>
    </row>
    <row r="51" spans="1:18" outlineLevel="1" x14ac:dyDescent="0.5">
      <c r="A51" s="138" t="str">
        <f t="shared" si="5"/>
        <v>Z_BP_30_CS</v>
      </c>
      <c r="B51" s="137" t="str">
        <f t="shared" si="4"/>
        <v>BP</v>
      </c>
      <c r="C51" s="138" t="s">
        <v>260</v>
      </c>
      <c r="D51" s="170"/>
      <c r="E51" s="148" t="str">
        <f>IFERROR(IF(D51&lt;&gt;"",D51,HLOOKUP($E$2,$F$2:K51,ROW(D51)-1,0)),F51)</f>
        <v>Información para el evaluador</v>
      </c>
      <c r="F51" s="148" t="s">
        <v>248</v>
      </c>
      <c r="G51" s="148" t="s">
        <v>249</v>
      </c>
      <c r="H51" s="148" t="s">
        <v>250</v>
      </c>
      <c r="I51" s="148" t="s">
        <v>251</v>
      </c>
      <c r="J51" s="148" t="s">
        <v>252</v>
      </c>
      <c r="K51" s="148" t="s">
        <v>253</v>
      </c>
      <c r="L51" s="148" t="s">
        <v>702</v>
      </c>
      <c r="O51" s="231"/>
      <c r="P51" s="231"/>
      <c r="Q51" s="231"/>
    </row>
    <row r="52" spans="1:18" outlineLevel="1" x14ac:dyDescent="0.5">
      <c r="A52" s="136" t="str">
        <f t="shared" si="5"/>
        <v>Z_BP_31_CS</v>
      </c>
      <c r="B52" s="135" t="str">
        <f t="shared" si="4"/>
        <v>BP</v>
      </c>
      <c r="C52" s="136" t="s">
        <v>261</v>
      </c>
      <c r="D52" s="169"/>
      <c r="E52" s="147" t="str">
        <f>IFERROR(IF(D52&lt;&gt;"",D52,HLOOKUP($E$2,$F$2:K52,ROW(D52)-1,0)),F52)</f>
        <v>EN</v>
      </c>
      <c r="F52" s="147" t="s">
        <v>211</v>
      </c>
      <c r="G52" s="147" t="s">
        <v>262</v>
      </c>
      <c r="H52" s="147" t="s">
        <v>263</v>
      </c>
      <c r="I52" s="147" t="s">
        <v>211</v>
      </c>
      <c r="J52" s="147" t="s">
        <v>263</v>
      </c>
      <c r="K52" s="147" t="s">
        <v>264</v>
      </c>
      <c r="L52" s="147" t="s">
        <v>262</v>
      </c>
      <c r="O52" s="231"/>
      <c r="P52" s="231"/>
      <c r="Q52" s="231"/>
    </row>
    <row r="53" spans="1:18" outlineLevel="1" x14ac:dyDescent="0.5">
      <c r="A53" s="138" t="str">
        <f t="shared" ref="A53:A57" si="6">$A$1&amp;B53&amp;"_"&amp;C53&amp;"_"&amp;$A$2</f>
        <v>Z_BP_32_CS</v>
      </c>
      <c r="B53" s="137" t="str">
        <f t="shared" si="4"/>
        <v>BP</v>
      </c>
      <c r="C53" s="138">
        <v>32</v>
      </c>
      <c r="D53" s="170"/>
      <c r="E53" s="148" t="str">
        <f>IFERROR(IF(D53&lt;&gt;"",D53,HLOOKUP($E$2,$F$2:K53,ROW(D53)-1,0)),F53)</f>
        <v>Ancho RC</v>
      </c>
      <c r="F53" s="148" t="s">
        <v>269</v>
      </c>
      <c r="G53" s="148" t="s">
        <v>270</v>
      </c>
      <c r="H53" s="148" t="s">
        <v>271</v>
      </c>
      <c r="I53" s="148" t="s">
        <v>272</v>
      </c>
      <c r="J53" s="148" t="s">
        <v>273</v>
      </c>
      <c r="K53" s="148" t="s">
        <v>274</v>
      </c>
      <c r="L53" s="148" t="s">
        <v>703</v>
      </c>
      <c r="O53" s="231"/>
      <c r="P53" s="231"/>
      <c r="Q53" s="231"/>
    </row>
    <row r="54" spans="1:18" outlineLevel="1" x14ac:dyDescent="0.5">
      <c r="A54" s="136" t="str">
        <f t="shared" si="6"/>
        <v>Z_BP_33_CS</v>
      </c>
      <c r="B54" s="135" t="str">
        <f t="shared" si="4"/>
        <v>BP</v>
      </c>
      <c r="C54" s="136">
        <v>33</v>
      </c>
      <c r="D54" s="169"/>
      <c r="E54" s="147" t="str">
        <f>IFERROR(IF(D54&lt;&gt;"",D54,HLOOKUP($E$2,$F$2:K54,ROW(D54)-1,0)),F54)</f>
        <v>Nº max. Respuestas</v>
      </c>
      <c r="F54" s="147" t="s">
        <v>718</v>
      </c>
      <c r="G54" s="147" t="s">
        <v>719</v>
      </c>
      <c r="H54" s="147" t="s">
        <v>720</v>
      </c>
      <c r="I54" s="147" t="s">
        <v>721</v>
      </c>
      <c r="J54" s="147" t="s">
        <v>724</v>
      </c>
      <c r="K54" s="147" t="s">
        <v>722</v>
      </c>
      <c r="L54" s="147" t="s">
        <v>723</v>
      </c>
      <c r="O54" s="231"/>
      <c r="P54" s="231"/>
      <c r="Q54" s="231"/>
    </row>
    <row r="55" spans="1:18" x14ac:dyDescent="0.5">
      <c r="A55" s="50" t="str">
        <f t="shared" si="6"/>
        <v>Z_TX_00_CS</v>
      </c>
      <c r="B55" s="49" t="s">
        <v>448</v>
      </c>
      <c r="C55" s="50" t="s">
        <v>26</v>
      </c>
      <c r="D55" s="168"/>
      <c r="E55" s="146" t="str">
        <f>IFERROR(IF(D55&lt;&gt;"",D55,HLOOKUP($E$2,$F$2:K55,ROW(D55)-1,0)),F55)</f>
        <v>MENSAJES MACROS</v>
      </c>
      <c r="F55" s="146" t="s">
        <v>439</v>
      </c>
      <c r="G55" s="146" t="s">
        <v>440</v>
      </c>
      <c r="H55" s="146" t="s">
        <v>439</v>
      </c>
      <c r="I55" s="146" t="s">
        <v>439</v>
      </c>
      <c r="J55" s="146" t="s">
        <v>439</v>
      </c>
      <c r="K55" s="146" t="s">
        <v>441</v>
      </c>
      <c r="L55" s="146" t="s">
        <v>704</v>
      </c>
      <c r="M55" s="48" t="s">
        <v>31</v>
      </c>
      <c r="N55" s="48" t="s">
        <v>31</v>
      </c>
      <c r="O55" s="48"/>
      <c r="P55" s="48"/>
      <c r="Q55" s="48"/>
      <c r="R55" s="48"/>
    </row>
    <row r="56" spans="1:18" outlineLevel="1" x14ac:dyDescent="0.5">
      <c r="A56" s="136" t="str">
        <f t="shared" si="6"/>
        <v>Z_TX_01_CS</v>
      </c>
      <c r="B56" s="135" t="s">
        <v>448</v>
      </c>
      <c r="C56" s="136" t="s">
        <v>32</v>
      </c>
      <c r="D56" s="169"/>
      <c r="E56" s="147" t="str">
        <f>IFERROR(IF(D56&lt;&gt;"",D56,HLOOKUP($E$2,$F$2:K56,ROW(D56)-1,0)),F56)</f>
        <v>Copia el link (Ctrl+C) y 
pega (Ctrl+V) en Internet.</v>
      </c>
      <c r="F56" s="147" t="s">
        <v>442</v>
      </c>
      <c r="G56" s="147" t="s">
        <v>443</v>
      </c>
      <c r="H56" s="147" t="s">
        <v>444</v>
      </c>
      <c r="I56" s="147" t="s">
        <v>445</v>
      </c>
      <c r="J56" s="147" t="s">
        <v>446</v>
      </c>
      <c r="K56" s="147" t="s">
        <v>447</v>
      </c>
      <c r="L56" s="147" t="s">
        <v>705</v>
      </c>
    </row>
    <row r="57" spans="1:18" outlineLevel="1" x14ac:dyDescent="0.5">
      <c r="A57" s="138" t="str">
        <f t="shared" si="6"/>
        <v>Z_TX_92_1_CS</v>
      </c>
      <c r="B57" s="137" t="str">
        <f t="shared" ref="B57:B66" si="7">B56</f>
        <v>TX</v>
      </c>
      <c r="C57" s="138" t="s">
        <v>506</v>
      </c>
      <c r="D57" s="170"/>
      <c r="E57" s="148" t="str">
        <f>IFERROR(IF(D57&lt;&gt;"",D57,HLOOKUP($E$2,$F$2:K57,ROW(D57)-1,0)),F57)</f>
        <v>MENÚ GENERAL</v>
      </c>
      <c r="F57" s="148" t="s">
        <v>507</v>
      </c>
      <c r="G57" s="148" t="s">
        <v>508</v>
      </c>
      <c r="H57" s="148" t="s">
        <v>509</v>
      </c>
      <c r="I57" s="148" t="s">
        <v>510</v>
      </c>
      <c r="J57" s="148" t="s">
        <v>511</v>
      </c>
      <c r="K57" s="148" t="s">
        <v>512</v>
      </c>
      <c r="L57" s="148" t="s">
        <v>706</v>
      </c>
    </row>
    <row r="58" spans="1:18" outlineLevel="1" x14ac:dyDescent="0.5">
      <c r="A58" s="136" t="str">
        <f>$A$1&amp;B58&amp;"_"&amp;C58&amp;"_"&amp;$A$2</f>
        <v>Z_TX_92_2_CS</v>
      </c>
      <c r="B58" s="135" t="str">
        <f t="shared" si="7"/>
        <v>TX</v>
      </c>
      <c r="C58" s="136" t="s">
        <v>513</v>
      </c>
      <c r="D58" s="169"/>
      <c r="E58" s="147" t="str">
        <f>IFERROR(IF(D58&lt;&gt;"",D58,HLOOKUP($E$2,$F$2:K58,ROW(D58)-1,0)),F58)</f>
        <v xml:space="preserve">GUARDAR </v>
      </c>
      <c r="F58" s="147" t="s">
        <v>514</v>
      </c>
      <c r="G58" s="147" t="s">
        <v>515</v>
      </c>
      <c r="H58" s="147" t="s">
        <v>516</v>
      </c>
      <c r="I58" s="147" t="s">
        <v>517</v>
      </c>
      <c r="J58" s="147" t="s">
        <v>518</v>
      </c>
      <c r="K58" s="147" t="s">
        <v>519</v>
      </c>
      <c r="L58" s="147" t="s">
        <v>707</v>
      </c>
    </row>
    <row r="59" spans="1:18" outlineLevel="1" x14ac:dyDescent="0.5">
      <c r="A59" s="138" t="str">
        <f t="shared" ref="A59" si="8">$A$1&amp;B59&amp;"_"&amp;C59&amp;"_"&amp;$A$2</f>
        <v>Z_TX_92_3_CS</v>
      </c>
      <c r="B59" s="137" t="str">
        <f t="shared" si="7"/>
        <v>TX</v>
      </c>
      <c r="C59" s="138" t="s">
        <v>520</v>
      </c>
      <c r="D59" s="170"/>
      <c r="E59" s="148" t="str">
        <f>IFERROR(IF(D59&lt;&gt;"",D59,HLOOKUP($E$2,$F$2:K59,ROW(D59)-1,0)),F59)</f>
        <v>CERRAR</v>
      </c>
      <c r="F59" s="148" t="s">
        <v>521</v>
      </c>
      <c r="G59" s="148" t="s">
        <v>522</v>
      </c>
      <c r="H59" s="148" t="s">
        <v>523</v>
      </c>
      <c r="I59" s="148" t="s">
        <v>524</v>
      </c>
      <c r="J59" s="148" t="s">
        <v>525</v>
      </c>
      <c r="K59" s="148" t="s">
        <v>526</v>
      </c>
      <c r="L59" s="148" t="s">
        <v>708</v>
      </c>
    </row>
    <row r="60" spans="1:18" outlineLevel="1" x14ac:dyDescent="0.5">
      <c r="A60" s="136" t="str">
        <f>$A$1&amp;B60&amp;"_"&amp;C60&amp;"_"&amp;$A$2</f>
        <v>Z_TX_92_4_CS</v>
      </c>
      <c r="B60" s="135" t="str">
        <f t="shared" si="7"/>
        <v>TX</v>
      </c>
      <c r="C60" s="136" t="s">
        <v>527</v>
      </c>
      <c r="D60" s="169"/>
      <c r="E60" s="147" t="str">
        <f>IFERROR(IF(D60&lt;&gt;"",D60,HLOOKUP($E$2,$F$2:K60,ROW(D60)-1,0)),F60)</f>
        <v>AYUDA</v>
      </c>
      <c r="F60" s="147" t="s">
        <v>528</v>
      </c>
      <c r="G60" s="147" t="s">
        <v>529</v>
      </c>
      <c r="H60" s="147" t="s">
        <v>530</v>
      </c>
      <c r="I60" s="147" t="s">
        <v>531</v>
      </c>
      <c r="J60" s="147" t="s">
        <v>532</v>
      </c>
      <c r="K60" s="147" t="s">
        <v>533</v>
      </c>
      <c r="L60" s="147" t="s">
        <v>709</v>
      </c>
    </row>
    <row r="61" spans="1:18" outlineLevel="1" x14ac:dyDescent="0.5">
      <c r="A61" s="138" t="str">
        <f t="shared" ref="A61" si="9">$A$1&amp;B61&amp;"_"&amp;C61&amp;"_"&amp;$A$2</f>
        <v>Z_TX_92_5_CS</v>
      </c>
      <c r="B61" s="137" t="str">
        <f t="shared" si="7"/>
        <v>TX</v>
      </c>
      <c r="C61" s="138" t="s">
        <v>534</v>
      </c>
      <c r="D61" s="170"/>
      <c r="E61" s="148" t="str">
        <f>IFERROR(IF(D61&lt;&gt;"",D61,HLOOKUP($E$2,$F$2:K61,ROW(D61)-1,0)),F61)</f>
        <v>COPIAR</v>
      </c>
      <c r="F61" s="148" t="s">
        <v>535</v>
      </c>
      <c r="G61" s="148" t="s">
        <v>536</v>
      </c>
      <c r="H61" s="148" t="s">
        <v>537</v>
      </c>
      <c r="I61" s="148" t="s">
        <v>538</v>
      </c>
      <c r="J61" s="148" t="s">
        <v>539</v>
      </c>
      <c r="K61" s="148" t="s">
        <v>540</v>
      </c>
      <c r="L61" s="148" t="s">
        <v>710</v>
      </c>
    </row>
    <row r="62" spans="1:18" outlineLevel="1" x14ac:dyDescent="0.5">
      <c r="A62" s="136" t="str">
        <f>$A$1&amp;B62&amp;"_"&amp;C62&amp;"_"&amp;$A$2</f>
        <v>Z_TX_92_6_CS</v>
      </c>
      <c r="B62" s="135" t="str">
        <f t="shared" si="7"/>
        <v>TX</v>
      </c>
      <c r="C62" s="136" t="s">
        <v>541</v>
      </c>
      <c r="D62" s="169"/>
      <c r="E62" s="147" t="str">
        <f>IFERROR(IF(D62&lt;&gt;"",D62,HLOOKUP($E$2,$F$2:K62,ROW(D62)-1,0)),F62)</f>
        <v>PEGAR</v>
      </c>
      <c r="F62" s="147" t="s">
        <v>542</v>
      </c>
      <c r="G62" s="147" t="s">
        <v>543</v>
      </c>
      <c r="H62" s="147" t="s">
        <v>544</v>
      </c>
      <c r="I62" s="147" t="s">
        <v>545</v>
      </c>
      <c r="J62" s="147" t="s">
        <v>546</v>
      </c>
      <c r="K62" s="147" t="s">
        <v>547</v>
      </c>
      <c r="L62" s="147" t="s">
        <v>711</v>
      </c>
    </row>
    <row r="63" spans="1:18" outlineLevel="1" x14ac:dyDescent="0.5">
      <c r="A63" s="138" t="str">
        <f t="shared" ref="A63" si="10">$A$1&amp;B63&amp;"_"&amp;C63&amp;"_"&amp;$A$2</f>
        <v>Z_TX_92_7_CS</v>
      </c>
      <c r="B63" s="137" t="str">
        <f t="shared" si="7"/>
        <v>TX</v>
      </c>
      <c r="C63" s="138" t="s">
        <v>548</v>
      </c>
      <c r="D63" s="170"/>
      <c r="E63" s="148" t="str">
        <f>IFERROR(IF(D63&lt;&gt;"",D63,HLOOKUP($E$2,$F$2:K63,ROW(D63)-1,0)),F63)</f>
        <v>IR A…</v>
      </c>
      <c r="F63" s="148" t="s">
        <v>549</v>
      </c>
      <c r="G63" s="148" t="s">
        <v>550</v>
      </c>
      <c r="H63" s="148" t="s">
        <v>551</v>
      </c>
      <c r="I63" s="148" t="s">
        <v>552</v>
      </c>
      <c r="J63" s="148" t="s">
        <v>553</v>
      </c>
      <c r="K63" s="148" t="s">
        <v>554</v>
      </c>
      <c r="L63" s="148" t="s">
        <v>712</v>
      </c>
    </row>
    <row r="64" spans="1:18" outlineLevel="1" x14ac:dyDescent="0.5">
      <c r="A64" s="136" t="str">
        <f>$A$1&amp;B64&amp;"_"&amp;C64&amp;"_"&amp;$A$2</f>
        <v>Z_TX_92_8_CS</v>
      </c>
      <c r="B64" s="135" t="str">
        <f t="shared" si="7"/>
        <v>TX</v>
      </c>
      <c r="C64" s="136" t="s">
        <v>555</v>
      </c>
      <c r="D64" s="169"/>
      <c r="E64" s="147" t="str">
        <f>IFERROR(IF(D64&lt;&gt;"",D64,HLOOKUP($E$2,$F$2:K64,ROW(D64)-1,0)),F64)</f>
        <v>LINK DICCIONARIO</v>
      </c>
      <c r="F64" s="147" t="s">
        <v>557</v>
      </c>
      <c r="G64" s="147" t="s">
        <v>558</v>
      </c>
      <c r="H64" s="147" t="s">
        <v>559</v>
      </c>
      <c r="I64" s="147" t="s">
        <v>560</v>
      </c>
      <c r="J64" s="147" t="s">
        <v>561</v>
      </c>
      <c r="K64" s="147" t="s">
        <v>562</v>
      </c>
      <c r="L64" s="147" t="s">
        <v>713</v>
      </c>
    </row>
    <row r="65" spans="1:31" outlineLevel="1" x14ac:dyDescent="0.5">
      <c r="A65" s="138" t="str">
        <f>$A$1&amp;B65&amp;"_"&amp;C65&amp;"_"&amp;$A$2</f>
        <v>Z_TX_92_9_CS</v>
      </c>
      <c r="B65" s="137" t="str">
        <f t="shared" si="7"/>
        <v>TX</v>
      </c>
      <c r="C65" s="138" t="s">
        <v>556</v>
      </c>
      <c r="D65" s="170"/>
      <c r="E65" s="148" t="str">
        <f>IFERROR(IF(D65&lt;&gt;"",D65,HLOOKUP($E$2,$F$2:K65,ROW(D65)-1,0)),F65)</f>
        <v>MENU EXCEL</v>
      </c>
      <c r="F65" s="148" t="s">
        <v>645</v>
      </c>
      <c r="G65" s="148" t="s">
        <v>646</v>
      </c>
      <c r="H65" s="148" t="s">
        <v>646</v>
      </c>
      <c r="I65" s="148" t="s">
        <v>646</v>
      </c>
      <c r="J65" s="148" t="s">
        <v>646</v>
      </c>
      <c r="K65" s="148" t="s">
        <v>647</v>
      </c>
      <c r="L65" s="148" t="s">
        <v>714</v>
      </c>
    </row>
    <row r="66" spans="1:31" outlineLevel="1" x14ac:dyDescent="0.5">
      <c r="A66" s="136" t="str">
        <f>$A$1&amp;B66&amp;"_"&amp;C66&amp;"_"&amp;$A$2</f>
        <v>Z_TX_92_10_CS</v>
      </c>
      <c r="B66" s="135" t="str">
        <f t="shared" si="7"/>
        <v>TX</v>
      </c>
      <c r="C66" s="136" t="s">
        <v>652</v>
      </c>
      <c r="D66" s="169"/>
      <c r="E66" s="147" t="str">
        <f>IFERROR(IF(D66&lt;&gt;"",D66,HLOOKUP($E$2,$F$2:K66,ROW(D66)-1,0)),F66)</f>
        <v>¿Desea guardar los cambios?</v>
      </c>
      <c r="F66" s="147" t="s">
        <v>653</v>
      </c>
      <c r="G66" s="147" t="s">
        <v>654</v>
      </c>
      <c r="H66" s="147" t="s">
        <v>655</v>
      </c>
      <c r="I66" s="147" t="s">
        <v>656</v>
      </c>
      <c r="J66" s="147" t="s">
        <v>657</v>
      </c>
      <c r="K66" s="147" t="s">
        <v>658</v>
      </c>
      <c r="L66" s="147" t="s">
        <v>715</v>
      </c>
    </row>
    <row r="67" spans="1:31" x14ac:dyDescent="0.5">
      <c r="A67" s="195" t="s">
        <v>751</v>
      </c>
      <c r="B67" s="195" t="str">
        <f>VLOOKUP(A67,O4:Q50,2,0)</f>
        <v>gl</v>
      </c>
      <c r="C67" s="195">
        <f>VLOOKUP(A67,O4:Q50,3,0)</f>
        <v>0</v>
      </c>
      <c r="D67" s="195"/>
      <c r="E67" s="195" t="str">
        <f>IFERROR(IF(D67&lt;&gt;"",D67,HLOOKUP($E$2,$F$2:K67,ROW(D67)-1,0)),F67)</f>
        <v>FIN</v>
      </c>
      <c r="F67" s="195" t="s">
        <v>725</v>
      </c>
      <c r="G67" s="195" t="s">
        <v>726</v>
      </c>
      <c r="H67" s="195" t="s">
        <v>727</v>
      </c>
      <c r="I67" s="195" t="s">
        <v>728</v>
      </c>
      <c r="J67" s="195" t="s">
        <v>729</v>
      </c>
      <c r="K67" s="195" t="s">
        <v>730</v>
      </c>
      <c r="L67" s="195" t="s">
        <v>731</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EFvDi3MSRW73NdIsYvAsc+BhgNAxKxcPxTt3ACKCjR73QNbhqIfRpAgCELXZUjGGqLKgcIubArfstFoT9O9iow==" saltValue="M4mqjZOIoId7mfBIEVvyPQ==" spinCount="100000" sheet="1" objects="1" scenarios="1" selectLockedCells="1"/>
  <conditionalFormatting sqref="F3:F53 F55">
    <cfRule type="duplicateValues" dxfId="2" priority="4"/>
  </conditionalFormatting>
  <conditionalFormatting sqref="F54">
    <cfRule type="duplicateValues" dxfId="1" priority="2"/>
  </conditionalFormatting>
  <conditionalFormatting sqref="F56:F66">
    <cfRule type="duplicateValues" dxfId="0"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2025-04-04T11:39:57Z</dcterms:modified>
  <cp:category>DOCENCIA</cp:category>
</cp:coreProperties>
</file>