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FastTest PlugIn Excel 2010\0.EJEMPLOS_EXAMPLES\"/>
    </mc:Choice>
  </mc:AlternateContent>
  <bookViews>
    <workbookView showHorizontalScroll="0" showVerticalScroll="0" showSheetTabs="0" xWindow="0" yWindow="0" windowWidth="20730" windowHeight="10920"/>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O7" i="8"/>
  <c r="O20" i="8"/>
  <c r="F2" i="15"/>
  <c r="O24" i="8"/>
  <c r="O27" i="8"/>
  <c r="O16" i="8"/>
  <c r="O19" i="8"/>
  <c r="O28" i="8"/>
  <c r="O29" i="8"/>
  <c r="F1" i="15"/>
  <c r="O22" i="8"/>
  <c r="O4" i="8"/>
  <c r="O25" i="8"/>
  <c r="O5" i="8"/>
  <c r="O8" i="8"/>
  <c r="O15" i="8"/>
  <c r="O10" i="8"/>
  <c r="O9" i="8"/>
  <c r="O18" i="8"/>
  <c r="O3" i="8"/>
  <c r="O11" i="8"/>
  <c r="O26" i="8"/>
  <c r="O17" i="8"/>
  <c r="O6" i="8"/>
  <c r="O12" i="8"/>
  <c r="E3" i="15"/>
  <c r="D1" i="8"/>
  <c r="O23" i="8"/>
  <c r="O14" i="8"/>
  <c r="O21" i="8"/>
  <c r="X7" i="8" l="1"/>
  <c r="Z7" i="8" s="1"/>
  <c r="X16" i="8"/>
  <c r="Z16" i="8" s="1"/>
  <c r="X15" i="8"/>
  <c r="Z15" i="8" s="1"/>
  <c r="X11" i="8"/>
  <c r="Z11" i="8" s="1"/>
  <c r="X6" i="8"/>
  <c r="Z6" i="8" s="1"/>
  <c r="X14" i="8"/>
  <c r="Z14" i="8" s="1"/>
  <c r="X8" i="8"/>
  <c r="Z8" i="8" s="1"/>
  <c r="X4" i="8"/>
  <c r="Y4" i="8" s="1"/>
  <c r="X5" i="8"/>
  <c r="Y5" i="8" s="1"/>
  <c r="X12" i="8"/>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Z12"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15" i="8"/>
  <c r="P17" i="8"/>
  <c r="P8" i="8"/>
  <c r="P18" i="8"/>
  <c r="P29" i="8"/>
  <c r="P3" i="8"/>
  <c r="P24" i="8"/>
  <c r="P11" i="8"/>
  <c r="P9" i="8"/>
  <c r="P5" i="8"/>
  <c r="P27" i="8"/>
  <c r="P14" i="8"/>
  <c r="P26" i="8"/>
  <c r="P23" i="8"/>
  <c r="P22" i="8"/>
  <c r="P20" i="8"/>
  <c r="P12" i="8"/>
  <c r="P28" i="8"/>
  <c r="P7" i="8"/>
  <c r="P21" i="8"/>
  <c r="P6" i="8"/>
  <c r="P19" i="8"/>
  <c r="P10" i="8"/>
  <c r="P16" i="8"/>
  <c r="P13" i="8"/>
  <c r="P4" i="8"/>
  <c r="P25" i="8"/>
  <c r="Z4" i="8" l="1"/>
  <c r="Y12" i="8" s="1"/>
  <c r="Z29" i="8"/>
  <c r="Z28" i="8"/>
  <c r="Y16" i="8" s="1"/>
  <c r="Z19" i="8"/>
  <c r="Z21" i="8"/>
  <c r="Y15" i="8"/>
  <c r="N30" i="8"/>
  <c r="B23" i="8"/>
  <c r="B5" i="8"/>
  <c r="G1" i="20"/>
  <c r="G3" i="16"/>
  <c r="I7" i="6"/>
  <c r="AG3" i="16"/>
  <c r="G23" i="6"/>
  <c r="A3" i="15"/>
  <c r="U3" i="19"/>
  <c r="G1" i="15"/>
  <c r="L3" i="21"/>
  <c r="V3" i="16"/>
  <c r="AG3" i="15"/>
  <c r="L3" i="19"/>
  <c r="M3" i="15"/>
  <c r="X3" i="19"/>
  <c r="W3" i="19"/>
  <c r="J3" i="16"/>
  <c r="P3" i="20"/>
  <c r="S3" i="16"/>
  <c r="O3" i="16"/>
  <c r="W3" i="16"/>
  <c r="I24" i="6"/>
  <c r="AD3" i="20"/>
  <c r="C9" i="6"/>
  <c r="D27" i="6"/>
  <c r="O24" i="6"/>
  <c r="K3" i="16"/>
  <c r="K3" i="21"/>
  <c r="M23" i="6"/>
  <c r="T3" i="20"/>
  <c r="M3" i="21"/>
  <c r="L3" i="15"/>
  <c r="V3" i="20"/>
  <c r="G3" i="6"/>
  <c r="P6" i="6"/>
  <c r="L3" i="20"/>
  <c r="N3" i="19"/>
  <c r="J3" i="21"/>
  <c r="E26" i="6"/>
  <c r="D11" i="6"/>
  <c r="T3" i="19"/>
  <c r="E3" i="16"/>
  <c r="H3" i="19"/>
  <c r="C23" i="6"/>
  <c r="I23" i="6"/>
  <c r="AD3" i="19"/>
  <c r="I3" i="21"/>
  <c r="Q26" i="6"/>
  <c r="B3" i="15"/>
  <c r="Q3" i="19"/>
  <c r="O26" i="6"/>
  <c r="AC3" i="19"/>
  <c r="Z3" i="19"/>
  <c r="S3" i="15"/>
  <c r="AB3" i="20"/>
  <c r="G24" i="6"/>
  <c r="X3" i="20"/>
  <c r="N3" i="20"/>
  <c r="A3" i="16"/>
  <c r="W3" i="15"/>
  <c r="U3" i="16"/>
  <c r="G1" i="19"/>
  <c r="D3" i="19"/>
  <c r="B3" i="16"/>
  <c r="K26" i="6"/>
  <c r="Q3" i="15"/>
  <c r="P3" i="16"/>
  <c r="A3" i="20"/>
  <c r="O3" i="19"/>
  <c r="E3" i="17"/>
  <c r="N3" i="15"/>
  <c r="A3" i="19"/>
  <c r="T3" i="15"/>
  <c r="E24" i="6"/>
  <c r="P3" i="15"/>
  <c r="T3" i="16"/>
  <c r="G3" i="22"/>
  <c r="O23" i="6"/>
  <c r="H3" i="20"/>
  <c r="I26" i="6"/>
  <c r="K3" i="15"/>
  <c r="C26" i="6"/>
  <c r="V3" i="15"/>
  <c r="Q24" i="6"/>
  <c r="R3" i="16"/>
  <c r="G1" i="16"/>
  <c r="I3" i="19"/>
  <c r="G1" i="21"/>
  <c r="O3" i="15"/>
  <c r="G3" i="15"/>
  <c r="K24" i="6"/>
  <c r="X3" i="15"/>
  <c r="M3" i="16"/>
  <c r="M26" i="6"/>
  <c r="K3" i="19"/>
  <c r="J3" i="20"/>
  <c r="C24" i="6"/>
  <c r="E23" i="6"/>
  <c r="G1" i="22"/>
  <c r="R3" i="20"/>
  <c r="H3" i="16"/>
  <c r="N3" i="16"/>
  <c r="L3" i="16"/>
  <c r="I3" i="16"/>
  <c r="U3" i="15"/>
  <c r="AF3" i="15"/>
  <c r="AF3" i="16"/>
  <c r="AE3" i="15"/>
  <c r="I3" i="15"/>
  <c r="K23" i="6"/>
  <c r="Q3" i="16"/>
  <c r="A3" i="18"/>
  <c r="R3" i="15"/>
  <c r="G1" i="18"/>
  <c r="M24" i="6"/>
  <c r="H3" i="15"/>
  <c r="Z3" i="20"/>
  <c r="G26" i="6"/>
  <c r="Q23" i="6"/>
  <c r="R3" i="19"/>
  <c r="G1" i="17"/>
  <c r="AA3" i="19"/>
  <c r="AE3" i="16"/>
  <c r="AH3" i="15"/>
  <c r="AH3" i="16"/>
  <c r="J3" i="15"/>
  <c r="X3" i="16"/>
  <c r="H3" i="21"/>
  <c r="Y14" i="8" l="1"/>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Q3" i="20"/>
  <c r="I3" i="20"/>
  <c r="G3" i="20"/>
  <c r="O3" i="20"/>
  <c r="F3" i="15"/>
  <c r="AA3" i="20"/>
  <c r="F3" i="17"/>
  <c r="AC3" i="20"/>
  <c r="K3" i="20"/>
  <c r="F3" i="21"/>
  <c r="F3" i="22"/>
  <c r="F3" i="19"/>
  <c r="Y3" i="20"/>
  <c r="F3" i="20"/>
  <c r="M3" i="20"/>
  <c r="U3" i="20"/>
  <c r="G3" i="21"/>
  <c r="W3" i="20"/>
  <c r="F3" i="18"/>
  <c r="S3" i="20"/>
  <c r="F3" i="16"/>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<sst xmlns="http://schemas.openxmlformats.org/spreadsheetml/2006/main" count="1199" uniqueCount="798">
  <si>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</si>
  <si>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</si>
  <si>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</si>
  <si>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</si>
  <si>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</si>
  <si>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</si>
  <si>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</si>
  <si>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</si>
  <si>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</si>
  <si>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</si>
  <si>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</si>
  <si>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</si>
  <si>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</si>
  <si>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</si>
  <si>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</si>
  <si>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</si>
  <si>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</si>
  <si>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</si>
  <si>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</si>
  <si>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</si>
  <si>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</si>
  <si>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</si>
  <si>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</si>
  <si>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</si>
  <si>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</si>
  <si>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</si>
  <si>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</si>
  <si>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</si>
  <si>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</si>
  <si>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</si>
  <si>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</si>
  <si>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</si>
  <si>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</si>
  <si>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</si>
  <si>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</si>
  <si>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</si>
  <si>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</si>
  <si>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</si>
  <si>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</si>
  <si>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</si>
  <si>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</si>
  <si>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</si>
  <si>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</si>
  <si>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</si>
  <si>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</si>
  <si>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</si>
  <si>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</si>
  <si>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</si>
  <si>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</si>
  <si>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</si>
  <si>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</si>
  <si>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</si>
  <si>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</si>
  <si>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</si>
  <si>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</si>
  <si>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</si>
  <si>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</si>
  <si>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</si>
  <si>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</si>
  <si>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</si>
  <si>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</si>
  <si>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</si>
  <si>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</si>
  <si>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</si>
  <si>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</si>
  <si>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</si>
  <si>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</si>
  <si>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</si>
  <si>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</si>
  <si>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</si>
  <si>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</si>
  <si>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</si>
  <si>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</si>
  <si>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</si>
  <si>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</si>
  <si>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</si>
  <si>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</si>
  <si>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</si>
  <si>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</si>
  <si>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</si>
  <si>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</si>
  <si>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</si>
  <si>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</si>
  <si>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</si>
  <si>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</si>
  <si>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</si>
  <si>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</si>
  <si>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</si>
  <si>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</si>
  <si>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</si>
  <si>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</si>
  <si>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</si>
  <si>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</si>
  <si>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</si>
  <si>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</si>
  <si>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</si>
  <si>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</si>
  <si>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</si>
  <si>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</si>
  <si>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</si>
  <si>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</si>
  <si>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</si>
  <si>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</si>
  <si>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</si>
  <si>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</si>
  <si>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</si>
  <si>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</si>
  <si>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</si>
  <si>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</si>
  <si>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</si>
  <si>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</si>
  <si>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</si>
  <si>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</si>
  <si>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</si>
  <si>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</si>
  <si>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</si>
  <si>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</si>
  <si>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</si>
  <si>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</si>
  <si>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</si>
  <si>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</si>
  <si>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</si>
  <si>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</si>
  <si>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</si>
  <si>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</si>
  <si>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</si>
  <si>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</si>
  <si>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</si>
  <si>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</si>
  <si>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</si>
  <si>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</si>
  <si>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</si>
  <si>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</si>
  <si>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</si>
  <si>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</si>
  <si>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</si>
  <si>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</si>
  <si>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</si>
  <si>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</si>
  <si>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</si>
  <si>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</si>
  <si>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</si>
  <si>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</si>
  <si>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</si>
  <si>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</si>
  <si>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</si>
  <si>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</si>
  <si>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</si>
  <si>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</si>
  <si>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</si>
  <si>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</si>
  <si>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</si>
  <si>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</si>
  <si>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</si>
  <si>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</si>
  <si>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</si>
  <si>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</si>
  <si>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</si>
  <si>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</si>
  <si>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</si>
  <si>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</si>
  <si>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</si>
  <si>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</si>
  <si>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</si>
  <si>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</si>
  <si>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</si>
  <si>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</si>
  <si>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</si>
  <si>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</si>
  <si>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</si>
  <si>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</si>
  <si>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</si>
  <si>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</si>
  <si>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</si>
  <si>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</si>
  <si>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</si>
  <si>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</si>
  <si>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</si>
  <si>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</si>
  <si>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</si>
  <si>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</si>
  <si>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</si>
  <si>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</si>
  <si>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</si>
  <si>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</si>
  <si>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</si>
  <si>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</si>
  <si>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</si>
  <si>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</si>
  <si>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</si>
  <si>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</si>
  <si>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</si>
  <si>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</si>
  <si>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</si>
  <si>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</si>
  <si>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</si>
  <si>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</si>
  <si>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</si>
  <si>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</si>
  <si>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</si>
  <si>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</si>
  <si>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</si>
  <si>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</si>
  <si>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</si>
  <si>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</si>
  <si>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</si>
  <si>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</si>
  <si>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</si>
  <si>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</si>
  <si>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</si>
  <si>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</si>
  <si>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</si>
  <si>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</si>
  <si>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</si>
  <si>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</si>
  <si>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</si>
  <si>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</si>
  <si>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</si>
  <si>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</si>
  <si>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</si>
  <si>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</si>
  <si>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</si>
  <si>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</si>
  <si>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</si>
  <si>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</si>
  <si>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</si>
  <si>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</si>
  <si>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</si>
  <si>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</si>
  <si>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</si>
  <si>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</si>
  <si>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</si>
  <si>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</si>
  <si>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</si>
  <si>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</si>
  <si>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</si>
  <si>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</si>
  <si>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</si>
  <si>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</si>
  <si>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</si>
  <si>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</si>
  <si>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</si>
  <si>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</si>
  <si>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</si>
  <si>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</si>
  <si>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</si>
  <si>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</si>
  <si>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</si>
  <si>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</si>
  <si>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</si>
  <si>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</si>
  <si>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</si>
  <si>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</si>
  <si>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</si>
  <si>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</si>
  <si>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</si>
  <si>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</si>
  <si>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</si>
  <si>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</si>
  <si>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</si>
  <si>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</si>
  <si>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</si>
  <si>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</si>
  <si>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</si>
  <si>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</si>
  <si>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</si>
  <si>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</si>
  <si>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</si>
  <si>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</si>
  <si>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</si>
  <si>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</si>
  <si>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</si>
  <si>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</si>
  <si>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</si>
  <si>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</si>
  <si>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</si>
  <si>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</si>
  <si>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</si>
  <si>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</si>
  <si>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</si>
  <si>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</si>
  <si>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</si>
  <si>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</si>
  <si>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</si>
  <si>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</si>
  <si>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</si>
  <si>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</si>
  <si>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</si>
  <si>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</si>
  <si>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</si>
  <si>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</si>
  <si>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</si>
  <si>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</si>
  <si>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</si>
  <si>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</si>
  <si>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</si>
  <si>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</si>
  <si>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</si>
  <si>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</si>
  <si>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</si>
  <si>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</si>
  <si>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</si>
  <si>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</si>
  <si>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</si>
  <si>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</si>
  <si>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</si>
  <si>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</si>
  <si>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</si>
  <si>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</si>
  <si>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</si>
  <si>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</si>
  <si>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</si>
  <si>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</si>
  <si>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</si>
  <si>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</si>
  <si>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</si>
  <si>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</si>
  <si>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</si>
  <si>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</si>
  <si>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</si>
  <si>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</si>
  <si>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</si>
  <si>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</si>
  <si>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</si>
  <si>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</si>
  <si>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</si>
  <si>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</si>
  <si>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</si>
  <si>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</si>
  <si>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</si>
  <si>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</si>
  <si>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</si>
  <si>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</si>
  <si>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</si>
  <si>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</si>
  <si>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</si>
  <si>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</si>
  <si>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</si>
  <si>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</si>
  <si>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</si>
  <si>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</si>
  <si>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</si>
  <si>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</si>
  <si>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</si>
  <si>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</si>
  <si>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</si>
  <si>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</si>
  <si>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</si>
  <si>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</si>
  <si>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</si>
  <si>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</si>
  <si>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</si>
  <si>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</si>
  <si>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</si>
  <si>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</si>
  <si>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</si>
  <si>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</si>
  <si>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</si>
  <si>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</si>
  <si>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</si>
  <si>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</si>
  <si>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</si>
  <si>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</si>
  <si>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</si>
  <si>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</si>
  <si>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</si>
  <si>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</si>
  <si>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</si>
  <si>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</si>
  <si>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</si>
  <si>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</si>
  <si>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</si>
  <si>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</si>
  <si>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</si>
  <si>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</si>
  <si>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</si>
  <si>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</si>
  <si>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</si>
  <si>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</si>
  <si>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</si>
  <si>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</si>
  <si>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</si>
  <si>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</si>
  <si>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</si>
  <si>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</si>
  <si>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</si>
  <si>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</si>
  <si>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</si>
  <si>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</si>
  <si>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</si>
  <si>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</si>
  <si>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</si>
  <si>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</si>
  <si>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</si>
  <si>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</si>
  <si>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</si>
  <si>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</si>
  <si>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</si>
  <si>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</si>
  <si>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</si>
  <si>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</si>
  <si>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</si>
  <si>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</si>
  <si>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</si>
  <si>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</si>
  <si>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</si>
  <si>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</si>
  <si>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</si>
  <si>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</si>
  <si>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</si>
  <si>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</si>
  <si>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</si>
  <si>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</si>
  <si>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</si>
  <si>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</si>
  <si>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</si>
  <si>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</si>
  <si>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</si>
  <si>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</si>
  <si>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</si>
  <si>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</si>
  <si>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</si>
  <si>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</si>
  <si>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</si>
  <si>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</si>
  <si>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</si>
  <si>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</si>
  <si>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</si>
  <si>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</si>
  <si>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</si>
  <si>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</si>
  <si>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</si>
  <si>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</si>
  <si>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</si>
  <si>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</si>
  <si>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</si>
  <si>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</si>
  <si>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</si>
  <si>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</si>
  <si>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</si>
  <si>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</si>
  <si>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</si>
  <si>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</si>
  <si>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</si>
  <si>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</si>
  <si>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</si>
  <si>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</si>
  <si>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</si>
  <si>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</si>
  <si>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</si>
  <si>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</si>
  <si>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</si>
  <si>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</si>
  <si>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</si>
  <si>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</si>
  <si>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</si>
  <si>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</si>
  <si>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</si>
  <si>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</si>
  <si>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</si>
  <si>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</si>
  <si>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</si>
  <si>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</si>
  <si>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</si>
  <si>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</si>
  <si>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</si>
  <si>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</si>
  <si>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</si>
  <si>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</si>
  <si>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</si>
  <si>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</si>
  <si>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</si>
  <si>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</si>
  <si>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</si>
  <si>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</si>
  <si>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</si>
  <si>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</si>
  <si>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</si>
  <si>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</si>
  <si>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</si>
  <si>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</si>
  <si>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</si>
  <si>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</si>
  <si>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</si>
  <si>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</si>
  <si>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</si>
  <si>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</si>
  <si>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</si>
  <si>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</si>
  <si>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</si>
  <si>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</si>
  <si>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</si>
  <si>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</si>
  <si>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</si>
  <si>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</si>
  <si>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</si>
  <si>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</si>
  <si>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</si>
  <si>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</si>
  <si>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</si>
  <si>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</si>
  <si>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</si>
  <si>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</si>
  <si>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</si>
  <si>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</si>
  <si>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</si>
  <si>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</si>
  <si>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</si>
  <si>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</si>
  <si>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</si>
  <si>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</si>
  <si>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</si>
  <si>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</si>
  <si>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</si>
  <si>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</si>
  <si>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</si>
  <si>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</si>
  <si>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</si>
  <si>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</si>
  <si>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</si>
  <si>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</si>
  <si>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</si>
  <si>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</si>
  <si>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</si>
  <si>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</si>
  <si>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</si>
  <si>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</si>
  <si>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</si>
  <si>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</si>
  <si>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</si>
  <si>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</si>
  <si>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</si>
  <si>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</si>
  <si>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</si>
  <si>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</si>
  <si>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</si>
  <si>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</si>
  <si>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</si>
  <si>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</si>
  <si>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</si>
  <si>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</si>
  <si>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</si>
  <si>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</si>
  <si>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</si>
  <si>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</si>
  <si>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</si>
  <si>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</si>
  <si>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</si>
  <si>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</si>
  <si>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</si>
  <si>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</si>
  <si>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</si>
  <si>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</si>
  <si>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</si>
  <si>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</si>
  <si>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</si>
  <si>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</si>
  <si>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</si>
  <si>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</si>
  <si>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</si>
  <si>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</si>
  <si>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</si>
  <si>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</si>
  <si>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</si>
  <si>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</si>
  <si>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</si>
  <si>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</si>
  <si>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</si>
  <si>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</si>
  <si>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</si>
  <si>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</si>
  <si>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</si>
  <si>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</si>
  <si>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</si>
  <si>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</si>
  <si>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</si>
  <si>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</si>
  <si>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</si>
  <si>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</si>
  <si>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</si>
  <si>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</si>
  <si>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</si>
  <si>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</si>
  <si>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</si>
  <si>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</si>
  <si>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</si>
  <si>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</si>
  <si>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</si>
  <si>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</si>
  <si>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</si>
  <si>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</si>
  <si>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</si>
  <si>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</si>
  <si>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</si>
  <si>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</si>
  <si>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</si>
  <si>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</si>
  <si>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</si>
  <si>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</si>
  <si>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</si>
  <si>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</si>
  <si>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</si>
  <si>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</si>
  <si>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</si>
  <si>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</si>
  <si>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</si>
  <si>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</si>
  <si>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</si>
  <si>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</si>
  <si>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</si>
  <si>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</si>
  <si>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</si>
  <si>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</si>
  <si>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</si>
  <si>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</si>
  <si>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</si>
  <si>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</si>
  <si>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</si>
  <si>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</si>
  <si>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</si>
  <si>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</si>
  <si>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</si>
  <si>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</si>
  <si>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</si>
  <si>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</si>
  <si>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</si>
  <si>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</si>
  <si>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</si>
  <si>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</si>
  <si>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</si>
  <si>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</si>
  <si>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</si>
  <si>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</si>
  <si>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</si>
  <si>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</si>
  <si>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</si>
  <si>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</si>
  <si>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</si>
  <si>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</si>
  <si>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</si>
  <si>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</si>
  <si>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</si>
  <si>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</si>
  <si>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</si>
  <si>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</si>
  <si>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</si>
  <si>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</si>
  <si>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</si>
  <si>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</si>
  <si>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</si>
  <si>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</si>
  <si>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</si>
  <si>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</si>
  <si>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V - 6.0  - 30/12/2021</t>
  </si>
  <si>
    <t>92_10</t>
  </si>
  <si>
    <t>¿Desea guardar los cambios?</t>
  </si>
  <si>
    <t>Do you want to save your changes?</t>
  </si>
  <si>
    <t>Voulez-vous enregistrer vos modifications?</t>
  </si>
  <si>
    <t>Quer salvar suas mudanças?</t>
  </si>
  <si>
    <t>Vuoi salvare le modifiche?</t>
  </si>
  <si>
    <t>Möchten Sie Ihre Änderungen speichern?</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</si>
  <si>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</si>
  <si>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</si>
  <si>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</si>
  <si>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</si>
  <si>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</si>
  <si>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</si>
  <si>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</si>
  <si>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</si>
  <si>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</si>
  <si>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</si>
  <si>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</si>
  <si>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</si>
  <si>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</si>
  <si>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</si>
  <si>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</si>
  <si>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</si>
  <si>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</si>
  <si>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</si>
  <si>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</si>
  <si>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</si>
  <si>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m_{_2_}_</t>
  </si>
  <si>
    <t>m_{_3_}_</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</si>
  <si>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</si>
  <si>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</si>
  <si>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</si>
  <si>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</si>
  <si>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</si>
  <si>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</si>
  <si>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</si>
  <si>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</si>
  <si>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</si>
  <si>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</si>
  <si>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</si>
  <si>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</si>
  <si>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</si>
  <si>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</si>
  <si>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</si>
  <si>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</si>
  <si>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</si>
  <si>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</si>
  <si>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</si>
  <si>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</si>
  <si>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</si>
  <si>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</si>
  <si>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</si>
  <si>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</si>
  <si>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</si>
  <si>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</si>
  <si>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</si>
  <si>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</si>
  <si>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</si>
  <si>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</si>
  <si>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</si>
  <si>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</si>
  <si>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</si>
  <si>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</si>
  <si>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</si>
  <si>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</si>
  <si>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</si>
  <si>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</si>
  <si>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</si>
  <si>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</si>
  <si>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</si>
  <si>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</si>
  <si>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</si>
  <si>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Hint 4</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</si>
  <si>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</si>
  <si>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</si>
  <si>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</si>
  <si>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</si>
  <si>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</si>
  <si>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</si>
  <si>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</si>
  <si>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</si>
  <si>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</si>
  <si>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</si>
  <si>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</si>
  <si>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</si>
  <si>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</si>
  <si>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</si>
  <si>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</si>
  <si>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</si>
  <si>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</si>
  <si>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</si>
  <si>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</si>
  <si>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</si>
  <si>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</si>
  <si>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</si>
  <si>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</si>
  <si>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</si>
  <si>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</si>
  <si>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</si>
  <si>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</si>
  <si>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</si>
  <si>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</si>
  <si>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</si>
  <si>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</si>
  <si>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</si>
  <si>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</si>
  <si>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</si>
  <si>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</si>
  <si>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</si>
  <si>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</si>
  <si>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</si>
  <si>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</si>
  <si>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</si>
  <si>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</si>
  <si>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</si>
  <si>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</si>
  <si>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</si>
  <si>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</si>
  <si>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</si>
  <si>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</si>
  <si>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</si>
  <si>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</si>
  <si>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</si>
  <si>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</si>
  <si>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</si>
  <si>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</si>
  <si>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</si>
  <si>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</si>
  <si>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</si>
  <si>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</si>
  <si>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</si>
  <si>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</si>
  <si>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</si>
  <si>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</si>
  <si>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</si>
  <si>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</si>
  <si>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</si>
  <si>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</si>
  <si>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</si>
  <si>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</si>
  <si>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</si>
  <si>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</si>
  <si>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1. Caballo de Santiago =&amp;gt; {1:SHORTANSWER:%100%Blanco#Muy bien~%0%Negro#Debes leer bien~%0%Marrón#Debes leer bien}&lt;br/&gt; 
2. Caballo de Santiago =&amp;gt; {1:MULTICHOICE:=Blanco#Muy bien~%-50%Negro#Debes leer bien~%-50%Marrón#Debes leer bien}&lt;br/&gt; 
3. Marca los Colores:&lt;br/&gt; {1:MCHS:=Blanco#Muy bien~=Silla#Muy bien~%-50%Mesa~%-50%Suelo}&lt;br/&gt; 
4. Marca los Colores:&lt;br/&gt; {1:MRHS:=Blanco#Muy bien~=Negro#Muy bien~%-50%Mesa~%-50%Silla}&lt;br/&gt; 
5. Marca los Colores:&lt;br/&gt; {1:MRS:=Blanco#Muy bien~=Naranja#Correcto~=Azul~%-50%Mesa~%-50%Silla#No es un color~%-50%Boli}</t>
  </si>
  <si>
    <t>FastTest PlugIn - DataBase_Examples - Spanish.xlsm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</si>
</sst>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family val="2"/>
      <scheme val="minor"/>
    </font>
    <font>
      <b/>
      <sz val="9"/>
      <color theme="0"/>
      <name val="Calibri"/>
      <family val="2"/>
      <scheme val="minor"/>
    </font>
    <font>
      <sz val="9"/>
      <color rgb="FF005877"/>
      <name val="Calibri"/>
      <family val="2"/>
      <scheme val="minor"/>
    </font>
    <font>
      <sz val="11"/>
      <color theme="0"/>
      <name val="Calibri"/>
      <family val="2"/>
      <scheme val="minor"/>
    </font>
    <font>
      <sz val="9"/>
      <color theme="0"/>
      <name val="Calibri"/>
      <family val="2"/>
      <scheme val="minor"/>
    </font>
    <font>
      <b/>
      <sz val="8"/>
      <color rgb="FF005877"/>
      <name val="Calibri"/>
      <family val="2"/>
      <scheme val="minor"/>
    </font>
    <font>
      <sz val="11"/>
      <color rgb="FF005877"/>
      <name val="Calibri"/>
      <family val="2"/>
      <scheme val="minor"/>
    </font>
    <font>
      <b/>
      <sz val="11"/>
      <color rgb="FFFF0000"/>
      <name val="Calibri"/>
      <family val="2"/>
      <scheme val="minor"/>
    </font>
    <font>
      <b/>
      <sz val="10"/>
      <color theme="1"/>
      <name val="Calibri"/>
      <family val="2"/>
      <scheme val="minor"/>
    </font>
    <font>
      <sz val="9"/>
      <color theme="1"/>
      <name val="Calibri"/>
      <family val="2"/>
      <scheme val="minor"/>
    </font>
    <font>
      <sz val="9"/>
      <color rgb="FFFF0000"/>
      <name val="Calibri"/>
      <family val="2"/>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52" dataDxfId="151">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113">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tabSelected="1" zoomScale="155" zoomScaleNormal="155" workbookViewId="0">
      <selection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84" t="s">
        <v>387</v>
      </c>
      <c r="B1" s="374" t="s">
        <v>5</v>
      </c>
      <c r="C1" s="375"/>
      <c r="D1" s="375"/>
      <c r="E1" s="375"/>
      <c r="F1" s="375"/>
      <c r="G1" s="375"/>
      <c r="H1" s="375"/>
      <c r="I1" s="375"/>
      <c r="J1" s="375"/>
      <c r="K1" s="375"/>
      <c r="L1" s="375"/>
      <c r="M1" s="375"/>
      <c r="N1" s="375"/>
      <c r="O1" s="375"/>
      <c r="P1" s="375"/>
      <c r="Q1" s="375"/>
      <c r="R1" s="375"/>
      <c r="S1" s="376"/>
    </row>
    <row r="2" spans="1:19" ht="6" customHeight="1" x14ac:dyDescent="0.25">
      <c r="A2" s="385"/>
      <c r="B2" s="7"/>
      <c r="C2" s="8"/>
      <c r="D2" s="8"/>
      <c r="E2" s="8"/>
      <c r="F2" s="8"/>
      <c r="G2" s="8"/>
      <c r="H2" s="8"/>
      <c r="I2" s="8"/>
      <c r="J2" s="8"/>
      <c r="K2" s="8"/>
      <c r="L2" s="8"/>
      <c r="M2" s="8"/>
      <c r="N2" s="8"/>
      <c r="O2" s="8"/>
      <c r="P2" s="8"/>
      <c r="Q2" s="8"/>
      <c r="R2" s="8"/>
      <c r="S2" s="9"/>
    </row>
    <row r="3" spans="1:19" x14ac:dyDescent="0.25">
      <c r="A3" s="385"/>
      <c r="B3" s="7"/>
      <c r="C3" s="8"/>
      <c r="D3" s="8"/>
      <c r="E3" s="8"/>
      <c r="F3" s="8"/>
      <c r="G3" s="391" t="str">
        <f ca="1">INDIRECT("Z_IN_04_"&amp;IDIOMA)</f>
        <v>Esta Aplicación ha sido desarrollada, en la primera versión, por:</v>
      </c>
      <c r="H3" s="391"/>
      <c r="I3" s="391"/>
      <c r="J3" s="391"/>
      <c r="K3" s="391"/>
      <c r="L3" s="391"/>
      <c r="M3" s="391"/>
      <c r="N3" s="391"/>
      <c r="O3" s="8"/>
      <c r="P3" s="8"/>
      <c r="Q3" s="8"/>
      <c r="R3" s="8"/>
      <c r="S3" s="9"/>
    </row>
    <row r="4" spans="1:19" ht="6" customHeight="1" x14ac:dyDescent="0.25">
      <c r="A4" s="385"/>
      <c r="B4" s="7"/>
      <c r="C4" s="8"/>
      <c r="D4" s="8"/>
      <c r="E4" s="8"/>
      <c r="F4" s="8"/>
      <c r="G4" s="8"/>
      <c r="H4" s="8"/>
      <c r="I4" s="8"/>
      <c r="J4" s="8"/>
      <c r="K4" s="8"/>
      <c r="L4" s="8"/>
      <c r="M4" s="8"/>
      <c r="N4" s="8"/>
      <c r="O4" s="8"/>
      <c r="P4" s="8"/>
      <c r="Q4" s="8"/>
      <c r="R4" s="8"/>
      <c r="S4" s="9"/>
    </row>
    <row r="5" spans="1:19" ht="15.75" customHeight="1" x14ac:dyDescent="0.25">
      <c r="A5" s="385"/>
      <c r="B5" s="7"/>
      <c r="C5" s="8"/>
      <c r="D5" s="8"/>
      <c r="E5" s="8"/>
      <c r="F5" s="382"/>
      <c r="G5" s="382"/>
      <c r="H5" s="199"/>
      <c r="I5" s="392" t="s">
        <v>0</v>
      </c>
      <c r="J5" s="392"/>
      <c r="K5" s="392"/>
      <c r="L5" s="392"/>
      <c r="M5" s="198"/>
      <c r="N5" s="366"/>
      <c r="O5" s="366"/>
      <c r="P5" s="383" t="s">
        <v>797</v>
      </c>
      <c r="Q5" s="383"/>
      <c r="R5" s="383"/>
      <c r="S5" s="9"/>
    </row>
    <row r="6" spans="1:19" ht="6" customHeight="1" x14ac:dyDescent="0.25">
      <c r="A6" s="385"/>
      <c r="B6" s="7"/>
      <c r="C6" s="8"/>
      <c r="D6" s="8"/>
      <c r="E6" s="8"/>
      <c r="F6" s="382"/>
      <c r="G6" s="382"/>
      <c r="H6" s="199"/>
      <c r="I6" s="8"/>
      <c r="J6" s="8"/>
      <c r="K6" s="8"/>
      <c r="L6" s="8"/>
      <c r="M6" s="198"/>
      <c r="N6" s="366"/>
      <c r="O6" s="366"/>
      <c r="P6" s="394" t="str">
        <f ca="1">INDIRECT("Z_IN_01_"&amp;IDIOMA)</f>
        <v>CANAL YOUTUBE</v>
      </c>
      <c r="Q6" s="394"/>
      <c r="R6" s="394"/>
      <c r="S6" s="9"/>
    </row>
    <row r="7" spans="1:19" ht="15" customHeight="1" x14ac:dyDescent="0.25">
      <c r="A7" s="385"/>
      <c r="B7" s="7"/>
      <c r="C7" s="8"/>
      <c r="D7" s="8"/>
      <c r="E7" s="8"/>
      <c r="F7" s="382"/>
      <c r="G7" s="382"/>
      <c r="H7" s="199"/>
      <c r="I7" s="391" t="str">
        <f ca="1">INDIRECT("Z_IN_05_"&amp;IDIOMA)</f>
        <v>Universidad de Cádiz</v>
      </c>
      <c r="J7" s="391"/>
      <c r="K7" s="391"/>
      <c r="L7" s="391"/>
      <c r="M7" s="198"/>
      <c r="N7" s="366"/>
      <c r="O7" s="366"/>
      <c r="P7" s="394"/>
      <c r="Q7" s="394"/>
      <c r="R7" s="394"/>
      <c r="S7" s="9"/>
    </row>
    <row r="8" spans="1:19" ht="6" customHeight="1" x14ac:dyDescent="0.25">
      <c r="A8" s="385"/>
      <c r="B8" s="7"/>
      <c r="C8" s="8"/>
      <c r="D8" s="8"/>
      <c r="E8" s="8"/>
      <c r="F8" s="382"/>
      <c r="G8" s="382"/>
      <c r="H8" s="199"/>
      <c r="I8" s="8"/>
      <c r="J8" s="8"/>
      <c r="K8" s="8"/>
      <c r="L8" s="8"/>
      <c r="M8" s="198"/>
      <c r="N8" s="366"/>
      <c r="O8" s="366"/>
      <c r="P8" s="8"/>
      <c r="Q8" s="8"/>
      <c r="R8" s="8"/>
      <c r="S8" s="9"/>
    </row>
    <row r="9" spans="1:19" ht="15.75" thickBot="1" x14ac:dyDescent="0.3">
      <c r="A9" s="386"/>
      <c r="B9" s="7"/>
      <c r="C9" s="377" t="str">
        <f ca="1">INDIRECT("Z_IN_03_"&amp;IDIOMA)</f>
        <v>LEER CON ATENCIÓN</v>
      </c>
      <c r="D9" s="377"/>
      <c r="E9" s="8"/>
      <c r="F9" s="382"/>
      <c r="G9" s="382"/>
      <c r="H9" s="199"/>
      <c r="I9" s="393" t="s">
        <v>10</v>
      </c>
      <c r="J9" s="393"/>
      <c r="K9" s="393"/>
      <c r="L9" s="393"/>
      <c r="M9" s="198"/>
      <c r="N9" s="366"/>
      <c r="O9" s="366"/>
      <c r="P9" s="395" t="s">
        <v>653</v>
      </c>
      <c r="Q9" s="395"/>
      <c r="R9" s="395"/>
      <c r="S9" s="9"/>
    </row>
    <row r="10" spans="1:19" ht="6" customHeight="1" x14ac:dyDescent="0.25">
      <c r="B10" s="7"/>
      <c r="C10" s="8"/>
      <c r="D10" s="8"/>
      <c r="E10" s="8"/>
      <c r="F10" s="382"/>
      <c r="G10" s="382"/>
      <c r="H10" s="199"/>
      <c r="I10" s="8"/>
      <c r="J10" s="8"/>
      <c r="K10" s="8"/>
      <c r="L10" s="8"/>
      <c r="M10" s="198"/>
      <c r="N10" s="366"/>
      <c r="O10" s="366"/>
      <c r="P10" s="8"/>
      <c r="Q10" s="8"/>
      <c r="R10" s="8"/>
      <c r="S10" s="9"/>
    </row>
    <row r="11" spans="1:19" ht="15" customHeight="1" x14ac:dyDescent="0.25">
      <c r="A11" s="387" t="s">
        <v>12</v>
      </c>
      <c r="B11" s="7"/>
      <c r="C11" s="8"/>
      <c r="D11" s="378"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78"/>
      <c r="F11" s="378"/>
      <c r="G11" s="378"/>
      <c r="H11" s="378"/>
      <c r="I11" s="378"/>
      <c r="J11" s="378"/>
      <c r="K11" s="378"/>
      <c r="L11" s="378"/>
      <c r="M11" s="378"/>
      <c r="N11" s="378"/>
      <c r="O11" s="378"/>
      <c r="P11" s="378"/>
      <c r="Q11" s="378"/>
      <c r="R11" s="378"/>
      <c r="S11" s="9"/>
    </row>
    <row r="12" spans="1:19" ht="6" customHeight="1" x14ac:dyDescent="0.25">
      <c r="A12" s="387"/>
      <c r="B12" s="7"/>
      <c r="C12" s="8"/>
      <c r="D12" s="378"/>
      <c r="E12" s="378"/>
      <c r="F12" s="378"/>
      <c r="G12" s="378"/>
      <c r="H12" s="378"/>
      <c r="I12" s="378"/>
      <c r="J12" s="378"/>
      <c r="K12" s="378"/>
      <c r="L12" s="378"/>
      <c r="M12" s="378"/>
      <c r="N12" s="378"/>
      <c r="O12" s="378"/>
      <c r="P12" s="378"/>
      <c r="Q12" s="378"/>
      <c r="R12" s="378"/>
      <c r="S12" s="9"/>
    </row>
    <row r="13" spans="1:19" x14ac:dyDescent="0.25">
      <c r="A13" s="387"/>
      <c r="B13" s="7"/>
      <c r="C13" s="8"/>
      <c r="D13" s="378"/>
      <c r="E13" s="378"/>
      <c r="F13" s="378"/>
      <c r="G13" s="378"/>
      <c r="H13" s="378"/>
      <c r="I13" s="378"/>
      <c r="J13" s="378"/>
      <c r="K13" s="378"/>
      <c r="L13" s="378"/>
      <c r="M13" s="378"/>
      <c r="N13" s="378"/>
      <c r="O13" s="378"/>
      <c r="P13" s="378"/>
      <c r="Q13" s="378"/>
      <c r="R13" s="378"/>
      <c r="S13" s="9"/>
    </row>
    <row r="14" spans="1:19" ht="6" customHeight="1" x14ac:dyDescent="0.25">
      <c r="B14" s="7"/>
      <c r="C14" s="8"/>
      <c r="D14" s="378"/>
      <c r="E14" s="378"/>
      <c r="F14" s="378"/>
      <c r="G14" s="378"/>
      <c r="H14" s="378"/>
      <c r="I14" s="378"/>
      <c r="J14" s="378"/>
      <c r="K14" s="378"/>
      <c r="L14" s="378"/>
      <c r="M14" s="378"/>
      <c r="N14" s="378"/>
      <c r="O14" s="378"/>
      <c r="P14" s="378"/>
      <c r="Q14" s="378"/>
      <c r="R14" s="378"/>
      <c r="S14" s="9"/>
    </row>
    <row r="15" spans="1:19" x14ac:dyDescent="0.25">
      <c r="B15" s="7"/>
      <c r="C15" s="8"/>
      <c r="D15" s="378"/>
      <c r="E15" s="378"/>
      <c r="F15" s="378"/>
      <c r="G15" s="378"/>
      <c r="H15" s="378"/>
      <c r="I15" s="378"/>
      <c r="J15" s="378"/>
      <c r="K15" s="378"/>
      <c r="L15" s="378"/>
      <c r="M15" s="378"/>
      <c r="N15" s="378"/>
      <c r="O15" s="378"/>
      <c r="P15" s="378"/>
      <c r="Q15" s="378"/>
      <c r="R15" s="378"/>
      <c r="S15" s="9"/>
    </row>
    <row r="16" spans="1:19" ht="6" customHeight="1" x14ac:dyDescent="0.25">
      <c r="B16" s="7"/>
      <c r="C16" s="8"/>
      <c r="D16" s="378"/>
      <c r="E16" s="378"/>
      <c r="F16" s="378"/>
      <c r="G16" s="378"/>
      <c r="H16" s="378"/>
      <c r="I16" s="378"/>
      <c r="J16" s="378"/>
      <c r="K16" s="378"/>
      <c r="L16" s="378"/>
      <c r="M16" s="378"/>
      <c r="N16" s="378"/>
      <c r="O16" s="378"/>
      <c r="P16" s="378"/>
      <c r="Q16" s="378"/>
      <c r="R16" s="378"/>
      <c r="S16" s="9"/>
    </row>
    <row r="17" spans="1:19" x14ac:dyDescent="0.25">
      <c r="A17" s="388" t="str">
        <f>IFERROR(HLOOKUP(LANGUAGE,DICCIONARIO!F1:K20,20,0),LANGUAGE)</f>
        <v>PERSONALIZAR DICCIONARIO</v>
      </c>
      <c r="B17" s="7"/>
      <c r="C17" s="8"/>
      <c r="D17" s="378"/>
      <c r="E17" s="378"/>
      <c r="F17" s="378"/>
      <c r="G17" s="378"/>
      <c r="H17" s="378"/>
      <c r="I17" s="378"/>
      <c r="J17" s="378"/>
      <c r="K17" s="378"/>
      <c r="L17" s="378"/>
      <c r="M17" s="378"/>
      <c r="N17" s="378"/>
      <c r="O17" s="378"/>
      <c r="P17" s="378"/>
      <c r="Q17" s="378"/>
      <c r="R17" s="378"/>
      <c r="S17" s="9"/>
    </row>
    <row r="18" spans="1:19" ht="6" customHeight="1" x14ac:dyDescent="0.25">
      <c r="A18" s="388"/>
      <c r="B18" s="7"/>
      <c r="C18" s="8"/>
      <c r="D18" s="378"/>
      <c r="E18" s="378"/>
      <c r="F18" s="378"/>
      <c r="G18" s="378"/>
      <c r="H18" s="378"/>
      <c r="I18" s="378"/>
      <c r="J18" s="378"/>
      <c r="K18" s="378"/>
      <c r="L18" s="378"/>
      <c r="M18" s="378"/>
      <c r="N18" s="378"/>
      <c r="O18" s="378"/>
      <c r="P18" s="378"/>
      <c r="Q18" s="378"/>
      <c r="R18" s="378"/>
      <c r="S18" s="9"/>
    </row>
    <row r="19" spans="1:19" x14ac:dyDescent="0.25">
      <c r="A19" s="388"/>
      <c r="B19" s="7"/>
      <c r="C19" s="8"/>
      <c r="D19" s="378"/>
      <c r="E19" s="378"/>
      <c r="F19" s="378"/>
      <c r="G19" s="378"/>
      <c r="H19" s="378"/>
      <c r="I19" s="378"/>
      <c r="J19" s="378"/>
      <c r="K19" s="378"/>
      <c r="L19" s="378"/>
      <c r="M19" s="378"/>
      <c r="N19" s="378"/>
      <c r="O19" s="378"/>
      <c r="P19" s="378"/>
      <c r="Q19" s="378"/>
      <c r="R19" s="378"/>
      <c r="S19" s="9"/>
    </row>
    <row r="20" spans="1:19" ht="6" customHeight="1" x14ac:dyDescent="0.25">
      <c r="B20" s="7"/>
      <c r="C20" s="8"/>
      <c r="D20" s="378"/>
      <c r="E20" s="378"/>
      <c r="F20" s="378"/>
      <c r="G20" s="378"/>
      <c r="H20" s="378"/>
      <c r="I20" s="378"/>
      <c r="J20" s="378"/>
      <c r="K20" s="378"/>
      <c r="L20" s="378"/>
      <c r="M20" s="378"/>
      <c r="N20" s="378"/>
      <c r="O20" s="378"/>
      <c r="P20" s="378"/>
      <c r="Q20" s="378"/>
      <c r="R20" s="378"/>
      <c r="S20" s="9"/>
    </row>
    <row r="21" spans="1:19" x14ac:dyDescent="0.25">
      <c r="B21" s="7"/>
      <c r="C21" s="8"/>
      <c r="D21" s="378"/>
      <c r="E21" s="378"/>
      <c r="F21" s="378"/>
      <c r="G21" s="378"/>
      <c r="H21" s="378"/>
      <c r="I21" s="378"/>
      <c r="J21" s="378"/>
      <c r="K21" s="378"/>
      <c r="L21" s="378"/>
      <c r="M21" s="378"/>
      <c r="N21" s="378"/>
      <c r="O21" s="378"/>
      <c r="P21" s="378"/>
      <c r="Q21" s="378"/>
      <c r="R21" s="378"/>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79" t="str">
        <f ca="1">INDIRECT("Z_BP_10_"&amp;IDIOMA)</f>
        <v>OM 1R</v>
      </c>
      <c r="D23" s="380"/>
      <c r="E23" s="379" t="str">
        <f ca="1">INDIRECT("Z_BP_11_"&amp;IDIOMA)</f>
        <v>OM +R</v>
      </c>
      <c r="F23" s="381"/>
      <c r="G23" s="379" t="str">
        <f ca="1">INDIRECT("Z_BP_12_"&amp;IDIOMA)</f>
        <v>VF</v>
      </c>
      <c r="H23" s="381"/>
      <c r="I23" s="379" t="str">
        <f ca="1">INDIRECT("Z_BP_13_"&amp;IDIOMA)</f>
        <v>EM</v>
      </c>
      <c r="J23" s="380"/>
      <c r="K23" s="379" t="str">
        <f ca="1">INDIRECT("Z_BP_14_"&amp;IDIOMA)</f>
        <v>RC</v>
      </c>
      <c r="L23" s="381"/>
      <c r="M23" s="379" t="str">
        <f ca="1">INDIRECT("Z_BP_15_"&amp;IDIOMA)</f>
        <v>PP</v>
      </c>
      <c r="N23" s="381"/>
      <c r="O23" s="379" t="str">
        <f ca="1">INDIRECT("Z_BP_31_"&amp;IDIOMA)</f>
        <v>EN</v>
      </c>
      <c r="P23" s="381"/>
      <c r="Q23" s="379" t="str">
        <f ca="1">INDIRECT("Z_BP_16_"&amp;IDIOMA)</f>
        <v>CL</v>
      </c>
      <c r="R23" s="381"/>
      <c r="S23" s="9"/>
    </row>
    <row r="24" spans="1:19" ht="14.45" customHeight="1" x14ac:dyDescent="0.25">
      <c r="B24" s="7"/>
      <c r="C24" s="370" t="str">
        <f ca="1">INDIRECT("Z_IN_08_"&amp;IDIOMA)</f>
        <v xml:space="preserve">Opción Múltiple 1R </v>
      </c>
      <c r="D24" s="371"/>
      <c r="E24" s="371" t="str">
        <f ca="1">INDIRECT("Z_IN_09_"&amp;IDIOMA)</f>
        <v xml:space="preserve">Opción Múltiple +R </v>
      </c>
      <c r="F24" s="371"/>
      <c r="G24" s="371" t="str">
        <f ca="1">INDIRECT("Z_IN_10_"&amp;IDIOMA)</f>
        <v>Verdadero/Falso</v>
      </c>
      <c r="H24" s="371"/>
      <c r="I24" s="371" t="str">
        <f ca="1">INDIRECT("Z_IN_11_"&amp;IDIOMA)</f>
        <v>Emparejar</v>
      </c>
      <c r="J24" s="371"/>
      <c r="K24" s="371" t="str">
        <f ca="1">INDIRECT("Z_IN_12_"&amp;IDIOMA)</f>
        <v>Respuesta Corta</v>
      </c>
      <c r="L24" s="371"/>
      <c r="M24" s="371" t="str">
        <f ca="1">INDIRECT("Z_IN_13_"&amp;IDIOMA)</f>
        <v>Palabra Perdida</v>
      </c>
      <c r="N24" s="371"/>
      <c r="O24" s="371" t="str">
        <f ca="1">INDIRECT("Z_IN_16_"&amp;IDIOMA)</f>
        <v>Ensayo</v>
      </c>
      <c r="P24" s="371"/>
      <c r="Q24" s="371" t="str">
        <f ca="1">INDIRECT("Z_IN_14_"&amp;IDIOMA)</f>
        <v>Cloze</v>
      </c>
      <c r="R24" s="396"/>
      <c r="S24" s="9"/>
    </row>
    <row r="25" spans="1:19" ht="6" customHeight="1" thickBot="1" x14ac:dyDescent="0.3">
      <c r="B25" s="7"/>
      <c r="C25" s="372"/>
      <c r="D25" s="373"/>
      <c r="E25" s="373"/>
      <c r="F25" s="373"/>
      <c r="G25" s="373"/>
      <c r="H25" s="373"/>
      <c r="I25" s="373"/>
      <c r="J25" s="373"/>
      <c r="K25" s="373"/>
      <c r="L25" s="373"/>
      <c r="M25" s="373"/>
      <c r="N25" s="373"/>
      <c r="O25" s="373"/>
      <c r="P25" s="373"/>
      <c r="Q25" s="373"/>
      <c r="R25" s="397"/>
      <c r="S25" s="9"/>
    </row>
    <row r="26" spans="1:19" ht="15" customHeight="1" thickBot="1" x14ac:dyDescent="0.3">
      <c r="B26" s="7"/>
      <c r="C26" s="367" t="str">
        <f ca="1">'Datos OM'!G2&amp;" "&amp;INDIRECT("Z_IN_15_"&amp;IDIOMA)</f>
        <v>3 Preguntas</v>
      </c>
      <c r="D26" s="369"/>
      <c r="E26" s="367" t="str">
        <f ca="1">'Datos O2'!G2&amp;" "&amp;INDIRECT("Z_IN_15_"&amp;IDIOMA)</f>
        <v>2 Preguntas</v>
      </c>
      <c r="F26" s="368"/>
      <c r="G26" s="367" t="str">
        <f ca="1">'Datos VF'!G2&amp;" "&amp;INDIRECT("Z_IN_15_"&amp;IDIOMA)</f>
        <v>2 Preguntas</v>
      </c>
      <c r="H26" s="368"/>
      <c r="I26" s="367" t="str">
        <f ca="1">'Datos EM'!G2&amp;" "&amp;INDIRECT("Z_IN_15_"&amp;IDIOMA)</f>
        <v>3 Preguntas</v>
      </c>
      <c r="J26" s="369"/>
      <c r="K26" s="367" t="str">
        <f ca="1">'Datos RC'!G2&amp;" "&amp;INDIRECT("Z_IN_15_"&amp;IDIOMA)</f>
        <v>2 Preguntas</v>
      </c>
      <c r="L26" s="368"/>
      <c r="M26" s="367" t="str">
        <f ca="1">'Datos PP'!G2&amp;" "&amp;INDIRECT("Z_IN_15_"&amp;IDIOMA)</f>
        <v>2 Preguntas</v>
      </c>
      <c r="N26" s="368"/>
      <c r="O26" s="367" t="str">
        <f ca="1">'Datos EN'!G2&amp;" "&amp;INDIRECT("Z_IN_15_"&amp;IDIOMA)</f>
        <v>2 Preguntas</v>
      </c>
      <c r="P26" s="368"/>
      <c r="Q26" s="367" t="str">
        <f ca="1">'Datos CL'!G2&amp;" "&amp;INDIRECT("Z_IN_15_"&amp;IDIOMA)</f>
        <v>1 Preguntas</v>
      </c>
      <c r="R26" s="368"/>
      <c r="S26" s="9"/>
    </row>
    <row r="27" spans="1:19" ht="6" customHeight="1" x14ac:dyDescent="0.25">
      <c r="B27" s="7"/>
      <c r="C27" s="8"/>
      <c r="D27" s="389" t="str">
        <f ca="1">INDIRECT("Z_IN_07_"&amp;IDIOMA)</f>
        <v>Esta HOJA sirve para almacenar las preguntas y poder reutilizarlas cuando sea necesario, sin tener que volver a escribirlas para un nuevo BANCO DE PREGUNTAS.</v>
      </c>
      <c r="E27" s="389"/>
      <c r="F27" s="389"/>
      <c r="G27" s="389"/>
      <c r="H27" s="389"/>
      <c r="I27" s="389"/>
      <c r="J27" s="389"/>
      <c r="K27" s="389"/>
      <c r="L27" s="389"/>
      <c r="M27" s="389"/>
      <c r="N27" s="210"/>
      <c r="O27" s="10"/>
      <c r="P27" s="10"/>
      <c r="Q27" s="10"/>
      <c r="R27" s="10"/>
      <c r="S27" s="9"/>
    </row>
    <row r="28" spans="1:19" ht="15" customHeight="1" x14ac:dyDescent="0.25">
      <c r="B28" s="7"/>
      <c r="C28" s="8"/>
      <c r="D28" s="390"/>
      <c r="E28" s="390"/>
      <c r="F28" s="390"/>
      <c r="G28" s="390"/>
      <c r="H28" s="390"/>
      <c r="I28" s="390"/>
      <c r="J28" s="390"/>
      <c r="K28" s="390"/>
      <c r="L28" s="390"/>
      <c r="M28" s="390"/>
      <c r="N28" s="211"/>
      <c r="O28" s="198"/>
      <c r="P28" s="366"/>
      <c r="Q28" s="366"/>
      <c r="R28" s="366"/>
      <c r="S28" s="208"/>
    </row>
    <row r="29" spans="1:19" ht="6" customHeight="1" x14ac:dyDescent="0.25">
      <c r="B29" s="7"/>
      <c r="C29" s="8"/>
      <c r="D29" s="390"/>
      <c r="E29" s="390"/>
      <c r="F29" s="390"/>
      <c r="G29" s="390"/>
      <c r="H29" s="390"/>
      <c r="I29" s="390"/>
      <c r="J29" s="390"/>
      <c r="K29" s="390"/>
      <c r="L29" s="390"/>
      <c r="M29" s="390"/>
      <c r="N29" s="211"/>
      <c r="O29" s="198"/>
      <c r="P29" s="366"/>
      <c r="Q29" s="366"/>
      <c r="R29" s="366"/>
      <c r="S29" s="208"/>
    </row>
    <row r="30" spans="1:19" x14ac:dyDescent="0.25">
      <c r="B30" s="7"/>
      <c r="C30" s="8"/>
      <c r="D30" s="390"/>
      <c r="E30" s="390"/>
      <c r="F30" s="390"/>
      <c r="G30" s="390"/>
      <c r="H30" s="390"/>
      <c r="I30" s="390"/>
      <c r="J30" s="390"/>
      <c r="K30" s="390"/>
      <c r="L30" s="390"/>
      <c r="M30" s="390"/>
      <c r="N30" s="211"/>
      <c r="O30" s="198"/>
      <c r="P30" s="366"/>
      <c r="Q30" s="366"/>
      <c r="R30" s="366"/>
      <c r="S30" s="208"/>
    </row>
    <row r="31" spans="1:19" ht="6" customHeight="1" x14ac:dyDescent="0.25">
      <c r="B31" s="7"/>
      <c r="C31" s="8"/>
      <c r="D31" s="390"/>
      <c r="E31" s="390"/>
      <c r="F31" s="390"/>
      <c r="G31" s="390"/>
      <c r="H31" s="390"/>
      <c r="I31" s="390"/>
      <c r="J31" s="390"/>
      <c r="K31" s="390"/>
      <c r="L31" s="390"/>
      <c r="M31" s="390"/>
      <c r="N31" s="211"/>
      <c r="O31" s="198"/>
      <c r="P31" s="366"/>
      <c r="Q31" s="366"/>
      <c r="R31" s="366"/>
      <c r="S31" s="208"/>
    </row>
    <row r="32" spans="1:19" x14ac:dyDescent="0.25">
      <c r="B32" s="7"/>
      <c r="C32" s="8"/>
      <c r="D32" s="390"/>
      <c r="E32" s="390"/>
      <c r="F32" s="390"/>
      <c r="G32" s="390"/>
      <c r="H32" s="390"/>
      <c r="I32" s="390"/>
      <c r="J32" s="390"/>
      <c r="K32" s="390"/>
      <c r="L32" s="390"/>
      <c r="M32" s="390"/>
      <c r="N32" s="211"/>
      <c r="O32" s="198"/>
      <c r="P32" s="366"/>
      <c r="Q32" s="366"/>
      <c r="R32" s="366"/>
      <c r="S32" s="208"/>
    </row>
    <row r="33" spans="1:20" ht="6" customHeight="1" x14ac:dyDescent="0.25">
      <c r="B33" s="7"/>
      <c r="C33" s="8"/>
      <c r="D33" s="390"/>
      <c r="E33" s="390"/>
      <c r="F33" s="390"/>
      <c r="G33" s="390"/>
      <c r="H33" s="390"/>
      <c r="I33" s="390"/>
      <c r="J33" s="390"/>
      <c r="K33" s="390"/>
      <c r="L33" s="390"/>
      <c r="M33" s="390"/>
      <c r="N33" s="211"/>
      <c r="O33" s="198"/>
      <c r="P33" s="366"/>
      <c r="Q33" s="366"/>
      <c r="R33" s="366"/>
      <c r="S33" s="208"/>
    </row>
    <row r="34" spans="1:20" x14ac:dyDescent="0.25">
      <c r="B34" s="7"/>
      <c r="C34" s="8"/>
      <c r="D34" s="390"/>
      <c r="E34" s="390"/>
      <c r="F34" s="390"/>
      <c r="G34" s="390"/>
      <c r="H34" s="390"/>
      <c r="I34" s="390"/>
      <c r="J34" s="390"/>
      <c r="K34" s="390"/>
      <c r="L34" s="390"/>
      <c r="M34" s="390"/>
      <c r="N34" s="211"/>
      <c r="O34" s="198"/>
      <c r="P34" s="366"/>
      <c r="Q34" s="366"/>
      <c r="R34" s="366"/>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hidden="1" customHeight="1" x14ac:dyDescent="0.25"/>
  </sheetData>
  <sheetProtection algorithmName="SHA-512" hashValue="sDOFswAPyx6bF8M9P3gSbD714vgu21NPWeECj9ckREC+hcBih02B/9mECIWzoesFRuS0W02l2xj3uNfqgo+pdg==" saltValue="p8mSl4b66vwmkjkTBAWUTQ==" spinCount="100000" sheet="1" objects="1" scenarios="1" selectLockedCells="1"/>
  <mergeCells count="42">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5:R5"/>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V6.0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5</v>
      </c>
      <c r="D5" s="48"/>
      <c r="E5" s="106" t="s">
        <v>661</v>
      </c>
      <c r="F5" s="105" t="s">
        <v>662</v>
      </c>
      <c r="G5" s="27" t="s">
        <v>663</v>
      </c>
      <c r="H5" s="28" t="s">
        <v>664</v>
      </c>
      <c r="I5" s="29" t="s">
        <v>665</v>
      </c>
      <c r="J5" s="30" t="s">
        <v>666</v>
      </c>
      <c r="K5" s="31" t="s">
        <v>667</v>
      </c>
      <c r="L5" s="32" t="s">
        <v>668</v>
      </c>
      <c r="M5" s="49" t="s">
        <v>669</v>
      </c>
      <c r="N5" s="50" t="s">
        <v>670</v>
      </c>
      <c r="O5" s="51" t="s">
        <v>671</v>
      </c>
      <c r="P5" s="52" t="s">
        <v>672</v>
      </c>
      <c r="Q5" s="53" t="s">
        <v>673</v>
      </c>
      <c r="R5" s="54" t="s">
        <v>674</v>
      </c>
      <c r="S5" s="49">
        <v>100</v>
      </c>
      <c r="T5" s="50">
        <v>0</v>
      </c>
      <c r="U5" s="51">
        <v>0</v>
      </c>
      <c r="V5" s="52">
        <v>0</v>
      </c>
      <c r="W5" s="53">
        <v>0</v>
      </c>
      <c r="X5" s="54">
        <v>0</v>
      </c>
      <c r="Y5" s="54"/>
      <c r="Z5" s="54"/>
      <c r="AA5" s="54"/>
      <c r="AB5" s="54"/>
      <c r="AC5" s="54"/>
      <c r="AD5" s="54"/>
      <c r="AE5" s="55"/>
      <c r="AF5" s="56"/>
      <c r="AG5" s="57"/>
      <c r="AH5" s="58"/>
      <c r="AI5" s="118"/>
    </row>
    <row r="6" spans="1:35" x14ac:dyDescent="0.25">
      <c r="A6" s="301">
        <f>IF(COUNTIF(Tabla_OM[[#This Row],[Puntos 1]:[Puntos 6]],"&gt;0")=0,"",COUNTIF(Tabla_OM[[#This Row],[Puntos 1]:[Puntos 6]],"&gt;0"))</f>
        <v>1</v>
      </c>
      <c r="B6" s="301">
        <f>IF(Tabla_OM[[#This Row],[NRC]]="","",COUNTA(Tabla_OM[[#This Row],[Respuesta 1]:[Respuesta 6]])-Tabla_OM[[#This Row],[NRC]])</f>
        <v>5</v>
      </c>
      <c r="C6" s="1"/>
      <c r="D6" s="302"/>
      <c r="E6" s="303" t="s">
        <v>675</v>
      </c>
      <c r="F6" s="304" t="s">
        <v>676</v>
      </c>
      <c r="G6" s="305" t="s">
        <v>677</v>
      </c>
      <c r="H6" s="306" t="s">
        <v>678</v>
      </c>
      <c r="I6" s="307" t="s">
        <v>679</v>
      </c>
      <c r="J6" s="308" t="s">
        <v>680</v>
      </c>
      <c r="K6" s="309" t="s">
        <v>681</v>
      </c>
      <c r="L6" s="310" t="s">
        <v>682</v>
      </c>
      <c r="M6" s="311">
        <v>1</v>
      </c>
      <c r="N6" s="312">
        <v>2</v>
      </c>
      <c r="O6" s="313">
        <v>3</v>
      </c>
      <c r="P6" s="314">
        <v>4</v>
      </c>
      <c r="Q6" s="315">
        <v>5</v>
      </c>
      <c r="R6" s="316">
        <v>6</v>
      </c>
      <c r="S6" s="311">
        <v>100</v>
      </c>
      <c r="T6" s="312"/>
      <c r="U6" s="313"/>
      <c r="V6" s="314"/>
      <c r="W6" s="315"/>
      <c r="X6" s="316"/>
      <c r="Y6" s="316"/>
      <c r="Z6" s="316"/>
      <c r="AA6" s="316"/>
      <c r="AB6" s="316"/>
      <c r="AC6" s="316"/>
      <c r="AD6" s="316"/>
      <c r="AE6" s="317"/>
      <c r="AF6" s="318"/>
      <c r="AG6" s="319"/>
      <c r="AH6" s="320"/>
      <c r="AI6" s="321"/>
    </row>
    <row r="7" spans="1:35" ht="48" x14ac:dyDescent="0.25">
      <c r="A7" s="301">
        <f>IF(COUNTIF(Tabla_OM[[#This Row],[Puntos 1]:[Puntos 6]],"&gt;0")=0,"",COUNTIF(Tabla_OM[[#This Row],[Puntos 1]:[Puntos 6]],"&gt;0"))</f>
        <v>1</v>
      </c>
      <c r="B7" s="301">
        <f>IF(Tabla_OM[[#This Row],[NRC]]="","",COUNTA(Tabla_OM[[#This Row],[Respuesta 1]:[Respuesta 6]])-Tabla_OM[[#This Row],[NRC]])</f>
        <v>2</v>
      </c>
      <c r="C7" s="1"/>
      <c r="D7" s="302"/>
      <c r="E7" s="303" t="s">
        <v>683</v>
      </c>
      <c r="F7" s="304" t="s">
        <v>684</v>
      </c>
      <c r="G7" s="305" t="s">
        <v>685</v>
      </c>
      <c r="H7" s="306" t="s">
        <v>686</v>
      </c>
      <c r="I7" s="307" t="s">
        <v>687</v>
      </c>
      <c r="J7" s="308"/>
      <c r="K7" s="309"/>
      <c r="L7" s="310"/>
      <c r="M7" s="311"/>
      <c r="N7" s="312"/>
      <c r="O7" s="313"/>
      <c r="P7" s="314"/>
      <c r="Q7" s="315"/>
      <c r="R7" s="316"/>
      <c r="S7" s="311">
        <v>100</v>
      </c>
      <c r="T7" s="312"/>
      <c r="U7" s="313"/>
      <c r="V7" s="314"/>
      <c r="W7" s="315"/>
      <c r="X7" s="316"/>
      <c r="Y7" s="316"/>
      <c r="Z7" s="316"/>
      <c r="AA7" s="316"/>
      <c r="AB7" s="316"/>
      <c r="AC7" s="316"/>
      <c r="AD7" s="316"/>
      <c r="AE7" s="317"/>
      <c r="AF7" s="318"/>
      <c r="AG7" s="319"/>
      <c r="AH7" s="320"/>
      <c r="AI7" s="321"/>
    </row>
  </sheetData>
  <sheetProtection algorithmName="SHA-512" hashValue="pel+qTGeAD79ivUFjodYNM6o83Dj5kA2gux5i0eEMiRCmlZ+MjmogIOgGoVPgxXEn1j/tVkbexJpevhOVJkA1g==" saltValue="HEVDWKJtlVCs+FWbZp1ySQ=="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V6.0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4</v>
      </c>
      <c r="D5" s="48"/>
      <c r="E5" s="106" t="s">
        <v>661</v>
      </c>
      <c r="F5" s="105" t="s">
        <v>662</v>
      </c>
      <c r="G5" s="27" t="s">
        <v>688</v>
      </c>
      <c r="H5" s="28" t="s">
        <v>689</v>
      </c>
      <c r="I5" s="29" t="s">
        <v>665</v>
      </c>
      <c r="J5" s="30" t="s">
        <v>666</v>
      </c>
      <c r="K5" s="31" t="s">
        <v>667</v>
      </c>
      <c r="L5" s="32" t="s">
        <v>664</v>
      </c>
      <c r="M5" s="49" t="s">
        <v>669</v>
      </c>
      <c r="N5" s="50" t="s">
        <v>669</v>
      </c>
      <c r="O5" s="51" t="s">
        <v>671</v>
      </c>
      <c r="P5" s="52" t="s">
        <v>672</v>
      </c>
      <c r="Q5" s="53" t="s">
        <v>673</v>
      </c>
      <c r="R5" s="54" t="s">
        <v>674</v>
      </c>
      <c r="S5" s="49">
        <v>50</v>
      </c>
      <c r="T5" s="50">
        <v>50</v>
      </c>
      <c r="U5" s="51"/>
      <c r="V5" s="52"/>
      <c r="W5" s="53"/>
      <c r="X5" s="54"/>
      <c r="Y5" s="54"/>
      <c r="Z5" s="54"/>
      <c r="AA5" s="54"/>
      <c r="AB5" s="54"/>
      <c r="AC5" s="54"/>
      <c r="AD5" s="54"/>
      <c r="AE5" s="55"/>
      <c r="AF5" s="56"/>
      <c r="AG5" s="57"/>
      <c r="AH5" s="58"/>
      <c r="AI5" s="118"/>
    </row>
    <row r="6" spans="1:35" x14ac:dyDescent="0.25">
      <c r="A6" s="322">
        <f>IF(COUNTIF(Tabla_O2[[#This Row],[Puntos 1]:[Puntos 6]],"&gt;0")=0,"",COUNTIF(Tabla_O2[[#This Row],[Puntos 1]:[Puntos 6]],"&gt;0"))</f>
        <v>2</v>
      </c>
      <c r="B6" s="322">
        <f>IF(Tabla_O2[[#This Row],[NRC]]="","",COUNTA(Tabla_O2[[#This Row],[Respuesta 1]:[Respuesta 6]])-Tabla_O2[[#This Row],[NRC]])</f>
        <v>4</v>
      </c>
      <c r="C6" s="1"/>
      <c r="D6" s="302"/>
      <c r="E6" s="303" t="s">
        <v>675</v>
      </c>
      <c r="F6" s="323" t="s">
        <v>676</v>
      </c>
      <c r="G6" s="305" t="s">
        <v>677</v>
      </c>
      <c r="H6" s="306" t="s">
        <v>690</v>
      </c>
      <c r="I6" s="307" t="s">
        <v>678</v>
      </c>
      <c r="J6" s="308" t="s">
        <v>679</v>
      </c>
      <c r="K6" s="309" t="s">
        <v>691</v>
      </c>
      <c r="L6" s="310" t="s">
        <v>692</v>
      </c>
      <c r="M6" s="311" t="s">
        <v>669</v>
      </c>
      <c r="N6" s="312" t="s">
        <v>669</v>
      </c>
      <c r="O6" s="313" t="s">
        <v>671</v>
      </c>
      <c r="P6" s="314" t="s">
        <v>672</v>
      </c>
      <c r="Q6" s="315" t="s">
        <v>673</v>
      </c>
      <c r="R6" s="316" t="s">
        <v>674</v>
      </c>
      <c r="S6" s="311">
        <v>50</v>
      </c>
      <c r="T6" s="312">
        <v>50</v>
      </c>
      <c r="U6" s="313"/>
      <c r="V6" s="314"/>
      <c r="W6" s="315"/>
      <c r="X6" s="316"/>
      <c r="Y6" s="316"/>
      <c r="Z6" s="316"/>
      <c r="AA6" s="316"/>
      <c r="AB6" s="316"/>
      <c r="AC6" s="316"/>
      <c r="AD6" s="316"/>
      <c r="AE6" s="317"/>
      <c r="AF6" s="318"/>
      <c r="AG6" s="319"/>
      <c r="AH6" s="320"/>
      <c r="AI6" s="321"/>
    </row>
  </sheetData>
  <sheetProtection algorithmName="SHA-512" hashValue="HP7WCJFqgq+tE5/GgM8PKF/7vDFh2s+J7k4OU42+p3MFpYgR1/l5lyH4onckyFzpFSAsfmlJmdR701Dh3miiYw==" saltValue="7LadVExfALrlfLDxYD2yp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2</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V6.0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661</v>
      </c>
      <c r="F5" s="105" t="s">
        <v>693</v>
      </c>
      <c r="G5" s="27" t="b">
        <v>1</v>
      </c>
      <c r="H5" s="50" t="s">
        <v>694</v>
      </c>
      <c r="I5" s="51" t="s">
        <v>695</v>
      </c>
      <c r="J5" s="52"/>
      <c r="K5" s="53"/>
      <c r="L5" s="54"/>
      <c r="M5" s="49"/>
      <c r="N5" s="50"/>
      <c r="O5" s="51"/>
      <c r="P5" s="52"/>
      <c r="Q5" s="53"/>
      <c r="R5" s="54"/>
      <c r="S5" s="54"/>
      <c r="T5" s="54"/>
      <c r="U5" s="54"/>
      <c r="V5" s="54"/>
      <c r="W5" s="54"/>
      <c r="X5" s="54"/>
      <c r="Y5" s="54"/>
      <c r="Z5" s="54"/>
      <c r="AA5" s="54"/>
      <c r="AB5" s="54"/>
      <c r="AC5" s="54"/>
      <c r="AD5" s="54"/>
      <c r="AE5" s="55" t="s">
        <v>275</v>
      </c>
      <c r="AF5" s="56" t="s">
        <v>276</v>
      </c>
      <c r="AG5" s="57" t="s">
        <v>277</v>
      </c>
      <c r="AH5" s="58" t="s">
        <v>278</v>
      </c>
      <c r="AI5" s="95"/>
    </row>
    <row r="6" spans="1:35" x14ac:dyDescent="0.25">
      <c r="A6" s="324"/>
      <c r="B6" s="324"/>
      <c r="C6" s="1"/>
      <c r="D6" s="302"/>
      <c r="E6" s="303" t="s">
        <v>696</v>
      </c>
      <c r="F6" s="304" t="s">
        <v>697</v>
      </c>
      <c r="G6" s="305" t="b">
        <v>0</v>
      </c>
      <c r="H6" s="312" t="s">
        <v>698</v>
      </c>
      <c r="I6" s="313" t="s">
        <v>699</v>
      </c>
      <c r="J6" s="314"/>
      <c r="K6" s="315"/>
      <c r="L6" s="316"/>
      <c r="M6" s="311"/>
      <c r="N6" s="312"/>
      <c r="O6" s="313"/>
      <c r="P6" s="314"/>
      <c r="Q6" s="315"/>
      <c r="R6" s="316"/>
      <c r="S6" s="316"/>
      <c r="T6" s="316"/>
      <c r="U6" s="316"/>
      <c r="V6" s="316"/>
      <c r="W6" s="316"/>
      <c r="X6" s="316"/>
      <c r="Y6" s="316"/>
      <c r="Z6" s="316"/>
      <c r="AA6" s="316"/>
      <c r="AB6" s="316"/>
      <c r="AC6" s="316"/>
      <c r="AD6" s="316"/>
      <c r="AE6" s="317" t="s">
        <v>275</v>
      </c>
      <c r="AF6" s="318" t="s">
        <v>276</v>
      </c>
      <c r="AG6" s="319" t="s">
        <v>277</v>
      </c>
      <c r="AH6" s="320" t="s">
        <v>278</v>
      </c>
      <c r="AI6" s="325"/>
    </row>
  </sheetData>
  <sheetProtection algorithmName="SHA-512" hashValue="YqFQ6itwnDPM4EEOFKjYfPRQCIg9AbtW7ix3LjHJ/cZbm2eA2VyBaGXx89SOxmXVACiKD1KaZgfUOgqixLCHTg==" saltValue="oYQ0K4zA6ny2jQ+3+7lqnA=="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3</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V6.0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700</v>
      </c>
      <c r="F5" s="105" t="s">
        <v>701</v>
      </c>
      <c r="G5" s="119" t="s">
        <v>702</v>
      </c>
      <c r="H5" s="119" t="s">
        <v>703</v>
      </c>
      <c r="I5" s="120" t="s">
        <v>704</v>
      </c>
      <c r="J5" s="120" t="s">
        <v>705</v>
      </c>
      <c r="K5" s="121" t="s">
        <v>706</v>
      </c>
      <c r="L5" s="121" t="s">
        <v>707</v>
      </c>
      <c r="M5" s="122" t="s">
        <v>708</v>
      </c>
      <c r="N5" s="122" t="s">
        <v>709</v>
      </c>
      <c r="O5" s="123" t="s">
        <v>710</v>
      </c>
      <c r="P5" s="123" t="s">
        <v>711</v>
      </c>
      <c r="Q5" s="124" t="s">
        <v>712</v>
      </c>
      <c r="R5" s="124" t="s">
        <v>713</v>
      </c>
      <c r="S5" s="119" t="s">
        <v>714</v>
      </c>
      <c r="T5" s="119" t="s">
        <v>715</v>
      </c>
      <c r="U5" s="120" t="s">
        <v>716</v>
      </c>
      <c r="V5" s="120" t="s">
        <v>717</v>
      </c>
      <c r="W5" s="121" t="s">
        <v>718</v>
      </c>
      <c r="X5" s="121" t="s">
        <v>719</v>
      </c>
      <c r="Y5" s="122" t="s">
        <v>720</v>
      </c>
      <c r="Z5" s="122" t="s">
        <v>721</v>
      </c>
      <c r="AA5" s="123" t="s">
        <v>722</v>
      </c>
      <c r="AB5" s="123" t="s">
        <v>723</v>
      </c>
      <c r="AC5" s="124" t="s">
        <v>724</v>
      </c>
      <c r="AD5" s="124" t="s">
        <v>725</v>
      </c>
      <c r="AE5" s="55" t="s">
        <v>275</v>
      </c>
      <c r="AF5" s="56" t="s">
        <v>276</v>
      </c>
      <c r="AG5" s="57" t="s">
        <v>277</v>
      </c>
      <c r="AH5" s="58" t="s">
        <v>726</v>
      </c>
      <c r="AI5" s="118"/>
    </row>
    <row r="6" spans="1:35" x14ac:dyDescent="0.25">
      <c r="A6" s="326">
        <f>IF(COUNTA(Tabla_EM[[#This Row],[Pareja  01.1]:[Pareja  12.14]])/2=0,"",COUNTA(Tabla_EM[[#This Row],[Pareja  01.1]:[Pareja  12.14]])/2)</f>
        <v>12</v>
      </c>
      <c r="B6" s="327"/>
      <c r="C6" s="1"/>
      <c r="D6" s="302"/>
      <c r="E6" s="303" t="s">
        <v>727</v>
      </c>
      <c r="F6" s="304" t="s">
        <v>728</v>
      </c>
      <c r="G6" s="328">
        <v>1</v>
      </c>
      <c r="H6" s="328" t="s">
        <v>729</v>
      </c>
      <c r="I6" s="329">
        <v>2</v>
      </c>
      <c r="J6" s="329" t="s">
        <v>730</v>
      </c>
      <c r="K6" s="330">
        <v>3</v>
      </c>
      <c r="L6" s="330" t="s">
        <v>731</v>
      </c>
      <c r="M6" s="331">
        <v>4</v>
      </c>
      <c r="N6" s="331" t="s">
        <v>732</v>
      </c>
      <c r="O6" s="332">
        <v>5</v>
      </c>
      <c r="P6" s="332" t="s">
        <v>733</v>
      </c>
      <c r="Q6" s="333">
        <v>6</v>
      </c>
      <c r="R6" s="333" t="s">
        <v>734</v>
      </c>
      <c r="S6" s="328">
        <v>7</v>
      </c>
      <c r="T6" s="328" t="s">
        <v>735</v>
      </c>
      <c r="U6" s="329">
        <v>8</v>
      </c>
      <c r="V6" s="329" t="s">
        <v>736</v>
      </c>
      <c r="W6" s="330">
        <v>9</v>
      </c>
      <c r="X6" s="330" t="s">
        <v>737</v>
      </c>
      <c r="Y6" s="331">
        <v>10</v>
      </c>
      <c r="Z6" s="331" t="s">
        <v>738</v>
      </c>
      <c r="AA6" s="332">
        <v>11</v>
      </c>
      <c r="AB6" s="332" t="s">
        <v>739</v>
      </c>
      <c r="AC6" s="333">
        <v>12</v>
      </c>
      <c r="AD6" s="333" t="s">
        <v>740</v>
      </c>
      <c r="AE6" s="334" t="s">
        <v>275</v>
      </c>
      <c r="AF6" s="335" t="s">
        <v>276</v>
      </c>
      <c r="AG6" s="336" t="s">
        <v>277</v>
      </c>
      <c r="AH6" s="337" t="s">
        <v>726</v>
      </c>
      <c r="AI6" s="321"/>
    </row>
    <row r="7" spans="1:35" ht="180" x14ac:dyDescent="0.25">
      <c r="A7" s="326">
        <f>IF(COUNTA(Tabla_EM[[#This Row],[Pareja  01.1]:[Pareja  12.14]])/2=0,"",COUNTA(Tabla_EM[[#This Row],[Pareja  01.1]:[Pareja  12.14]])/2)</f>
        <v>12</v>
      </c>
      <c r="B7" s="327"/>
      <c r="C7" s="1"/>
      <c r="D7" s="302"/>
      <c r="E7" s="303" t="s">
        <v>727</v>
      </c>
      <c r="F7" s="304" t="s">
        <v>728</v>
      </c>
      <c r="G7" s="328" t="s">
        <v>741</v>
      </c>
      <c r="H7" s="328" t="s">
        <v>712</v>
      </c>
      <c r="I7" s="329" t="s">
        <v>742</v>
      </c>
      <c r="J7" s="329" t="s">
        <v>743</v>
      </c>
      <c r="K7" s="330" t="s">
        <v>744</v>
      </c>
      <c r="L7" s="330" t="s">
        <v>745</v>
      </c>
      <c r="M7" s="331" t="s">
        <v>746</v>
      </c>
      <c r="N7" s="331" t="s">
        <v>747</v>
      </c>
      <c r="O7" s="332" t="s">
        <v>748</v>
      </c>
      <c r="P7" s="332" t="s">
        <v>748</v>
      </c>
      <c r="Q7" s="333" t="s">
        <v>748</v>
      </c>
      <c r="R7" s="333" t="s">
        <v>748</v>
      </c>
      <c r="S7" s="328" t="s">
        <v>748</v>
      </c>
      <c r="T7" s="328" t="s">
        <v>748</v>
      </c>
      <c r="U7" s="329" t="s">
        <v>748</v>
      </c>
      <c r="V7" s="329" t="s">
        <v>748</v>
      </c>
      <c r="W7" s="330" t="s">
        <v>748</v>
      </c>
      <c r="X7" s="330" t="s">
        <v>748</v>
      </c>
      <c r="Y7" s="331" t="s">
        <v>748</v>
      </c>
      <c r="Z7" s="331" t="s">
        <v>748</v>
      </c>
      <c r="AA7" s="332" t="s">
        <v>748</v>
      </c>
      <c r="AB7" s="332" t="s">
        <v>748</v>
      </c>
      <c r="AC7" s="333" t="s">
        <v>748</v>
      </c>
      <c r="AD7" s="333" t="s">
        <v>748</v>
      </c>
      <c r="AE7" s="334" t="s">
        <v>275</v>
      </c>
      <c r="AF7" s="335" t="s">
        <v>276</v>
      </c>
      <c r="AG7" s="336" t="s">
        <v>277</v>
      </c>
      <c r="AH7" s="337" t="s">
        <v>726</v>
      </c>
      <c r="AI7" s="321"/>
    </row>
  </sheetData>
  <sheetProtection algorithmName="SHA-512" hashValue="nHDWWW/Dz+W54Qu7BowEpRxKOrb/QDjwxFVBrpoD2CenlQ+kqCc1Nm3/mq4nHePthBCdmeatP1sniToUUEqAGA==" saltValue="BvpfR/T2AYEt7SeSN4nrPw=="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G6" sqref="G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2</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V6.0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1</v>
      </c>
      <c r="E5" s="106" t="s">
        <v>749</v>
      </c>
      <c r="F5" s="105" t="s">
        <v>750</v>
      </c>
      <c r="G5" s="119" t="s">
        <v>751</v>
      </c>
      <c r="H5" s="145">
        <v>100</v>
      </c>
      <c r="I5" s="145" t="s">
        <v>752</v>
      </c>
      <c r="J5" s="120" t="s">
        <v>753</v>
      </c>
      <c r="K5" s="146">
        <v>100</v>
      </c>
      <c r="L5" s="146" t="s">
        <v>752</v>
      </c>
      <c r="M5" s="120" t="s">
        <v>754</v>
      </c>
      <c r="N5" s="146">
        <v>100</v>
      </c>
      <c r="O5" s="146" t="s">
        <v>752</v>
      </c>
      <c r="P5" s="122" t="s">
        <v>755</v>
      </c>
      <c r="Q5" s="147">
        <v>100</v>
      </c>
      <c r="R5" s="147" t="s">
        <v>752</v>
      </c>
      <c r="S5" s="123" t="s">
        <v>756</v>
      </c>
      <c r="T5" s="148">
        <v>100</v>
      </c>
      <c r="U5" s="148" t="s">
        <v>752</v>
      </c>
      <c r="V5" s="124" t="s">
        <v>757</v>
      </c>
      <c r="W5" s="149">
        <v>100</v>
      </c>
      <c r="X5" s="149" t="s">
        <v>752</v>
      </c>
      <c r="Y5" s="119" t="s">
        <v>758</v>
      </c>
      <c r="Z5" s="145">
        <v>100</v>
      </c>
      <c r="AA5" s="145" t="s">
        <v>752</v>
      </c>
      <c r="AB5" s="120" t="s">
        <v>759</v>
      </c>
      <c r="AC5" s="146">
        <v>100</v>
      </c>
      <c r="AD5" s="146" t="s">
        <v>752</v>
      </c>
      <c r="AE5" s="125" t="s">
        <v>760</v>
      </c>
      <c r="AF5" s="126" t="s">
        <v>761</v>
      </c>
      <c r="AG5" s="127" t="s">
        <v>762</v>
      </c>
      <c r="AH5" s="128" t="s">
        <v>763</v>
      </c>
      <c r="AI5" s="118"/>
    </row>
    <row r="6" spans="1:35" x14ac:dyDescent="0.25">
      <c r="A6" s="338">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39"/>
      <c r="C6" s="340"/>
      <c r="D6" s="341">
        <v>0</v>
      </c>
      <c r="E6" s="303" t="s">
        <v>764</v>
      </c>
      <c r="F6" s="304" t="s">
        <v>765</v>
      </c>
      <c r="G6" s="328" t="s">
        <v>766</v>
      </c>
      <c r="H6" s="342">
        <v>100</v>
      </c>
      <c r="I6" s="342" t="s">
        <v>752</v>
      </c>
      <c r="J6" s="329" t="s">
        <v>767</v>
      </c>
      <c r="K6" s="343">
        <v>50</v>
      </c>
      <c r="L6" s="343" t="s">
        <v>768</v>
      </c>
      <c r="M6" s="329" t="s">
        <v>769</v>
      </c>
      <c r="N6" s="343">
        <v>100</v>
      </c>
      <c r="O6" s="343" t="s">
        <v>770</v>
      </c>
      <c r="P6" s="331"/>
      <c r="Q6" s="344"/>
      <c r="R6" s="344"/>
      <c r="S6" s="332"/>
      <c r="T6" s="345"/>
      <c r="U6" s="345"/>
      <c r="V6" s="333"/>
      <c r="W6" s="346"/>
      <c r="X6" s="346"/>
      <c r="Y6" s="328"/>
      <c r="Z6" s="342"/>
      <c r="AA6" s="342"/>
      <c r="AB6" s="329"/>
      <c r="AC6" s="343"/>
      <c r="AD6" s="343"/>
      <c r="AE6" s="334"/>
      <c r="AF6" s="335"/>
      <c r="AG6" s="336"/>
      <c r="AH6" s="337"/>
      <c r="AI6" s="321"/>
    </row>
  </sheetData>
  <sheetProtection algorithmName="SHA-512" hashValue="sX7cbco60cQh0b3LY9sPJFXctDmxUh+HRbQN/nUul4DpRdYdJISdR6OqHRrZj/PbtBztZHMXveVKr2kVG19zqg==" saltValue="OD4U5/PjFVB/w6kmIBjJoA=="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2</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V6.0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1"/>
      <c r="D5" s="231"/>
      <c r="E5" s="170" t="s">
        <v>771</v>
      </c>
      <c r="F5" s="220" t="s">
        <v>772</v>
      </c>
      <c r="G5" s="27">
        <v>1</v>
      </c>
      <c r="H5" s="27" t="s">
        <v>751</v>
      </c>
      <c r="I5" s="28">
        <v>1</v>
      </c>
      <c r="J5" s="28" t="s">
        <v>753</v>
      </c>
      <c r="K5" s="27">
        <v>1</v>
      </c>
      <c r="L5" s="27" t="s">
        <v>756</v>
      </c>
      <c r="M5" s="28">
        <v>1</v>
      </c>
      <c r="N5" s="28" t="s">
        <v>757</v>
      </c>
      <c r="O5" s="27">
        <v>2</v>
      </c>
      <c r="P5" s="27" t="s">
        <v>773</v>
      </c>
      <c r="Q5" s="28">
        <v>2</v>
      </c>
      <c r="R5" s="28" t="s">
        <v>774</v>
      </c>
      <c r="S5" s="27">
        <v>2</v>
      </c>
      <c r="T5" s="27" t="s">
        <v>775</v>
      </c>
      <c r="U5" s="28">
        <v>3</v>
      </c>
      <c r="V5" s="28" t="s">
        <v>776</v>
      </c>
      <c r="W5" s="27">
        <v>3</v>
      </c>
      <c r="X5" s="27" t="s">
        <v>777</v>
      </c>
      <c r="Y5" s="28">
        <v>3</v>
      </c>
      <c r="Z5" s="28" t="s">
        <v>778</v>
      </c>
      <c r="AA5" s="27">
        <v>3</v>
      </c>
      <c r="AB5" s="27" t="s">
        <v>779</v>
      </c>
      <c r="AC5" s="28">
        <v>3</v>
      </c>
      <c r="AD5" s="28" t="s">
        <v>780</v>
      </c>
      <c r="AE5" s="232" t="s">
        <v>781</v>
      </c>
      <c r="AF5" s="233" t="s">
        <v>782</v>
      </c>
      <c r="AG5" s="234" t="s">
        <v>783</v>
      </c>
      <c r="AH5" s="235" t="s">
        <v>784</v>
      </c>
      <c r="AI5" s="118"/>
    </row>
    <row r="6" spans="1:35" ht="36" x14ac:dyDescent="0.25">
      <c r="A6" s="326">
        <f>IF(COUNTA(Tabla_PP[[#This Row],[GP 01]:[P 12]])/2=0,"",COUNTA(Tabla_PP[[#This Row],[GP 01]:[P 12]])/2)</f>
        <v>12</v>
      </c>
      <c r="B6" s="347"/>
      <c r="C6" s="348"/>
      <c r="D6" s="348"/>
      <c r="E6" s="349" t="s">
        <v>771</v>
      </c>
      <c r="F6" s="323" t="s">
        <v>785</v>
      </c>
      <c r="G6" s="305">
        <v>1</v>
      </c>
      <c r="H6" s="305" t="s">
        <v>751</v>
      </c>
      <c r="I6" s="306">
        <v>1</v>
      </c>
      <c r="J6" s="306" t="s">
        <v>753</v>
      </c>
      <c r="K6" s="305">
        <v>1</v>
      </c>
      <c r="L6" s="305" t="s">
        <v>756</v>
      </c>
      <c r="M6" s="306">
        <v>1</v>
      </c>
      <c r="N6" s="306" t="s">
        <v>757</v>
      </c>
      <c r="O6" s="305">
        <v>2</v>
      </c>
      <c r="P6" s="305" t="s">
        <v>773</v>
      </c>
      <c r="Q6" s="306">
        <v>2</v>
      </c>
      <c r="R6" s="306" t="s">
        <v>774</v>
      </c>
      <c r="S6" s="305">
        <v>2</v>
      </c>
      <c r="T6" s="305" t="s">
        <v>775</v>
      </c>
      <c r="U6" s="306">
        <v>3</v>
      </c>
      <c r="V6" s="306" t="s">
        <v>776</v>
      </c>
      <c r="W6" s="305">
        <v>3</v>
      </c>
      <c r="X6" s="305" t="s">
        <v>777</v>
      </c>
      <c r="Y6" s="306">
        <v>3</v>
      </c>
      <c r="Z6" s="306" t="s">
        <v>778</v>
      </c>
      <c r="AA6" s="305">
        <v>3</v>
      </c>
      <c r="AB6" s="305" t="s">
        <v>779</v>
      </c>
      <c r="AC6" s="306">
        <v>3</v>
      </c>
      <c r="AD6" s="306" t="s">
        <v>780</v>
      </c>
      <c r="AE6" s="350" t="s">
        <v>781</v>
      </c>
      <c r="AF6" s="351" t="s">
        <v>782</v>
      </c>
      <c r="AG6" s="352" t="s">
        <v>783</v>
      </c>
      <c r="AH6" s="353" t="s">
        <v>784</v>
      </c>
      <c r="AI6" s="321"/>
    </row>
  </sheetData>
  <sheetProtection algorithmName="SHA-512" hashValue="c7JP+itEVFeT3hCI0VtZkO5768PrRa95shhSWGpFM3oeaGoIyyWwTNc3/jvLQbq6BE+ho8j1p9DoJCnXW9DqTw==" saltValue="G9j3AFtda2Qwg3xqvSSH+Q=="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2</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V6.0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786</v>
      </c>
      <c r="F5" s="220" t="s">
        <v>787</v>
      </c>
      <c r="G5" s="183" t="s">
        <v>788</v>
      </c>
      <c r="H5" s="50"/>
      <c r="I5" s="29">
        <v>5</v>
      </c>
      <c r="J5" s="184" t="s">
        <v>789</v>
      </c>
      <c r="K5" s="185"/>
      <c r="L5" s="186" t="s">
        <v>790</v>
      </c>
      <c r="M5" s="183" t="s">
        <v>791</v>
      </c>
      <c r="N5" s="236"/>
      <c r="O5" s="237"/>
      <c r="P5" s="237"/>
      <c r="Q5" s="236"/>
      <c r="R5" s="236"/>
      <c r="S5" s="237"/>
      <c r="T5" s="237"/>
      <c r="U5" s="236"/>
      <c r="V5" s="236"/>
      <c r="W5" s="237"/>
      <c r="X5" s="237"/>
      <c r="Y5" s="236"/>
      <c r="Z5" s="236"/>
      <c r="AA5" s="237"/>
      <c r="AB5" s="237"/>
      <c r="AC5" s="236"/>
      <c r="AD5" s="236"/>
      <c r="AE5" s="238"/>
      <c r="AF5" s="239"/>
      <c r="AG5" s="240"/>
      <c r="AH5" s="241"/>
      <c r="AI5" s="118"/>
    </row>
    <row r="6" spans="1:35" ht="36" x14ac:dyDescent="0.25">
      <c r="A6" s="354"/>
      <c r="B6" s="355"/>
      <c r="C6" s="348"/>
      <c r="D6" s="348"/>
      <c r="E6" s="349" t="s">
        <v>792</v>
      </c>
      <c r="F6" s="323" t="s">
        <v>793</v>
      </c>
      <c r="G6" s="356" t="s">
        <v>788</v>
      </c>
      <c r="H6" s="312" t="s">
        <v>794</v>
      </c>
      <c r="I6" s="307">
        <v>5</v>
      </c>
      <c r="J6" s="357">
        <v>3</v>
      </c>
      <c r="K6" s="358" t="s">
        <v>789</v>
      </c>
      <c r="L6" s="359" t="s">
        <v>790</v>
      </c>
      <c r="M6" s="356" t="s">
        <v>791</v>
      </c>
      <c r="N6" s="360"/>
      <c r="O6" s="361"/>
      <c r="P6" s="361"/>
      <c r="Q6" s="360"/>
      <c r="R6" s="360"/>
      <c r="S6" s="361"/>
      <c r="T6" s="361"/>
      <c r="U6" s="360"/>
      <c r="V6" s="360"/>
      <c r="W6" s="361"/>
      <c r="X6" s="361"/>
      <c r="Y6" s="360"/>
      <c r="Z6" s="360"/>
      <c r="AA6" s="361"/>
      <c r="AB6" s="361"/>
      <c r="AC6" s="360"/>
      <c r="AD6" s="360"/>
      <c r="AE6" s="362"/>
      <c r="AF6" s="363"/>
      <c r="AG6" s="364"/>
      <c r="AH6" s="365"/>
      <c r="AI6" s="321"/>
    </row>
  </sheetData>
  <sheetProtection algorithmName="SHA-512" hashValue="WsvFN94/SzyCTf78+Xs6db5g75gEO/rBAuKO/aqrI6G0zoTQeGf1zRPHfXs91yEcDW2O/hpBfdHeBs6SuZlaYg==" saltValue="y9t9RtxtOmdAzl4s9xRBiQ==" spinCount="100000" sheet="1" objects="1" scenarios="1" selectLockedCells="1"/>
  <conditionalFormatting sqref="G5:K6">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G6" sqref="G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v>
      </c>
    </row>
    <row r="3" spans="1:35" s="15" customFormat="1" ht="50.1" customHeight="1" x14ac:dyDescent="0.25">
      <c r="A3" s="398"/>
      <c r="B3" s="398"/>
      <c r="C3" s="33"/>
      <c r="D3" s="33"/>
      <c r="E3" s="37" t="str">
        <f ca="1">'Datos OM'!E3</f>
        <v>Descripción</v>
      </c>
      <c r="F3" s="64" t="str">
        <f ca="1">"FastTest PlugIn - V"&amp;MID(Version,5,7)&amp;UPPER(INICIO!Q24)&amp;"
"&amp;INDIRECT("Z_BP_03_"&amp;IDIOMA)</f>
        <v>FastTest PlugIn - V6.0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60" x14ac:dyDescent="0.25">
      <c r="A5" s="265"/>
      <c r="B5" s="266"/>
      <c r="C5" s="231"/>
      <c r="D5" s="231"/>
      <c r="E5" s="106" t="s">
        <v>795</v>
      </c>
      <c r="F5" s="220" t="s">
        <v>796</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password="F959"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PERSONALIZAR DICCIONARIO</v>
      </c>
      <c r="E2" s="213" t="str">
        <f>IFERROR(INDEX(F2:K20,1,MATCH(E1,F20:K20,0)),IDIOMA)</f>
        <v>S</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May+</v>
      </c>
    </row>
    <row r="3" spans="1:30" ht="15.75" thickBot="1" x14ac:dyDescent="0.3">
      <c r="A3" s="78" t="str">
        <f t="shared" ref="A3:A44" si="1">$A$1&amp;B3&amp;"_"&amp;C3&amp;"_"&amp;$A$2</f>
        <v>Z_IN_00_D</v>
      </c>
      <c r="B3" s="77" t="s">
        <v>25</v>
      </c>
      <c r="C3" s="78" t="s">
        <v>26</v>
      </c>
      <c r="D3" s="255"/>
      <c r="E3" s="214" t="str">
        <f>IFERROR(IF(D3&lt;&gt;"",D3,HLOOKUP($E$2,$F$2:K3,ROW(D3)-1,0)),F3)</f>
        <v>INICIO</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MENU EXCEL</v>
      </c>
      <c r="P3" s="293" t="str">
        <f ca="1">IFERROR(INDIRECT(Tabla_Menu[[#This Row],[Nivel 2]]&amp;IDIOMA)&amp;IF(Tabla_Menu[[#This Row],[Nivel]]="",""," "&amp;Tabla_Menu[[#This Row],['[Teclas']]]),"")</f>
        <v xml:space="preserve">MENU EXCEL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MENU EXCELN/A</v>
      </c>
      <c r="AA3" s="270"/>
    </row>
    <row r="4" spans="1:30" x14ac:dyDescent="0.25">
      <c r="A4" s="201" t="str">
        <f t="shared" si="1"/>
        <v>Z_IN_01_D</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MENÚ GENERAL</v>
      </c>
      <c r="P4" s="291" t="str">
        <f ca="1">IFERROR(INDIRECT(Tabla_Menu[[#This Row],[Nivel 2]]&amp;IDIOMA)&amp;IF(Tabla_Menu[[#This Row],[Nivel]]="",""," "&amp;Tabla_Menu[[#This Row],['[Teclas']]]),"")</f>
        <v xml:space="preserve">GUARDAR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MENÚ GENERAL</v>
      </c>
      <c r="AA4" s="270"/>
    </row>
    <row r="5" spans="1:30" x14ac:dyDescent="0.25">
      <c r="A5" s="203" t="str">
        <f t="shared" si="1"/>
        <v>Z_IN_02_D</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MENÚ GENERAL</v>
      </c>
      <c r="P5" s="291" t="str">
        <f ca="1">IFERROR(INDIRECT(Tabla_Menu[[#This Row],[Nivel 2]]&amp;IDIOMA)&amp;IF(Tabla_Menu[[#This Row],[Nivel]]="",""," "&amp;Tabla_Menu[[#This Row],['[Teclas']]]),"")</f>
        <v xml:space="preserve">CERRAR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MENÚ GENERAL</v>
      </c>
      <c r="AA5" s="270"/>
    </row>
    <row r="6" spans="1:30" x14ac:dyDescent="0.25">
      <c r="A6" s="201" t="str">
        <f t="shared" si="1"/>
        <v>Z_IN_03_D</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MENÚ GENERAL</v>
      </c>
      <c r="P6" s="291" t="str">
        <f ca="1">IFERROR(INDIRECT(Tabla_Menu[[#This Row],[Nivel 2]]&amp;IDIOMA)&amp;IF(Tabla_Menu[[#This Row],[Nivel]]="",""," "&amp;Tabla_Menu[[#This Row],['[Teclas']]]),"")</f>
        <v xml:space="preserve">COPIAR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N/A</v>
      </c>
      <c r="Y6" s="291">
        <f ca="1">IF(Tabla_Menu[[#This Row],[N/A]]="",,COUNTIF(Tabla_Menu[Nivel &amp; Incluir],Tabla_Menu[[#This Row],[Nivel &amp; Incluir]]))</f>
        <v>2</v>
      </c>
      <c r="Z6" s="273" t="str">
        <f ca="1">Tabla_Menu[[#This Row],[Nivel]]&amp;Tabla_Menu[[#This Row],[N/A]]</f>
        <v>MENÚ GENERALN/A</v>
      </c>
      <c r="AA6" s="270"/>
    </row>
    <row r="7" spans="1:30" x14ac:dyDescent="0.25">
      <c r="A7" s="203" t="str">
        <f t="shared" si="1"/>
        <v>Z_IN_04_D</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MENÚ GENERAL</v>
      </c>
      <c r="P7" s="291" t="str">
        <f ca="1">IFERROR(INDIRECT(Tabla_Menu[[#This Row],[Nivel 2]]&amp;IDIOMA)&amp;IF(Tabla_Menu[[#This Row],[Nivel]]="",""," "&amp;Tabla_Menu[[#This Row],['[Teclas']]]),"")</f>
        <v xml:space="preserve">PEGAR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N/A</v>
      </c>
      <c r="Y7" s="291">
        <f ca="1">IF(Tabla_Menu[[#This Row],[N/A]]="",,COUNTIF(Tabla_Menu[Nivel &amp; Incluir],Tabla_Menu[[#This Row],[Nivel &amp; Incluir]]))</f>
        <v>2</v>
      </c>
      <c r="Z7" s="273" t="str">
        <f ca="1">Tabla_Menu[[#This Row],[Nivel]]&amp;Tabla_Menu[[#This Row],[N/A]]</f>
        <v>MENÚ GENERALN/A</v>
      </c>
      <c r="AA7" s="270"/>
    </row>
    <row r="8" spans="1:30" x14ac:dyDescent="0.25">
      <c r="A8" s="201" t="str">
        <f t="shared" si="1"/>
        <v>Z_IN_05_D</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IR A…</v>
      </c>
      <c r="P8" s="291" t="str">
        <f ca="1">IFERROR(INDIRECT(Tabla_Menu[[#This Row],[Nivel 2]]&amp;IDIOMA)&amp;IF(Tabla_Menu[[#This Row],[Nivel]]="",""," "&amp;Tabla_Menu[[#This Row],['[Teclas']]]),"")</f>
        <v xml:space="preserve">INICIO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N/A</v>
      </c>
      <c r="Y8" s="291">
        <f ca="1">IF(Tabla_Menu[[#This Row],[N/A]]="",,COUNTIF(Tabla_Menu[Nivel &amp; Incluir],Tabla_Menu[[#This Row],[Nivel &amp; Incluir]]))</f>
        <v>1</v>
      </c>
      <c r="Z8" s="273" t="str">
        <f ca="1">Tabla_Menu[[#This Row],[Nivel]]&amp;Tabla_Menu[[#This Row],[N/A]]</f>
        <v>IR A…N/A</v>
      </c>
      <c r="AA8" s="270"/>
    </row>
    <row r="9" spans="1:30" x14ac:dyDescent="0.25">
      <c r="A9" s="203" t="str">
        <f t="shared" si="1"/>
        <v>Z_IN_06_D</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IR A…</v>
      </c>
      <c r="P9" s="291" t="str">
        <f ca="1">IFERROR(INDIRECT(Tabla_Menu[[#This Row],[Nivel 2]]&amp;IDIOMA)&amp;IF(Tabla_Menu[[#This Row],[Nivel]]="",""," "&amp;Tabla_Menu[[#This Row],['[Teclas']]]),"")</f>
        <v xml:space="preserve">DICCIONARIO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IR A…</v>
      </c>
      <c r="AA9" s="270"/>
    </row>
    <row r="10" spans="1:30" x14ac:dyDescent="0.25">
      <c r="A10" s="201" t="str">
        <f t="shared" si="1"/>
        <v>Z_IN_07_D</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IR A…</v>
      </c>
      <c r="P10" s="291" t="str">
        <f ca="1">IFERROR(INDIRECT(Tabla_Menu[[#This Row],[Nivel 2]]&amp;IDIOMA)&amp;IF(Tabla_Menu[[#This Row],[Nivel]]="",""," "&amp;Tabla_Menu[[#This Row],['[Teclas']]]),"")</f>
        <v xml:space="preserve">Opción Múltiple 1R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IR A…</v>
      </c>
      <c r="AA10" s="270"/>
    </row>
    <row r="11" spans="1:30" x14ac:dyDescent="0.25">
      <c r="A11" s="203" t="str">
        <f t="shared" si="1"/>
        <v>Z_IN_08_D</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IR A…</v>
      </c>
      <c r="P11" s="291" t="str">
        <f ca="1">IFERROR(INDIRECT(Tabla_Menu[[#This Row],[Nivel 2]]&amp;IDIOMA)&amp;IF(Tabla_Menu[[#This Row],[Nivel]]="",""," "&amp;Tabla_Menu[[#This Row],['[Teclas']]]),"")</f>
        <v xml:space="preserve">Opción Múltiple +R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IR A…</v>
      </c>
      <c r="AA11" s="270"/>
    </row>
    <row r="12" spans="1:30" x14ac:dyDescent="0.25">
      <c r="A12" s="201" t="str">
        <f t="shared" si="1"/>
        <v>Z_IN_09_D</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IR A…</v>
      </c>
      <c r="P12" s="291" t="str">
        <f ca="1">IFERROR(INDIRECT(Tabla_Menu[[#This Row],[Nivel 2]]&amp;IDIOMA)&amp;IF(Tabla_Menu[[#This Row],[Nivel]]="",""," "&amp;Tabla_Menu[[#This Row],['[Teclas']]]),"")</f>
        <v xml:space="preserve">Verdadero/Falso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IR A…</v>
      </c>
      <c r="AA12" s="270"/>
    </row>
    <row r="13" spans="1:30" x14ac:dyDescent="0.25">
      <c r="A13" s="203" t="str">
        <f t="shared" si="1"/>
        <v>Z_IN_10_D</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IR A…</v>
      </c>
      <c r="P13" s="293" t="str">
        <f ca="1">IFERROR(INDIRECT(Tabla_Menu[[#This Row],[Nivel 2]]&amp;IDIOMA)&amp;IF(Tabla_Menu[[#This Row],[Nivel]]="",""," "&amp;Tabla_Menu[[#This Row],['[Teclas']]]),"")</f>
        <v xml:space="preserve">Emparejar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IR A…</v>
      </c>
      <c r="AA13" s="270"/>
    </row>
    <row r="14" spans="1:30" x14ac:dyDescent="0.25">
      <c r="A14" s="201" t="str">
        <f t="shared" si="1"/>
        <v>Z_IN_11_D</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IR A…</v>
      </c>
      <c r="P14" s="293" t="str">
        <f ca="1">IFERROR(INDIRECT(Tabla_Menu[[#This Row],[Nivel 2]]&amp;IDIOMA)&amp;IF(Tabla_Menu[[#This Row],[Nivel]]="",""," "&amp;Tabla_Menu[[#This Row],['[Teclas']]]),"")</f>
        <v xml:space="preserve">Respuesta Corta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IR A…</v>
      </c>
      <c r="AA14" s="270"/>
    </row>
    <row r="15" spans="1:30" x14ac:dyDescent="0.25">
      <c r="A15" s="203" t="str">
        <f t="shared" si="1"/>
        <v>Z_IN_12_D</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IR A…</v>
      </c>
      <c r="P15" s="293" t="str">
        <f ca="1">IFERROR(INDIRECT(Tabla_Menu[[#This Row],[Nivel 2]]&amp;IDIOMA)&amp;IF(Tabla_Menu[[#This Row],[Nivel]]="",""," "&amp;Tabla_Menu[[#This Row],['[Teclas']]]),"")</f>
        <v xml:space="preserve">Palabra Perdida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IR A…</v>
      </c>
      <c r="AA15" s="270"/>
    </row>
    <row r="16" spans="1:30" x14ac:dyDescent="0.25">
      <c r="A16" s="201" t="str">
        <f t="shared" si="1"/>
        <v>Z_IN_13_D</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IR A…</v>
      </c>
      <c r="P16" s="293" t="str">
        <f ca="1">IFERROR(INDIRECT(Tabla_Menu[[#This Row],[Nivel 2]]&amp;IDIOMA)&amp;IF(Tabla_Menu[[#This Row],[Nivel]]="",""," "&amp;Tabla_Menu[[#This Row],['[Teclas']]]),"")</f>
        <v xml:space="preserve">Ensayo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IR A…</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IR A…</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
      </c>
      <c r="Y17" s="291">
        <f ca="1">IF(Tabla_Menu[[#This Row],[N/A]]="",,COUNTIF(Tabla_Menu[Nivel &amp; Incluir],Tabla_Menu[[#This Row],[Nivel &amp; Incluir]]))</f>
        <v>0</v>
      </c>
      <c r="Z17" s="272" t="str">
        <f ca="1">Tabla_Menu[[#This Row],[Nivel]]&amp;Tabla_Menu[[#This Row],[N/A]]</f>
        <v>IR A…</v>
      </c>
      <c r="AA17" s="270"/>
    </row>
    <row r="18" spans="1:27" x14ac:dyDescent="0.25">
      <c r="A18" s="201" t="str">
        <f t="shared" si="1"/>
        <v>Z_IN_15_D</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DICCIONARIO</v>
      </c>
      <c r="P18" s="293" t="str">
        <f ca="1">IFERROR(INDIRECT(Tabla_Menu[[#This Row],[Nivel 2]]&amp;IDIOMA)&amp;IF(Tabla_Menu[[#This Row],[Nivel]]="",""," "&amp;Tabla_Menu[[#This Row],['[Teclas']]]),"")</f>
        <v xml:space="preserve">LINK DICCIONARIO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DICCIONARION/A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654</v>
      </c>
      <c r="D65" s="280"/>
      <c r="E65" s="281" t="str">
        <f>IFERROR(IF(D65&lt;&gt;"",D65,HLOOKUP($E$2,$F$2:K65,ROW(D65)-1,0)),F65)</f>
        <v>¿Desea guardar los cambios?</v>
      </c>
      <c r="F65" s="282" t="s">
        <v>655</v>
      </c>
      <c r="G65" s="281" t="s">
        <v>656</v>
      </c>
      <c r="H65" s="281" t="s">
        <v>657</v>
      </c>
      <c r="I65" s="281" t="s">
        <v>658</v>
      </c>
      <c r="J65" s="281" t="s">
        <v>659</v>
      </c>
      <c r="K65" s="281" t="s">
        <v>660</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cp:lastModifiedBy>
  <cp:lastPrinted>2021-05-08T09:25:40Z</cp:lastPrinted>
  <dcterms:created xsi:type="dcterms:W3CDTF">2021-02-15T22:57:22Z</dcterms:created>
  <dcterms:modified xsi:type="dcterms:W3CDTF">2022-07-16T12:58:08Z</dcterms:modified>
  <cp:category>DOCENCIA</cp:category>
</cp:coreProperties>
</file>