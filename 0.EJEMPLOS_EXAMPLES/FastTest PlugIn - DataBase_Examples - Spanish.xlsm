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drawings/drawing7.xml" ContentType="application/vnd.openxmlformats-officedocument.drawing+xml"/>
  <Override PartName="/xl/tables/table7.xml" ContentType="application/vnd.openxmlformats-officedocument.spreadsheetml.table+xml"/>
  <Override PartName="/xl/drawings/drawing8.xml" ContentType="application/vnd.openxmlformats-officedocument.drawing+xml"/>
  <Override PartName="/xl/tables/table8.xml" ContentType="application/vnd.openxmlformats-officedocument.spreadsheetml.table+xml"/>
  <Override PartName="/xl/drawings/drawing9.xml" ContentType="application/vnd.openxmlformats-officedocument.drawing+xml"/>
  <Override PartName="/xl/tables/table9.xml" ContentType="application/vnd.openxmlformats-officedocument.spreadsheetml.table+xml"/>
  <Override PartName="/xl/drawings/drawing10.xml" ContentType="application/vnd.openxmlformats-officedocument.drawing+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ARCHIVOS EXCEL\"/>
    </mc:Choice>
  </mc:AlternateContent>
  <bookViews>
    <workbookView showHorizontalScroll="0" showVerticalScroll="0" showSheetTabs="0" xWindow="0" yWindow="0" windowWidth="24000" windowHeight="10920" activeTab="8"/>
  </bookViews>
  <sheets>
    <sheet name="INICIO" sheetId="6" r:id="rId1"/>
    <sheet name="Datos OM" sheetId="15" r:id="rId2"/>
    <sheet name="Datos O2" sheetId="16" r:id="rId3"/>
    <sheet name="Datos VF" sheetId="17" r:id="rId4"/>
    <sheet name="Datos EM" sheetId="18" r:id="rId5"/>
    <sheet name="Datos RC" sheetId="19" r:id="rId6"/>
    <sheet name="Datos PP" sheetId="20" r:id="rId7"/>
    <sheet name="Datos EN" sheetId="21" r:id="rId8"/>
    <sheet name="Datos CL" sheetId="22" r:id="rId9"/>
    <sheet name="DICCIONARIO" sheetId="8" r:id="rId10"/>
  </sheets>
  <definedNames>
    <definedName name="_xlnm._FilterDatabase" localSheetId="9" hidden="1">DICCIONARIO!$A$1:$M$66</definedName>
    <definedName name="APP">"FastTest PlugIn"</definedName>
    <definedName name="AUTOR">INICIO!$I$5</definedName>
    <definedName name="IDIOMA">INICIO!$A$37</definedName>
    <definedName name="LANGUAGE">INICIO!$A$11</definedName>
    <definedName name="Nom_Archivo_DB">INICIO!$P$5</definedName>
    <definedName name="Version">INICIO!$P$9</definedName>
    <definedName name="Z_BP_00_D">DICCIONARIO!$K$21</definedName>
    <definedName name="Z_BP_00_E">DICCIONARIO!$G$21</definedName>
    <definedName name="Z_BP_00_F">DICCIONARIO!$H$21</definedName>
    <definedName name="Z_BP_00_I">DICCIONARIO!$J$21</definedName>
    <definedName name="Z_BP_00_O">DICCIONARIO!$E$21</definedName>
    <definedName name="Z_BP_00_P">DICCIONARIO!$I$21</definedName>
    <definedName name="Z_BP_00_S">DICCIONARIO!$F$21</definedName>
    <definedName name="Z_BP_01_D">DICCIONARIO!$K$22</definedName>
    <definedName name="Z_BP_01_E">DICCIONARIO!$G$22</definedName>
    <definedName name="Z_BP_01_F">DICCIONARIO!$H$22</definedName>
    <definedName name="Z_BP_01_I">DICCIONARIO!$J$22</definedName>
    <definedName name="Z_BP_01_O">DICCIONARIO!$E$22</definedName>
    <definedName name="Z_BP_01_P">DICCIONARIO!$I$22</definedName>
    <definedName name="Z_BP_01_S">DICCIONARIO!$F$22</definedName>
    <definedName name="Z_BP_02_D">DICCIONARIO!$K$23</definedName>
    <definedName name="Z_BP_02_E">DICCIONARIO!$G$23</definedName>
    <definedName name="Z_BP_02_F">DICCIONARIO!$H$23</definedName>
    <definedName name="Z_BP_02_I">DICCIONARIO!$J$23</definedName>
    <definedName name="Z_BP_02_O">DICCIONARIO!$E$23</definedName>
    <definedName name="Z_BP_02_P">DICCIONARIO!$I$23</definedName>
    <definedName name="Z_BP_02_S">DICCIONARIO!$F$23</definedName>
    <definedName name="Z_BP_03_D">DICCIONARIO!$K$24</definedName>
    <definedName name="Z_BP_03_E">DICCIONARIO!$G$24</definedName>
    <definedName name="Z_BP_03_F">DICCIONARIO!$H$24</definedName>
    <definedName name="Z_BP_03_I">DICCIONARIO!$J$24</definedName>
    <definedName name="Z_BP_03_O">DICCIONARIO!$E$24</definedName>
    <definedName name="Z_BP_03_P">DICCIONARIO!$I$24</definedName>
    <definedName name="Z_BP_03_S">DICCIONARIO!$F$24</definedName>
    <definedName name="Z_BP_04_D">DICCIONARIO!$K$25</definedName>
    <definedName name="Z_BP_04_E">DICCIONARIO!$G$25</definedName>
    <definedName name="Z_BP_04_F">DICCIONARIO!$H$25</definedName>
    <definedName name="Z_BP_04_I">DICCIONARIO!$J$25</definedName>
    <definedName name="Z_BP_04_O">DICCIONARIO!$E$25</definedName>
    <definedName name="Z_BP_04_P">DICCIONARIO!$I$25</definedName>
    <definedName name="Z_BP_04_S">DICCIONARIO!$F$25</definedName>
    <definedName name="Z_BP_05_D">DICCIONARIO!$K$26</definedName>
    <definedName name="Z_BP_05_E">DICCIONARIO!$G$26</definedName>
    <definedName name="Z_BP_05_F">DICCIONARIO!$H$26</definedName>
    <definedName name="Z_BP_05_I">DICCIONARIO!$J$26</definedName>
    <definedName name="Z_BP_05_O">DICCIONARIO!$E$26</definedName>
    <definedName name="Z_BP_05_P">DICCIONARIO!$I$26</definedName>
    <definedName name="Z_BP_05_S">DICCIONARIO!$F$26</definedName>
    <definedName name="Z_BP_06_D">DICCIONARIO!$K$27</definedName>
    <definedName name="Z_BP_06_E">DICCIONARIO!$G$27</definedName>
    <definedName name="Z_BP_06_F">DICCIONARIO!$H$27</definedName>
    <definedName name="Z_BP_06_I">DICCIONARIO!$J$27</definedName>
    <definedName name="Z_BP_06_O">DICCIONARIO!$E$27</definedName>
    <definedName name="Z_BP_06_P">DICCIONARIO!$I$27</definedName>
    <definedName name="Z_BP_06_S">DICCIONARIO!$F$27</definedName>
    <definedName name="Z_BP_07_D">DICCIONARIO!$K$28</definedName>
    <definedName name="Z_BP_07_E">DICCIONARIO!$G$28</definedName>
    <definedName name="Z_BP_07_F">DICCIONARIO!$H$28</definedName>
    <definedName name="Z_BP_07_I">DICCIONARIO!$J$28</definedName>
    <definedName name="Z_BP_07_O">DICCIONARIO!$E$28</definedName>
    <definedName name="Z_BP_07_P">DICCIONARIO!$I$28</definedName>
    <definedName name="Z_BP_07_S">DICCIONARIO!$F$28</definedName>
    <definedName name="Z_BP_08_D">DICCIONARIO!$K$29</definedName>
    <definedName name="Z_BP_08_E">DICCIONARIO!$G$29</definedName>
    <definedName name="Z_BP_08_F">DICCIONARIO!$H$29</definedName>
    <definedName name="Z_BP_08_I">DICCIONARIO!$J$29</definedName>
    <definedName name="Z_BP_08_O">DICCIONARIO!$E$29</definedName>
    <definedName name="Z_BP_08_P">DICCIONARIO!$I$29</definedName>
    <definedName name="Z_BP_08_S">DICCIONARIO!$F$29</definedName>
    <definedName name="Z_BP_09_D">DICCIONARIO!$K$30</definedName>
    <definedName name="Z_BP_09_E">DICCIONARIO!$G$30</definedName>
    <definedName name="Z_BP_09_F">DICCIONARIO!$H$30</definedName>
    <definedName name="Z_BP_09_I">DICCIONARIO!$J$30</definedName>
    <definedName name="Z_BP_09_O">DICCIONARIO!$E$30</definedName>
    <definedName name="Z_BP_09_P">DICCIONARIO!$I$30</definedName>
    <definedName name="Z_BP_09_S">DICCIONARIO!$F$30</definedName>
    <definedName name="Z_BP_10_D">DICCIONARIO!$K$31</definedName>
    <definedName name="Z_BP_10_E">DICCIONARIO!$G$31</definedName>
    <definedName name="Z_BP_10_F">DICCIONARIO!$H$31</definedName>
    <definedName name="Z_BP_10_I">DICCIONARIO!$J$31</definedName>
    <definedName name="Z_BP_10_O">DICCIONARIO!$E$31</definedName>
    <definedName name="Z_BP_10_P">DICCIONARIO!$I$31</definedName>
    <definedName name="Z_BP_10_S">DICCIONARIO!$F$31</definedName>
    <definedName name="Z_BP_11_D">DICCIONARIO!$K$32</definedName>
    <definedName name="Z_BP_11_E">DICCIONARIO!$G$32</definedName>
    <definedName name="Z_BP_11_F">DICCIONARIO!$H$32</definedName>
    <definedName name="Z_BP_11_I">DICCIONARIO!$J$32</definedName>
    <definedName name="Z_BP_11_O">DICCIONARIO!$E$32</definedName>
    <definedName name="Z_BP_11_P">DICCIONARIO!$I$32</definedName>
    <definedName name="Z_BP_11_S">DICCIONARIO!$F$32</definedName>
    <definedName name="Z_BP_12_D">DICCIONARIO!$K$33</definedName>
    <definedName name="Z_BP_12_E">DICCIONARIO!$G$33</definedName>
    <definedName name="Z_BP_12_F">DICCIONARIO!$H$33</definedName>
    <definedName name="Z_BP_12_I">DICCIONARIO!$J$33</definedName>
    <definedName name="Z_BP_12_O">DICCIONARIO!$E$33</definedName>
    <definedName name="Z_BP_12_P">DICCIONARIO!$I$33</definedName>
    <definedName name="Z_BP_12_S">DICCIONARIO!$F$33</definedName>
    <definedName name="Z_BP_13_D">DICCIONARIO!$K$34</definedName>
    <definedName name="Z_BP_13_E">DICCIONARIO!$G$34</definedName>
    <definedName name="Z_BP_13_F">DICCIONARIO!$H$34</definedName>
    <definedName name="Z_BP_13_I">DICCIONARIO!$J$34</definedName>
    <definedName name="Z_BP_13_O">DICCIONARIO!$E$34</definedName>
    <definedName name="Z_BP_13_P">DICCIONARIO!$I$34</definedName>
    <definedName name="Z_BP_13_S">DICCIONARIO!$F$34</definedName>
    <definedName name="Z_BP_14_D">DICCIONARIO!$K$35</definedName>
    <definedName name="Z_BP_14_E">DICCIONARIO!$G$35</definedName>
    <definedName name="Z_BP_14_F">DICCIONARIO!$H$35</definedName>
    <definedName name="Z_BP_14_I">DICCIONARIO!$J$35</definedName>
    <definedName name="Z_BP_14_O">DICCIONARIO!$E$35</definedName>
    <definedName name="Z_BP_14_P">DICCIONARIO!$I$35</definedName>
    <definedName name="Z_BP_14_S">DICCIONARIO!$F$35</definedName>
    <definedName name="Z_BP_15_D">DICCIONARIO!$K$36</definedName>
    <definedName name="Z_BP_15_E">DICCIONARIO!$G$36</definedName>
    <definedName name="Z_BP_15_F">DICCIONARIO!$H$36</definedName>
    <definedName name="Z_BP_15_I">DICCIONARIO!$J$36</definedName>
    <definedName name="Z_BP_15_O">DICCIONARIO!$E$36</definedName>
    <definedName name="Z_BP_15_P">DICCIONARIO!$I$36</definedName>
    <definedName name="Z_BP_15_S">DICCIONARIO!$F$36</definedName>
    <definedName name="Z_BP_16_D">DICCIONARIO!$K$37</definedName>
    <definedName name="Z_BP_16_E">DICCIONARIO!$G$37</definedName>
    <definedName name="Z_BP_16_F">DICCIONARIO!$H$37</definedName>
    <definedName name="Z_BP_16_I">DICCIONARIO!$J$37</definedName>
    <definedName name="Z_BP_16_O">DICCIONARIO!$E$37</definedName>
    <definedName name="Z_BP_16_P">DICCIONARIO!$I$37</definedName>
    <definedName name="Z_BP_16_S">DICCIONARIO!$F$37</definedName>
    <definedName name="Z_BP_17_D">DICCIONARIO!$K$38</definedName>
    <definedName name="Z_BP_17_E">DICCIONARIO!$G$38</definedName>
    <definedName name="Z_BP_17_F">DICCIONARIO!$H$38</definedName>
    <definedName name="Z_BP_17_I">DICCIONARIO!$J$38</definedName>
    <definedName name="Z_BP_17_O">DICCIONARIO!$E$38</definedName>
    <definedName name="Z_BP_17_P">DICCIONARIO!$I$38</definedName>
    <definedName name="Z_BP_17_S">DICCIONARIO!$F$38</definedName>
    <definedName name="Z_BP_18_D">DICCIONARIO!$K$39</definedName>
    <definedName name="Z_BP_18_E">DICCIONARIO!$G$39</definedName>
    <definedName name="Z_BP_18_F">DICCIONARIO!$H$39</definedName>
    <definedName name="Z_BP_18_I">DICCIONARIO!$J$39</definedName>
    <definedName name="Z_BP_18_O">DICCIONARIO!$E$39</definedName>
    <definedName name="Z_BP_18_P">DICCIONARIO!$I$39</definedName>
    <definedName name="Z_BP_18_S">DICCIONARIO!$F$39</definedName>
    <definedName name="Z_BP_19_D">DICCIONARIO!$K$40</definedName>
    <definedName name="Z_BP_19_E">DICCIONARIO!$G$40</definedName>
    <definedName name="Z_BP_19_F">DICCIONARIO!$H$40</definedName>
    <definedName name="Z_BP_19_I">DICCIONARIO!$J$40</definedName>
    <definedName name="Z_BP_19_O">DICCIONARIO!$E$40</definedName>
    <definedName name="Z_BP_19_P">DICCIONARIO!$I$40</definedName>
    <definedName name="Z_BP_19_S">DICCIONARIO!$F$40</definedName>
    <definedName name="Z_BP_20_D">DICCIONARIO!$K$41</definedName>
    <definedName name="Z_BP_20_E">DICCIONARIO!$G$41</definedName>
    <definedName name="Z_BP_20_F">DICCIONARIO!$H$41</definedName>
    <definedName name="Z_BP_20_I">DICCIONARIO!$J$41</definedName>
    <definedName name="Z_BP_20_O">DICCIONARIO!$E$41</definedName>
    <definedName name="Z_BP_20_P">DICCIONARIO!$I$41</definedName>
    <definedName name="Z_BP_20_S">DICCIONARIO!$F$41</definedName>
    <definedName name="Z_BP_21_D">DICCIONARIO!$K$42</definedName>
    <definedName name="Z_BP_21_E">DICCIONARIO!$G$42</definedName>
    <definedName name="Z_BP_21_F">DICCIONARIO!$H$42</definedName>
    <definedName name="Z_BP_21_I">DICCIONARIO!$J$42</definedName>
    <definedName name="Z_BP_21_O">DICCIONARIO!$E$42</definedName>
    <definedName name="Z_BP_21_P">DICCIONARIO!$I$42</definedName>
    <definedName name="Z_BP_21_S">DICCIONARIO!$F$42</definedName>
    <definedName name="Z_BP_22_D">DICCIONARIO!$K$43</definedName>
    <definedName name="Z_BP_22_E">DICCIONARIO!$G$43</definedName>
    <definedName name="Z_BP_22_F">DICCIONARIO!$H$43</definedName>
    <definedName name="Z_BP_22_I">DICCIONARIO!$J$43</definedName>
    <definedName name="Z_BP_22_O">DICCIONARIO!$E$43</definedName>
    <definedName name="Z_BP_22_P">DICCIONARIO!$I$43</definedName>
    <definedName name="Z_BP_22_S">DICCIONARIO!$F$43</definedName>
    <definedName name="Z_BP_23_D">DICCIONARIO!$K$44</definedName>
    <definedName name="Z_BP_23_E">DICCIONARIO!$G$44</definedName>
    <definedName name="Z_BP_23_F">DICCIONARIO!$H$44</definedName>
    <definedName name="Z_BP_23_I">DICCIONARIO!$J$44</definedName>
    <definedName name="Z_BP_23_O">DICCIONARIO!$E$44</definedName>
    <definedName name="Z_BP_23_P">DICCIONARIO!$I$44</definedName>
    <definedName name="Z_BP_23_S">DICCIONARIO!$F$44</definedName>
    <definedName name="Z_BP_24_D">DICCIONARIO!$K$45</definedName>
    <definedName name="Z_BP_24_E">DICCIONARIO!$G$45</definedName>
    <definedName name="Z_BP_24_F">DICCIONARIO!$H$45</definedName>
    <definedName name="Z_BP_24_I">DICCIONARIO!$J$45</definedName>
    <definedName name="Z_BP_24_O">DICCIONARIO!$E$45</definedName>
    <definedName name="Z_BP_24_P">DICCIONARIO!$I$45</definedName>
    <definedName name="Z_BP_24_S">DICCIONARIO!$F$45</definedName>
    <definedName name="Z_BP_25_D">DICCIONARIO!$K$46</definedName>
    <definedName name="Z_BP_25_E">DICCIONARIO!$G$46</definedName>
    <definedName name="Z_BP_25_F">DICCIONARIO!$H$46</definedName>
    <definedName name="Z_BP_25_I">DICCIONARIO!$J$46</definedName>
    <definedName name="Z_BP_25_O">DICCIONARIO!$E$46</definedName>
    <definedName name="Z_BP_25_P">DICCIONARIO!$I$46</definedName>
    <definedName name="Z_BP_25_S">DICCIONARIO!$F$46</definedName>
    <definedName name="Z_BP_26_D">DICCIONARIO!$K$47</definedName>
    <definedName name="Z_BP_26_E">DICCIONARIO!$G$47</definedName>
    <definedName name="Z_BP_26_F">DICCIONARIO!$H$47</definedName>
    <definedName name="Z_BP_26_I">DICCIONARIO!$J$47</definedName>
    <definedName name="Z_BP_26_O">DICCIONARIO!$E$47</definedName>
    <definedName name="Z_BP_26_P">DICCIONARIO!$I$47</definedName>
    <definedName name="Z_BP_26_S">DICCIONARIO!$F$47</definedName>
    <definedName name="Z_BP_27_D">DICCIONARIO!$K$48</definedName>
    <definedName name="Z_BP_27_E">DICCIONARIO!$G$48</definedName>
    <definedName name="Z_BP_27_F">DICCIONARIO!$H$48</definedName>
    <definedName name="Z_BP_27_I">DICCIONARIO!$J$48</definedName>
    <definedName name="Z_BP_27_O">DICCIONARIO!$E$48</definedName>
    <definedName name="Z_BP_27_P">DICCIONARIO!$I$48</definedName>
    <definedName name="Z_BP_27_S">DICCIONARIO!$F$48</definedName>
    <definedName name="Z_BP_28_D">DICCIONARIO!$K$49</definedName>
    <definedName name="Z_BP_28_E">DICCIONARIO!$G$49</definedName>
    <definedName name="Z_BP_28_F">DICCIONARIO!$H$49</definedName>
    <definedName name="Z_BP_28_I">DICCIONARIO!$J$49</definedName>
    <definedName name="Z_BP_28_O">DICCIONARIO!$E$49</definedName>
    <definedName name="Z_BP_28_P">DICCIONARIO!$I$49</definedName>
    <definedName name="Z_BP_28_S">DICCIONARIO!$F$49</definedName>
    <definedName name="Z_BP_29_D">DICCIONARIO!$K$50</definedName>
    <definedName name="Z_BP_29_E">DICCIONARIO!$G$50</definedName>
    <definedName name="Z_BP_29_F">DICCIONARIO!$H$50</definedName>
    <definedName name="Z_BP_29_I">DICCIONARIO!$J$50</definedName>
    <definedName name="Z_BP_29_O">DICCIONARIO!$E$50</definedName>
    <definedName name="Z_BP_29_P">DICCIONARIO!$I$50</definedName>
    <definedName name="Z_BP_29_S">DICCIONARIO!$F$50</definedName>
    <definedName name="Z_BP_30_D">DICCIONARIO!$K$51</definedName>
    <definedName name="Z_BP_30_E">DICCIONARIO!$G$51</definedName>
    <definedName name="Z_BP_30_F">DICCIONARIO!$H$51</definedName>
    <definedName name="Z_BP_30_I">DICCIONARIO!$J$51</definedName>
    <definedName name="Z_BP_30_O">DICCIONARIO!$E$51</definedName>
    <definedName name="Z_BP_30_P">DICCIONARIO!$I$51</definedName>
    <definedName name="Z_BP_30_S">DICCIONARIO!$F$51</definedName>
    <definedName name="Z_BP_31_D">DICCIONARIO!$K$52</definedName>
    <definedName name="Z_BP_31_E">DICCIONARIO!$G$52</definedName>
    <definedName name="Z_BP_31_F">DICCIONARIO!$H$52</definedName>
    <definedName name="Z_BP_31_I">DICCIONARIO!$J$52</definedName>
    <definedName name="Z_BP_31_O">DICCIONARIO!$E$52</definedName>
    <definedName name="Z_BP_31_P">DICCIONARIO!$I$52</definedName>
    <definedName name="Z_BP_31_S">DICCIONARIO!$F$52</definedName>
    <definedName name="Z_BP_32_D">DICCIONARIO!$K$53</definedName>
    <definedName name="Z_BP_32_E">DICCIONARIO!$G$53</definedName>
    <definedName name="Z_BP_32_F">DICCIONARIO!$H$53</definedName>
    <definedName name="Z_BP_32_I">DICCIONARIO!$J$53</definedName>
    <definedName name="Z_BP_32_O">DICCIONARIO!$E$53</definedName>
    <definedName name="Z_BP_32_P">DICCIONARIO!$I$53</definedName>
    <definedName name="Z_BP_32_S">DICCIONARIO!$F$53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IN_13_D">DICCIONARIO!$K$16</definedName>
    <definedName name="Z_IN_13_E">DICCIONARIO!$G$16</definedName>
    <definedName name="Z_IN_13_F">DICCIONARIO!$H$16</definedName>
    <definedName name="Z_IN_13_I">DICCIONARIO!$J$16</definedName>
    <definedName name="Z_IN_13_O">DICCIONARIO!$E$16</definedName>
    <definedName name="Z_IN_13_P">DICCIONARIO!$I$16</definedName>
    <definedName name="Z_IN_13_S">DICCIONARIO!$F$16</definedName>
    <definedName name="Z_IN_14_D">DICCIONARIO!$K$17</definedName>
    <definedName name="Z_IN_14_E">DICCIONARIO!$G$17</definedName>
    <definedName name="Z_IN_14_F">DICCIONARIO!$H$17</definedName>
    <definedName name="Z_IN_14_I">DICCIONARIO!$J$17</definedName>
    <definedName name="Z_IN_14_O">DICCIONARIO!$E$17</definedName>
    <definedName name="Z_IN_14_P">DICCIONARIO!$I$17</definedName>
    <definedName name="Z_IN_14_S">DICCIONARIO!$F$17</definedName>
    <definedName name="Z_IN_15_D">DICCIONARIO!$K$18</definedName>
    <definedName name="Z_IN_15_E">DICCIONARIO!$G$18</definedName>
    <definedName name="Z_IN_15_F">DICCIONARIO!$H$18</definedName>
    <definedName name="Z_IN_15_I">DICCIONARIO!$J$18</definedName>
    <definedName name="Z_IN_15_O">DICCIONARIO!$E$18</definedName>
    <definedName name="Z_IN_15_P">DICCIONARIO!$I$18</definedName>
    <definedName name="Z_IN_15_S">DICCIONARIO!$F$18</definedName>
    <definedName name="Z_IN_16_D">DICCIONARIO!$K$19</definedName>
    <definedName name="Z_IN_16_E">DICCIONARIO!$G$19</definedName>
    <definedName name="Z_IN_16_F">DICCIONARIO!$H$19</definedName>
    <definedName name="Z_IN_16_I">DICCIONARIO!$J$19</definedName>
    <definedName name="Z_IN_16_O">DICCIONARIO!$E$19</definedName>
    <definedName name="Z_IN_16_P">DICCIONARIO!$I$19</definedName>
    <definedName name="Z_IN_16_S">DICCIONARIO!$F$19</definedName>
    <definedName name="Z_IN_17_D">DICCIONARIO!$K$20</definedName>
    <definedName name="Z_IN_17_E">DICCIONARIO!$G$20</definedName>
    <definedName name="Z_IN_17_F">DICCIONARIO!$H$20</definedName>
    <definedName name="Z_IN_17_I">DICCIONARIO!$J$20</definedName>
    <definedName name="Z_IN_17_O">DICCIONARIO!$E$20</definedName>
    <definedName name="Z_IN_17_P">DICCIONARIO!$I$20</definedName>
    <definedName name="Z_IN_17_S">DICCIONARIO!$F$20</definedName>
    <definedName name="Z_TX_00_D">DICCIONARIO!$K$54</definedName>
    <definedName name="Z_TX_00_E">DICCIONARIO!$G$54</definedName>
    <definedName name="Z_TX_00_F">DICCIONARIO!$H$54</definedName>
    <definedName name="Z_TX_00_I">DICCIONARIO!$J$54</definedName>
    <definedName name="Z_TX_00_O">DICCIONARIO!$E$54</definedName>
    <definedName name="Z_TX_00_P">DICCIONARIO!$I$54</definedName>
    <definedName name="Z_TX_00_S">DICCIONARIO!$F$54</definedName>
    <definedName name="Z_TX_01_D">DICCIONARIO!$K$55</definedName>
    <definedName name="Z_TX_01_E">DICCIONARIO!$G$55</definedName>
    <definedName name="Z_TX_01_F">DICCIONARIO!$H$55</definedName>
    <definedName name="Z_TX_01_I">DICCIONARIO!$J$55</definedName>
    <definedName name="Z_TX_01_O">DICCIONARIO!$E$55</definedName>
    <definedName name="Z_TX_01_P">DICCIONARIO!$I$55</definedName>
    <definedName name="Z_TX_01_S">DICCIONARIO!$F$55</definedName>
    <definedName name="Z_TX_92_1_">DICCIONARIO!$M$56</definedName>
    <definedName name="Z_TX_92_1_D">DICCIONARIO!$K$56</definedName>
    <definedName name="Z_TX_92_1_E">DICCIONARIO!$G$56</definedName>
    <definedName name="Z_TX_92_1_F">DICCIONARIO!$H$56</definedName>
    <definedName name="Z_TX_92_1_I">DICCIONARIO!$J$56</definedName>
    <definedName name="Z_TX_92_1_O">DICCIONARIO!$E$56</definedName>
    <definedName name="Z_TX_92_1_P">DICCIONARIO!$I$56</definedName>
    <definedName name="Z_TX_92_1_S">DICCIONARIO!$F$56</definedName>
    <definedName name="Z_TX_92_10_">DICCIONARIO!#REF!</definedName>
    <definedName name="Z_TX_92_10_D">DICCIONARIO!$K$65</definedName>
    <definedName name="Z_TX_92_10_E">DICCIONARIO!$G$65</definedName>
    <definedName name="Z_TX_92_10_F">DICCIONARIO!$H$65</definedName>
    <definedName name="Z_TX_92_10_I">DICCIONARIO!$J$65</definedName>
    <definedName name="Z_TX_92_10_O">DICCIONARIO!$E$65</definedName>
    <definedName name="Z_TX_92_10_P">DICCIONARIO!$I$65</definedName>
    <definedName name="Z_TX_92_10_S">DICCIONARIO!$F$65</definedName>
    <definedName name="Z_TX_92_11_">DICCIONARIO!#REF!</definedName>
    <definedName name="Z_TX_92_11_D">DICCIONARIO!#REF!</definedName>
    <definedName name="Z_TX_92_11_E">DICCIONARIO!#REF!</definedName>
    <definedName name="Z_TX_92_11_F">DICCIONARIO!#REF!</definedName>
    <definedName name="Z_TX_92_11_I">DICCIONARIO!#REF!</definedName>
    <definedName name="Z_TX_92_11_O">DICCIONARIO!#REF!</definedName>
    <definedName name="Z_TX_92_11_P">DICCIONARIO!#REF!</definedName>
    <definedName name="Z_TX_92_11_S">DICCIONARIO!#REF!</definedName>
    <definedName name="Z_TX_92_12_">DICCIONARIO!#REF!</definedName>
    <definedName name="Z_TX_92_12_D">DICCIONARIO!#REF!</definedName>
    <definedName name="Z_TX_92_12_E">DICCIONARIO!#REF!</definedName>
    <definedName name="Z_TX_92_12_F">DICCIONARIO!#REF!</definedName>
    <definedName name="Z_TX_92_12_I">DICCIONARIO!#REF!</definedName>
    <definedName name="Z_TX_92_12_O">DICCIONARIO!#REF!</definedName>
    <definedName name="Z_TX_92_12_P">DICCIONARIO!#REF!</definedName>
    <definedName name="Z_TX_92_12_S">DICCIONARIO!#REF!</definedName>
    <definedName name="Z_TX_92_13_">DICCIONARIO!#REF!</definedName>
    <definedName name="Z_TX_92_13_D">DICCIONARIO!#REF!</definedName>
    <definedName name="Z_TX_92_13_E">DICCIONARIO!#REF!</definedName>
    <definedName name="Z_TX_92_13_F">DICCIONARIO!#REF!</definedName>
    <definedName name="Z_TX_92_13_I">DICCIONARIO!#REF!</definedName>
    <definedName name="Z_TX_92_13_O">DICCIONARIO!#REF!</definedName>
    <definedName name="Z_TX_92_13_P">DICCIONARIO!#REF!</definedName>
    <definedName name="Z_TX_92_13_S">DICCIONARIO!#REF!</definedName>
    <definedName name="Z_TX_92_14_">DICCIONARIO!#REF!</definedName>
    <definedName name="Z_TX_92_14_D">DICCIONARIO!#REF!</definedName>
    <definedName name="Z_TX_92_14_E">DICCIONARIO!#REF!</definedName>
    <definedName name="Z_TX_92_14_F">DICCIONARIO!#REF!</definedName>
    <definedName name="Z_TX_92_14_I">DICCIONARIO!#REF!</definedName>
    <definedName name="Z_TX_92_14_O">DICCIONARIO!#REF!</definedName>
    <definedName name="Z_TX_92_14_P">DICCIONARIO!#REF!</definedName>
    <definedName name="Z_TX_92_14_S">DICCIONARIO!#REF!</definedName>
    <definedName name="Z_TX_92_15_">DICCIONARIO!#REF!</definedName>
    <definedName name="Z_TX_92_15_D">DICCIONARIO!#REF!</definedName>
    <definedName name="Z_TX_92_15_E">DICCIONARIO!#REF!</definedName>
    <definedName name="Z_TX_92_15_F">DICCIONARIO!#REF!</definedName>
    <definedName name="Z_TX_92_15_I">DICCIONARIO!#REF!</definedName>
    <definedName name="Z_TX_92_15_O">DICCIONARIO!#REF!</definedName>
    <definedName name="Z_TX_92_15_P">DICCIONARIO!#REF!</definedName>
    <definedName name="Z_TX_92_15_S">DICCIONARIO!#REF!</definedName>
    <definedName name="Z_TX_92_16_">DICCIONARIO!#REF!</definedName>
    <definedName name="Z_TX_92_16_D">DICCIONARIO!#REF!</definedName>
    <definedName name="Z_TX_92_16_E">DICCIONARIO!#REF!</definedName>
    <definedName name="Z_TX_92_16_F">DICCIONARIO!#REF!</definedName>
    <definedName name="Z_TX_92_16_I">DICCIONARIO!#REF!</definedName>
    <definedName name="Z_TX_92_16_O">DICCIONARIO!#REF!</definedName>
    <definedName name="Z_TX_92_16_P">DICCIONARIO!#REF!</definedName>
    <definedName name="Z_TX_92_16_S">DICCIONARIO!#REF!</definedName>
    <definedName name="Z_TX_92_2_">DICCIONARIO!$M$57</definedName>
    <definedName name="Z_TX_92_2_D">DICCIONARIO!$K$57</definedName>
    <definedName name="Z_TX_92_2_E">DICCIONARIO!$G$57</definedName>
    <definedName name="Z_TX_92_2_F">DICCIONARIO!$H$57</definedName>
    <definedName name="Z_TX_92_2_I">DICCIONARIO!$J$57</definedName>
    <definedName name="Z_TX_92_2_O">DICCIONARIO!$E$57</definedName>
    <definedName name="Z_TX_92_2_P">DICCIONARIO!$I$57</definedName>
    <definedName name="Z_TX_92_2_S">DICCIONARIO!$F$57</definedName>
    <definedName name="Z_TX_92_3_">DICCIONARIO!$M$58</definedName>
    <definedName name="Z_TX_92_3_D">DICCIONARIO!$K$58</definedName>
    <definedName name="Z_TX_92_3_E">DICCIONARIO!$G$58</definedName>
    <definedName name="Z_TX_92_3_F">DICCIONARIO!$H$58</definedName>
    <definedName name="Z_TX_92_3_I">DICCIONARIO!$J$58</definedName>
    <definedName name="Z_TX_92_3_O">DICCIONARIO!$E$58</definedName>
    <definedName name="Z_TX_92_3_P">DICCIONARIO!$I$58</definedName>
    <definedName name="Z_TX_92_3_S">DICCIONARIO!$F$58</definedName>
    <definedName name="Z_TX_92_4_">DICCIONARIO!$M$59</definedName>
    <definedName name="Z_TX_92_4_D">DICCIONARIO!$K$59</definedName>
    <definedName name="Z_TX_92_4_E">DICCIONARIO!$G$59</definedName>
    <definedName name="Z_TX_92_4_F">DICCIONARIO!$H$59</definedName>
    <definedName name="Z_TX_92_4_I">DICCIONARIO!$J$59</definedName>
    <definedName name="Z_TX_92_4_O">DICCIONARIO!$E$59</definedName>
    <definedName name="Z_TX_92_4_P">DICCIONARIO!$I$59</definedName>
    <definedName name="Z_TX_92_4_S">DICCIONARIO!$F$59</definedName>
    <definedName name="Z_TX_92_5_">DICCIONARIO!$M$60</definedName>
    <definedName name="Z_TX_92_5_D">DICCIONARIO!$K$60</definedName>
    <definedName name="Z_TX_92_5_E">DICCIONARIO!$G$60</definedName>
    <definedName name="Z_TX_92_5_F">DICCIONARIO!$H$60</definedName>
    <definedName name="Z_TX_92_5_I">DICCIONARIO!$J$60</definedName>
    <definedName name="Z_TX_92_5_O">DICCIONARIO!$E$60</definedName>
    <definedName name="Z_TX_92_5_P">DICCIONARIO!$I$60</definedName>
    <definedName name="Z_TX_92_5_S">DICCIONARIO!$F$60</definedName>
    <definedName name="Z_TX_92_6_">DICCIONARIO!$M$61</definedName>
    <definedName name="Z_TX_92_6_D">DICCIONARIO!$K$61</definedName>
    <definedName name="Z_TX_92_6_E">DICCIONARIO!$G$61</definedName>
    <definedName name="Z_TX_92_6_F">DICCIONARIO!$H$61</definedName>
    <definedName name="Z_TX_92_6_I">DICCIONARIO!$J$61</definedName>
    <definedName name="Z_TX_92_6_O">DICCIONARIO!$E$61</definedName>
    <definedName name="Z_TX_92_6_P">DICCIONARIO!$I$61</definedName>
    <definedName name="Z_TX_92_6_S">DICCIONARIO!$F$61</definedName>
    <definedName name="Z_TX_92_7_">DICCIONARIO!$M$62</definedName>
    <definedName name="Z_TX_92_7_D">DICCIONARIO!$K$62</definedName>
    <definedName name="Z_TX_92_7_E">DICCIONARIO!$G$62</definedName>
    <definedName name="Z_TX_92_7_F">DICCIONARIO!$H$62</definedName>
    <definedName name="Z_TX_92_7_I">DICCIONARIO!$J$62</definedName>
    <definedName name="Z_TX_92_7_O">DICCIONARIO!$E$62</definedName>
    <definedName name="Z_TX_92_7_P">DICCIONARIO!$I$62</definedName>
    <definedName name="Z_TX_92_7_S">DICCIONARIO!$F$62</definedName>
    <definedName name="Z_TX_92_8_">DICCIONARIO!$M$63</definedName>
    <definedName name="Z_TX_92_8_D">DICCIONARIO!$K$63</definedName>
    <definedName name="Z_TX_92_8_E">DICCIONARIO!$G$63</definedName>
    <definedName name="Z_TX_92_8_F">DICCIONARIO!$H$63</definedName>
    <definedName name="Z_TX_92_8_I">DICCIONARIO!$J$63</definedName>
    <definedName name="Z_TX_92_8_O">DICCIONARIO!$E$63</definedName>
    <definedName name="Z_TX_92_8_P">DICCIONARIO!$I$63</definedName>
    <definedName name="Z_TX_92_8_S">DICCIONARIO!$F$63</definedName>
    <definedName name="Z_TX_92_9_">DICCIONARIO!#REF!</definedName>
    <definedName name="Z_TX_92_9_D">DICCIONARIO!$K$64</definedName>
    <definedName name="Z_TX_92_9_E">DICCIONARIO!$G$64</definedName>
    <definedName name="Z_TX_92_9_F">DICCIONARIO!$H$64</definedName>
    <definedName name="Z_TX_92_9_I">DICCIONARIO!$J$64</definedName>
    <definedName name="Z_TX_92_9_O">DICCIONARIO!$E$64</definedName>
    <definedName name="Z_TX_92_9_P">DICCIONARIO!$I$64</definedName>
    <definedName name="Z_TX_92_9_S">DICCIONARIO!$F$64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20" l="1"/>
  <c r="A6" i="19"/>
  <c r="A6" i="18"/>
  <c r="A7" i="18"/>
  <c r="A6" i="16"/>
  <c r="B6" i="16" s="1"/>
  <c r="A6" i="15"/>
  <c r="B6" i="15" s="1"/>
  <c r="A7" i="15"/>
  <c r="B7" i="15" s="1"/>
  <c r="O1" i="8" l="1"/>
  <c r="P1" i="8" s="1"/>
  <c r="Q1" i="8" s="1"/>
  <c r="R1" i="8" s="1"/>
  <c r="S1" i="8" s="1"/>
  <c r="T1" i="8" s="1"/>
  <c r="U1" i="8" s="1"/>
  <c r="V1" i="8" s="1"/>
  <c r="W1" i="8" s="1"/>
  <c r="X1" i="8" s="1"/>
  <c r="Y1" i="8" s="1"/>
  <c r="Z1" i="8" s="1"/>
  <c r="AA1" i="8" s="1"/>
  <c r="P44" i="8" l="1"/>
  <c r="B56" i="8" l="1"/>
  <c r="B57" i="8" s="1"/>
  <c r="A56" i="8" l="1"/>
  <c r="B58" i="8"/>
  <c r="A57" i="8"/>
  <c r="A5" i="19"/>
  <c r="A5" i="16"/>
  <c r="B59" i="8" l="1"/>
  <c r="A58" i="8"/>
  <c r="A55" i="8"/>
  <c r="A54" i="8"/>
  <c r="B60" i="8" l="1"/>
  <c r="A59" i="8"/>
  <c r="A5" i="20"/>
  <c r="A5" i="18"/>
  <c r="B5" i="16"/>
  <c r="A5" i="15"/>
  <c r="B5" i="15" s="1"/>
  <c r="B61" i="8" l="1"/>
  <c r="A60" i="8"/>
  <c r="G2" i="22"/>
  <c r="G2" i="21"/>
  <c r="G2" i="20"/>
  <c r="G2" i="19"/>
  <c r="G2" i="18"/>
  <c r="G2" i="17"/>
  <c r="G2" i="16"/>
  <c r="G2" i="15"/>
  <c r="B62" i="8" l="1"/>
  <c r="A61" i="8"/>
  <c r="A17" i="6"/>
  <c r="E1" i="8"/>
  <c r="B63" i="8" l="1"/>
  <c r="B64" i="8" s="1"/>
  <c r="A62" i="8"/>
  <c r="A45" i="6"/>
  <c r="A64" i="8" l="1"/>
  <c r="B65" i="8"/>
  <c r="A65" i="8" s="1"/>
  <c r="A63" i="8"/>
  <c r="A37" i="6"/>
  <c r="D2" i="8"/>
  <c r="O13" i="8"/>
  <c r="X13" i="8" l="1"/>
  <c r="AD2" i="8"/>
  <c r="E2" i="8"/>
  <c r="E65" i="8" s="1"/>
  <c r="AI3" i="22"/>
  <c r="AI3" i="21"/>
  <c r="AI3" i="20"/>
  <c r="AI3" i="19"/>
  <c r="AI3" i="18"/>
  <c r="AI3" i="16"/>
  <c r="AI3" i="17"/>
  <c r="O18" i="8"/>
  <c r="O14" i="8"/>
  <c r="O4" i="8"/>
  <c r="O24" i="8"/>
  <c r="O23" i="8"/>
  <c r="O11" i="8"/>
  <c r="O20" i="8"/>
  <c r="O12" i="8"/>
  <c r="O8" i="8"/>
  <c r="O21" i="8"/>
  <c r="O3" i="8"/>
  <c r="O27" i="8"/>
  <c r="O6" i="8"/>
  <c r="F1" i="15"/>
  <c r="O15" i="8"/>
  <c r="O5" i="8"/>
  <c r="O9" i="8"/>
  <c r="O10" i="8"/>
  <c r="F2" i="15"/>
  <c r="O16" i="8"/>
  <c r="O28" i="8"/>
  <c r="O26" i="8"/>
  <c r="O29" i="8"/>
  <c r="E3" i="15"/>
  <c r="O17" i="8"/>
  <c r="O7" i="8"/>
  <c r="O25" i="8"/>
  <c r="O19" i="8"/>
  <c r="D1" i="8"/>
  <c r="O22" i="8"/>
  <c r="X7" i="8" l="1"/>
  <c r="Z7" i="8" s="1"/>
  <c r="X16" i="8"/>
  <c r="Z16" i="8" s="1"/>
  <c r="X15" i="8"/>
  <c r="Z15" i="8" s="1"/>
  <c r="X11" i="8"/>
  <c r="Z11" i="8" s="1"/>
  <c r="X6" i="8"/>
  <c r="Z6" i="8" s="1"/>
  <c r="X14" i="8"/>
  <c r="Z14" i="8" s="1"/>
  <c r="X8" i="8"/>
  <c r="Z8" i="8" s="1"/>
  <c r="X4" i="8"/>
  <c r="Y4" i="8" s="1"/>
  <c r="X5" i="8"/>
  <c r="Y5" i="8" s="1"/>
  <c r="X12" i="8"/>
  <c r="X9" i="8"/>
  <c r="Z9" i="8" s="1"/>
  <c r="X18" i="8"/>
  <c r="Z18" i="8" s="1"/>
  <c r="X17" i="8"/>
  <c r="Z17" i="8" s="1"/>
  <c r="X10" i="8"/>
  <c r="Z10" i="8" s="1"/>
  <c r="N29" i="8"/>
  <c r="X29" i="8"/>
  <c r="N28" i="8"/>
  <c r="X28" i="8"/>
  <c r="E64" i="8"/>
  <c r="E63" i="8"/>
  <c r="N3" i="8"/>
  <c r="X3" i="8"/>
  <c r="Z3" i="8" s="1"/>
  <c r="N26" i="8"/>
  <c r="N27" i="8"/>
  <c r="N22" i="8"/>
  <c r="N20" i="8"/>
  <c r="N19" i="8"/>
  <c r="N21" i="8"/>
  <c r="N23" i="8"/>
  <c r="N24" i="8"/>
  <c r="N25" i="8"/>
  <c r="X25" i="8"/>
  <c r="Z25" i="8" s="1"/>
  <c r="X27" i="8"/>
  <c r="Z27" i="8" s="1"/>
  <c r="X21" i="8"/>
  <c r="X26" i="8"/>
  <c r="Z26" i="8" s="1"/>
  <c r="X19" i="8"/>
  <c r="X20" i="8"/>
  <c r="Z20" i="8" s="1"/>
  <c r="X22" i="8"/>
  <c r="Z22" i="8" s="1"/>
  <c r="X23" i="8"/>
  <c r="Z23" i="8" s="1"/>
  <c r="X24" i="8"/>
  <c r="Z24" i="8" s="1"/>
  <c r="Z5" i="8"/>
  <c r="N15" i="8"/>
  <c r="N12" i="8"/>
  <c r="N16" i="8"/>
  <c r="N18" i="8"/>
  <c r="N8" i="8"/>
  <c r="N11" i="8"/>
  <c r="N5" i="8"/>
  <c r="N4" i="8"/>
  <c r="N17" i="8"/>
  <c r="N13" i="8"/>
  <c r="Z12" i="8"/>
  <c r="N10" i="8"/>
  <c r="N9" i="8"/>
  <c r="N7" i="8"/>
  <c r="N6" i="8"/>
  <c r="N14" i="8"/>
  <c r="Z13" i="8"/>
  <c r="E11" i="8"/>
  <c r="E62" i="8"/>
  <c r="E61" i="8"/>
  <c r="E60" i="8"/>
  <c r="E59" i="8"/>
  <c r="E58" i="8"/>
  <c r="E57" i="8"/>
  <c r="E56" i="8"/>
  <c r="E35" i="8"/>
  <c r="E16" i="8"/>
  <c r="E32" i="8"/>
  <c r="E48" i="8"/>
  <c r="E13" i="8"/>
  <c r="E29" i="8"/>
  <c r="E45" i="8"/>
  <c r="E6" i="8"/>
  <c r="E26" i="8"/>
  <c r="E46" i="8"/>
  <c r="E7" i="8"/>
  <c r="E39" i="8"/>
  <c r="E55" i="8"/>
  <c r="E28" i="8"/>
  <c r="E9" i="8"/>
  <c r="E34" i="8"/>
  <c r="E3" i="8"/>
  <c r="E10" i="8"/>
  <c r="E4" i="8"/>
  <c r="E20" i="8"/>
  <c r="E36" i="8"/>
  <c r="E52" i="8"/>
  <c r="E17" i="8"/>
  <c r="E33" i="8"/>
  <c r="E49" i="8"/>
  <c r="E14" i="8"/>
  <c r="E30" i="8"/>
  <c r="E50" i="8"/>
  <c r="E15" i="8"/>
  <c r="E43" i="8"/>
  <c r="E12" i="8"/>
  <c r="E44" i="8"/>
  <c r="E41" i="8"/>
  <c r="E22" i="8"/>
  <c r="E31" i="8"/>
  <c r="E19" i="8"/>
  <c r="E8" i="8"/>
  <c r="E24" i="8"/>
  <c r="E40" i="8"/>
  <c r="E5" i="8"/>
  <c r="E21" i="8"/>
  <c r="E37" i="8"/>
  <c r="E53" i="8"/>
  <c r="E18" i="8"/>
  <c r="E38" i="8"/>
  <c r="E54" i="8"/>
  <c r="E23" i="8"/>
  <c r="E47" i="8"/>
  <c r="E27" i="8"/>
  <c r="E25" i="8"/>
  <c r="E42" i="8"/>
  <c r="E51" i="8"/>
  <c r="F1" i="22"/>
  <c r="F2" i="22"/>
  <c r="B22" i="8"/>
  <c r="A22" i="8" s="1"/>
  <c r="A21" i="8"/>
  <c r="B4" i="8"/>
  <c r="A4" i="8" s="1"/>
  <c r="A3" i="8"/>
  <c r="P14" i="8"/>
  <c r="P18" i="8"/>
  <c r="P4" i="8"/>
  <c r="P11" i="8"/>
  <c r="P29" i="8"/>
  <c r="P5" i="8"/>
  <c r="P12" i="8"/>
  <c r="P21" i="8"/>
  <c r="P10" i="8"/>
  <c r="P19" i="8"/>
  <c r="P17" i="8"/>
  <c r="P23" i="8"/>
  <c r="P3" i="8"/>
  <c r="P13" i="8"/>
  <c r="P28" i="8"/>
  <c r="P8" i="8"/>
  <c r="P26" i="8"/>
  <c r="P9" i="8"/>
  <c r="P22" i="8"/>
  <c r="P20" i="8"/>
  <c r="P24" i="8"/>
  <c r="P6" i="8"/>
  <c r="P7" i="8"/>
  <c r="P27" i="8"/>
  <c r="P16" i="8"/>
  <c r="P15" i="8"/>
  <c r="P25" i="8"/>
  <c r="Z4" i="8" l="1"/>
  <c r="Y12" i="8" s="1"/>
  <c r="Z29" i="8"/>
  <c r="Z28" i="8"/>
  <c r="Y16" i="8" s="1"/>
  <c r="Z19" i="8"/>
  <c r="Z21" i="8"/>
  <c r="Y15" i="8"/>
  <c r="N30" i="8"/>
  <c r="B23" i="8"/>
  <c r="B5" i="8"/>
  <c r="A3" i="16"/>
  <c r="V3" i="16"/>
  <c r="E23" i="6"/>
  <c r="I23" i="6"/>
  <c r="G23" i="6"/>
  <c r="Q24" i="6"/>
  <c r="O24" i="6"/>
  <c r="G1" i="20"/>
  <c r="W3" i="15"/>
  <c r="AG3" i="15"/>
  <c r="G1" i="22"/>
  <c r="AD3" i="19"/>
  <c r="AE3" i="16"/>
  <c r="R3" i="16"/>
  <c r="K3" i="16"/>
  <c r="H3" i="15"/>
  <c r="U3" i="16"/>
  <c r="L3" i="19"/>
  <c r="R3" i="20"/>
  <c r="I3" i="21"/>
  <c r="I26" i="6"/>
  <c r="G1" i="16"/>
  <c r="K3" i="21"/>
  <c r="Z3" i="20"/>
  <c r="G1" i="19"/>
  <c r="M3" i="15"/>
  <c r="H3" i="16"/>
  <c r="Q26" i="6"/>
  <c r="A3" i="15"/>
  <c r="I3" i="19"/>
  <c r="M23" i="6"/>
  <c r="G26" i="6"/>
  <c r="D3" i="19"/>
  <c r="X3" i="19"/>
  <c r="N3" i="16"/>
  <c r="B3" i="15"/>
  <c r="AH3" i="15"/>
  <c r="G1" i="21"/>
  <c r="T3" i="20"/>
  <c r="G3" i="22"/>
  <c r="B3" i="16"/>
  <c r="W3" i="19"/>
  <c r="L3" i="16"/>
  <c r="Q3" i="19"/>
  <c r="AH3" i="16"/>
  <c r="O3" i="15"/>
  <c r="M3" i="21"/>
  <c r="G3" i="16"/>
  <c r="K26" i="6"/>
  <c r="J3" i="16"/>
  <c r="I3" i="16"/>
  <c r="O26" i="6"/>
  <c r="U3" i="19"/>
  <c r="G3" i="15"/>
  <c r="L3" i="15"/>
  <c r="Q23" i="6"/>
  <c r="Q3" i="15"/>
  <c r="P3" i="20"/>
  <c r="U3" i="15"/>
  <c r="AC3" i="19"/>
  <c r="K3" i="15"/>
  <c r="K24" i="6"/>
  <c r="V3" i="20"/>
  <c r="I7" i="6"/>
  <c r="P3" i="16"/>
  <c r="S3" i="16"/>
  <c r="AF3" i="15"/>
  <c r="Z3" i="19"/>
  <c r="J3" i="15"/>
  <c r="X3" i="15"/>
  <c r="G3" i="6"/>
  <c r="R3" i="19"/>
  <c r="A3" i="20"/>
  <c r="O3" i="16"/>
  <c r="AF3" i="16"/>
  <c r="S3" i="15"/>
  <c r="H3" i="19"/>
  <c r="M3" i="16"/>
  <c r="P6" i="6"/>
  <c r="AG3" i="16"/>
  <c r="O3" i="19"/>
  <c r="W3" i="16"/>
  <c r="AE3" i="15"/>
  <c r="AB3" i="20"/>
  <c r="C26" i="6"/>
  <c r="M26" i="6"/>
  <c r="L3" i="20"/>
  <c r="O23" i="6"/>
  <c r="E3" i="17"/>
  <c r="I24" i="6"/>
  <c r="I3" i="15"/>
  <c r="G24" i="6"/>
  <c r="G1" i="15"/>
  <c r="K3" i="19"/>
  <c r="N3" i="19"/>
  <c r="G1" i="17"/>
  <c r="N3" i="15"/>
  <c r="AD3" i="20"/>
  <c r="K23" i="6"/>
  <c r="X3" i="20"/>
  <c r="X3" i="16"/>
  <c r="J3" i="20"/>
  <c r="J3" i="21"/>
  <c r="H3" i="20"/>
  <c r="A3" i="19"/>
  <c r="P3" i="15"/>
  <c r="Q3" i="16"/>
  <c r="C9" i="6"/>
  <c r="C23" i="6"/>
  <c r="G1" i="18"/>
  <c r="E26" i="6"/>
  <c r="N3" i="20"/>
  <c r="T3" i="15"/>
  <c r="L3" i="21"/>
  <c r="A3" i="18"/>
  <c r="E3" i="16"/>
  <c r="V3" i="15"/>
  <c r="C24" i="6"/>
  <c r="D11" i="6"/>
  <c r="T3" i="16"/>
  <c r="E24" i="6"/>
  <c r="AA3" i="19"/>
  <c r="R3" i="15"/>
  <c r="M24" i="6"/>
  <c r="H3" i="21"/>
  <c r="D27" i="6"/>
  <c r="T3" i="19"/>
  <c r="Y14" i="8" l="1"/>
  <c r="Y13" i="8"/>
  <c r="Y11" i="8"/>
  <c r="Y8" i="8"/>
  <c r="Y18" i="8"/>
  <c r="Y29" i="8"/>
  <c r="Y28" i="8"/>
  <c r="Y3" i="8"/>
  <c r="Y7" i="8"/>
  <c r="Y17" i="8"/>
  <c r="Y10" i="8"/>
  <c r="Y6" i="8"/>
  <c r="Y20" i="8"/>
  <c r="Y24" i="8"/>
  <c r="Y23" i="8"/>
  <c r="Y27" i="8"/>
  <c r="Y9" i="8"/>
  <c r="Y19" i="8"/>
  <c r="Y25" i="8"/>
  <c r="Y21" i="8"/>
  <c r="Y26" i="8"/>
  <c r="Y22" i="8"/>
  <c r="F1" i="21"/>
  <c r="F2" i="21"/>
  <c r="F1" i="20"/>
  <c r="F2" i="20"/>
  <c r="F1" i="19"/>
  <c r="F2" i="19"/>
  <c r="F1" i="18"/>
  <c r="F2" i="18"/>
  <c r="F1" i="17"/>
  <c r="F2" i="17"/>
  <c r="F2" i="16"/>
  <c r="F1" i="16"/>
  <c r="Y3" i="19"/>
  <c r="S3" i="19"/>
  <c r="V3" i="19"/>
  <c r="M3" i="19"/>
  <c r="J3" i="19"/>
  <c r="AB3" i="19"/>
  <c r="G3" i="19"/>
  <c r="P3" i="19"/>
  <c r="AE3" i="22"/>
  <c r="AH3" i="22"/>
  <c r="AG3" i="22"/>
  <c r="AF3" i="22"/>
  <c r="E3" i="22"/>
  <c r="E3" i="21"/>
  <c r="AE3" i="20"/>
  <c r="AH3" i="20"/>
  <c r="AG3" i="20"/>
  <c r="AF3" i="20"/>
  <c r="E3" i="20"/>
  <c r="E3" i="19"/>
  <c r="AE3" i="19"/>
  <c r="AH3" i="19"/>
  <c r="AG3" i="19"/>
  <c r="AF3" i="19"/>
  <c r="AD3" i="18"/>
  <c r="N3" i="18"/>
  <c r="Y3" i="18"/>
  <c r="I3" i="18"/>
  <c r="T3" i="18"/>
  <c r="S3" i="18"/>
  <c r="AA3" i="18"/>
  <c r="L3" i="18"/>
  <c r="R3" i="18"/>
  <c r="M3" i="18"/>
  <c r="G3" i="18"/>
  <c r="Z3" i="18"/>
  <c r="J3" i="18"/>
  <c r="U3" i="18"/>
  <c r="W3" i="18"/>
  <c r="P3" i="18"/>
  <c r="O3" i="18"/>
  <c r="V3" i="18"/>
  <c r="Q3" i="18"/>
  <c r="AB3" i="18"/>
  <c r="K3" i="18"/>
  <c r="AC3" i="18"/>
  <c r="X3" i="18"/>
  <c r="H3" i="18"/>
  <c r="H3" i="17"/>
  <c r="G3" i="17"/>
  <c r="E3" i="18"/>
  <c r="I3" i="17"/>
  <c r="AE3" i="17"/>
  <c r="AE3" i="18"/>
  <c r="AH3" i="18"/>
  <c r="AH3" i="17"/>
  <c r="AG3" i="18"/>
  <c r="AG3" i="17"/>
  <c r="AF3" i="18"/>
  <c r="AF3" i="17"/>
  <c r="B24" i="8"/>
  <c r="A23" i="8"/>
  <c r="A5" i="8"/>
  <c r="B6" i="8"/>
  <c r="Y3" i="20"/>
  <c r="F3" i="17"/>
  <c r="F3" i="18"/>
  <c r="O3" i="20"/>
  <c r="Q3" i="20"/>
  <c r="F3" i="22"/>
  <c r="AC3" i="20"/>
  <c r="G3" i="21"/>
  <c r="F3" i="20"/>
  <c r="W3" i="20"/>
  <c r="S3" i="20"/>
  <c r="F3" i="15"/>
  <c r="I3" i="20"/>
  <c r="AA3" i="20"/>
  <c r="K3" i="20"/>
  <c r="F3" i="21"/>
  <c r="M3" i="20"/>
  <c r="F3" i="19"/>
  <c r="F3" i="16"/>
  <c r="U3" i="20"/>
  <c r="G3" i="20"/>
  <c r="A24" i="8" l="1"/>
  <c r="B25" i="8"/>
  <c r="A6" i="8"/>
  <c r="B7" i="8"/>
  <c r="B26" i="8" l="1"/>
  <c r="A25" i="8"/>
  <c r="A7" i="8"/>
  <c r="B8" i="8"/>
  <c r="B27" i="8" l="1"/>
  <c r="A26" i="8"/>
  <c r="A8" i="8"/>
  <c r="B9" i="8"/>
  <c r="B28" i="8" l="1"/>
  <c r="A27" i="8"/>
  <c r="A9" i="8"/>
  <c r="B10" i="8"/>
  <c r="A28" i="8" l="1"/>
  <c r="B29" i="8"/>
  <c r="A10" i="8"/>
  <c r="B11" i="8"/>
  <c r="B30" i="8" l="1"/>
  <c r="A29" i="8"/>
  <c r="A11" i="8"/>
  <c r="B12" i="8"/>
  <c r="B31" i="8" l="1"/>
  <c r="A30" i="8"/>
  <c r="A12" i="8"/>
  <c r="B13" i="8"/>
  <c r="B32" i="8" l="1"/>
  <c r="A31" i="8"/>
  <c r="A13" i="8"/>
  <c r="B14" i="8"/>
  <c r="B33" i="8" l="1"/>
  <c r="A32" i="8"/>
  <c r="A14" i="8"/>
  <c r="B15" i="8"/>
  <c r="B34" i="8" l="1"/>
  <c r="A33" i="8"/>
  <c r="A15" i="8"/>
  <c r="B16" i="8"/>
  <c r="B35" i="8" l="1"/>
  <c r="A34" i="8"/>
  <c r="A16" i="8"/>
  <c r="B17" i="8"/>
  <c r="B36" i="8" l="1"/>
  <c r="A35" i="8"/>
  <c r="A17" i="8"/>
  <c r="B18" i="8"/>
  <c r="A18" i="8" l="1"/>
  <c r="B19" i="8"/>
  <c r="B37" i="8"/>
  <c r="A36" i="8"/>
  <c r="A19" i="8" l="1"/>
  <c r="B20" i="8"/>
  <c r="A20" i="8" s="1"/>
  <c r="A37" i="8"/>
  <c r="B38" i="8"/>
  <c r="B39" i="8" l="1"/>
  <c r="A38" i="8"/>
  <c r="B40" i="8" l="1"/>
  <c r="A39" i="8"/>
  <c r="B41" i="8" l="1"/>
  <c r="A40" i="8"/>
  <c r="B42" i="8" l="1"/>
  <c r="A41" i="8"/>
  <c r="B43" i="8" l="1"/>
  <c r="A42" i="8"/>
  <c r="B44" i="8" l="1"/>
  <c r="A43" i="8"/>
  <c r="A44" i="8" l="1"/>
  <c r="B45" i="8"/>
  <c r="A45" i="8" l="1"/>
  <c r="B46" i="8"/>
  <c r="A46" i="8" l="1"/>
  <c r="B47" i="8"/>
  <c r="B48" i="8" l="1"/>
  <c r="A47" i="8"/>
  <c r="B49" i="8" l="1"/>
  <c r="A48" i="8"/>
  <c r="A49" i="8" l="1"/>
  <c r="B50" i="8"/>
  <c r="B51" i="8" l="1"/>
  <c r="A50" i="8"/>
  <c r="A51" i="8" l="1"/>
  <c r="B52" i="8"/>
  <c r="A52" i="8" l="1"/>
  <c r="B53" i="8"/>
  <c r="A53" i="8" s="1"/>
</calcChain>
</file>

<file path=xl/sharedStrings.xml><?xml version="1.0" encoding="utf-8"?>
<sst xmlns="http://schemas.openxmlformats.org/spreadsheetml/2006/main" count="1199" uniqueCount="798">
  <si>
    <t>MILAGROS HUERTA GÓMEZ DE MERODIO</t>
  </si>
  <si>
    <t>Universidad de Cádiz</t>
  </si>
  <si>
    <t>LEER CON ATENCIÓN</t>
  </si>
  <si>
    <t>Mayúsculas</t>
  </si>
  <si>
    <t>Esta Aplicación ha sido desarrollada, en la primera versión, por:</t>
  </si>
  <si>
    <t>FastTest PlugIn - DataBase</t>
  </si>
  <si>
    <t>Preguntas</t>
  </si>
  <si>
    <t>Emparejar</t>
  </si>
  <si>
    <t>Respuesta Corta</t>
  </si>
  <si>
    <t>Palabra Perdida</t>
  </si>
  <si>
    <t>fasttestplugin@gmail.com</t>
  </si>
  <si>
    <t>INICIO</t>
  </si>
  <si>
    <t>ESPAÑOL</t>
  </si>
  <si>
    <t>S</t>
  </si>
  <si>
    <t>I</t>
  </si>
  <si>
    <t>F</t>
  </si>
  <si>
    <t>P</t>
  </si>
  <si>
    <t>E</t>
  </si>
  <si>
    <t>Z_</t>
  </si>
  <si>
    <t>ENGLISH</t>
  </si>
  <si>
    <t>FRANÇAIS</t>
  </si>
  <si>
    <t>PORTUGUÊS</t>
  </si>
  <si>
    <t>ITALIEN</t>
  </si>
  <si>
    <t>DEUTSCH</t>
  </si>
  <si>
    <t>D</t>
  </si>
  <si>
    <t>IN</t>
  </si>
  <si>
    <t>00</t>
  </si>
  <si>
    <t>HOME</t>
  </si>
  <si>
    <t>MAISON</t>
  </si>
  <si>
    <t>CASA</t>
  </si>
  <si>
    <t>ANFANG</t>
  </si>
  <si>
    <t xml:space="preserve"> </t>
  </si>
  <si>
    <t>01</t>
  </si>
  <si>
    <t>02</t>
  </si>
  <si>
    <t>NO FUNCIONA CON
VERSIONES DE EXCEL 
ANTERIORES A 2007
NI CON LA ÚLTIMA ACTUALIZACIÓN DE MAC</t>
  </si>
  <si>
    <t xml:space="preserve">DOES NOT WORK WITH
EXCEL VERSIONS
BEFORE 2007
NOT WITH THE LATEST MAC UPDATE </t>
  </si>
  <si>
    <t xml:space="preserve">NE FONCTIONNE PAS AVEC
VERSIONS EXCEL
AVANT 2007
PAS AVEC LA DERNIÈRE MISE À JOUR MAC </t>
  </si>
  <si>
    <t xml:space="preserve">NÃO FUNCIONA COM
VERSÕES EXCEL
ANTES DE 2007
NÃO COM A ÚLTIMA ATUALIZAÇÃO DO MAC </t>
  </si>
  <si>
    <t xml:space="preserve">NON FUNZIONA CON
VERSIONI EXCEL
PRIMA DEL 2007
NON CON L'ULTIMO AGGIORNAMENTO DEL MAC </t>
  </si>
  <si>
    <t>ARBEITET NICHT MIT
EXCEL-VERSIONEN
VOR 2007
NICHT MIT DEM NEUESTEN MAC-UPDATE</t>
  </si>
  <si>
    <t>03</t>
  </si>
  <si>
    <t>READ CAREFULLY</t>
  </si>
  <si>
    <t>LIRE ATTENTIVEMENT</t>
  </si>
  <si>
    <t>LEIA CUIDADOSAMENTE</t>
  </si>
  <si>
    <t>LEGGI ATTENTAMENTE</t>
  </si>
  <si>
    <t>GRÜNDLICH DURCHLESEN</t>
  </si>
  <si>
    <t>04</t>
  </si>
  <si>
    <t>This Application has been developed, in the first version, by:</t>
  </si>
  <si>
    <t>Cette application a été développée, dans la première version, par:</t>
  </si>
  <si>
    <t>Este Aplicativo foi desenvolvido, na primeira versão, por:</t>
  </si>
  <si>
    <t>Questa Applicazione è stata sviluppata, nella prima versione, da:</t>
  </si>
  <si>
    <t>Diese Anwendung wurde in der ersten Version entwickelt von:</t>
  </si>
  <si>
    <t>05</t>
  </si>
  <si>
    <t>Cadiz University</t>
  </si>
  <si>
    <t>Université de Cadix</t>
  </si>
  <si>
    <t>Universidade de Cádiz</t>
  </si>
  <si>
    <t>Università di Cadice</t>
  </si>
  <si>
    <t>Cadiz Universität</t>
  </si>
  <si>
    <t>06</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</si>
  <si>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t>
  </si>
  <si>
    <t>1. This application has been developed thanks to a Teaching Innovation Project approved by the Teaching Innovation Unit of the University of Cádiz.
2. The end user is the teacher who wants to use the QUESTIONNAIRES of the Moodle platform. It can also be used by anyone who wants to have their Question Banks stored in one place and in order.
3. The application serves to facilitate the creation of a BANK OF QUESTIONS for the questionnaires, the end user must check that the questions are imported correctly (at least the first times) as well as if they have filled in the data appropriately, as if was doing in Moodle.
Click on the TYPE OF QUESTION on which you want to CONSULT the stored questions.</t>
  </si>
  <si>
    <t>1. Cette application a été développée grâce à un projet d'innovation pédagogique approuvé par l'Unité d'innovation pédagogique de l'Université de Cadix.
2. L'utilisateur final est l'enseignant qui souhaite utiliser les QUESTIONNAIRES de la plateforme Moodle. Il peut également être utilisé par toute personne souhaitant conserver ses banques de questions au même endroit et dans le même ordre.
3. L'application sert à faciliter la création d'une BANQUE DE QUESTIONS pour les questionnaires, l'utilisateur final doit vérifier que les questions sont importées correctement (au moins les premières fois) ainsi que si elles ont correctement rempli les données, comme si faisait dans Moodle.
Cliquez sur le TYPE DE QUESTION sur lequel vous souhaitez CONSULTER les questions enregistrées.</t>
  </si>
  <si>
    <t>1. Esta aplicação foi desenvolvida graças a um Projeto de Inovação em Ensino aprovado pela Unidade de Inovação em Ensino da Universidade de Cádiz.
2. O usuário final é o professor que deseja utilizar os QUESTIONÁRIOS da plataforma Moodle. Também pode ser usado por qualquer pessoa que queira ter seus Bancos de Perguntas armazenados no mesmo lugar e na ordem.
3. O aplicativo serve para facilitar a criação de um BANCO DE PERGUNTAS para os questionários, o usuário final deve verificar se as questões foram importadas corretamente (pelo menos nas primeiras vezes) bem como se preencheram os dados corretamente, como se estava fazendo no Moodle.
Clique no TIPO DE PERGUNTA sobre a qual deseja CONSULTAR as questões armazenadas.</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</si>
  <si>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conservare le proprie Banche delle domande nello stesso luogo e in ordine.
3. L'applicazione serve per facilitare la creazione di una BANCA DELLE DOMANDE per i questionari, l'utente finale deve verificare che le domande siano importate correttamente (almeno le prime volte) nonché che abbiano compilato correttamente i dati, come se stava facendo in Moodle.
Clicca sul TIPO DI DOMANDA su cui vuoi CONSULTARE le domande memorizzate.</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</si>
  <si>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möchte, dass seine Fragenbanken am selben Ort und in der richtigen Reihenfolge gespeichert werden.
3. Die Anwendung dient dazu, die Erstellung einer BANK OF QUESTIONS für die Fragebögen zu erleichtern. Der Endbenutzer muss überprüfen, ob die Fragen korrekt importiert wurden (zumindest beim ersten Mal) und ob sie die Daten ordnungsgemäß ausgefüllt haben, als ob war in Moodle.
Klicken Sie auf die Art der Frage, auf der Sie die gespeicherten Fragen konsultieren möchten.</t>
  </si>
  <si>
    <t>07</t>
  </si>
  <si>
    <t>08</t>
  </si>
  <si>
    <t xml:space="preserve">Opción Múltiple 1R </t>
  </si>
  <si>
    <t>Choix Multiple 1R</t>
  </si>
  <si>
    <t>Múltipla Escolha 1R</t>
  </si>
  <si>
    <t>09</t>
  </si>
  <si>
    <t>10</t>
  </si>
  <si>
    <t>11</t>
  </si>
  <si>
    <t>Jogo</t>
  </si>
  <si>
    <t>12</t>
  </si>
  <si>
    <t>Short Answer</t>
  </si>
  <si>
    <t>13</t>
  </si>
  <si>
    <t>Missing Word</t>
  </si>
  <si>
    <t>14</t>
  </si>
  <si>
    <t>Cloze</t>
  </si>
  <si>
    <t>Lückentext</t>
  </si>
  <si>
    <t>15</t>
  </si>
  <si>
    <t>Questions</t>
  </si>
  <si>
    <t>Perguntas</t>
  </si>
  <si>
    <t>Domande</t>
  </si>
  <si>
    <t>Fragen</t>
  </si>
  <si>
    <t>BP</t>
  </si>
  <si>
    <t>Banco de preguntas</t>
  </si>
  <si>
    <t>Question database</t>
  </si>
  <si>
    <t>Banque de questions</t>
  </si>
  <si>
    <t>Banco de questões</t>
  </si>
  <si>
    <t>Banca delle domande</t>
  </si>
  <si>
    <t>Fragenbank</t>
  </si>
  <si>
    <t>Preguntas Almacenadas</t>
  </si>
  <si>
    <t>Saved Questions</t>
  </si>
  <si>
    <t>Questions Eenregistrées</t>
  </si>
  <si>
    <t>Perguntas Armazenadas</t>
  </si>
  <si>
    <t>Domande Memorizzate</t>
  </si>
  <si>
    <t>Gespeicherte Fragen</t>
  </si>
  <si>
    <t>Enunciado de la pregunta</t>
  </si>
  <si>
    <t>Question statement</t>
  </si>
  <si>
    <t>Énoncé de question</t>
  </si>
  <si>
    <t>Declaração de pregunta</t>
  </si>
  <si>
    <t>Dichiarazione di domanda</t>
  </si>
  <si>
    <t>Fragestellung</t>
  </si>
  <si>
    <t>Descripción</t>
  </si>
  <si>
    <t>Description</t>
  </si>
  <si>
    <t>Descrição</t>
  </si>
  <si>
    <t>Descrizione</t>
  </si>
  <si>
    <t>Beschreibung</t>
  </si>
  <si>
    <t>Respuesta Correcta</t>
  </si>
  <si>
    <t>Right Answer</t>
  </si>
  <si>
    <t>Bonne Réponse</t>
  </si>
  <si>
    <t>Resposta Correta</t>
  </si>
  <si>
    <t>Risposta Corretta</t>
  </si>
  <si>
    <t>Richtige Antwort</t>
  </si>
  <si>
    <t>Respuesta Incorrecta</t>
  </si>
  <si>
    <t>Wrong Answer</t>
  </si>
  <si>
    <t>Mauvaise Réponse</t>
  </si>
  <si>
    <t>Resposta Incorreta</t>
  </si>
  <si>
    <t>Risposta Sbagliata</t>
  </si>
  <si>
    <t>Falsche Antwort</t>
  </si>
  <si>
    <t>Retroalim.</t>
  </si>
  <si>
    <t>Feedback</t>
  </si>
  <si>
    <t>Retour d'inform.</t>
  </si>
  <si>
    <t>Comentários</t>
  </si>
  <si>
    <t>Risposta</t>
  </si>
  <si>
    <t>Pista</t>
  </si>
  <si>
    <t>Hint</t>
  </si>
  <si>
    <t>Indice</t>
  </si>
  <si>
    <t>Dica</t>
  </si>
  <si>
    <t>Traccia</t>
  </si>
  <si>
    <t>Hinweis</t>
  </si>
  <si>
    <t>Puntos</t>
  </si>
  <si>
    <t>Points</t>
  </si>
  <si>
    <t>Pontos</t>
  </si>
  <si>
    <t>Punti</t>
  </si>
  <si>
    <t>Punkte</t>
  </si>
  <si>
    <t>OM 1R</t>
  </si>
  <si>
    <t>CM 1R</t>
  </si>
  <si>
    <t>ME 1R</t>
  </si>
  <si>
    <t>SM 1R</t>
  </si>
  <si>
    <t>MC 1R</t>
  </si>
  <si>
    <t>VF</t>
  </si>
  <si>
    <t>TF</t>
  </si>
  <si>
    <t>WF</t>
  </si>
  <si>
    <t>EM</t>
  </si>
  <si>
    <t>MA</t>
  </si>
  <si>
    <t>CO</t>
  </si>
  <si>
    <t>JO</t>
  </si>
  <si>
    <t>SP</t>
  </si>
  <si>
    <t>RC</t>
  </si>
  <si>
    <t>SA</t>
  </si>
  <si>
    <t>RB</t>
  </si>
  <si>
    <t>KA</t>
  </si>
  <si>
    <t>PP</t>
  </si>
  <si>
    <t>MW</t>
  </si>
  <si>
    <t>MP</t>
  </si>
  <si>
    <t>VW</t>
  </si>
  <si>
    <t>16</t>
  </si>
  <si>
    <t>CL</t>
  </si>
  <si>
    <t>17</t>
  </si>
  <si>
    <t xml:space="preserve">Pareja </t>
  </si>
  <si>
    <t xml:space="preserve">Pair </t>
  </si>
  <si>
    <t>Coupler</t>
  </si>
  <si>
    <t>Casal</t>
  </si>
  <si>
    <t>Coppia</t>
  </si>
  <si>
    <t>Partner</t>
  </si>
  <si>
    <t>18</t>
  </si>
  <si>
    <t>Capitalization</t>
  </si>
  <si>
    <t>Majuscules</t>
  </si>
  <si>
    <t>Maiúsculas</t>
  </si>
  <si>
    <t>Maiuscola</t>
  </si>
  <si>
    <t>Großbuchstaben</t>
  </si>
  <si>
    <t>19</t>
  </si>
  <si>
    <t>Respuesta</t>
  </si>
  <si>
    <t>Answer</t>
  </si>
  <si>
    <t>Répondre</t>
  </si>
  <si>
    <t>Responda</t>
  </si>
  <si>
    <t>Antworten</t>
  </si>
  <si>
    <t>20</t>
  </si>
  <si>
    <t xml:space="preserve">Palabra </t>
  </si>
  <si>
    <t xml:space="preserve">Word </t>
  </si>
  <si>
    <t>Mot</t>
  </si>
  <si>
    <t>Palavra</t>
  </si>
  <si>
    <t>parola</t>
  </si>
  <si>
    <t>Wort</t>
  </si>
  <si>
    <t>21</t>
  </si>
  <si>
    <t>VERDADERO</t>
  </si>
  <si>
    <t>TRUE</t>
  </si>
  <si>
    <t>VRAI</t>
  </si>
  <si>
    <t>VERDADEIRO</t>
  </si>
  <si>
    <t>VERO</t>
  </si>
  <si>
    <t>WAHR</t>
  </si>
  <si>
    <t>22</t>
  </si>
  <si>
    <t>FALSO</t>
  </si>
  <si>
    <t>FALSE</t>
  </si>
  <si>
    <t>FAUX</t>
  </si>
  <si>
    <t>FALSCH</t>
  </si>
  <si>
    <t>23</t>
  </si>
  <si>
    <t xml:space="preserve">Grupo </t>
  </si>
  <si>
    <t xml:space="preserve">Group </t>
  </si>
  <si>
    <t>Grouper</t>
  </si>
  <si>
    <t>Grupo</t>
  </si>
  <si>
    <t>Gruppo</t>
  </si>
  <si>
    <t>Gruppe</t>
  </si>
  <si>
    <t>Ensayo</t>
  </si>
  <si>
    <t>Essay</t>
  </si>
  <si>
    <t>Composition</t>
  </si>
  <si>
    <t>Ensaios</t>
  </si>
  <si>
    <t>Componimento</t>
  </si>
  <si>
    <t>EN</t>
  </si>
  <si>
    <t>Formato de la Respuesta</t>
  </si>
  <si>
    <t>Response format</t>
  </si>
  <si>
    <t>Format de réponse</t>
  </si>
  <si>
    <t>Formato de resposta</t>
  </si>
  <si>
    <t>Formato della risposta</t>
  </si>
  <si>
    <t>Antwortformat</t>
  </si>
  <si>
    <t>Requerir texto</t>
  </si>
  <si>
    <t>Require text</t>
  </si>
  <si>
    <t>Exiger du texte</t>
  </si>
  <si>
    <t>Requer texto</t>
  </si>
  <si>
    <t>Richiedi testo</t>
  </si>
  <si>
    <t>Text erforderlich</t>
  </si>
  <si>
    <t>Tamaño de la caja de entrada</t>
  </si>
  <si>
    <t>Input box size</t>
  </si>
  <si>
    <t>Taille de la boîte de saisie</t>
  </si>
  <si>
    <t>Tamanho da caixa de entrada</t>
  </si>
  <si>
    <t>Dimensioni della casella di input</t>
  </si>
  <si>
    <t>Eingabefeldgröße</t>
  </si>
  <si>
    <t>Permitir archivos adjuntos</t>
  </si>
  <si>
    <t>Allow attachments</t>
  </si>
  <si>
    <t>Autoriser les pièces jointes</t>
  </si>
  <si>
    <t>Permitir anexos</t>
  </si>
  <si>
    <t>Consenti allegati</t>
  </si>
  <si>
    <t>Anhänge zulassen</t>
  </si>
  <si>
    <t>Archivos adjuntos requeridos</t>
  </si>
  <si>
    <t>Require attachments</t>
  </si>
  <si>
    <t>Exiger des pièces jointes</t>
  </si>
  <si>
    <t>Requer anexos</t>
  </si>
  <si>
    <t>Richiedi allegati</t>
  </si>
  <si>
    <t>Anhänge erforderlich</t>
  </si>
  <si>
    <t>Plantilla de Respuesta</t>
  </si>
  <si>
    <t>Response template</t>
  </si>
  <si>
    <t>Modèle de réponse</t>
  </si>
  <si>
    <t>Modelo de resposta</t>
  </si>
  <si>
    <t>Modello di risposta</t>
  </si>
  <si>
    <t>Antwortvorlage</t>
  </si>
  <si>
    <t>Información para el evaluador</t>
  </si>
  <si>
    <t>Information for graders</t>
  </si>
  <si>
    <t>Informations pour les niveleuses</t>
  </si>
  <si>
    <t>Informações para classificadores</t>
  </si>
  <si>
    <t>Informazioni per i selezionatori</t>
  </si>
  <si>
    <t>Informationen für Grader</t>
  </si>
  <si>
    <t>24</t>
  </si>
  <si>
    <t>25</t>
  </si>
  <si>
    <t>26</t>
  </si>
  <si>
    <t>27</t>
  </si>
  <si>
    <t>28</t>
  </si>
  <si>
    <t>29</t>
  </si>
  <si>
    <t>30</t>
  </si>
  <si>
    <t>31</t>
  </si>
  <si>
    <t>ES</t>
  </si>
  <si>
    <t>CM</t>
  </si>
  <si>
    <t>FR</t>
  </si>
  <si>
    <t>Réponse Courte</t>
  </si>
  <si>
    <t>Resposta Curta</t>
  </si>
  <si>
    <t>Risposta Breve</t>
  </si>
  <si>
    <t>Palavra Perdida</t>
  </si>
  <si>
    <t>Ancho RC</t>
  </si>
  <si>
    <t>Width SA</t>
  </si>
  <si>
    <t>Largeur RC</t>
  </si>
  <si>
    <t>Largura RC</t>
  </si>
  <si>
    <t>Larghezza RB</t>
  </si>
  <si>
    <t>Breite KA</t>
  </si>
  <si>
    <t>Pista 1</t>
  </si>
  <si>
    <t>Pista 2</t>
  </si>
  <si>
    <t>Pista 3</t>
  </si>
  <si>
    <t>Pista 4</t>
  </si>
  <si>
    <t>Imagen</t>
  </si>
  <si>
    <t>Respuesta 1</t>
  </si>
  <si>
    <t>Respuesta 2</t>
  </si>
  <si>
    <t>Respuesta 3</t>
  </si>
  <si>
    <t>Respuesta 4</t>
  </si>
  <si>
    <t>Respuesta 5</t>
  </si>
  <si>
    <t>Respuesta 6</t>
  </si>
  <si>
    <t>Retroalim. 1</t>
  </si>
  <si>
    <t>Retroalim. 2</t>
  </si>
  <si>
    <t>Retroalim. 3</t>
  </si>
  <si>
    <t>Retroalim. 4</t>
  </si>
  <si>
    <t>Retroalim. 5</t>
  </si>
  <si>
    <t>Retroalim. 6</t>
  </si>
  <si>
    <t>Puntos 1</t>
  </si>
  <si>
    <t>Puntos 2</t>
  </si>
  <si>
    <t>Puntos 3</t>
  </si>
  <si>
    <t>Puntos 4</t>
  </si>
  <si>
    <t>Puntos 5</t>
  </si>
  <si>
    <t>Puntos 6</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</si>
  <si>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</si>
  <si>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</si>
  <si>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</si>
  <si>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</si>
  <si>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</si>
  <si>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</si>
  <si>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</si>
  <si>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</si>
  <si>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</si>
  <si>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</si>
  <si>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</si>
  <si>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</si>
  <si>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</si>
  <si>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</si>
  <si>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</si>
  <si>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</si>
  <si>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</si>
  <si>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</si>
  <si>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</si>
  <si>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</si>
  <si>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</si>
  <si>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</si>
  <si>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</si>
  <si>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</si>
  <si>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</si>
  <si>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</si>
  <si>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</si>
  <si>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</si>
  <si>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</si>
  <si>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</si>
  <si>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</si>
  <si>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</si>
  <si>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</si>
  <si>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</si>
  <si>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</si>
  <si>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</si>
  <si>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</si>
  <si>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</si>
  <si>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</si>
  <si>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</si>
  <si>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</si>
  <si>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</si>
  <si>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</si>
  <si>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</si>
  <si>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</si>
  <si>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</si>
  <si>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</si>
  <si>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</si>
  <si>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12.14</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</si>
  <si>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</si>
  <si>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</si>
  <si>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</si>
  <si>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</si>
  <si>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</si>
  <si>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</si>
  <si>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</si>
  <si>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</si>
  <si>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</si>
  <si>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</si>
  <si>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</si>
  <si>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</si>
  <si>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</si>
  <si>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</si>
  <si>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05</t>
  </si>
  <si>
    <t>Respuesta 06</t>
  </si>
  <si>
    <t>Puntos 06</t>
  </si>
  <si>
    <t>Retroalim. 06</t>
  </si>
  <si>
    <t>Respuesta 07</t>
  </si>
  <si>
    <t>Puntos 07</t>
  </si>
  <si>
    <t>Retroalim. 07</t>
  </si>
  <si>
    <t>Respuesta 08</t>
  </si>
  <si>
    <t>Puntos 08</t>
  </si>
  <si>
    <t>Retroalim. 08</t>
  </si>
  <si>
    <t>Puntos 7</t>
  </si>
  <si>
    <t>Puntos 8</t>
  </si>
  <si>
    <t>Puntos 9</t>
  </si>
  <si>
    <t>Puntos 10</t>
  </si>
  <si>
    <t>Puntos 11</t>
  </si>
  <si>
    <t>Puntos 12</t>
  </si>
  <si>
    <t>FastTest PlugIn - ENSAYO
Enunciado de la pregunta</t>
  </si>
  <si>
    <t>Formato de la Respuesta
Requerir texto</t>
  </si>
  <si>
    <t>C1</t>
  </si>
  <si>
    <t>C2</t>
  </si>
  <si>
    <t>Esta HOJA sirve para almacenar las preguntas y poder reutilizarlas cuando sea necesario, sin tener que volver a escribirlas para un nuevo BANCO DE PREGUNTAS.</t>
  </si>
  <si>
    <t>This SHEET is used to store the questions and to be able to reuse them when necessary, without having to retype them for a new BANK OF QUESTIONS.</t>
  </si>
  <si>
    <t>Cette FEUILLE permet de stocker les questions et de pouvoir les réutiliser si nécessaire, sans avoir à les retaper pour une nouvelle BANQUE DE QUESTIONS.</t>
  </si>
  <si>
    <t>Esta FOLHA serve para armazenar as questões e poder reutilizá-las quando necessário, sem ter que redigitá-las para um novo BANCO DE PERGUNTAS.</t>
  </si>
  <si>
    <t>Questo FOGLIO viene utilizzato per memorizzare le domande e per poterle riutilizzare quando necessario, senza doverle riscrivere per una nuova BANCA DELLE DOMANDE.</t>
  </si>
  <si>
    <t>Dieses BLATT wird verwendet, um die Fragen zu speichern und sie bei Bedarf wiederzuverwenden, ohne sie für eine neue BANK OF QUESTIONS erneut eingeben zu müssen.</t>
  </si>
  <si>
    <t xml:space="preserve"> IDIOMA
 LANGUAGE
 LANGUE
 IDIOMA
 LINGUA
 SPRACHE</t>
  </si>
  <si>
    <t>O</t>
  </si>
  <si>
    <t>NOMBRE</t>
  </si>
  <si>
    <t>SIGLA</t>
  </si>
  <si>
    <t>DICCIONARIO</t>
  </si>
  <si>
    <t>DICTIONARY</t>
  </si>
  <si>
    <t>PERSONALIZAR DICCIONARIO</t>
  </si>
  <si>
    <t>CUSTOM DICTIONARY</t>
  </si>
  <si>
    <t>DICTIONAIRE PERSONNALISÉ</t>
  </si>
  <si>
    <t>DICIONÁRIO PERSONALIZADO</t>
  </si>
  <si>
    <t>DIZIONARIO PERSONALIZZATO</t>
  </si>
  <si>
    <t>PERSOENLICHES WOERTERBUCH</t>
  </si>
  <si>
    <t>DICTIONAIRE</t>
  </si>
  <si>
    <t>DICIONÁRIO</t>
  </si>
  <si>
    <t>DIZIONARIO</t>
  </si>
  <si>
    <t>WOERTERBUCH</t>
  </si>
  <si>
    <t>CANAL YOUTUBE</t>
  </si>
  <si>
    <t>YOUTUBE CHANNEL</t>
  </si>
  <si>
    <t>CHAÎNE YOUTUBE</t>
  </si>
  <si>
    <t>CANAL DO YOUTUBE</t>
  </si>
  <si>
    <t>CANALE YOUTUBE</t>
  </si>
  <si>
    <t>YOUTUBE KANAL</t>
  </si>
  <si>
    <t>NRC</t>
  </si>
  <si>
    <t>NRI</t>
  </si>
  <si>
    <t>Descripcion</t>
  </si>
  <si>
    <t>Enunciado</t>
  </si>
  <si>
    <t>May</t>
  </si>
  <si>
    <t>NR</t>
  </si>
  <si>
    <t>GP 01</t>
  </si>
  <si>
    <t>P 01</t>
  </si>
  <si>
    <t>GP 02</t>
  </si>
  <si>
    <t>P 02</t>
  </si>
  <si>
    <t>GP 03</t>
  </si>
  <si>
    <t>P 03</t>
  </si>
  <si>
    <t>GP 04</t>
  </si>
  <si>
    <t>P 04</t>
  </si>
  <si>
    <t>GP 05</t>
  </si>
  <si>
    <t>P 06</t>
  </si>
  <si>
    <t>P 05</t>
  </si>
  <si>
    <t>GP 06</t>
  </si>
  <si>
    <t>GP 07</t>
  </si>
  <si>
    <t>P 07</t>
  </si>
  <si>
    <t>GP 08</t>
  </si>
  <si>
    <t>P 08</t>
  </si>
  <si>
    <t>GP 09</t>
  </si>
  <si>
    <t>P 09</t>
  </si>
  <si>
    <t>GP 10</t>
  </si>
  <si>
    <t>P 10</t>
  </si>
  <si>
    <t>GP 11</t>
  </si>
  <si>
    <t>P 11</t>
  </si>
  <si>
    <t>GP 12</t>
  </si>
  <si>
    <t>P 12</t>
  </si>
  <si>
    <t>MENSAJES MACROS</t>
  </si>
  <si>
    <t>MACROS MESSAGES</t>
  </si>
  <si>
    <t>MAKROS-NACHRICHTEN</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</si>
  <si>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</si>
  <si>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</si>
  <si>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</si>
  <si>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</si>
  <si>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</si>
  <si>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</si>
  <si>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TX</t>
  </si>
  <si>
    <t>Multiple Choice 1A</t>
  </si>
  <si>
    <t>Risposta Multipla 1R</t>
  </si>
  <si>
    <t xml:space="preserve">Opción Múltiple +R </t>
  </si>
  <si>
    <t>Multiple Choice +A</t>
  </si>
  <si>
    <t>Choix Multiple +R</t>
  </si>
  <si>
    <t>Múltipla Escolha +R</t>
  </si>
  <si>
    <t>Risposta Multipla +R</t>
  </si>
  <si>
    <t>Multiple Choice +R</t>
  </si>
  <si>
    <t>Verdadero/Falso</t>
  </si>
  <si>
    <t>True/False</t>
  </si>
  <si>
    <t>Vrai/Faux</t>
  </si>
  <si>
    <t>Verdadeiro/Falso</t>
  </si>
  <si>
    <t>Vero/Falso</t>
  </si>
  <si>
    <t>Wahr/Falsch</t>
  </si>
  <si>
    <t>Matching</t>
  </si>
  <si>
    <t>Appariement</t>
  </si>
  <si>
    <t>Corrispondenza</t>
  </si>
  <si>
    <t>Zuordnung</t>
  </si>
  <si>
    <t xml:space="preserve"> Kurzantwort</t>
  </si>
  <si>
    <t>Mots Manquants</t>
  </si>
  <si>
    <t>Parole Mancanti</t>
  </si>
  <si>
    <t>Lückentextauswahl</t>
  </si>
  <si>
    <t>Freitext</t>
  </si>
  <si>
    <t>MC 1A</t>
  </si>
  <si>
    <t>CM +R</t>
  </si>
  <si>
    <t>ME +R</t>
  </si>
  <si>
    <t>SM +R</t>
  </si>
  <si>
    <t>MC +R</t>
  </si>
  <si>
    <t>MC +A</t>
  </si>
  <si>
    <t>OM +R</t>
  </si>
  <si>
    <t>N Sub</t>
  </si>
  <si>
    <t>Nivel</t>
  </si>
  <si>
    <t>Nombre</t>
  </si>
  <si>
    <t>On Action</t>
  </si>
  <si>
    <t>Face Id</t>
  </si>
  <si>
    <t>Begin Group</t>
  </si>
  <si>
    <t>N/A</t>
  </si>
  <si>
    <t>HOJAS NO MUESTRA</t>
  </si>
  <si>
    <t>Nivel &amp; Incluir</t>
  </si>
  <si>
    <t>False</t>
  </si>
  <si>
    <t>Graba_Archivo</t>
  </si>
  <si>
    <t>True</t>
  </si>
  <si>
    <t>Z_TX_92_1_</t>
  </si>
  <si>
    <t>Z_TX_92_2_</t>
  </si>
  <si>
    <t>Guardar_Cierra_Archivo</t>
  </si>
  <si>
    <t>Z_TX_92_3_</t>
  </si>
  <si>
    <t>CambiarCtrl_X_Ctrl_C</t>
  </si>
  <si>
    <t>Z_TX_92_5_</t>
  </si>
  <si>
    <t>Cambiar_Ctrl_V</t>
  </si>
  <si>
    <t>Z_TX_92_6_</t>
  </si>
  <si>
    <t>Ir_INICIO</t>
  </si>
  <si>
    <t>Z_TX_92_7_</t>
  </si>
  <si>
    <t>Z_IN_00_</t>
  </si>
  <si>
    <t>IR_DICCIONARIO</t>
  </si>
  <si>
    <t>Z_IN_10_</t>
  </si>
  <si>
    <t>Z_TX_92_8_</t>
  </si>
  <si>
    <t>Z_IN_09_</t>
  </si>
  <si>
    <t>92_1</t>
  </si>
  <si>
    <t>MENÚ GENERAL</t>
  </si>
  <si>
    <t>GENERAL MENU</t>
  </si>
  <si>
    <t>MENU GÉNÉRAL</t>
  </si>
  <si>
    <t>MENU GERAL</t>
  </si>
  <si>
    <t>MEN GENERALE</t>
  </si>
  <si>
    <t>ALLGEMEINES MENÜ</t>
  </si>
  <si>
    <t>92_2</t>
  </si>
  <si>
    <t xml:space="preserve">GUARDAR </t>
  </si>
  <si>
    <t>SAVE</t>
  </si>
  <si>
    <t>SAUVEGARDER</t>
  </si>
  <si>
    <t>SALVE</t>
  </si>
  <si>
    <t>SALVA</t>
  </si>
  <si>
    <t>SPEICHERN</t>
  </si>
  <si>
    <t>92_3</t>
  </si>
  <si>
    <t>CERRAR</t>
  </si>
  <si>
    <t>CLOSE</t>
  </si>
  <si>
    <t>FERMER</t>
  </si>
  <si>
    <t>FECHAR</t>
  </si>
  <si>
    <t>CHIUDERE</t>
  </si>
  <si>
    <t>SCHLIESSEN</t>
  </si>
  <si>
    <t>92_4</t>
  </si>
  <si>
    <t>AYUDA</t>
  </si>
  <si>
    <t>HELP</t>
  </si>
  <si>
    <t>AIDER</t>
  </si>
  <si>
    <t>AJUDA</t>
  </si>
  <si>
    <t>AIUTO</t>
  </si>
  <si>
    <t>HILFE</t>
  </si>
  <si>
    <t>92_5</t>
  </si>
  <si>
    <t>COPIAR</t>
  </si>
  <si>
    <t>COPY</t>
  </si>
  <si>
    <t>COPIER</t>
  </si>
  <si>
    <t>CÓPIA DE</t>
  </si>
  <si>
    <t>COPIA</t>
  </si>
  <si>
    <t>KOPIEREN</t>
  </si>
  <si>
    <t>92_6</t>
  </si>
  <si>
    <t>PEGAR</t>
  </si>
  <si>
    <t>PASTE</t>
  </si>
  <si>
    <t>PÂTE</t>
  </si>
  <si>
    <t>COLAR</t>
  </si>
  <si>
    <t>IMPASTO</t>
  </si>
  <si>
    <t>EINFÜGEN</t>
  </si>
  <si>
    <t>92_7</t>
  </si>
  <si>
    <t>IR A…</t>
  </si>
  <si>
    <t>GO TO …</t>
  </si>
  <si>
    <t>ALLER À…</t>
  </si>
  <si>
    <t>VAMOS PARA…</t>
  </si>
  <si>
    <t>VAI A…</t>
  </si>
  <si>
    <t>GEHE ZU…</t>
  </si>
  <si>
    <t>92_8</t>
  </si>
  <si>
    <t>92_9</t>
  </si>
  <si>
    <t>LINK DICCIONARIO</t>
  </si>
  <si>
    <t>LINK DICTIONARY</t>
  </si>
  <si>
    <t>LINK DICTIONAIRE</t>
  </si>
  <si>
    <t>LINK DICIONÁRIO</t>
  </si>
  <si>
    <t>LINK DIZIONARIO</t>
  </si>
  <si>
    <t>LINK WOERTERBUCH</t>
  </si>
  <si>
    <t>Z_IN_08_</t>
  </si>
  <si>
    <t>Z_IN_11_</t>
  </si>
  <si>
    <t>Z_IN_12_</t>
  </si>
  <si>
    <t>Z_IN_13_</t>
  </si>
  <si>
    <t>Z_IN_14_</t>
  </si>
  <si>
    <t>Z_IN_16_</t>
  </si>
  <si>
    <t>Z_BP_02_</t>
  </si>
  <si>
    <t>IR_OM</t>
  </si>
  <si>
    <t>IR_O2</t>
  </si>
  <si>
    <t>IR_VF</t>
  </si>
  <si>
    <t>IR_RC</t>
  </si>
  <si>
    <t>IR_PP</t>
  </si>
  <si>
    <t>IR_EN</t>
  </si>
  <si>
    <t>IR_CL</t>
  </si>
  <si>
    <t>Enlace_DICCIONARIO</t>
  </si>
  <si>
    <t>Datos OM</t>
  </si>
  <si>
    <t>Datos O2</t>
  </si>
  <si>
    <t>Datos VF</t>
  </si>
  <si>
    <t>Datos EM</t>
  </si>
  <si>
    <t>Datos RC</t>
  </si>
  <si>
    <t>Datos PP</t>
  </si>
  <si>
    <t>Datos EN</t>
  </si>
  <si>
    <t>Datos CL</t>
  </si>
  <si>
    <t xml:space="preserve">INICIO,Datos OM,Datos O2,Datos VF,Datos EM,Datos PP,Datos RC,Datos EN,Datos CL, </t>
  </si>
  <si>
    <t>IR_E</t>
  </si>
  <si>
    <t>CommandBars</t>
  </si>
  <si>
    <t>Cambio</t>
  </si>
  <si>
    <t>Activa/Des</t>
  </si>
  <si>
    <t>Cell</t>
  </si>
  <si>
    <t>Para cada celda</t>
  </si>
  <si>
    <t>Column</t>
  </si>
  <si>
    <t>Para cada Columna</t>
  </si>
  <si>
    <t>Row</t>
  </si>
  <si>
    <t>Para cada Fila</t>
  </si>
  <si>
    <t>Ply</t>
  </si>
  <si>
    <t>Para cada Pestaña</t>
  </si>
  <si>
    <t>Sheet</t>
  </si>
  <si>
    <t>Para cada Hoja</t>
  </si>
  <si>
    <t>Worksheet Menu Bar</t>
  </si>
  <si>
    <t>Para cada Barra Menú</t>
  </si>
  <si>
    <t>Nivel 1</t>
  </si>
  <si>
    <t>Nivel 2</t>
  </si>
  <si>
    <t>Teclas</t>
  </si>
  <si>
    <t>Num N/A</t>
  </si>
  <si>
    <t>[Teclas]</t>
  </si>
  <si>
    <t>%{F4}</t>
  </si>
  <si>
    <t>^+{h}</t>
  </si>
  <si>
    <t>Alt+</t>
  </si>
  <si>
    <t>Ctrl+</t>
  </si>
  <si>
    <t>^{g}</t>
  </si>
  <si>
    <t>^{c}</t>
  </si>
  <si>
    <t>^{v}</t>
  </si>
  <si>
    <t>^+{d}</t>
  </si>
  <si>
    <t>^+{l}</t>
  </si>
  <si>
    <t>Muestra cuadro diálogo MACRO</t>
  </si>
  <si>
    <t>%{F8}</t>
  </si>
  <si>
    <t>Muestra cuadro panel seleccionar OBJETOS</t>
  </si>
  <si>
    <t>%{F10}</t>
  </si>
  <si>
    <t>Activa la barra de Menú</t>
  </si>
  <si>
    <t>{F10}</t>
  </si>
  <si>
    <t>Muestra menú desplegable Click Derecho</t>
  </si>
  <si>
    <t>+{F10}</t>
  </si>
  <si>
    <t>Abre editor VBA</t>
  </si>
  <si>
    <t>%{F11}</t>
  </si>
  <si>
    <t>Inserta hoja de Macros EXCEL</t>
  </si>
  <si>
    <t>^{F11}</t>
  </si>
  <si>
    <t>Muestra cuadro diálogo IMPRIMIR</t>
  </si>
  <si>
    <t>^+{F12}</t>
  </si>
  <si>
    <t>^{x}</t>
  </si>
  <si>
    <t>Escape</t>
  </si>
  <si>
    <t>{Esc}</t>
  </si>
  <si>
    <t>Inserta un gráfico en la hoja actual</t>
  </si>
  <si>
    <t>%{F1}</t>
  </si>
  <si>
    <t>FIN / END</t>
  </si>
  <si>
    <t>^+{1}</t>
  </si>
  <si>
    <t>^+{2}</t>
  </si>
  <si>
    <t>^+{3}</t>
  </si>
  <si>
    <t>^+{4}</t>
  </si>
  <si>
    <t>^+{5}</t>
  </si>
  <si>
    <t>^+{6}</t>
  </si>
  <si>
    <t>^+{7}</t>
  </si>
  <si>
    <t>^+{8}</t>
  </si>
  <si>
    <t>^+{F10}</t>
  </si>
  <si>
    <t>MENU EXCEL</t>
  </si>
  <si>
    <t>EXCEL MENU</t>
  </si>
  <si>
    <t>MENÜ EXCEL</t>
  </si>
  <si>
    <t>Z_TX_92_9_</t>
  </si>
  <si>
    <t>^{s}</t>
  </si>
  <si>
    <t xml:space="preserve">INICIO,DICCIONARIO,Datos OM,Datos O2,Datos VF,Datos EM,Datos PP,Datos RC,Datos EN,Datos CL, </t>
  </si>
  <si>
    <t>Activa_Menu_EXCEL_DB</t>
  </si>
  <si>
    <t>V - 6.0  - 30/12/2021</t>
  </si>
  <si>
    <t>FastTest PlugIn - DataBase.xlsm</t>
  </si>
  <si>
    <t>92_10</t>
  </si>
  <si>
    <t>¿Desea guardar los cambios?</t>
  </si>
  <si>
    <t>Do you want to save your changes?</t>
  </si>
  <si>
    <t>Voulez-vous enregistrer vos modifications?</t>
  </si>
  <si>
    <t>Quer salvar suas mudanças?</t>
  </si>
  <si>
    <t>Vuoi salvare le modifiche?</t>
  </si>
  <si>
    <t>Möchten Sie Ihre Änderungen speichern?</t>
  </si>
  <si>
    <t>Atención a la lectura</t>
  </si>
  <si>
    <t>¿De qué color es el caballo BLANCO de Santiago?</t>
  </si>
  <si>
    <t>Blanco</t>
  </si>
  <si>
    <t>Negro</t>
  </si>
  <si>
    <t>Marrón</t>
  </si>
  <si>
    <t>Gris</t>
  </si>
  <si>
    <t>Beige</t>
  </si>
  <si>
    <t>Pardo</t>
  </si>
  <si>
    <t>Muy bien, veo que has leído bien la pregunta</t>
  </si>
  <si>
    <t>Debes prestar atención a lo que lees 1.</t>
  </si>
  <si>
    <t>Debes prestar atención a lo que lees 2.</t>
  </si>
  <si>
    <t>Debes prestar atención a lo que lees 3.</t>
  </si>
  <si>
    <t>Debes prestar atención a lo que lees 4.</t>
  </si>
  <si>
    <t>Debes prestar atención a lo que lees 5.</t>
  </si>
  <si>
    <t>UNIDADES</t>
  </si>
  <si>
    <t>¿En qué unidades se mide la longitud?&lt;/p&gt;Lee bien la pregunta.</t>
  </si>
  <si>
    <t>m</t>
  </si>
  <si>
    <t>m^{^2^}^</t>
  </si>
  <si>
    <t>m^{^3^}^</t>
  </si>
  <si>
    <t>m^{^4^}^</t>
  </si>
  <si>
    <t>m_{_2_}_</t>
  </si>
  <si>
    <t>m_{_3_}_</t>
  </si>
  <si>
    <t>MATEMÁTICAS</t>
  </si>
  <si>
    <t>¿Cuál es la derivada de la siguiente función? \(\frac{\sin(x)}{x-1}\)</t>
  </si>
  <si>
    <t>\(\frac{\cos(x)}{x-1}-\frac{\sin(x)}{(x-1)^2}\)</t>
  </si>
  <si>
    <t>\(\frac{\cos^2(x)}{x-1}\)</t>
  </si>
  <si>
    <t>\(-\frac{\cos^2(x)}{x-1}\)</t>
  </si>
  <si>
    <t>BLANCO</t>
  </si>
  <si>
    <t>blanco</t>
  </si>
  <si>
    <t>mm</t>
  </si>
  <si>
    <t>mm^{^2^}^</t>
  </si>
  <si>
    <t>mm^{^3^}^</t>
  </si>
  <si>
    <t>El caballo Blanco de Santiago es BLANCO</t>
  </si>
  <si>
    <t>Muy bien.</t>
  </si>
  <si>
    <t>Lee mejor la pregunta.</t>
  </si>
  <si>
    <t>Lectura</t>
  </si>
  <si>
    <t>El caballo NEGRO de Santiago es Blanco</t>
  </si>
  <si>
    <t>Muy bien, veo que has leído la pregunta</t>
  </si>
  <si>
    <t>Lee bien la pregunta</t>
  </si>
  <si>
    <t>Conocimientos</t>
  </si>
  <si>
    <t>Relacione los nombres.</t>
  </si>
  <si>
    <t>Mesa</t>
  </si>
  <si>
    <t>Silla</t>
  </si>
  <si>
    <t>Pizarra</t>
  </si>
  <si>
    <t>Tiza</t>
  </si>
  <si>
    <t>Playa</t>
  </si>
  <si>
    <t>Arena</t>
  </si>
  <si>
    <t>Sol</t>
  </si>
  <si>
    <t>Luna</t>
  </si>
  <si>
    <t>Comida</t>
  </si>
  <si>
    <t>Cena</t>
  </si>
  <si>
    <t>Niño</t>
  </si>
  <si>
    <t>Niña</t>
  </si>
  <si>
    <t>Juego de mesa</t>
  </si>
  <si>
    <t>Parchís</t>
  </si>
  <si>
    <t>Coche</t>
  </si>
  <si>
    <t>Moto</t>
  </si>
  <si>
    <t>Perro</t>
  </si>
  <si>
    <t>Gato</t>
  </si>
  <si>
    <t>Pico</t>
  </si>
  <si>
    <t>Pala</t>
  </si>
  <si>
    <t>Marido</t>
  </si>
  <si>
    <t>Mujer</t>
  </si>
  <si>
    <t>Ojos</t>
  </si>
  <si>
    <t>Nariz</t>
  </si>
  <si>
    <t>Hint 4</t>
  </si>
  <si>
    <t>Lógica</t>
  </si>
  <si>
    <t>Enlace las parejas.</t>
  </si>
  <si>
    <t>uno</t>
  </si>
  <si>
    <t>dos</t>
  </si>
  <si>
    <t>tres</t>
  </si>
  <si>
    <t>cuatro</t>
  </si>
  <si>
    <t>cinco</t>
  </si>
  <si>
    <t>seis</t>
  </si>
  <si>
    <t>siete</t>
  </si>
  <si>
    <t>ocho</t>
  </si>
  <si>
    <t>nueve</t>
  </si>
  <si>
    <t>diez</t>
  </si>
  <si>
    <t>once</t>
  </si>
  <si>
    <t>doce</t>
  </si>
  <si>
    <t>&lt;img src="https://dl.dropboxusercontent.com/s/oh1ssro2fay57yo/Alumno_hablando_rapido.gif" width="" height="100"&gt;</t>
  </si>
  <si>
    <t>&lt;img src="https://dl.dropboxusercontent.com/s/2smr0aec6oujybp/Antonio_hablando_izq_rapido.gif" width="" height="120"&gt;</t>
  </si>
  <si>
    <t>Chico</t>
  </si>
  <si>
    <t>&lt;img src="https://dl.dropboxusercontent.com/s/qfxkf5guj4pjibp/Profe_hablando_rapido.gif" width="" height="100"&gt;</t>
  </si>
  <si>
    <t>Profe</t>
  </si>
  <si>
    <t>&lt;img src="https://dl.dropboxusercontent.com/s/myylbuzhhn0uox7/Alicia_hablando_rapido.gif" width="" height="120"&gt;</t>
  </si>
  <si>
    <t>Chica</t>
  </si>
  <si>
    <t/>
  </si>
  <si>
    <t>Provincia</t>
  </si>
  <si>
    <t>Escribe una Capital de Provincia Andaluza. Cuidado con la ortografía.</t>
  </si>
  <si>
    <t>Cádiz</t>
  </si>
  <si>
    <t>Muy bien</t>
  </si>
  <si>
    <t>Sevilla</t>
  </si>
  <si>
    <t>Huelva</t>
  </si>
  <si>
    <t>Granada</t>
  </si>
  <si>
    <t>Jaén</t>
  </si>
  <si>
    <t>Córdoba</t>
  </si>
  <si>
    <t>Málaga</t>
  </si>
  <si>
    <t>Almería</t>
  </si>
  <si>
    <t>P1</t>
  </si>
  <si>
    <t>P2</t>
  </si>
  <si>
    <t>P3</t>
  </si>
  <si>
    <t>P4</t>
  </si>
  <si>
    <t>Países</t>
  </si>
  <si>
    <t>La Capital de España.</t>
  </si>
  <si>
    <t>Madrid</t>
  </si>
  <si>
    <t>madrid</t>
  </si>
  <si>
    <t>Cuidado con la ortografía</t>
  </si>
  <si>
    <t>MADRID</t>
  </si>
  <si>
    <t>No escribas todo en mayúsculas.</t>
  </si>
  <si>
    <t>Verano</t>
  </si>
  <si>
    <t>En la playa de [[1]] nos invitaron a pizza, comida típica de [[7]]. Si sumamos 2 + 2 tenemos [[11]].</t>
  </si>
  <si>
    <t>España</t>
  </si>
  <si>
    <t>Portugal</t>
  </si>
  <si>
    <t>Italia</t>
  </si>
  <si>
    <t>Uno</t>
  </si>
  <si>
    <t>Dos</t>
  </si>
  <si>
    <t>Tres</t>
  </si>
  <si>
    <t>Cuatro</t>
  </si>
  <si>
    <t>Cinco</t>
  </si>
  <si>
    <t>Primera pista</t>
  </si>
  <si>
    <t>Segunda pista</t>
  </si>
  <si>
    <t>Tercera pista</t>
  </si>
  <si>
    <t>Cuarta pista</t>
  </si>
  <si>
    <t>Cuando viajamos a [[5]], visitamos la Torre del Oro que está en [[2]], me confundí con la Torre de Pisa que está en [[7]]. &lt;/p&gt;
Si sumamos 1 + 2 tenemos [[10]], pero si los multiplicamos, tenemos [[9]].</t>
  </si>
  <si>
    <t xml:space="preserve">Ejemplo ENSAYO HTML </t>
  </si>
  <si>
    <t>Este es el primer ejemplo de ENSAYO</t>
  </si>
  <si>
    <t>Sin texto</t>
  </si>
  <si>
    <t>Sin límites</t>
  </si>
  <si>
    <t>Esta es la plantilla para que responda el alumno.</t>
  </si>
  <si>
    <t>Esta es la información para el evaluador.</t>
  </si>
  <si>
    <t>Ejemplo ENSAYO sin texto</t>
  </si>
  <si>
    <t>Escribe lo que sepas del tema que estamos viendo.</t>
  </si>
  <si>
    <t>El texto es opcional</t>
  </si>
  <si>
    <t>PRUEBA</t>
  </si>
  <si>
    <t>1. Caballo de Santiago =&amp;gt; {1:SHORTANSWER:%100%Blanco#Muy bien~%0%Negro#Debes leer bien~%0%Marrón#Debes leer bien}&lt;br/&gt; 
2. Caballo de Santiago =&amp;gt; {1:MULTICHOICE:=Blanco#Muy bien~%-50%Negro#Debes leer bien~%-50%Marrón#Debes leer bien}&lt;br/&gt; 
3. Marca los Colores:&lt;br/&gt; {1:MCHS:=Blanco#Muy bien~=Silla#Muy bien~%-50%Mesa~%-50%Suelo}&lt;br/&gt; 
4. Marca los Colores:&lt;br/&gt; {1:MRHS:=Blanco#Muy bien~=Negro#Muy bien~%-50%Mesa~%-50%Silla}&lt;br/&gt; 
5. Marca los Colores:&lt;br/&gt; {1:MRS:=Blanco#Muy bien~=Naranja#Correcto~=Azul~%-50%Mesa~%-50%Silla#No es un color~%-50%Boli}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</si>
</sst>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5" x14ac:knownFonts="1">
    <font>
      <sz val="11"/>
      <color theme="1"/>
      <name val="Calibri"/>
      <family val="2"/>
      <scheme val="minor"/>
    </font>
    <font>
      <b/>
      <sz val="11"/>
      <color theme="1"/>
      <name val="Calibri"/>
      <family val="2"/>
      <scheme val="minor"/>
    </font>
    <font>
      <sz val="11"/>
      <color theme="0"/>
      <name val="Calibri"/>
      <family val="2"/>
      <scheme val="minor"/>
    </font>
    <font>
      <b/>
      <sz val="11"/>
      <color rgb="FFFF0000"/>
      <name val="Calibri"/>
      <family val="2"/>
      <scheme val="minor"/>
    </font>
    <font>
      <sz val="10"/>
      <color theme="1"/>
      <name val="Calibri"/>
      <family val="2"/>
      <scheme val="minor"/>
    </font>
    <font>
      <b/>
      <sz val="10"/>
      <color theme="0"/>
      <name val="Calibri"/>
      <family val="2"/>
      <scheme val="minor"/>
    </font>
    <font>
      <b/>
      <sz val="9"/>
      <color theme="0"/>
      <name val="Calibri"/>
      <family val="2"/>
      <scheme val="minor"/>
    </font>
    <font>
      <b/>
      <sz val="9"/>
      <color rgb="FF005877"/>
      <name val="Calibri"/>
      <family val="2"/>
      <scheme val="minor"/>
    </font>
    <font>
      <b/>
      <sz val="8"/>
      <color rgb="FF005877"/>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sz val="11"/>
      <color rgb="FF005877"/>
      <name val="Calibri"/>
      <family val="2"/>
      <scheme val="minor"/>
    </font>
    <font>
      <sz val="11"/>
      <color rgb="FFFF0000"/>
      <name val="Calibri"/>
      <family val="2"/>
      <scheme val="minor"/>
    </font>
    <font>
      <sz val="9"/>
      <color rgb="FF005877"/>
      <name val="Calibri"/>
      <family val="2"/>
      <scheme val="minor"/>
    </font>
    <font>
      <b/>
      <sz val="10"/>
      <color theme="1"/>
      <name val="Calibri"/>
      <family val="2"/>
      <scheme val="minor"/>
    </font>
    <font>
      <b/>
      <sz val="10"/>
      <color rgb="FFE87B00"/>
      <name val="Calibri"/>
      <family val="2"/>
      <scheme val="minor"/>
    </font>
    <font>
      <b/>
      <sz val="11"/>
      <color theme="0"/>
      <name val="Calibri"/>
      <family val="2"/>
      <scheme val="minor"/>
    </font>
    <font>
      <b/>
      <sz val="16"/>
      <color theme="0"/>
      <name val="Calibri"/>
      <family val="2"/>
      <scheme val="minor"/>
    </font>
    <font>
      <b/>
      <sz val="10"/>
      <color rgb="FF005877"/>
      <name val="Calibri"/>
      <family val="2"/>
      <scheme val="minor"/>
    </font>
    <font>
      <b/>
      <sz val="22"/>
      <color theme="0"/>
      <name val="Calibri"/>
      <family val="2"/>
      <scheme val="minor"/>
    </font>
    <font>
      <sz val="11"/>
      <name val="Calibri"/>
      <family val="2"/>
      <scheme val="minor"/>
    </font>
    <font>
      <b/>
      <sz val="9"/>
      <color rgb="FFE87B00"/>
      <name val="Calibri"/>
      <family val="2"/>
      <scheme val="minor"/>
    </font>
    <font>
      <sz val="8"/>
      <color rgb="FF005877"/>
      <name val="Calibri"/>
      <family val="2"/>
      <scheme val="minor"/>
    </font>
    <font>
      <sz val="9"/>
      <color theme="0"/>
      <name val="Calibri"/>
      <family val="2"/>
      <scheme val="minor"/>
    </font>
    <font>
      <sz val="10"/>
      <color rgb="FF005877"/>
      <name val="Calibri"/>
      <family val="2"/>
      <scheme val="minor"/>
    </font>
    <font>
      <b/>
      <sz val="7"/>
      <color theme="0"/>
      <name val="Calibri"/>
      <family val="2"/>
      <scheme val="minor"/>
    </font>
    <font>
      <sz val="9"/>
      <color theme="1"/>
      <name val="Calibri"/>
      <family val="2"/>
      <scheme val="minor"/>
    </font>
    <font>
      <sz val="9"/>
      <color rgb="FFFF0000"/>
      <name val="Calibri"/>
      <family val="2"/>
      <scheme val="minor"/>
    </font>
    <font>
      <b/>
      <sz val="11"/>
      <color rgb="FFFFFFFF"/>
      <name val="Calibri"/>
      <family val="2"/>
      <scheme val="minor"/>
    </font>
    <font>
      <b/>
      <sz val="8"/>
      <color theme="0"/>
      <name val="Calibri"/>
      <family val="2"/>
      <scheme val="minor"/>
    </font>
    <font>
      <b/>
      <sz val="11"/>
      <color rgb="FFE87B00"/>
      <name val="Calibri"/>
      <family val="2"/>
      <scheme val="minor"/>
    </font>
    <font>
      <b/>
      <sz val="6"/>
      <color theme="0"/>
      <name val="Calibri"/>
      <family val="2"/>
      <scheme val="minor"/>
    </font>
    <font>
      <u/>
      <sz val="11"/>
      <color rgb="FF005877"/>
      <name val="Calibri"/>
      <family val="2"/>
      <scheme val="minor"/>
    </font>
    <font>
      <b/>
      <sz val="9"/>
      <color rgb="FF005877"/>
      <name val="Calibri"/>
      <scheme val="minor"/>
    </font>
    <font>
      <b/>
      <sz val="9"/>
      <color theme="0"/>
      <name val="Calibri"/>
      <scheme val="minor"/>
    </font>
    <font>
      <sz val="9"/>
      <color rgb="FF005877"/>
      <name val="Calibri"/>
      <scheme val="minor"/>
    </font>
    <font>
      <sz val="11"/>
      <color theme="0"/>
      <name val="Calibri"/>
      <scheme val="minor"/>
    </font>
    <font>
      <sz val="9"/>
      <color theme="0"/>
      <name val="Calibri"/>
      <scheme val="minor"/>
    </font>
    <font>
      <b/>
      <sz val="8"/>
      <color rgb="FF005877"/>
      <name val="Calibri"/>
      <scheme val="minor"/>
    </font>
    <font>
      <sz val="11"/>
      <color rgb="FF005877"/>
      <name val="Calibri"/>
      <scheme val="minor"/>
    </font>
    <font>
      <b/>
      <sz val="11"/>
      <color rgb="FFFF0000"/>
      <name val="Calibri"/>
      <scheme val="minor"/>
    </font>
    <font>
      <b/>
      <sz val="10"/>
      <color theme="1"/>
      <name val="Calibri"/>
      <scheme val="minor"/>
    </font>
    <font>
      <sz val="9"/>
      <color theme="1"/>
      <name val="Calibri"/>
      <scheme val="minor"/>
    </font>
    <font>
      <sz val="9"/>
      <color rgb="FFFF0000"/>
      <name val="Calibri"/>
      <scheme val="minor"/>
    </font>
  </fonts>
  <fills count="25">
    <fill>
      <patternFill patternType="none"/>
    </fill>
    <fill>
      <patternFill patternType="gray125"/>
    </fill>
    <fill>
      <patternFill patternType="solid">
        <fgColor theme="0"/>
        <bgColor indexed="64"/>
      </patternFill>
    </fill>
    <fill>
      <patternFill patternType="solid">
        <fgColor rgb="FF005877"/>
        <bgColor indexed="64"/>
      </patternFill>
    </fill>
    <fill>
      <patternFill patternType="solid">
        <fgColor rgb="FFE87B00"/>
        <bgColor indexed="64"/>
      </patternFill>
    </fill>
    <fill>
      <patternFill patternType="solid">
        <fgColor rgb="FFFFFF00"/>
        <bgColor indexed="64"/>
      </patternFill>
    </fill>
    <fill>
      <patternFill patternType="solid">
        <fgColor rgb="FFFFC000"/>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5"/>
        <bgColor rgb="FFE87B00"/>
      </patternFill>
    </fill>
    <fill>
      <patternFill patternType="solid">
        <fgColor theme="0" tint="-0.14999847407452621"/>
        <bgColor theme="0" tint="-0.14999847407452621"/>
      </patternFill>
    </fill>
    <fill>
      <patternFill patternType="solid">
        <fgColor theme="7"/>
        <bgColor indexed="64"/>
      </patternFill>
    </fill>
    <fill>
      <patternFill patternType="solid">
        <fgColor theme="7" tint="0.79998168889431442"/>
        <bgColor indexed="64"/>
      </patternFill>
    </fill>
    <fill>
      <patternFill patternType="solid">
        <fgColor rgb="FFED7D31"/>
        <bgColor indexed="64"/>
      </patternFill>
    </fill>
    <fill>
      <patternFill patternType="solid">
        <fgColor rgb="FFD9D9D9"/>
        <bgColor indexed="64"/>
      </patternFill>
    </fill>
    <fill>
      <patternFill patternType="solid">
        <fgColor rgb="FFFFFF00"/>
        <bgColor theme="0" tint="-0.14999847407452621"/>
      </patternFill>
    </fill>
  </fills>
  <borders count="33">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thick">
        <color rgb="FF005877"/>
      </right>
      <top/>
      <bottom/>
      <diagonal/>
    </border>
    <border>
      <left style="medium">
        <color rgb="FF005877"/>
      </left>
      <right/>
      <top style="medium">
        <color rgb="FF005877"/>
      </top>
      <bottom/>
      <diagonal/>
    </border>
    <border>
      <left style="medium">
        <color rgb="FF005877"/>
      </left>
      <right/>
      <top/>
      <bottom/>
      <diagonal/>
    </border>
    <border>
      <left style="medium">
        <color rgb="FF005877"/>
      </left>
      <right/>
      <top/>
      <bottom style="medium">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right/>
      <top/>
      <bottom style="medium">
        <color rgb="FF005877"/>
      </bottom>
      <diagonal/>
    </border>
    <border>
      <left/>
      <right/>
      <top style="medium">
        <color rgb="FF005877"/>
      </top>
      <bottom/>
      <diagonal/>
    </border>
    <border>
      <left style="medium">
        <color rgb="FF005877"/>
      </left>
      <right style="thick">
        <color rgb="FF005877"/>
      </right>
      <top style="medium">
        <color rgb="FF005877"/>
      </top>
      <bottom/>
      <diagonal/>
    </border>
    <border>
      <left style="medium">
        <color rgb="FF005877"/>
      </left>
      <right style="thick">
        <color rgb="FF005877"/>
      </right>
      <top/>
      <bottom style="medium">
        <color rgb="FF005877"/>
      </bottom>
      <diagonal/>
    </border>
    <border>
      <left style="medium">
        <color theme="0"/>
      </left>
      <right style="medium">
        <color theme="0"/>
      </right>
      <top style="medium">
        <color theme="0"/>
      </top>
      <bottom style="medium">
        <color theme="0"/>
      </bottom>
      <diagonal/>
    </border>
    <border>
      <left style="medium">
        <color rgb="FF005877"/>
      </left>
      <right style="medium">
        <color theme="0"/>
      </right>
      <top style="medium">
        <color rgb="FF005877"/>
      </top>
      <bottom/>
      <diagonal/>
    </border>
    <border>
      <left style="medium">
        <color theme="0"/>
      </left>
      <right style="medium">
        <color theme="0"/>
      </right>
      <top style="medium">
        <color rgb="FF005877"/>
      </top>
      <bottom/>
      <diagonal/>
    </border>
    <border>
      <left style="medium">
        <color theme="0"/>
      </left>
      <right style="medium">
        <color rgb="FF005877"/>
      </right>
      <top style="medium">
        <color rgb="FF005877"/>
      </top>
      <bottom/>
      <diagonal/>
    </border>
    <border>
      <left style="medium">
        <color rgb="FF005877"/>
      </left>
      <right style="medium">
        <color theme="0"/>
      </right>
      <top/>
      <bottom style="medium">
        <color rgb="FF005877"/>
      </bottom>
      <diagonal/>
    </border>
    <border>
      <left style="medium">
        <color theme="0"/>
      </left>
      <right style="medium">
        <color theme="0"/>
      </right>
      <top/>
      <bottom style="medium">
        <color rgb="FF005877"/>
      </bottom>
      <diagonal/>
    </border>
    <border>
      <left style="medium">
        <color theme="0"/>
      </left>
      <right style="medium">
        <color rgb="FF005877"/>
      </right>
      <top/>
      <bottom style="medium">
        <color rgb="FF005877"/>
      </bottom>
      <diagonal/>
    </border>
    <border>
      <left style="medium">
        <color rgb="FFE87B00"/>
      </left>
      <right style="medium">
        <color rgb="FFE87B00"/>
      </right>
      <top/>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s>
  <cellStyleXfs count="2">
    <xf numFmtId="0" fontId="0" fillId="0" borderId="0"/>
    <xf numFmtId="0" fontId="9" fillId="0" borderId="0" applyNumberFormat="0" applyFill="0" applyBorder="0" applyAlignment="0" applyProtection="0"/>
  </cellStyleXfs>
  <cellXfs count="399">
    <xf numFmtId="0" fontId="0" fillId="0" borderId="0" xfId="0"/>
    <xf numFmtId="0" fontId="0" fillId="0" borderId="0" xfId="0" applyBorder="1" applyProtection="1"/>
    <xf numFmtId="0" fontId="3" fillId="2" borderId="0" xfId="0" applyFont="1" applyFill="1" applyBorder="1" applyAlignment="1" applyProtection="1">
      <alignment vertical="center"/>
    </xf>
    <xf numFmtId="0" fontId="4" fillId="0" borderId="0" xfId="0" applyFont="1" applyBorder="1" applyProtection="1"/>
    <xf numFmtId="0" fontId="0" fillId="0" borderId="0" xfId="0" applyBorder="1"/>
    <xf numFmtId="0" fontId="4" fillId="0" borderId="0" xfId="0" applyFont="1" applyBorder="1"/>
    <xf numFmtId="0" fontId="3" fillId="0" borderId="0" xfId="0" applyFont="1" applyBorder="1" applyAlignment="1" applyProtection="1">
      <alignment vertical="center"/>
    </xf>
    <xf numFmtId="0" fontId="0" fillId="17" borderId="4" xfId="0" applyFill="1" applyBorder="1"/>
    <xf numFmtId="0" fontId="0" fillId="17" borderId="0" xfId="0" applyFill="1" applyBorder="1"/>
    <xf numFmtId="0" fontId="0" fillId="17" borderId="5" xfId="0" applyFill="1" applyBorder="1"/>
    <xf numFmtId="0" fontId="12" fillId="17" borderId="0" xfId="0" applyFont="1" applyFill="1" applyBorder="1" applyAlignment="1">
      <alignment vertical="top" wrapText="1"/>
    </xf>
    <xf numFmtId="0" fontId="0" fillId="17" borderId="6" xfId="0" applyFill="1" applyBorder="1"/>
    <xf numFmtId="0" fontId="0" fillId="17" borderId="7" xfId="0" applyFill="1" applyBorder="1"/>
    <xf numFmtId="0" fontId="0" fillId="0" borderId="0" xfId="0" applyProtection="1"/>
    <xf numFmtId="0" fontId="1" fillId="0" borderId="0" xfId="0" applyFont="1" applyAlignment="1" applyProtection="1">
      <alignment horizontal="center" vertical="center" shrinkToFit="1"/>
    </xf>
    <xf numFmtId="0" fontId="0" fillId="0" borderId="0" xfId="0" applyFont="1" applyBorder="1" applyAlignment="1" applyProtection="1"/>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7" fillId="2" borderId="0" xfId="0" applyFont="1" applyFill="1" applyBorder="1" applyAlignment="1" applyProtection="1">
      <alignment vertical="center"/>
    </xf>
    <xf numFmtId="0" fontId="14" fillId="6" borderId="0" xfId="0" applyFont="1" applyFill="1" applyBorder="1" applyAlignment="1" applyProtection="1">
      <alignment horizontal="left" vertical="center" wrapText="1"/>
    </xf>
    <xf numFmtId="0" fontId="14" fillId="7" borderId="0" xfId="0" applyFont="1" applyFill="1" applyBorder="1" applyAlignment="1" applyProtection="1">
      <alignment horizontal="left" vertical="center" wrapText="1"/>
    </xf>
    <xf numFmtId="0" fontId="14" fillId="8" borderId="0" xfId="0" applyFont="1" applyFill="1" applyBorder="1" applyAlignment="1" applyProtection="1">
      <alignment horizontal="left" vertical="center" wrapText="1"/>
    </xf>
    <xf numFmtId="0" fontId="14" fillId="9" borderId="0" xfId="0" applyFont="1" applyFill="1" applyBorder="1" applyAlignment="1" applyProtection="1">
      <alignment horizontal="left" vertical="center" wrapText="1"/>
    </xf>
    <xf numFmtId="0" fontId="14" fillId="10" borderId="0" xfId="0" applyFont="1" applyFill="1" applyBorder="1" applyAlignment="1" applyProtection="1">
      <alignment horizontal="left" vertical="center" wrapText="1"/>
    </xf>
    <xf numFmtId="0" fontId="14" fillId="11" borderId="0" xfId="0" applyFont="1" applyFill="1" applyBorder="1" applyAlignment="1" applyProtection="1">
      <alignment horizontal="left" vertical="center" wrapText="1"/>
    </xf>
    <xf numFmtId="0" fontId="14" fillId="6" borderId="0" xfId="0" applyFont="1" applyFill="1" applyBorder="1" applyAlignment="1" applyProtection="1">
      <alignment horizontal="left" vertical="center" wrapText="1"/>
      <protection locked="0"/>
    </xf>
    <xf numFmtId="0" fontId="14" fillId="7"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9" borderId="0" xfId="0" applyFont="1" applyFill="1" applyBorder="1" applyAlignment="1" applyProtection="1">
      <alignment horizontal="left" vertical="center" wrapText="1"/>
      <protection locked="0"/>
    </xf>
    <xf numFmtId="0" fontId="14" fillId="10" borderId="0" xfId="0" applyFont="1" applyFill="1" applyBorder="1" applyAlignment="1" applyProtection="1">
      <alignment horizontal="left" vertical="center" wrapText="1"/>
      <protection locked="0"/>
    </xf>
    <xf numFmtId="0" fontId="14" fillId="11" borderId="0" xfId="0" applyFont="1" applyFill="1" applyBorder="1" applyAlignment="1" applyProtection="1">
      <alignment horizontal="left" vertical="center" wrapText="1"/>
      <protection locked="0"/>
    </xf>
    <xf numFmtId="0" fontId="15" fillId="0" borderId="0" xfId="0" applyFont="1" applyBorder="1" applyAlignment="1" applyProtection="1">
      <alignment vertical="center"/>
    </xf>
    <xf numFmtId="0" fontId="3" fillId="0" borderId="0" xfId="0" applyFont="1" applyBorder="1" applyAlignment="1" applyProtection="1">
      <alignment vertical="center"/>
      <protection locked="0"/>
    </xf>
    <xf numFmtId="0" fontId="15" fillId="0" borderId="0" xfId="0" applyFont="1" applyBorder="1" applyAlignment="1" applyProtection="1">
      <alignment vertical="center"/>
      <protection locked="0"/>
    </xf>
    <xf numFmtId="0" fontId="6" fillId="4" borderId="0" xfId="0" applyFont="1" applyFill="1" applyBorder="1" applyAlignment="1" applyProtection="1">
      <alignment horizontal="center" vertical="center"/>
    </xf>
    <xf numFmtId="0" fontId="7" fillId="2" borderId="0" xfId="0" applyFont="1" applyFill="1" applyBorder="1" applyAlignment="1" applyProtection="1">
      <alignment horizontal="left" vertical="center"/>
    </xf>
    <xf numFmtId="0" fontId="14" fillId="6" borderId="0" xfId="0" applyFont="1" applyFill="1" applyBorder="1" applyAlignment="1" applyProtection="1">
      <alignment horizontal="left" vertical="center"/>
    </xf>
    <xf numFmtId="0" fontId="14" fillId="7" borderId="0" xfId="0" applyFont="1" applyFill="1" applyBorder="1" applyAlignment="1" applyProtection="1">
      <alignment horizontal="left" vertical="center"/>
    </xf>
    <xf numFmtId="0" fontId="14" fillId="8" borderId="0" xfId="0" applyFont="1" applyFill="1" applyBorder="1" applyAlignment="1" applyProtection="1">
      <alignment horizontal="left" vertical="center"/>
    </xf>
    <xf numFmtId="0" fontId="14" fillId="9" borderId="0" xfId="0" applyFont="1" applyFill="1" applyBorder="1" applyAlignment="1" applyProtection="1">
      <alignment horizontal="left" vertical="center"/>
    </xf>
    <xf numFmtId="0" fontId="14" fillId="10" borderId="0" xfId="0" applyFont="1" applyFill="1" applyBorder="1" applyAlignment="1" applyProtection="1">
      <alignment horizontal="left" vertical="center"/>
    </xf>
    <xf numFmtId="0" fontId="14" fillId="11" borderId="0" xfId="0" applyFont="1" applyFill="1" applyBorder="1" applyAlignment="1" applyProtection="1">
      <alignment horizontal="left" vertical="center"/>
    </xf>
    <xf numFmtId="0" fontId="14" fillId="12" borderId="0" xfId="0" applyFont="1" applyFill="1" applyBorder="1" applyAlignment="1" applyProtection="1">
      <alignment horizontal="left" vertical="center"/>
    </xf>
    <xf numFmtId="0" fontId="14" fillId="13" borderId="0" xfId="0" applyFont="1" applyFill="1" applyBorder="1" applyAlignment="1" applyProtection="1">
      <alignment horizontal="left" vertical="center"/>
    </xf>
    <xf numFmtId="0" fontId="14" fillId="14" borderId="0" xfId="0" applyFont="1" applyFill="1" applyBorder="1" applyAlignment="1" applyProtection="1">
      <alignment horizontal="left" vertical="center"/>
    </xf>
    <xf numFmtId="0" fontId="14" fillId="15" borderId="0" xfId="0" applyFont="1" applyFill="1" applyBorder="1" applyAlignment="1" applyProtection="1">
      <alignment horizontal="left" vertical="center"/>
    </xf>
    <xf numFmtId="0" fontId="6" fillId="4" borderId="0" xfId="0" applyFont="1" applyFill="1" applyBorder="1" applyAlignment="1" applyProtection="1">
      <alignment horizontal="center" vertical="center"/>
      <protection locked="0"/>
    </xf>
    <xf numFmtId="0" fontId="14" fillId="6" borderId="0" xfId="0" applyFont="1" applyFill="1" applyBorder="1" applyAlignment="1" applyProtection="1">
      <alignment horizontal="left" vertical="center"/>
      <protection locked="0"/>
    </xf>
    <xf numFmtId="0" fontId="14" fillId="7" borderId="0" xfId="0" applyFont="1" applyFill="1" applyBorder="1" applyAlignment="1" applyProtection="1">
      <alignment horizontal="left" vertical="center"/>
      <protection locked="0"/>
    </xf>
    <xf numFmtId="0" fontId="14" fillId="8" borderId="0" xfId="0" applyFont="1" applyFill="1" applyBorder="1" applyAlignment="1" applyProtection="1">
      <alignment horizontal="left" vertical="center"/>
      <protection locked="0"/>
    </xf>
    <xf numFmtId="0" fontId="14" fillId="9" borderId="0" xfId="0" applyFont="1" applyFill="1" applyBorder="1" applyAlignment="1" applyProtection="1">
      <alignment horizontal="left" vertical="center"/>
      <protection locked="0"/>
    </xf>
    <xf numFmtId="0" fontId="14" fillId="10" borderId="0"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2" borderId="0" xfId="0" applyFont="1" applyFill="1" applyBorder="1" applyAlignment="1" applyProtection="1">
      <alignment horizontal="left" vertical="center"/>
      <protection locked="0"/>
    </xf>
    <xf numFmtId="0" fontId="14" fillId="13" borderId="0" xfId="0" applyFont="1" applyFill="1" applyBorder="1" applyAlignment="1" applyProtection="1">
      <alignment horizontal="left" vertical="center"/>
      <protection locked="0"/>
    </xf>
    <xf numFmtId="0" fontId="14" fillId="14" borderId="0" xfId="0" applyFont="1" applyFill="1" applyBorder="1" applyAlignment="1" applyProtection="1">
      <alignment horizontal="left" vertical="center"/>
      <protection locked="0"/>
    </xf>
    <xf numFmtId="0" fontId="14" fillId="15" borderId="0" xfId="0" applyFont="1" applyFill="1" applyBorder="1" applyAlignment="1" applyProtection="1">
      <alignment horizontal="left" vertical="center"/>
      <protection locked="0"/>
    </xf>
    <xf numFmtId="0" fontId="4" fillId="0" borderId="0" xfId="0" applyFont="1" applyBorder="1" applyAlignment="1" applyProtection="1">
      <alignment vertical="center"/>
    </xf>
    <xf numFmtId="0" fontId="0" fillId="6" borderId="0" xfId="0" applyFont="1" applyFill="1" applyBorder="1" applyAlignment="1" applyProtection="1">
      <alignment horizontal="left" vertical="center" wrapText="1"/>
      <protection locked="0"/>
    </xf>
    <xf numFmtId="0" fontId="0" fillId="7" borderId="0" xfId="0" applyFont="1" applyFill="1" applyBorder="1" applyAlignment="1" applyProtection="1">
      <alignment horizontal="left" vertical="center" wrapText="1"/>
      <protection locked="0"/>
    </xf>
    <xf numFmtId="0" fontId="10" fillId="0" borderId="0" xfId="0" applyFont="1" applyBorder="1" applyAlignment="1" applyProtection="1">
      <alignment horizontal="center" vertical="center"/>
    </xf>
    <xf numFmtId="0" fontId="2" fillId="0" borderId="0" xfId="0" applyFont="1" applyBorder="1" applyAlignment="1" applyProtection="1">
      <alignment horizontal="center" vertical="center"/>
    </xf>
    <xf numFmtId="0" fontId="17" fillId="4" borderId="0" xfId="0" applyFont="1" applyFill="1" applyBorder="1" applyAlignment="1" applyProtection="1">
      <alignment horizontal="left" vertical="center" wrapText="1"/>
    </xf>
    <xf numFmtId="0" fontId="1" fillId="5" borderId="0" xfId="0" applyFont="1" applyFill="1" applyAlignment="1">
      <alignment horizontal="center" vertical="center"/>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1" fillId="0" borderId="0" xfId="0" applyFont="1" applyFill="1" applyBorder="1" applyAlignment="1">
      <alignment horizontal="center" vertical="top"/>
    </xf>
    <xf numFmtId="0" fontId="21" fillId="0" borderId="0" xfId="0" applyFont="1" applyFill="1" applyBorder="1" applyAlignment="1">
      <alignment horizontal="right" vertical="top"/>
    </xf>
    <xf numFmtId="0" fontId="10" fillId="0" borderId="0" xfId="0" applyFont="1" applyFill="1" applyBorder="1" applyAlignment="1">
      <alignment vertical="top"/>
    </xf>
    <xf numFmtId="0" fontId="10" fillId="0" borderId="0" xfId="0" applyFont="1" applyFill="1" applyBorder="1" applyAlignment="1">
      <alignment horizontal="left" vertical="top"/>
    </xf>
    <xf numFmtId="0" fontId="21" fillId="0" borderId="0" xfId="0" applyFont="1" applyFill="1" applyBorder="1" applyAlignment="1">
      <alignment vertical="top"/>
    </xf>
    <xf numFmtId="0" fontId="17" fillId="18" borderId="0" xfId="0" applyFont="1" applyFill="1" applyBorder="1" applyAlignment="1">
      <alignment horizontal="center" vertical="top"/>
    </xf>
    <xf numFmtId="0" fontId="17" fillId="18" borderId="0" xfId="0" quotePrefix="1" applyFont="1" applyFill="1" applyBorder="1" applyAlignment="1">
      <alignment horizontal="center" vertical="top"/>
    </xf>
    <xf numFmtId="0" fontId="19" fillId="0" borderId="0" xfId="0" applyFont="1" applyBorder="1" applyAlignment="1" applyProtection="1">
      <alignment horizontal="center" vertical="center" wrapText="1"/>
    </xf>
    <xf numFmtId="0" fontId="8" fillId="16" borderId="0" xfId="0" applyFont="1" applyFill="1" applyBorder="1" applyAlignment="1" applyProtection="1">
      <alignment horizontal="center" vertical="center" textRotation="90" wrapText="1"/>
    </xf>
    <xf numFmtId="0" fontId="6" fillId="4" borderId="0" xfId="0" applyFont="1" applyFill="1" applyBorder="1" applyAlignment="1" applyProtection="1">
      <alignment horizontal="left" vertical="center" textRotation="90" shrinkToFit="1"/>
    </xf>
    <xf numFmtId="0" fontId="12" fillId="17" borderId="0" xfId="0" applyFont="1" applyFill="1" applyBorder="1" applyAlignment="1">
      <alignment horizontal="justify" vertical="center" wrapText="1"/>
    </xf>
    <xf numFmtId="0" fontId="7" fillId="6" borderId="0" xfId="0" applyFont="1" applyFill="1" applyBorder="1" applyAlignment="1" applyProtection="1">
      <alignment horizontal="left" vertical="center" wrapText="1" indent="1"/>
    </xf>
    <xf numFmtId="0" fontId="7" fillId="9" borderId="0" xfId="0" applyFont="1" applyFill="1" applyBorder="1" applyAlignment="1" applyProtection="1">
      <alignment horizontal="left" vertical="center" wrapText="1" indent="1"/>
    </xf>
    <xf numFmtId="0" fontId="7" fillId="10" borderId="0" xfId="0" applyFont="1" applyFill="1" applyBorder="1" applyAlignment="1" applyProtection="1">
      <alignment horizontal="left" vertical="center" wrapText="1" indent="1"/>
    </xf>
    <xf numFmtId="0" fontId="7" fillId="11" borderId="0" xfId="0" applyFont="1" applyFill="1" applyBorder="1" applyAlignment="1" applyProtection="1">
      <alignment horizontal="left" vertical="center" wrapText="1" indent="1"/>
    </xf>
    <xf numFmtId="0" fontId="17" fillId="3" borderId="0" xfId="0" applyFont="1" applyFill="1" applyBorder="1" applyAlignment="1" applyProtection="1">
      <alignment horizontal="left" vertical="center" indent="2" shrinkToFit="1"/>
    </xf>
    <xf numFmtId="0" fontId="17" fillId="3" borderId="0" xfId="0" applyFont="1" applyFill="1" applyBorder="1" applyAlignment="1" applyProtection="1">
      <alignment horizontal="left" vertical="center" indent="2"/>
    </xf>
    <xf numFmtId="0" fontId="7" fillId="16" borderId="0" xfId="0" applyFont="1" applyFill="1" applyBorder="1" applyAlignment="1" applyProtection="1">
      <alignment horizontal="center" vertical="center" textRotation="90"/>
    </xf>
    <xf numFmtId="0" fontId="7" fillId="16" borderId="0" xfId="0" applyFont="1" applyFill="1" applyBorder="1" applyAlignment="1" applyProtection="1">
      <alignment horizontal="center" wrapText="1"/>
    </xf>
    <xf numFmtId="0" fontId="7" fillId="16" borderId="0" xfId="0" applyFont="1" applyFill="1" applyBorder="1" applyAlignment="1" applyProtection="1">
      <alignment horizontal="center" vertical="center"/>
    </xf>
    <xf numFmtId="0" fontId="19" fillId="16" borderId="0" xfId="0" applyFont="1" applyFill="1" applyBorder="1" applyAlignment="1" applyProtection="1">
      <alignment horizontal="center" vertical="center" textRotation="90"/>
    </xf>
    <xf numFmtId="0" fontId="0" fillId="17" borderId="7" xfId="0" applyFill="1" applyBorder="1" applyAlignment="1"/>
    <xf numFmtId="0" fontId="7" fillId="21" borderId="0" xfId="0" applyFont="1" applyFill="1" applyBorder="1" applyAlignment="1" applyProtection="1">
      <alignment horizontal="center" vertical="center" wrapText="1"/>
    </xf>
    <xf numFmtId="0" fontId="7" fillId="21" borderId="0" xfId="0" applyFont="1" applyFill="1" applyBorder="1" applyAlignment="1" applyProtection="1">
      <alignment horizontal="center" vertical="center" wrapText="1"/>
      <protection locked="0"/>
    </xf>
    <xf numFmtId="0" fontId="7" fillId="6" borderId="0" xfId="0" applyFont="1" applyFill="1" applyBorder="1" applyAlignment="1" applyProtection="1">
      <alignment horizontal="left" vertical="center" wrapText="1"/>
    </xf>
    <xf numFmtId="0" fontId="7" fillId="7" borderId="0" xfId="0" applyFont="1" applyFill="1" applyBorder="1" applyAlignment="1" applyProtection="1">
      <alignment horizontal="left" vertical="center" wrapText="1"/>
    </xf>
    <xf numFmtId="0" fontId="7" fillId="8" borderId="0" xfId="0" applyFont="1" applyFill="1" applyBorder="1" applyAlignment="1" applyProtection="1">
      <alignment horizontal="left" vertical="center" wrapText="1"/>
    </xf>
    <xf numFmtId="0" fontId="7" fillId="9" borderId="0" xfId="0" applyFont="1" applyFill="1" applyBorder="1" applyAlignment="1" applyProtection="1">
      <alignment horizontal="left" vertical="center" wrapText="1"/>
    </xf>
    <xf numFmtId="0" fontId="7" fillId="10" borderId="0" xfId="0" applyFont="1" applyFill="1" applyBorder="1" applyAlignment="1" applyProtection="1">
      <alignment horizontal="left" vertical="center" wrapText="1"/>
    </xf>
    <xf numFmtId="0" fontId="7" fillId="11" borderId="0" xfId="0" applyFont="1" applyFill="1" applyBorder="1" applyAlignment="1" applyProtection="1">
      <alignment horizontal="left" vertical="center" wrapText="1"/>
    </xf>
    <xf numFmtId="0" fontId="7" fillId="6" borderId="0" xfId="0" applyFont="1" applyFill="1" applyBorder="1" applyAlignment="1" applyProtection="1">
      <alignment horizontal="left" vertical="center"/>
    </xf>
    <xf numFmtId="0" fontId="7" fillId="7" borderId="0" xfId="0" applyFont="1" applyFill="1" applyBorder="1" applyAlignment="1" applyProtection="1">
      <alignment horizontal="left" vertical="center"/>
    </xf>
    <xf numFmtId="0" fontId="7" fillId="8"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protection locked="0"/>
    </xf>
    <xf numFmtId="0" fontId="14" fillId="2" borderId="0" xfId="0" applyFont="1" applyFill="1" applyBorder="1" applyAlignment="1" applyProtection="1">
      <alignment horizontal="left" vertical="center"/>
      <protection locked="0"/>
    </xf>
    <xf numFmtId="0" fontId="14" fillId="2" borderId="0" xfId="0" applyFont="1" applyFill="1" applyBorder="1" applyAlignment="1" applyProtection="1">
      <alignment horizontal="left" vertical="center"/>
    </xf>
    <xf numFmtId="0" fontId="2" fillId="4" borderId="0" xfId="0" applyFont="1" applyFill="1" applyBorder="1" applyAlignment="1" applyProtection="1">
      <alignment horizontal="left" vertical="center" wrapText="1"/>
    </xf>
    <xf numFmtId="0" fontId="14" fillId="21" borderId="0" xfId="0" applyFont="1" applyFill="1" applyBorder="1" applyAlignment="1" applyProtection="1">
      <alignment horizontal="center" vertical="center" wrapText="1"/>
    </xf>
    <xf numFmtId="0" fontId="1" fillId="0" borderId="0" xfId="0" applyFont="1" applyBorder="1" applyAlignment="1" applyProtection="1"/>
    <xf numFmtId="0" fontId="7" fillId="9" borderId="0" xfId="0" applyFont="1" applyFill="1" applyBorder="1" applyAlignment="1" applyProtection="1">
      <alignment horizontal="left" vertical="center"/>
    </xf>
    <xf numFmtId="0" fontId="7" fillId="10" borderId="0" xfId="0" applyFont="1" applyFill="1" applyBorder="1" applyAlignment="1" applyProtection="1">
      <alignment horizontal="left" vertical="center"/>
    </xf>
    <xf numFmtId="0" fontId="7" fillId="11" borderId="0" xfId="0" applyFont="1" applyFill="1" applyBorder="1" applyAlignment="1" applyProtection="1">
      <alignment horizontal="left" vertical="center"/>
    </xf>
    <xf numFmtId="0" fontId="7" fillId="12" borderId="0" xfId="0" applyFont="1" applyFill="1" applyBorder="1" applyAlignment="1" applyProtection="1">
      <alignment horizontal="left" vertical="center"/>
    </xf>
    <xf numFmtId="0" fontId="7" fillId="13" borderId="0" xfId="0" applyFont="1" applyFill="1" applyBorder="1" applyAlignment="1" applyProtection="1">
      <alignment horizontal="left" vertical="center"/>
    </xf>
    <xf numFmtId="0" fontId="7" fillId="14" borderId="0" xfId="0" applyFont="1" applyFill="1" applyBorder="1" applyAlignment="1" applyProtection="1">
      <alignment horizontal="left" vertical="center"/>
    </xf>
    <xf numFmtId="0" fontId="7" fillId="15" borderId="0" xfId="0" applyFont="1" applyFill="1" applyBorder="1" applyAlignment="1" applyProtection="1">
      <alignment horizontal="left" vertical="center"/>
    </xf>
    <xf numFmtId="0" fontId="14" fillId="21" borderId="0" xfId="0" applyFont="1" applyFill="1" applyBorder="1" applyAlignment="1" applyProtection="1">
      <alignment horizontal="center" vertical="center" wrapText="1"/>
      <protection locked="0"/>
    </xf>
    <xf numFmtId="0" fontId="12" fillId="6" borderId="0" xfId="0" applyFont="1" applyFill="1" applyBorder="1" applyAlignment="1" applyProtection="1">
      <alignment horizontal="center" vertical="center" wrapText="1"/>
      <protection locked="0"/>
    </xf>
    <xf numFmtId="0" fontId="12" fillId="7" borderId="0" xfId="0" applyFont="1" applyFill="1" applyBorder="1" applyAlignment="1" applyProtection="1">
      <alignment horizontal="center" vertical="center" wrapText="1"/>
      <protection locked="0"/>
    </xf>
    <xf numFmtId="0" fontId="12" fillId="8" borderId="0" xfId="0" applyFont="1" applyFill="1" applyBorder="1" applyAlignment="1" applyProtection="1">
      <alignment horizontal="center" vertical="center" wrapText="1"/>
      <protection locked="0"/>
    </xf>
    <xf numFmtId="0" fontId="12" fillId="9" borderId="0" xfId="0" applyFont="1" applyFill="1" applyBorder="1" applyAlignment="1" applyProtection="1">
      <alignment horizontal="center" vertical="center" wrapText="1"/>
      <protection locked="0"/>
    </xf>
    <xf numFmtId="0" fontId="12" fillId="10" borderId="0" xfId="0" applyFont="1" applyFill="1" applyBorder="1" applyAlignment="1" applyProtection="1">
      <alignment horizontal="center" vertical="center" wrapText="1"/>
      <protection locked="0"/>
    </xf>
    <xf numFmtId="0" fontId="12" fillId="11" borderId="0" xfId="0" applyFont="1" applyFill="1" applyBorder="1" applyAlignment="1" applyProtection="1">
      <alignment horizontal="center" vertical="center" wrapText="1"/>
      <protection locked="0"/>
    </xf>
    <xf numFmtId="0" fontId="12" fillId="12" borderId="0"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4" borderId="0" xfId="0" applyFont="1" applyFill="1" applyBorder="1" applyAlignment="1" applyProtection="1">
      <alignment horizontal="center" vertical="center"/>
      <protection locked="0"/>
    </xf>
    <xf numFmtId="0" fontId="12" fillId="15" borderId="0" xfId="0" applyFont="1" applyFill="1" applyBorder="1" applyAlignment="1" applyProtection="1">
      <alignment horizontal="center" vertical="center"/>
      <protection locked="0"/>
    </xf>
    <xf numFmtId="0" fontId="24" fillId="4" borderId="0" xfId="0" applyFont="1" applyFill="1" applyBorder="1" applyAlignment="1" applyProtection="1">
      <alignment horizontal="left" vertical="center" textRotation="90" shrinkToFit="1"/>
    </xf>
    <xf numFmtId="0" fontId="24" fillId="4" borderId="0" xfId="0" applyFont="1" applyFill="1" applyBorder="1" applyAlignment="1" applyProtection="1">
      <alignment horizontal="center" vertical="center" shrinkToFit="1"/>
      <protection locked="0"/>
    </xf>
    <xf numFmtId="0" fontId="12" fillId="6" borderId="0" xfId="0" applyFont="1" applyFill="1" applyBorder="1" applyAlignment="1" applyProtection="1">
      <alignment horizontal="center" vertical="center" wrapText="1"/>
    </xf>
    <xf numFmtId="0" fontId="12" fillId="6" borderId="0" xfId="0" applyFont="1" applyFill="1" applyBorder="1" applyAlignment="1" applyProtection="1">
      <alignment horizontal="center" vertical="center"/>
    </xf>
    <xf numFmtId="0" fontId="12" fillId="7" borderId="0"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xf>
    <xf numFmtId="0" fontId="12" fillId="9" borderId="0" xfId="0" applyFont="1" applyFill="1" applyBorder="1" applyAlignment="1" applyProtection="1">
      <alignment horizontal="center" vertical="center" wrapText="1"/>
    </xf>
    <xf numFmtId="0" fontId="12" fillId="9" borderId="0" xfId="0" applyFont="1" applyFill="1" applyBorder="1" applyAlignment="1" applyProtection="1">
      <alignment horizontal="center" vertical="center"/>
    </xf>
    <xf numFmtId="0" fontId="12" fillId="10" borderId="0" xfId="0" applyFont="1" applyFill="1" applyBorder="1" applyAlignment="1" applyProtection="1">
      <alignment horizontal="center" vertical="center" wrapText="1"/>
    </xf>
    <xf numFmtId="0" fontId="12" fillId="10" borderId="0" xfId="0" applyFont="1" applyFill="1" applyBorder="1" applyAlignment="1" applyProtection="1">
      <alignment horizontal="center" vertical="center"/>
    </xf>
    <xf numFmtId="0" fontId="12" fillId="11" borderId="0" xfId="0" applyFont="1" applyFill="1" applyBorder="1" applyAlignment="1" applyProtection="1">
      <alignment horizontal="center" vertical="center" wrapText="1"/>
    </xf>
    <xf numFmtId="0" fontId="12" fillId="11" borderId="0" xfId="0" applyFont="1" applyFill="1" applyBorder="1" applyAlignment="1" applyProtection="1">
      <alignment horizontal="center" vertical="center"/>
    </xf>
    <xf numFmtId="0" fontId="12" fillId="12"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12" fillId="14" borderId="0" xfId="0" applyFont="1" applyFill="1" applyBorder="1" applyAlignment="1" applyProtection="1">
      <alignment horizontal="center" vertical="center"/>
    </xf>
    <xf numFmtId="0" fontId="12" fillId="15" borderId="0" xfId="0" applyFont="1" applyFill="1" applyBorder="1" applyAlignment="1" applyProtection="1">
      <alignment horizontal="center" vertical="center"/>
    </xf>
    <xf numFmtId="0" fontId="12" fillId="6" borderId="0" xfId="0" applyFont="1" applyFill="1" applyBorder="1" applyAlignment="1" applyProtection="1">
      <alignment horizontal="center" vertical="center"/>
      <protection locked="0"/>
    </xf>
    <xf numFmtId="0" fontId="12" fillId="7" borderId="0" xfId="0" applyFont="1" applyFill="1" applyBorder="1" applyAlignment="1" applyProtection="1">
      <alignment horizontal="center" vertical="center"/>
      <protection locked="0"/>
    </xf>
    <xf numFmtId="0" fontId="12" fillId="9" borderId="0" xfId="0" applyFont="1" applyFill="1" applyBorder="1" applyAlignment="1" applyProtection="1">
      <alignment horizontal="center" vertical="center"/>
      <protection locked="0"/>
    </xf>
    <xf numFmtId="0" fontId="12" fillId="10" borderId="0" xfId="0" applyFont="1" applyFill="1" applyBorder="1" applyAlignment="1" applyProtection="1">
      <alignment horizontal="center" vertical="center"/>
      <protection locked="0"/>
    </xf>
    <xf numFmtId="0" fontId="12" fillId="11" borderId="0" xfId="0" applyFont="1" applyFill="1" applyBorder="1" applyAlignment="1" applyProtection="1">
      <alignment horizontal="center" vertical="center"/>
      <protection locked="0"/>
    </xf>
    <xf numFmtId="0" fontId="10" fillId="6" borderId="0" xfId="0" applyFont="1" applyFill="1" applyBorder="1" applyAlignment="1" applyProtection="1">
      <alignment horizontal="center" vertical="center" wrapText="1"/>
    </xf>
    <xf numFmtId="0" fontId="10" fillId="6" borderId="0" xfId="0" applyFont="1" applyFill="1" applyBorder="1" applyAlignment="1" applyProtection="1">
      <alignment horizontal="center" vertical="center"/>
    </xf>
    <xf numFmtId="0" fontId="10"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center" vertical="center"/>
    </xf>
    <xf numFmtId="0" fontId="10" fillId="10" borderId="0" xfId="0" applyFont="1" applyFill="1" applyBorder="1" applyAlignment="1" applyProtection="1">
      <alignment horizontal="center" vertical="center" wrapText="1"/>
    </xf>
    <xf numFmtId="0" fontId="10" fillId="10" borderId="0" xfId="0" applyFont="1" applyFill="1" applyBorder="1" applyAlignment="1" applyProtection="1">
      <alignment horizontal="center" vertical="center"/>
    </xf>
    <xf numFmtId="0" fontId="10" fillId="11" borderId="0" xfId="0" applyFont="1" applyFill="1" applyBorder="1" applyAlignment="1" applyProtection="1">
      <alignment horizontal="center" vertical="center" wrapText="1"/>
    </xf>
    <xf numFmtId="0" fontId="10" fillId="11" borderId="0" xfId="0" applyFont="1" applyFill="1" applyBorder="1" applyAlignment="1" applyProtection="1">
      <alignment horizontal="center" vertical="center"/>
    </xf>
    <xf numFmtId="0" fontId="10" fillId="12" borderId="0" xfId="0" applyFont="1" applyFill="1" applyBorder="1" applyAlignment="1" applyProtection="1">
      <alignment horizontal="center" vertical="center"/>
    </xf>
    <xf numFmtId="0" fontId="10" fillId="13" borderId="0" xfId="0" applyFont="1" applyFill="1" applyBorder="1" applyAlignment="1" applyProtection="1">
      <alignment horizontal="center" vertical="center"/>
    </xf>
    <xf numFmtId="0" fontId="10" fillId="14" borderId="0" xfId="0" applyFont="1" applyFill="1" applyBorder="1" applyAlignment="1" applyProtection="1">
      <alignment horizontal="center" vertical="center"/>
    </xf>
    <xf numFmtId="0" fontId="10" fillId="15" borderId="0" xfId="0" applyFont="1" applyFill="1" applyBorder="1" applyAlignment="1" applyProtection="1">
      <alignment horizontal="center" vertical="center"/>
    </xf>
    <xf numFmtId="0" fontId="12" fillId="6" borderId="0" xfId="0" applyFont="1" applyFill="1" applyBorder="1" applyAlignment="1" applyProtection="1">
      <alignment horizontal="left" vertical="center" wrapText="1"/>
    </xf>
    <xf numFmtId="0" fontId="12" fillId="7" borderId="0" xfId="0" applyFont="1" applyFill="1" applyBorder="1" applyAlignment="1" applyProtection="1">
      <alignment horizontal="left" vertical="center" wrapText="1"/>
    </xf>
    <xf numFmtId="0" fontId="25" fillId="16" borderId="0" xfId="0" applyFont="1" applyFill="1" applyBorder="1" applyAlignment="1" applyProtection="1">
      <alignment horizontal="center" vertical="center" textRotation="90"/>
    </xf>
    <xf numFmtId="0" fontId="14" fillId="2" borderId="0" xfId="0" applyFont="1" applyFill="1" applyBorder="1" applyAlignment="1" applyProtection="1">
      <alignment vertical="center"/>
    </xf>
    <xf numFmtId="0" fontId="10" fillId="6" borderId="0" xfId="0" applyFont="1" applyFill="1" applyBorder="1" applyAlignment="1" applyProtection="1">
      <alignment horizontal="left" vertical="center" wrapText="1"/>
    </xf>
    <xf numFmtId="0" fontId="10" fillId="7" borderId="0" xfId="0" applyFont="1" applyFill="1" applyBorder="1" applyAlignment="1" applyProtection="1">
      <alignment horizontal="left" vertical="center" wrapText="1"/>
    </xf>
    <xf numFmtId="0" fontId="14" fillId="2" borderId="0" xfId="0" applyFont="1" applyFill="1" applyBorder="1" applyAlignment="1" applyProtection="1">
      <alignment vertical="center"/>
      <protection locked="0"/>
    </xf>
    <xf numFmtId="0" fontId="10" fillId="6" borderId="0" xfId="0" applyFont="1" applyFill="1" applyBorder="1" applyAlignment="1" applyProtection="1">
      <alignment horizontal="left" vertical="center" wrapText="1"/>
      <protection locked="0"/>
    </xf>
    <xf numFmtId="0" fontId="10" fillId="7" borderId="0" xfId="0" applyFont="1" applyFill="1" applyBorder="1" applyAlignment="1" applyProtection="1">
      <alignment horizontal="left" vertical="center" wrapText="1"/>
      <protection locked="0"/>
    </xf>
    <xf numFmtId="0" fontId="14" fillId="6" borderId="0" xfId="0" applyFont="1" applyFill="1" applyBorder="1" applyAlignment="1" applyProtection="1">
      <alignment horizontal="left" vertical="center" wrapText="1" indent="1"/>
    </xf>
    <xf numFmtId="0" fontId="14" fillId="9" borderId="0" xfId="0" applyFont="1" applyFill="1" applyBorder="1" applyAlignment="1" applyProtection="1">
      <alignment horizontal="left" vertical="center" wrapText="1" indent="1"/>
    </xf>
    <xf numFmtId="0" fontId="14" fillId="10" borderId="0" xfId="0" applyFont="1" applyFill="1" applyBorder="1" applyAlignment="1" applyProtection="1">
      <alignment horizontal="left" vertical="center" wrapText="1" indent="1"/>
    </xf>
    <xf numFmtId="0" fontId="14" fillId="11" borderId="0" xfId="0" applyFont="1" applyFill="1" applyBorder="1" applyAlignment="1" applyProtection="1">
      <alignment horizontal="left" vertical="center" wrapText="1" indent="1"/>
    </xf>
    <xf numFmtId="0" fontId="1" fillId="7" borderId="0" xfId="0" applyFont="1" applyFill="1" applyBorder="1" applyAlignment="1" applyProtection="1">
      <alignment horizontal="left" vertical="center" wrapText="1"/>
      <protection locked="0"/>
    </xf>
    <xf numFmtId="0" fontId="1" fillId="6" borderId="0" xfId="0" applyFont="1" applyFill="1" applyBorder="1" applyAlignment="1" applyProtection="1">
      <alignment horizontal="left" vertical="center" wrapText="1"/>
      <protection locked="0"/>
    </xf>
    <xf numFmtId="0" fontId="1" fillId="12" borderId="0" xfId="0" applyFont="1" applyFill="1" applyBorder="1" applyAlignment="1" applyProtection="1">
      <alignment horizontal="left" vertical="center"/>
      <protection locked="0"/>
    </xf>
    <xf numFmtId="0" fontId="1" fillId="13" borderId="0" xfId="0" applyFont="1" applyFill="1" applyBorder="1" applyAlignment="1" applyProtection="1">
      <alignment horizontal="left" vertical="center"/>
      <protection locked="0"/>
    </xf>
    <xf numFmtId="0" fontId="1" fillId="14" borderId="0" xfId="0" applyFont="1" applyFill="1" applyBorder="1" applyAlignment="1" applyProtection="1">
      <alignment horizontal="left" vertical="center"/>
      <protection locked="0"/>
    </xf>
    <xf numFmtId="0" fontId="1" fillId="15" borderId="0" xfId="0" applyFont="1" applyFill="1" applyBorder="1" applyAlignment="1" applyProtection="1">
      <alignment horizontal="left" vertical="center"/>
      <protection locked="0"/>
    </xf>
    <xf numFmtId="0" fontId="14" fillId="6" borderId="0" xfId="0" applyFont="1" applyFill="1" applyBorder="1" applyAlignment="1" applyProtection="1">
      <alignment horizontal="left" vertical="center" wrapText="1" indent="1"/>
      <protection locked="0"/>
    </xf>
    <xf numFmtId="0" fontId="14" fillId="9" borderId="0" xfId="0" applyFont="1" applyFill="1" applyBorder="1" applyAlignment="1" applyProtection="1">
      <alignment horizontal="left" vertical="center" wrapText="1" indent="1"/>
      <protection locked="0"/>
    </xf>
    <xf numFmtId="0" fontId="14" fillId="10" borderId="0" xfId="0" applyFont="1" applyFill="1" applyBorder="1" applyAlignment="1" applyProtection="1">
      <alignment horizontal="left" vertical="center" wrapText="1" indent="1"/>
      <protection locked="0"/>
    </xf>
    <xf numFmtId="0" fontId="14" fillId="11" borderId="0" xfId="0" applyFont="1" applyFill="1" applyBorder="1" applyAlignment="1" applyProtection="1">
      <alignment horizontal="left" vertical="center" wrapText="1" indent="1"/>
      <protection locked="0"/>
    </xf>
    <xf numFmtId="0" fontId="10" fillId="6" borderId="0"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8" borderId="0"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10" fillId="10" borderId="0" xfId="0" applyFont="1" applyFill="1" applyBorder="1" applyAlignment="1">
      <alignment horizontal="center" vertical="center" wrapText="1"/>
    </xf>
    <xf numFmtId="0" fontId="10" fillId="11" borderId="0" xfId="0" applyFont="1" applyFill="1" applyBorder="1" applyAlignment="1">
      <alignment horizontal="center" vertical="center" wrapText="1"/>
    </xf>
    <xf numFmtId="0" fontId="10" fillId="12" borderId="0" xfId="0" applyFont="1" applyFill="1" applyBorder="1" applyAlignment="1">
      <alignment horizontal="center" vertical="center"/>
    </xf>
    <xf numFmtId="0" fontId="10" fillId="13" borderId="0" xfId="0" applyFont="1" applyFill="1" applyBorder="1" applyAlignment="1">
      <alignment horizontal="center" vertical="center"/>
    </xf>
    <xf numFmtId="0" fontId="10" fillId="14" borderId="0" xfId="0" applyFont="1" applyFill="1" applyBorder="1" applyAlignment="1">
      <alignment horizontal="center" vertical="center"/>
    </xf>
    <xf numFmtId="0" fontId="10" fillId="15" borderId="0" xfId="0" applyFont="1" applyFill="1" applyBorder="1" applyAlignment="1">
      <alignment horizontal="center" vertical="center"/>
    </xf>
    <xf numFmtId="0" fontId="10" fillId="20" borderId="0" xfId="0" applyFont="1" applyFill="1" applyBorder="1" applyAlignment="1" applyProtection="1">
      <alignment horizontal="center" vertical="center" wrapText="1"/>
    </xf>
    <xf numFmtId="0" fontId="0" fillId="17" borderId="0" xfId="0" applyFill="1" applyBorder="1" applyAlignment="1"/>
    <xf numFmtId="0" fontId="0" fillId="17" borderId="0" xfId="0" applyFill="1" applyBorder="1" applyAlignment="1">
      <alignment vertical="center"/>
    </xf>
    <xf numFmtId="0" fontId="12" fillId="19" borderId="0" xfId="0" applyFont="1" applyFill="1" applyBorder="1" applyAlignment="1">
      <alignment horizontal="center" vertical="top"/>
    </xf>
    <xf numFmtId="0" fontId="12" fillId="19" borderId="0" xfId="0" quotePrefix="1" applyFont="1" applyFill="1" applyBorder="1" applyAlignment="1">
      <alignment horizontal="center" vertical="top"/>
    </xf>
    <xf numFmtId="0" fontId="12" fillId="0" borderId="0" xfId="0" applyFont="1" applyFill="1" applyBorder="1" applyAlignment="1">
      <alignment horizontal="center" vertical="top"/>
    </xf>
    <xf numFmtId="0" fontId="12" fillId="0" borderId="0" xfId="0" quotePrefix="1" applyFont="1" applyFill="1" applyBorder="1" applyAlignment="1">
      <alignment horizontal="center" vertical="top"/>
    </xf>
    <xf numFmtId="0" fontId="17" fillId="4" borderId="0" xfId="0" applyFont="1" applyFill="1" applyBorder="1"/>
    <xf numFmtId="0" fontId="17" fillId="4" borderId="0" xfId="0" applyFont="1" applyFill="1" applyBorder="1" applyAlignment="1">
      <alignment horizontal="right"/>
    </xf>
    <xf numFmtId="0" fontId="17" fillId="3" borderId="0" xfId="0" applyFont="1" applyFill="1" applyAlignment="1">
      <alignment horizontal="center" vertical="center" wrapText="1"/>
    </xf>
    <xf numFmtId="0" fontId="17" fillId="3" borderId="23" xfId="0" applyFont="1" applyFill="1" applyBorder="1" applyAlignment="1">
      <alignment horizontal="center" vertical="center" wrapText="1"/>
    </xf>
    <xf numFmtId="0" fontId="0" fillId="17" borderId="5" xfId="0" applyFill="1" applyBorder="1" applyAlignment="1"/>
    <xf numFmtId="0" fontId="0" fillId="17" borderId="8" xfId="0" applyFill="1" applyBorder="1" applyAlignment="1"/>
    <xf numFmtId="0" fontId="12" fillId="17" borderId="20" xfId="0" applyFont="1" applyFill="1" applyBorder="1" applyAlignment="1">
      <alignment vertical="center" wrapText="1"/>
    </xf>
    <xf numFmtId="0" fontId="12" fillId="17" borderId="0" xfId="0" applyFont="1" applyFill="1" applyBorder="1" applyAlignment="1">
      <alignment vertical="center" wrapText="1"/>
    </xf>
    <xf numFmtId="0" fontId="10" fillId="0" borderId="0" xfId="0" applyFont="1" applyFill="1" applyBorder="1" applyAlignment="1">
      <alignment horizontal="center" vertical="center"/>
    </xf>
    <xf numFmtId="0" fontId="2" fillId="0" borderId="0" xfId="0" applyFont="1" applyFill="1" applyBorder="1" applyAlignment="1">
      <alignment horizontal="center" vertical="center"/>
    </xf>
    <xf numFmtId="0" fontId="17" fillId="18" borderId="30" xfId="0" applyFont="1" applyFill="1" applyBorder="1" applyAlignment="1">
      <alignment vertical="top"/>
    </xf>
    <xf numFmtId="0" fontId="12" fillId="19" borderId="30" xfId="0" applyFont="1" applyFill="1" applyBorder="1" applyAlignment="1">
      <alignment vertical="top"/>
    </xf>
    <xf numFmtId="0" fontId="12" fillId="0" borderId="30" xfId="0" applyFont="1" applyFill="1" applyBorder="1" applyAlignment="1">
      <alignment vertical="top"/>
    </xf>
    <xf numFmtId="0" fontId="12" fillId="19" borderId="31" xfId="0" applyFont="1" applyFill="1" applyBorder="1" applyAlignment="1">
      <alignment vertical="top"/>
    </xf>
    <xf numFmtId="0" fontId="12" fillId="0" borderId="32" xfId="0" applyFont="1" applyFill="1" applyBorder="1" applyAlignment="1">
      <alignment vertical="top"/>
    </xf>
    <xf numFmtId="0" fontId="7" fillId="16" borderId="0" xfId="0" applyFont="1" applyFill="1" applyBorder="1" applyAlignment="1" applyProtection="1">
      <alignment horizontal="center" vertical="center" wrapText="1"/>
    </xf>
    <xf numFmtId="0" fontId="24" fillId="4" borderId="0" xfId="0" applyFont="1" applyFill="1" applyBorder="1" applyAlignment="1" applyProtection="1">
      <alignment horizontal="left" vertical="center" wrapText="1"/>
      <protection locked="0"/>
    </xf>
    <xf numFmtId="0" fontId="12" fillId="6" borderId="0" xfId="0" applyFont="1" applyFill="1" applyBorder="1" applyAlignment="1">
      <alignment horizontal="center" vertical="center" wrapText="1"/>
    </xf>
    <xf numFmtId="0" fontId="12" fillId="7" borderId="0" xfId="0" applyFont="1" applyFill="1" applyBorder="1" applyAlignment="1">
      <alignment horizontal="center" vertical="center" wrapText="1"/>
    </xf>
    <xf numFmtId="0" fontId="12" fillId="8" borderId="0" xfId="0" applyFont="1" applyFill="1" applyBorder="1" applyAlignment="1">
      <alignment horizontal="center" vertical="center" wrapText="1"/>
    </xf>
    <xf numFmtId="0" fontId="12" fillId="9" borderId="0" xfId="0" applyFont="1" applyFill="1" applyBorder="1" applyAlignment="1">
      <alignment horizontal="center" vertical="center" wrapText="1"/>
    </xf>
    <xf numFmtId="0" fontId="12" fillId="10" borderId="0" xfId="0" applyFont="1" applyFill="1" applyBorder="1" applyAlignment="1">
      <alignment horizontal="center" vertical="center" wrapText="1"/>
    </xf>
    <xf numFmtId="0" fontId="12" fillId="11" borderId="0" xfId="0" applyFont="1" applyFill="1" applyBorder="1" applyAlignment="1">
      <alignment horizontal="center" vertical="center" wrapText="1"/>
    </xf>
    <xf numFmtId="0" fontId="12" fillId="12" borderId="0" xfId="0" applyFont="1" applyFill="1" applyBorder="1" applyAlignment="1">
      <alignment horizontal="center" vertical="center"/>
    </xf>
    <xf numFmtId="0" fontId="12" fillId="13" borderId="0" xfId="0" applyFont="1" applyFill="1" applyBorder="1" applyAlignment="1">
      <alignment horizontal="center" vertical="center"/>
    </xf>
    <xf numFmtId="0" fontId="12" fillId="14" borderId="0" xfId="0" applyFont="1" applyFill="1" applyBorder="1" applyAlignment="1">
      <alignment horizontal="center" vertical="center"/>
    </xf>
    <xf numFmtId="0" fontId="12" fillId="15" borderId="0" xfId="0" applyFont="1" applyFill="1" applyBorder="1" applyAlignment="1">
      <alignment horizontal="center" vertical="center"/>
    </xf>
    <xf numFmtId="0" fontId="27" fillId="0" borderId="0" xfId="0" applyFont="1" applyBorder="1" applyAlignment="1" applyProtection="1">
      <alignment vertical="center"/>
      <protection locked="0"/>
    </xf>
    <xf numFmtId="0" fontId="14" fillId="12" borderId="0" xfId="0" applyFont="1" applyFill="1" applyBorder="1" applyAlignment="1" applyProtection="1">
      <alignment horizontal="center" vertical="center"/>
      <protection locked="0"/>
    </xf>
    <xf numFmtId="0" fontId="14" fillId="13" borderId="0" xfId="0" applyFont="1" applyFill="1" applyBorder="1" applyAlignment="1" applyProtection="1">
      <alignment horizontal="center" vertical="center"/>
      <protection locked="0"/>
    </xf>
    <xf numFmtId="0" fontId="14" fillId="14" borderId="0" xfId="0" applyFont="1" applyFill="1" applyBorder="1" applyAlignment="1" applyProtection="1">
      <alignment horizontal="center" vertical="center"/>
      <protection locked="0"/>
    </xf>
    <xf numFmtId="0" fontId="14" fillId="15" borderId="0" xfId="0" applyFont="1" applyFill="1" applyBorder="1" applyAlignment="1" applyProtection="1">
      <alignment horizontal="center" vertical="center"/>
      <protection locked="0"/>
    </xf>
    <xf numFmtId="0" fontId="27" fillId="7" borderId="0" xfId="0" applyFont="1" applyFill="1" applyBorder="1" applyAlignment="1" applyProtection="1">
      <alignment horizontal="left" vertical="center" wrapText="1"/>
      <protection locked="0"/>
    </xf>
    <xf numFmtId="0" fontId="27" fillId="6" borderId="0" xfId="0" applyFont="1" applyFill="1" applyBorder="1" applyAlignment="1" applyProtection="1">
      <alignment horizontal="left" vertical="center" wrapText="1"/>
      <protection locked="0"/>
    </xf>
    <xf numFmtId="0" fontId="27" fillId="12" borderId="0" xfId="0" applyFont="1" applyFill="1" applyBorder="1" applyAlignment="1" applyProtection="1">
      <alignment horizontal="left" vertical="center"/>
      <protection locked="0"/>
    </xf>
    <xf numFmtId="0" fontId="27" fillId="13" borderId="0" xfId="0" applyFont="1" applyFill="1" applyBorder="1" applyAlignment="1" applyProtection="1">
      <alignment horizontal="left" vertical="center"/>
      <protection locked="0"/>
    </xf>
    <xf numFmtId="0" fontId="27" fillId="14" borderId="0" xfId="0" applyFont="1" applyFill="1" applyBorder="1" applyAlignment="1" applyProtection="1">
      <alignment horizontal="left" vertical="center"/>
      <protection locked="0"/>
    </xf>
    <xf numFmtId="0" fontId="27" fillId="15" borderId="0" xfId="0" applyFont="1" applyFill="1" applyBorder="1" applyAlignment="1" applyProtection="1">
      <alignment horizontal="left" vertical="center"/>
      <protection locked="0"/>
    </xf>
    <xf numFmtId="0" fontId="24" fillId="20" borderId="0" xfId="0" applyFont="1" applyFill="1" applyBorder="1" applyAlignment="1" applyProtection="1">
      <alignment horizontal="center" vertical="center" wrapText="1"/>
      <protection locked="0"/>
    </xf>
    <xf numFmtId="0" fontId="27" fillId="12" borderId="0" xfId="0" applyFont="1" applyFill="1" applyBorder="1" applyAlignment="1" applyProtection="1">
      <alignment horizontal="center" vertical="center"/>
      <protection locked="0"/>
    </xf>
    <xf numFmtId="0" fontId="27" fillId="13" borderId="0" xfId="0" applyFont="1" applyFill="1" applyBorder="1" applyAlignment="1" applyProtection="1">
      <alignment horizontal="center" vertical="center"/>
      <protection locked="0"/>
    </xf>
    <xf numFmtId="0" fontId="27" fillId="14" borderId="0" xfId="0" applyFont="1" applyFill="1" applyBorder="1" applyAlignment="1" applyProtection="1">
      <alignment horizontal="center" vertical="center"/>
      <protection locked="0"/>
    </xf>
    <xf numFmtId="0" fontId="27" fillId="15" borderId="0" xfId="0" applyFont="1" applyFill="1" applyBorder="1" applyAlignment="1" applyProtection="1">
      <alignment horizontal="center" vertical="center"/>
      <protection locked="0"/>
    </xf>
    <xf numFmtId="0" fontId="27" fillId="0" borderId="0" xfId="0" applyFont="1" applyBorder="1" applyAlignment="1" applyProtection="1">
      <alignment vertical="center"/>
    </xf>
    <xf numFmtId="0" fontId="6" fillId="4" borderId="0" xfId="0" applyFont="1" applyFill="1" applyBorder="1" applyAlignment="1" applyProtection="1">
      <alignment horizontal="left" vertical="center" wrapText="1"/>
    </xf>
    <xf numFmtId="0" fontId="7" fillId="20"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14" fillId="13" borderId="0" xfId="0" applyFont="1" applyFill="1" applyBorder="1" applyAlignment="1" applyProtection="1">
      <alignment horizontal="center" vertical="center"/>
    </xf>
    <xf numFmtId="0" fontId="14" fillId="14" borderId="0" xfId="0" applyFont="1" applyFill="1" applyBorder="1" applyAlignment="1" applyProtection="1">
      <alignment horizontal="center" vertical="center"/>
    </xf>
    <xf numFmtId="0" fontId="14" fillId="15" borderId="0" xfId="0" applyFont="1" applyFill="1" applyBorder="1" applyAlignment="1" applyProtection="1">
      <alignment horizontal="center" vertical="center"/>
    </xf>
    <xf numFmtId="0" fontId="17" fillId="18" borderId="30" xfId="0" applyFont="1" applyFill="1" applyBorder="1" applyAlignment="1" applyProtection="1">
      <alignment vertical="top"/>
    </xf>
    <xf numFmtId="0" fontId="29" fillId="22" borderId="0" xfId="0" applyFont="1" applyFill="1" applyAlignment="1" applyProtection="1">
      <alignment vertical="top" wrapText="1"/>
      <protection locked="0"/>
    </xf>
    <xf numFmtId="0" fontId="12" fillId="23" borderId="0" xfId="0" applyFont="1" applyFill="1" applyAlignment="1" applyProtection="1">
      <alignment vertical="top" wrapText="1"/>
      <protection locked="0"/>
    </xf>
    <xf numFmtId="0" fontId="12" fillId="0" borderId="0" xfId="0" applyFont="1" applyAlignment="1" applyProtection="1">
      <alignment vertical="top" wrapText="1"/>
      <protection locked="0"/>
    </xf>
    <xf numFmtId="0" fontId="0" fillId="0" borderId="0" xfId="0" applyAlignment="1" applyProtection="1">
      <alignment vertical="top" wrapText="1"/>
      <protection locked="0"/>
    </xf>
    <xf numFmtId="0" fontId="8" fillId="2" borderId="0" xfId="0" applyFont="1" applyFill="1" applyBorder="1" applyAlignment="1" applyProtection="1">
      <alignment horizontal="center" vertical="center" textRotation="90" wrapText="1"/>
    </xf>
    <xf numFmtId="0" fontId="8" fillId="2" borderId="0" xfId="0" applyFont="1" applyFill="1" applyBorder="1" applyAlignment="1" applyProtection="1">
      <alignment horizontal="center" vertical="center" wrapText="1"/>
    </xf>
    <xf numFmtId="0" fontId="13" fillId="2" borderId="0" xfId="0" applyFont="1" applyFill="1" applyBorder="1" applyAlignment="1" applyProtection="1">
      <alignment vertical="center"/>
    </xf>
    <xf numFmtId="0" fontId="12" fillId="2" borderId="0" xfId="0" applyFont="1" applyFill="1" applyBorder="1" applyAlignment="1" applyProtection="1">
      <alignment vertical="center"/>
    </xf>
    <xf numFmtId="0" fontId="8" fillId="2" borderId="0" xfId="0" applyFont="1" applyFill="1" applyBorder="1" applyAlignment="1" applyProtection="1">
      <alignment horizontal="center" vertical="center" textRotation="90"/>
    </xf>
    <xf numFmtId="0" fontId="23" fillId="2" borderId="0" xfId="0" applyFont="1" applyFill="1" applyBorder="1" applyAlignment="1" applyProtection="1">
      <alignment horizontal="center" vertical="center" textRotation="90"/>
    </xf>
    <xf numFmtId="0" fontId="14" fillId="2" borderId="0" xfId="0" applyFont="1" applyFill="1" applyBorder="1" applyAlignment="1" applyProtection="1">
      <alignment horizontal="center" wrapText="1"/>
    </xf>
    <xf numFmtId="0" fontId="28" fillId="2" borderId="0" xfId="0" applyFont="1" applyFill="1" applyBorder="1" applyAlignment="1" applyProtection="1">
      <alignment vertical="center"/>
    </xf>
    <xf numFmtId="0" fontId="12" fillId="0" borderId="0" xfId="0" applyFont="1" applyFill="1" applyBorder="1" applyAlignment="1">
      <alignment horizontal="center" vertical="center"/>
    </xf>
    <xf numFmtId="0" fontId="12" fillId="0" borderId="0" xfId="0" applyFont="1" applyFill="1" applyBorder="1" applyAlignment="1">
      <alignment vertical="top"/>
    </xf>
    <xf numFmtId="0" fontId="12" fillId="0" borderId="0" xfId="0" applyNumberFormat="1" applyFont="1" applyFill="1" applyBorder="1" applyAlignment="1">
      <alignment horizontal="center" vertical="center"/>
    </xf>
    <xf numFmtId="0" fontId="12" fillId="0" borderId="0" xfId="0" applyFont="1" applyFill="1" applyBorder="1" applyAlignment="1">
      <alignment horizontal="left" vertical="center"/>
    </xf>
    <xf numFmtId="0" fontId="12" fillId="0" borderId="0" xfId="0" applyFont="1" applyFill="1" applyBorder="1" applyAlignment="1">
      <alignment horizontal="right" vertical="center" shrinkToFit="1"/>
    </xf>
    <xf numFmtId="0" fontId="12" fillId="0" borderId="0" xfId="0" applyNumberFormat="1" applyFont="1" applyFill="1" applyBorder="1" applyAlignment="1">
      <alignment horizontal="right" vertical="center"/>
    </xf>
    <xf numFmtId="0" fontId="12" fillId="0" borderId="0" xfId="0" applyFont="1" applyFill="1" applyBorder="1" applyAlignment="1">
      <alignment horizontal="right" vertical="center"/>
    </xf>
    <xf numFmtId="0" fontId="31" fillId="0" borderId="0" xfId="0" applyFont="1" applyFill="1" applyBorder="1" applyAlignment="1">
      <alignment horizontal="center" vertical="center"/>
    </xf>
    <xf numFmtId="0" fontId="12" fillId="0" borderId="30" xfId="0" applyFont="1" applyFill="1" applyBorder="1" applyAlignment="1" applyProtection="1">
      <alignment vertical="top" shrinkToFit="1"/>
    </xf>
    <xf numFmtId="0" fontId="12" fillId="0" borderId="30" xfId="0" applyFont="1" applyBorder="1" applyAlignment="1" applyProtection="1">
      <alignment vertical="top"/>
      <protection locked="0"/>
    </xf>
    <xf numFmtId="0" fontId="12" fillId="0" borderId="30" xfId="0" applyFont="1" applyFill="1" applyBorder="1" applyAlignment="1" applyProtection="1">
      <alignment vertical="top"/>
    </xf>
    <xf numFmtId="0" fontId="12" fillId="5" borderId="30" xfId="0" applyFont="1" applyFill="1" applyBorder="1" applyAlignment="1" applyProtection="1">
      <alignment vertical="top"/>
    </xf>
    <xf numFmtId="0" fontId="12" fillId="19" borderId="30" xfId="0" applyFont="1" applyFill="1" applyBorder="1" applyAlignment="1" applyProtection="1">
      <alignment vertical="top" shrinkToFit="1"/>
    </xf>
    <xf numFmtId="0" fontId="12" fillId="23" borderId="30" xfId="0" applyFont="1" applyFill="1" applyBorder="1" applyAlignment="1" applyProtection="1">
      <alignment vertical="top"/>
      <protection locked="0"/>
    </xf>
    <xf numFmtId="0" fontId="12" fillId="19" borderId="30" xfId="0" applyFont="1" applyFill="1" applyBorder="1" applyAlignment="1" applyProtection="1">
      <alignment vertical="top"/>
    </xf>
    <xf numFmtId="0" fontId="12" fillId="24" borderId="30" xfId="0" applyFont="1" applyFill="1" applyBorder="1" applyAlignment="1" applyProtection="1">
      <alignment vertical="top"/>
    </xf>
    <xf numFmtId="0" fontId="19" fillId="0" borderId="0" xfId="0" applyFont="1" applyBorder="1" applyAlignment="1" applyProtection="1">
      <alignment horizontal="center" vertical="top" shrinkToFit="1"/>
    </xf>
    <xf numFmtId="0" fontId="12" fillId="19" borderId="0" xfId="0" applyFont="1" applyFill="1" applyBorder="1" applyAlignment="1">
      <alignment horizontal="center" vertical="center"/>
    </xf>
    <xf numFmtId="0" fontId="12" fillId="19" borderId="0" xfId="0" applyFont="1" applyFill="1" applyBorder="1" applyAlignment="1">
      <alignment horizontal="right" vertical="center"/>
    </xf>
    <xf numFmtId="0" fontId="30" fillId="0" borderId="0" xfId="0" applyFont="1" applyFill="1" applyBorder="1" applyAlignment="1">
      <alignment horizontal="center" vertical="center" wrapText="1"/>
    </xf>
    <xf numFmtId="0" fontId="2" fillId="0" borderId="0" xfId="0" applyFont="1" applyFill="1" applyBorder="1" applyAlignment="1">
      <alignment vertical="top"/>
    </xf>
    <xf numFmtId="0" fontId="10" fillId="0" borderId="0" xfId="0" applyFont="1" applyFill="1" applyBorder="1" applyAlignment="1">
      <alignment horizontal="center"/>
    </xf>
    <xf numFmtId="0" fontId="12" fillId="0" borderId="0" xfId="0" applyFont="1" applyFill="1" applyBorder="1" applyAlignment="1">
      <alignment horizontal="right" vertical="top"/>
    </xf>
    <xf numFmtId="0" fontId="10" fillId="0" borderId="0" xfId="0" applyFont="1"/>
    <xf numFmtId="0" fontId="12" fillId="0" borderId="0" xfId="0" applyFont="1" applyFill="1" applyBorder="1" applyAlignment="1">
      <alignment vertical="center"/>
    </xf>
    <xf numFmtId="0" fontId="14" fillId="0" borderId="0" xfId="0" applyFont="1" applyFill="1" applyBorder="1" applyAlignment="1">
      <alignment vertical="center"/>
    </xf>
    <xf numFmtId="0" fontId="12" fillId="0" borderId="0" xfId="0" applyNumberFormat="1" applyFont="1" applyFill="1" applyBorder="1" applyAlignment="1">
      <alignment vertical="center"/>
    </xf>
    <xf numFmtId="0" fontId="5" fillId="0" borderId="0" xfId="0" applyFont="1" applyFill="1" applyBorder="1" applyAlignment="1">
      <alignment horizontal="center" vertical="center" wrapText="1"/>
    </xf>
    <xf numFmtId="0" fontId="32" fillId="0" borderId="0" xfId="0" applyFont="1" applyFill="1" applyBorder="1" applyAlignment="1">
      <alignment horizontal="center" vertical="center" wrapText="1" shrinkToFit="1"/>
    </xf>
    <xf numFmtId="0" fontId="17" fillId="18" borderId="30" xfId="0" applyFont="1" applyFill="1" applyBorder="1" applyAlignment="1">
      <alignment horizontal="center" vertical="center"/>
    </xf>
    <xf numFmtId="0" fontId="12" fillId="0" borderId="0" xfId="0" applyNumberFormat="1" applyFont="1" applyFill="1" applyBorder="1" applyAlignment="1">
      <alignment horizontal="left" vertical="center"/>
    </xf>
    <xf numFmtId="0" fontId="12" fillId="0" borderId="0" xfId="0" quotePrefix="1" applyFont="1" applyFill="1" applyBorder="1" applyAlignment="1">
      <alignment horizontal="left" vertical="center"/>
    </xf>
    <xf numFmtId="0" fontId="25" fillId="0" borderId="0" xfId="0" applyNumberFormat="1" applyFont="1" applyFill="1" applyBorder="1" applyAlignment="1">
      <alignment horizontal="center" vertical="center"/>
    </xf>
    <xf numFmtId="0" fontId="33" fillId="23" borderId="0" xfId="0" applyFont="1" applyFill="1" applyAlignment="1" applyProtection="1">
      <alignment vertical="top" wrapText="1"/>
      <protection locked="0"/>
    </xf>
    <xf numFmtId="0" fontId="0" fillId="17" borderId="0" xfId="0" applyFill="1" applyBorder="1" applyAlignment="1">
      <alignment horizontal="center"/>
    </xf>
    <xf numFmtId="0" fontId="16" fillId="2" borderId="12" xfId="1" applyFont="1" applyFill="1" applyBorder="1" applyAlignment="1">
      <alignment horizontal="center" vertical="center"/>
    </xf>
    <xf numFmtId="0" fontId="16" fillId="2" borderId="15" xfId="1" applyFont="1" applyFill="1" applyBorder="1" applyAlignment="1">
      <alignment horizontal="center" vertical="center"/>
    </xf>
    <xf numFmtId="0" fontId="16" fillId="2" borderId="19" xfId="1" applyFont="1" applyFill="1" applyBorder="1" applyAlignment="1">
      <alignment horizontal="center" vertical="center"/>
    </xf>
    <xf numFmtId="0" fontId="5" fillId="3" borderId="24" xfId="0" applyFont="1" applyFill="1" applyBorder="1" applyAlignment="1">
      <alignment horizontal="center" vertical="center" shrinkToFit="1"/>
    </xf>
    <xf numFmtId="0" fontId="5" fillId="3" borderId="25" xfId="0" applyFont="1" applyFill="1" applyBorder="1" applyAlignment="1">
      <alignment horizontal="center" vertical="center" shrinkToFit="1"/>
    </xf>
    <xf numFmtId="0" fontId="5" fillId="3" borderId="27" xfId="0" applyFont="1" applyFill="1" applyBorder="1" applyAlignment="1">
      <alignment horizontal="center" vertical="center" shrinkToFit="1"/>
    </xf>
    <xf numFmtId="0" fontId="5" fillId="3" borderId="28" xfId="0" applyFont="1" applyFill="1" applyBorder="1" applyAlignment="1">
      <alignment horizontal="center" vertical="center" shrinkToFit="1"/>
    </xf>
    <xf numFmtId="0" fontId="20" fillId="4" borderId="1" xfId="1" applyFont="1" applyFill="1" applyBorder="1" applyAlignment="1">
      <alignment horizontal="center" vertical="center"/>
    </xf>
    <xf numFmtId="0" fontId="20" fillId="4" borderId="2" xfId="1" applyFont="1" applyFill="1" applyBorder="1" applyAlignment="1">
      <alignment horizontal="center" vertical="center"/>
    </xf>
    <xf numFmtId="0" fontId="20" fillId="4" borderId="3" xfId="1" applyFont="1" applyFill="1" applyBorder="1" applyAlignment="1">
      <alignment horizontal="center" vertical="center"/>
    </xf>
    <xf numFmtId="0" fontId="11" fillId="5" borderId="0" xfId="0" applyFont="1" applyFill="1" applyBorder="1" applyAlignment="1">
      <alignment horizontal="center" vertical="center" shrinkToFit="1"/>
    </xf>
    <xf numFmtId="0" fontId="12" fillId="17" borderId="0" xfId="0" applyFont="1" applyFill="1" applyBorder="1" applyAlignment="1">
      <alignment horizontal="justify" vertical="center" wrapText="1"/>
    </xf>
    <xf numFmtId="0" fontId="16" fillId="2" borderId="16" xfId="1" applyFont="1" applyFill="1" applyBorder="1" applyAlignment="1">
      <alignment horizontal="center" vertical="center"/>
    </xf>
    <xf numFmtId="0" fontId="16" fillId="2" borderId="17" xfId="1" applyFont="1" applyFill="1" applyBorder="1" applyAlignment="1">
      <alignment horizontal="center" vertical="center"/>
    </xf>
    <xf numFmtId="0" fontId="16" fillId="2" borderId="18" xfId="1" applyFont="1" applyFill="1" applyBorder="1" applyAlignment="1">
      <alignment horizontal="center" vertical="center"/>
    </xf>
    <xf numFmtId="0" fontId="0" fillId="17" borderId="0" xfId="0" applyFill="1" applyBorder="1" applyAlignment="1">
      <alignment horizontal="center" vertical="center"/>
    </xf>
    <xf numFmtId="0" fontId="10" fillId="17" borderId="0" xfId="0" applyFont="1" applyFill="1" applyBorder="1" applyAlignment="1">
      <alignment horizontal="center" vertical="center" shrinkToFit="1"/>
    </xf>
    <xf numFmtId="0" fontId="19" fillId="2" borderId="21" xfId="0" applyFont="1" applyFill="1" applyBorder="1" applyAlignment="1">
      <alignment horizontal="left" vertical="center" wrapText="1"/>
    </xf>
    <xf numFmtId="0" fontId="19" fillId="2" borderId="9" xfId="0" applyFont="1" applyFill="1" applyBorder="1" applyAlignment="1">
      <alignment horizontal="left" vertical="center" wrapText="1"/>
    </xf>
    <xf numFmtId="0" fontId="19" fillId="2" borderId="22" xfId="0" applyFont="1" applyFill="1" applyBorder="1" applyAlignment="1">
      <alignment horizontal="left" vertical="center" wrapText="1"/>
    </xf>
    <xf numFmtId="0" fontId="26" fillId="3" borderId="5" xfId="0" applyFont="1" applyFill="1" applyBorder="1" applyAlignment="1" applyProtection="1">
      <alignment horizontal="center" vertical="center" wrapText="1" shrinkToFit="1"/>
      <protection locked="0"/>
    </xf>
    <xf numFmtId="0" fontId="26" fillId="3" borderId="5" xfId="0" applyFont="1" applyFill="1" applyBorder="1" applyAlignment="1">
      <alignment horizontal="center" vertical="center" wrapText="1"/>
    </xf>
    <xf numFmtId="0" fontId="12" fillId="17" borderId="20" xfId="0" applyFont="1" applyFill="1" applyBorder="1" applyAlignment="1">
      <alignment horizontal="left" vertical="center" wrapText="1"/>
    </xf>
    <xf numFmtId="0" fontId="12" fillId="17" borderId="0" xfId="0" applyFont="1" applyFill="1" applyBorder="1" applyAlignment="1">
      <alignment horizontal="left" vertical="center" wrapText="1"/>
    </xf>
    <xf numFmtId="0" fontId="10" fillId="17" borderId="0" xfId="0" applyFont="1" applyFill="1" applyBorder="1" applyAlignment="1">
      <alignment horizontal="center" vertical="center"/>
    </xf>
    <xf numFmtId="0" fontId="22" fillId="2" borderId="0" xfId="1" applyFont="1" applyFill="1" applyBorder="1" applyAlignment="1">
      <alignment horizontal="center" vertical="center"/>
    </xf>
    <xf numFmtId="0" fontId="9" fillId="17" borderId="0" xfId="1" applyFill="1" applyBorder="1" applyAlignment="1">
      <alignment horizontal="center" vertical="center"/>
    </xf>
    <xf numFmtId="0" fontId="18" fillId="3" borderId="0" xfId="0" applyFont="1" applyFill="1" applyAlignment="1">
      <alignment horizontal="center" vertical="center" shrinkToFit="1"/>
    </xf>
    <xf numFmtId="0" fontId="17" fillId="4" borderId="0" xfId="0" applyFont="1" applyFill="1" applyAlignment="1">
      <alignment horizontal="center" vertical="center"/>
    </xf>
    <xf numFmtId="0" fontId="5" fillId="3" borderId="26" xfId="0" applyFont="1" applyFill="1" applyBorder="1" applyAlignment="1">
      <alignment horizontal="center" vertical="center" shrinkToFit="1"/>
    </xf>
    <xf numFmtId="0" fontId="5" fillId="3" borderId="29" xfId="0" applyFont="1" applyFill="1" applyBorder="1" applyAlignment="1">
      <alignment horizontal="center" vertical="center" shrinkToFit="1"/>
    </xf>
    <xf numFmtId="0" fontId="8" fillId="2" borderId="0" xfId="0" applyFont="1" applyFill="1" applyBorder="1" applyAlignment="1" applyProtection="1">
      <alignment horizontal="center" vertical="center" textRotation="90"/>
    </xf>
    <xf numFmtId="0" fontId="34" fillId="16" borderId="0" xfId="0" applyNumberFormat="1" applyFont="1" applyFill="1" applyBorder="1" applyAlignment="1" applyProtection="1">
      <alignment horizontal="center" vertical="center" wrapText="1"/>
    </xf>
    <xf numFmtId="0" fontId="35" fillId="4"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left" vertical="center"/>
      <protection locked="0"/>
    </xf>
    <xf numFmtId="0" fontId="37" fillId="4"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wrapText="1"/>
      <protection locked="0"/>
    </xf>
    <xf numFmtId="0" fontId="36" fillId="7" borderId="0" xfId="0" applyFont="1" applyFill="1" applyBorder="1" applyAlignment="1" applyProtection="1">
      <alignment horizontal="left" vertical="center" wrapText="1"/>
      <protection locked="0"/>
    </xf>
    <xf numFmtId="0" fontId="36" fillId="8" borderId="0" xfId="0" applyFont="1" applyFill="1" applyBorder="1" applyAlignment="1" applyProtection="1">
      <alignment horizontal="left" vertical="center" wrapText="1"/>
      <protection locked="0"/>
    </xf>
    <xf numFmtId="0" fontId="36" fillId="9" borderId="0" xfId="0" applyFont="1" applyFill="1" applyBorder="1" applyAlignment="1" applyProtection="1">
      <alignment horizontal="left" vertical="center" wrapText="1"/>
      <protection locked="0"/>
    </xf>
    <xf numFmtId="0" fontId="36" fillId="10" borderId="0" xfId="0" applyFont="1" applyFill="1" applyBorder="1" applyAlignment="1" applyProtection="1">
      <alignment horizontal="left" vertical="center" wrapText="1"/>
      <protection locked="0"/>
    </xf>
    <xf numFmtId="0" fontId="36" fillId="11" borderId="0" xfId="0" applyFont="1" applyFill="1" applyBorder="1" applyAlignment="1" applyProtection="1">
      <alignment horizontal="left" vertical="center" wrapText="1"/>
      <protection locked="0"/>
    </xf>
    <xf numFmtId="0" fontId="36" fillId="6" borderId="0" xfId="0" applyFont="1" applyFill="1" applyBorder="1" applyAlignment="1" applyProtection="1">
      <alignment horizontal="left" vertical="center"/>
      <protection locked="0"/>
    </xf>
    <xf numFmtId="0" fontId="36" fillId="7" borderId="0" xfId="0" applyFont="1" applyFill="1" applyBorder="1" applyAlignment="1" applyProtection="1">
      <alignment horizontal="left" vertical="center"/>
      <protection locked="0"/>
    </xf>
    <xf numFmtId="0" fontId="36" fillId="8" borderId="0" xfId="0" applyFont="1" applyFill="1" applyBorder="1" applyAlignment="1" applyProtection="1">
      <alignment horizontal="left" vertical="center"/>
      <protection locked="0"/>
    </xf>
    <xf numFmtId="0" fontId="36" fillId="9" borderId="0" xfId="0" applyFont="1" applyFill="1" applyBorder="1" applyAlignment="1" applyProtection="1">
      <alignment horizontal="left" vertical="center"/>
      <protection locked="0"/>
    </xf>
    <xf numFmtId="0" fontId="36" fillId="10" borderId="0" xfId="0" applyFont="1" applyFill="1" applyBorder="1" applyAlignment="1" applyProtection="1">
      <alignment horizontal="left" vertical="center"/>
      <protection locked="0"/>
    </xf>
    <xf numFmtId="0" fontId="36" fillId="11" borderId="0" xfId="0" applyFont="1" applyFill="1" applyBorder="1" applyAlignment="1" applyProtection="1">
      <alignment horizontal="left" vertical="center"/>
      <protection locked="0"/>
    </xf>
    <xf numFmtId="0" fontId="36" fillId="12" borderId="0" xfId="0" applyFont="1" applyFill="1" applyBorder="1" applyAlignment="1" applyProtection="1">
      <alignment horizontal="left" vertical="center"/>
      <protection locked="0"/>
    </xf>
    <xf numFmtId="0" fontId="36" fillId="13" borderId="0" xfId="0" applyFont="1" applyFill="1" applyBorder="1" applyAlignment="1" applyProtection="1">
      <alignment horizontal="left" vertical="center"/>
      <protection locked="0"/>
    </xf>
    <xf numFmtId="0" fontId="36" fillId="14" borderId="0" xfId="0" applyFont="1" applyFill="1" applyBorder="1" applyAlignment="1" applyProtection="1">
      <alignment horizontal="left" vertical="center"/>
      <protection locked="0"/>
    </xf>
    <xf numFmtId="0" fontId="36" fillId="15" borderId="0" xfId="0" applyFont="1" applyFill="1" applyBorder="1" applyAlignment="1" applyProtection="1">
      <alignment horizontal="left" vertical="center"/>
      <protection locked="0"/>
    </xf>
    <xf numFmtId="0" fontId="36" fillId="21" borderId="0" xfId="0" applyFont="1" applyFill="1" applyBorder="1" applyAlignment="1" applyProtection="1">
      <alignment horizontal="center" vertical="center" wrapText="1"/>
      <protection locked="0"/>
    </xf>
    <xf numFmtId="0" fontId="34" fillId="16" borderId="0" xfId="0" applyFont="1" applyFill="1" applyBorder="1" applyAlignment="1" applyProtection="1">
      <alignment horizontal="center" vertical="center" wrapText="1"/>
    </xf>
    <xf numFmtId="0" fontId="38" fillId="4" borderId="0" xfId="0" applyFont="1" applyFill="1" applyBorder="1" applyAlignment="1" applyProtection="1">
      <alignment horizontal="left" vertical="center" wrapText="1"/>
      <protection locked="0"/>
    </xf>
    <xf numFmtId="0" fontId="39" fillId="2" borderId="0" xfId="0" applyFont="1" applyFill="1" applyBorder="1" applyAlignment="1" applyProtection="1">
      <alignment horizontal="center" vertical="center" wrapText="1"/>
    </xf>
    <xf numFmtId="0" fontId="34" fillId="21" borderId="0" xfId="0" applyFont="1" applyFill="1" applyBorder="1" applyAlignment="1" applyProtection="1">
      <alignment horizontal="center" vertical="center" wrapText="1"/>
      <protection locked="0"/>
    </xf>
    <xf numFmtId="0" fontId="34" fillId="16" borderId="0" xfId="0" applyNumberFormat="1" applyFont="1" applyFill="1" applyBorder="1" applyAlignment="1" applyProtection="1">
      <alignment horizontal="center" wrapText="1"/>
    </xf>
    <xf numFmtId="0" fontId="4" fillId="2" borderId="0" xfId="0" applyFont="1" applyFill="1" applyBorder="1"/>
    <xf numFmtId="0" fontId="40" fillId="6" borderId="0" xfId="0" applyFont="1" applyFill="1" applyBorder="1" applyAlignment="1" applyProtection="1">
      <alignment horizontal="center" vertical="center" wrapText="1"/>
      <protection locked="0"/>
    </xf>
    <xf numFmtId="0" fontId="40" fillId="7" borderId="0" xfId="0" applyFont="1" applyFill="1" applyBorder="1" applyAlignment="1" applyProtection="1">
      <alignment horizontal="center" vertical="center" wrapText="1"/>
      <protection locked="0"/>
    </xf>
    <xf numFmtId="0" fontId="40" fillId="8" borderId="0" xfId="0" applyFont="1" applyFill="1" applyBorder="1" applyAlignment="1" applyProtection="1">
      <alignment horizontal="center" vertical="center" wrapText="1"/>
      <protection locked="0"/>
    </xf>
    <xf numFmtId="0" fontId="40" fillId="9" borderId="0" xfId="0" applyFont="1" applyFill="1" applyBorder="1" applyAlignment="1" applyProtection="1">
      <alignment horizontal="center" vertical="center" wrapText="1"/>
      <protection locked="0"/>
    </xf>
    <xf numFmtId="0" fontId="40" fillId="10" borderId="0" xfId="0" applyFont="1" applyFill="1" applyBorder="1" applyAlignment="1" applyProtection="1">
      <alignment horizontal="center" vertical="center" wrapText="1"/>
      <protection locked="0"/>
    </xf>
    <xf numFmtId="0" fontId="40" fillId="11" borderId="0" xfId="0" applyFont="1" applyFill="1" applyBorder="1" applyAlignment="1" applyProtection="1">
      <alignment horizontal="center" vertical="center" wrapText="1"/>
      <protection locked="0"/>
    </xf>
    <xf numFmtId="0" fontId="40" fillId="12" borderId="0" xfId="0" applyFont="1" applyFill="1" applyBorder="1" applyAlignment="1" applyProtection="1">
      <alignment horizontal="center" vertical="center"/>
      <protection locked="0"/>
    </xf>
    <xf numFmtId="0" fontId="40" fillId="13" borderId="0" xfId="0" applyFont="1" applyFill="1" applyBorder="1" applyAlignment="1" applyProtection="1">
      <alignment horizontal="center" vertical="center"/>
      <protection locked="0"/>
    </xf>
    <xf numFmtId="0" fontId="40" fillId="14" borderId="0" xfId="0" applyFont="1" applyFill="1" applyBorder="1" applyAlignment="1" applyProtection="1">
      <alignment horizontal="center" vertical="center"/>
      <protection locked="0"/>
    </xf>
    <xf numFmtId="0" fontId="40" fillId="15" borderId="0" xfId="0" applyFont="1" applyFill="1" applyBorder="1" applyAlignment="1" applyProtection="1">
      <alignment horizontal="center" vertical="center"/>
      <protection locked="0"/>
    </xf>
    <xf numFmtId="0" fontId="34" fillId="16" borderId="0" xfId="0" applyFont="1" applyFill="1" applyBorder="1" applyAlignment="1" applyProtection="1">
      <alignment horizontal="center" vertical="center"/>
    </xf>
    <xf numFmtId="0" fontId="41" fillId="0" borderId="0" xfId="0" applyFont="1" applyBorder="1" applyAlignment="1" applyProtection="1">
      <alignment vertical="center"/>
      <protection locked="0"/>
    </xf>
    <xf numFmtId="0" fontId="42" fillId="0" borderId="0" xfId="0" applyFont="1" applyBorder="1" applyAlignment="1" applyProtection="1">
      <alignment vertical="center"/>
      <protection locked="0"/>
    </xf>
    <xf numFmtId="0" fontId="38" fillId="4" borderId="0" xfId="0" applyFont="1" applyFill="1" applyBorder="1" applyAlignment="1" applyProtection="1">
      <alignment horizontal="center" vertical="center" shrinkToFit="1"/>
      <protection locked="0"/>
    </xf>
    <xf numFmtId="0" fontId="40" fillId="6" borderId="0" xfId="0" applyFont="1" applyFill="1" applyBorder="1" applyAlignment="1" applyProtection="1">
      <alignment horizontal="center" vertical="center"/>
      <protection locked="0"/>
    </xf>
    <xf numFmtId="0" fontId="40" fillId="7" borderId="0" xfId="0" applyFont="1" applyFill="1" applyBorder="1" applyAlignment="1" applyProtection="1">
      <alignment horizontal="center" vertical="center"/>
      <protection locked="0"/>
    </xf>
    <xf numFmtId="0" fontId="40" fillId="9" borderId="0" xfId="0" applyFont="1" applyFill="1" applyBorder="1" applyAlignment="1" applyProtection="1">
      <alignment horizontal="center" vertical="center"/>
      <protection locked="0"/>
    </xf>
    <xf numFmtId="0" fontId="40" fillId="10" borderId="0" xfId="0" applyFont="1" applyFill="1" applyBorder="1" applyAlignment="1" applyProtection="1">
      <alignment horizontal="center" vertical="center"/>
      <protection locked="0"/>
    </xf>
    <xf numFmtId="0" fontId="40" fillId="11" borderId="0" xfId="0" applyFont="1" applyFill="1" applyBorder="1" applyAlignment="1" applyProtection="1">
      <alignment horizontal="center" vertical="center"/>
      <protection locked="0"/>
    </xf>
    <xf numFmtId="0" fontId="34" fillId="2" borderId="0" xfId="0" applyFont="1" applyFill="1" applyBorder="1" applyAlignment="1" applyProtection="1">
      <alignment vertical="center"/>
    </xf>
    <xf numFmtId="0" fontId="43" fillId="0" borderId="0" xfId="0" applyFont="1" applyBorder="1" applyAlignment="1" applyProtection="1">
      <alignment vertical="center"/>
      <protection locked="0"/>
    </xf>
    <xf numFmtId="0" fontId="36" fillId="2" borderId="0" xfId="0" applyFont="1" applyFill="1" applyBorder="1" applyAlignment="1" applyProtection="1">
      <alignment vertical="center"/>
      <protection locked="0"/>
    </xf>
    <xf numFmtId="0" fontId="36" fillId="12" borderId="0" xfId="0" applyFont="1" applyFill="1" applyBorder="1" applyAlignment="1" applyProtection="1">
      <alignment horizontal="center" vertical="center"/>
      <protection locked="0"/>
    </xf>
    <xf numFmtId="0" fontId="36" fillId="13" borderId="0" xfId="0" applyFont="1" applyFill="1" applyBorder="1" applyAlignment="1" applyProtection="1">
      <alignment horizontal="center" vertical="center"/>
      <protection locked="0"/>
    </xf>
    <xf numFmtId="0" fontId="36" fillId="14" borderId="0" xfId="0" applyFont="1" applyFill="1" applyBorder="1" applyAlignment="1" applyProtection="1">
      <alignment horizontal="center" vertical="center"/>
      <protection locked="0"/>
    </xf>
    <xf numFmtId="0" fontId="36" fillId="15" borderId="0" xfId="0" applyFont="1" applyFill="1" applyBorder="1" applyAlignment="1" applyProtection="1">
      <alignment horizontal="center" vertical="center"/>
      <protection locked="0"/>
    </xf>
    <xf numFmtId="0" fontId="36" fillId="2" borderId="0" xfId="0" applyFont="1" applyFill="1" applyBorder="1" applyAlignment="1" applyProtection="1">
      <alignment horizontal="center" wrapText="1"/>
    </xf>
    <xf numFmtId="0" fontId="44" fillId="2" borderId="0" xfId="0" applyFont="1" applyFill="1" applyBorder="1" applyAlignment="1" applyProtection="1">
      <alignment vertical="center"/>
    </xf>
    <xf numFmtId="0" fontId="36" fillId="6" borderId="0" xfId="0" applyFont="1" applyFill="1" applyBorder="1" applyAlignment="1" applyProtection="1">
      <alignment horizontal="left" vertical="center" wrapText="1" indent="1"/>
      <protection locked="0"/>
    </xf>
    <xf numFmtId="0" fontId="36" fillId="9" borderId="0" xfId="0" applyFont="1" applyFill="1" applyBorder="1" applyAlignment="1" applyProtection="1">
      <alignment horizontal="left" vertical="center" wrapText="1" indent="1"/>
      <protection locked="0"/>
    </xf>
    <xf numFmtId="0" fontId="36" fillId="10" borderId="0" xfId="0" applyFont="1" applyFill="1" applyBorder="1" applyAlignment="1" applyProtection="1">
      <alignment horizontal="left" vertical="center" wrapText="1" indent="1"/>
      <protection locked="0"/>
    </xf>
    <xf numFmtId="0" fontId="36" fillId="11" borderId="0" xfId="0" applyFont="1" applyFill="1" applyBorder="1" applyAlignment="1" applyProtection="1">
      <alignment horizontal="left" vertical="center" wrapText="1" indent="1"/>
      <protection locked="0"/>
    </xf>
    <xf numFmtId="0" fontId="43" fillId="7" borderId="0" xfId="0" applyFont="1" applyFill="1" applyBorder="1" applyAlignment="1" applyProtection="1">
      <alignment horizontal="left" vertical="center" wrapText="1"/>
      <protection locked="0"/>
    </xf>
    <xf numFmtId="0" fontId="43" fillId="6" borderId="0" xfId="0" applyFont="1" applyFill="1" applyBorder="1" applyAlignment="1" applyProtection="1">
      <alignment horizontal="left" vertical="center" wrapText="1"/>
      <protection locked="0"/>
    </xf>
    <xf numFmtId="0" fontId="43" fillId="12" borderId="0" xfId="0" applyFont="1" applyFill="1" applyBorder="1" applyAlignment="1" applyProtection="1">
      <alignment horizontal="left" vertical="center"/>
      <protection locked="0"/>
    </xf>
    <xf numFmtId="0" fontId="43" fillId="13" borderId="0" xfId="0" applyFont="1" applyFill="1" applyBorder="1" applyAlignment="1" applyProtection="1">
      <alignment horizontal="left" vertical="center"/>
      <protection locked="0"/>
    </xf>
    <xf numFmtId="0" fontId="43" fillId="14" borderId="0" xfId="0" applyFont="1" applyFill="1" applyBorder="1" applyAlignment="1" applyProtection="1">
      <alignment horizontal="left" vertical="center"/>
      <protection locked="0"/>
    </xf>
    <xf numFmtId="0" fontId="43" fillId="15" borderId="0" xfId="0" applyFont="1" applyFill="1" applyBorder="1" applyAlignment="1" applyProtection="1">
      <alignment horizontal="left" vertical="center"/>
      <protection locked="0"/>
    </xf>
  </cellXfs>
  <cellStyles count="2">
    <cellStyle name="Hipervínculo" xfId="1" builtinId="8"/>
    <cellStyle name="Normal" xfId="0" builtinId="0"/>
  </cellStyles>
  <dxfs count="339">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strike val="0"/>
        <outline val="0"/>
        <shadow val="0"/>
        <u val="none"/>
        <vertAlign val="baseline"/>
        <sz val="11"/>
        <color rgb="FF005877"/>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theme="0"/>
        <name val="Calibri"/>
        <scheme val="minor"/>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right" vertical="center" textRotation="0" wrapText="0" indent="0" justifyLastLine="0" shrinkToFit="1"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9"/>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top"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rgb="FFE87B00"/>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bottom/>
      </border>
    </dxf>
    <dxf>
      <font>
        <strike val="0"/>
        <outline val="0"/>
        <shadow val="0"/>
        <u val="none"/>
        <vertAlign val="baseline"/>
        <color rgb="FF005877"/>
        <name val="Calibri"/>
        <scheme val="minor"/>
      </font>
      <numFmt numFmtId="0" formatCode="General"/>
      <alignment horizontal="center" vertical="center" textRotation="0" wrapText="0" indent="0" justifyLastLine="0" shrinkToFit="0" readingOrder="0"/>
    </dxf>
    <dxf>
      <border diagonalUp="0" diagonalDown="0">
        <left style="thick">
          <color rgb="FF005877"/>
        </left>
        <right style="thick">
          <color rgb="FF005877"/>
        </right>
        <top style="thick">
          <color rgb="FF005877"/>
        </top>
        <bottom style="thick">
          <color rgb="FF005877"/>
        </bottom>
      </border>
    </dxf>
    <dxf>
      <font>
        <b val="0"/>
        <i val="0"/>
        <strike val="0"/>
        <condense val="0"/>
        <extend val="0"/>
        <outline val="0"/>
        <shadow val="0"/>
        <u val="none"/>
        <vertAlign val="baseline"/>
        <sz val="11"/>
        <color rgb="FF005877"/>
        <name val="Calibri"/>
        <scheme val="minor"/>
      </font>
      <fill>
        <patternFill patternType="none">
          <fgColor indexed="64"/>
          <bgColor indexed="65"/>
        </patternFill>
      </fill>
      <alignment horizontal="general"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strike val="0"/>
        <outline val="0"/>
        <shadow val="0"/>
        <u val="none"/>
        <vertAlign val="baseline"/>
        <sz val="9"/>
        <name val="Calibri"/>
        <scheme val="minor"/>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1"/>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FF0000"/>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center" vertical="bottom" textRotation="0" wrapText="1" indent="0" justifyLastLine="0" shrinkToFit="0" readingOrder="0"/>
      <protection locked="1" hidden="0"/>
    </dxf>
    <dxf>
      <font>
        <strike val="0"/>
        <outline val="0"/>
        <shadow val="0"/>
        <u val="none"/>
        <vertAlign val="baseline"/>
        <sz val="9"/>
        <name val="Calibri"/>
        <scheme val="minor"/>
      </font>
    </dxf>
    <dxf>
      <fill>
        <patternFill>
          <bgColor theme="0" tint="-0.14996795556505021"/>
        </patternFill>
      </fill>
    </dxf>
    <dxf>
      <fill>
        <patternFill>
          <bgColor theme="0" tint="-4.9989318521683403E-2"/>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val="0"/>
        <strike val="0"/>
        <outline val="0"/>
        <shadow val="0"/>
        <u val="none"/>
        <vertAlign val="baseline"/>
        <sz val="9"/>
        <name val="Calibri"/>
        <scheme val="minor"/>
      </font>
    </dxf>
    <dxf>
      <font>
        <b val="0"/>
      </font>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0"/>
        <color theme="1"/>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11"/>
        <color rgb="FFFF0000"/>
        <name val="Calibri"/>
        <scheme val="minor"/>
      </font>
      <alignment horizontal="general"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5"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5999938962981048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ill>
        <patternFill patternType="solid">
          <fgColor indexed="64"/>
          <bgColor theme="0"/>
        </patternFill>
      </fill>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bottom"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8"/>
        <color rgb="FF005877"/>
        <name val="Calibri"/>
        <scheme val="minor"/>
      </font>
      <fill>
        <patternFill patternType="solid">
          <fgColor indexed="64"/>
          <bgColor theme="0"/>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1" indent="0" justifyLastLine="0" shrinkToFit="0" readingOrder="0"/>
      <protection locked="1" hidden="0"/>
    </dxf>
    <dxf>
      <border diagonalUp="0" diagonalDown="0">
        <left/>
        <right style="medium">
          <color rgb="FF005877"/>
        </right>
        <top/>
        <bottom/>
        <vertical/>
        <horizontal/>
      </border>
    </dxf>
    <dxf>
      <border diagonalUp="0" diagonalDown="0">
        <left style="medium">
          <color rgb="FF005877"/>
        </left>
        <right/>
        <top/>
        <bottom/>
        <vertical/>
        <horizontal/>
      </border>
    </dxf>
    <dxf>
      <border outline="0">
        <left style="medium">
          <color rgb="FF005877"/>
        </left>
        <right style="medium">
          <color rgb="FF005877"/>
        </right>
        <top style="medium">
          <color rgb="FF005877"/>
        </top>
      </border>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s>
  <tableStyles count="1" defaultTableStyle="TableStyleMedium2" defaultPivotStyle="PivotStyleLight16">
    <tableStyle name="Tabla_UCA" pivot="0" count="8">
      <tableStyleElement type="wholeTable" dxfId="338"/>
      <tableStyleElement type="headerRow" dxfId="337"/>
      <tableStyleElement type="totalRow" dxfId="336"/>
      <tableStyleElement type="firstColumn" dxfId="335"/>
      <tableStyleElement type="lastColumn" dxfId="334"/>
      <tableStyleElement type="firstRowStripe" dxfId="333"/>
      <tableStyleElement type="firstColumnStripe" dxfId="332"/>
      <tableStyleElement type="lastTotalCell" dxfId="331"/>
    </tableStyle>
  </tableStyles>
  <colors>
    <mruColors>
      <color rgb="FF005877"/>
      <color rgb="FFE87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jpeg"/><Relationship Id="rId3" Type="http://schemas.openxmlformats.org/officeDocument/2006/relationships/hyperlink" Target="https://www.youtube.com/channel/UCTkOmf2IiTvxn1ch9hYjYQQ" TargetMode="External"/><Relationship Id="rId7" Type="http://schemas.openxmlformats.org/officeDocument/2006/relationships/hyperlink" Target="https://www.uca.es" TargetMode="Externa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3.png"/><Relationship Id="rId5" Type="http://schemas.openxmlformats.org/officeDocument/2006/relationships/hyperlink" Target="https://www.gnu.org/licenses/agpl-3.0.en.html" TargetMode="External"/><Relationship Id="rId4" Type="http://schemas.openxmlformats.org/officeDocument/2006/relationships/hyperlink" Target="https://github.com/MilagrosHuerta/FastTest-PlugIn" TargetMode="External"/></Relationships>
</file>

<file path=xl/drawings/_rels/drawing2.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5.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6.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7.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8.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9.xml.rels><?xml version="1.0" encoding="UTF-8" standalone="yes"?>
<Relationships xmlns="http://schemas.openxmlformats.org/package/2006/relationships"><Relationship Id="rId3" Type="http://schemas.openxmlformats.org/officeDocument/2006/relationships/hyperlink" Target="https://www.youtube.com/channel/UCTkOmf2IiTvxn1ch9hYjYQQ" TargetMode="Externa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4</xdr:row>
      <xdr:rowOff>0</xdr:rowOff>
    </xdr:from>
    <xdr:to>
      <xdr:col>6</xdr:col>
      <xdr:colOff>488522</xdr:colOff>
      <xdr:row>10</xdr:row>
      <xdr:rowOff>48710</xdr:rowOff>
    </xdr:to>
    <xdr:pic macro="[0]!MOODLE_Haga_clic_en">
      <xdr:nvPicPr>
        <xdr:cNvPr id="31" name="MOODLE"/>
        <xdr:cNvPicPr>
          <a:picLocks noChangeAspect="1"/>
        </xdr:cNvPicPr>
      </xdr:nvPicPr>
      <xdr:blipFill rotWithShape="1">
        <a:blip xmlns:r="http://schemas.openxmlformats.org/officeDocument/2006/relationships" r:embed="rId1"/>
        <a:srcRect l="-14323" r="-1"/>
        <a:stretch/>
      </xdr:blipFill>
      <xdr:spPr>
        <a:xfrm>
          <a:off x="2473657" y="732146"/>
          <a:ext cx="1014528" cy="873262"/>
        </a:xfrm>
        <a:prstGeom prst="rect">
          <a:avLst/>
        </a:prstGeom>
      </xdr:spPr>
    </xdr:pic>
    <xdr:clientData/>
  </xdr:twoCellAnchor>
  <xdr:twoCellAnchor editAs="oneCell">
    <xdr:from>
      <xdr:col>12</xdr:col>
      <xdr:colOff>526007</xdr:colOff>
      <xdr:row>4</xdr:row>
      <xdr:rowOff>0</xdr:rowOff>
    </xdr:from>
    <xdr:to>
      <xdr:col>14</xdr:col>
      <xdr:colOff>449848</xdr:colOff>
      <xdr:row>10</xdr:row>
      <xdr:rowOff>30420</xdr:rowOff>
    </xdr:to>
    <xdr:pic>
      <xdr:nvPicPr>
        <xdr:cNvPr id="30" name="FTP"/>
        <xdr:cNvPicPr>
          <a:picLocks noChangeAspect="1"/>
        </xdr:cNvPicPr>
      </xdr:nvPicPr>
      <xdr:blipFill rotWithShape="1">
        <a:blip xmlns:r="http://schemas.openxmlformats.org/officeDocument/2006/relationships" r:embed="rId2"/>
        <a:srcRect l="-13960" r="-2"/>
        <a:stretch/>
      </xdr:blipFill>
      <xdr:spPr>
        <a:xfrm>
          <a:off x="6681716" y="732146"/>
          <a:ext cx="975856" cy="854972"/>
        </a:xfrm>
        <a:prstGeom prst="rect">
          <a:avLst/>
        </a:prstGeom>
      </xdr:spPr>
    </xdr:pic>
    <xdr:clientData/>
  </xdr:twoCellAnchor>
  <xdr:twoCellAnchor>
    <xdr:from>
      <xdr:col>14</xdr:col>
      <xdr:colOff>511791</xdr:colOff>
      <xdr:row>5</xdr:row>
      <xdr:rowOff>7872</xdr:rowOff>
    </xdr:from>
    <xdr:to>
      <xdr:col>17</xdr:col>
      <xdr:colOff>518901</xdr:colOff>
      <xdr:row>6</xdr:row>
      <xdr:rowOff>173182</xdr:rowOff>
    </xdr:to>
    <xdr:sp macro="" textlink="">
      <xdr:nvSpPr>
        <xdr:cNvPr id="13" name="Enlace YouTube">
          <a:hlinkClick xmlns:r="http://schemas.openxmlformats.org/officeDocument/2006/relationships" r:id="rId3"/>
        </xdr:cNvPr>
        <xdr:cNvSpPr/>
      </xdr:nvSpPr>
      <xdr:spPr>
        <a:xfrm>
          <a:off x="7719515" y="939047"/>
          <a:ext cx="1585132" cy="2435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7109</xdr:colOff>
      <xdr:row>7</xdr:row>
      <xdr:rowOff>78190</xdr:rowOff>
    </xdr:from>
    <xdr:to>
      <xdr:col>17</xdr:col>
      <xdr:colOff>511791</xdr:colOff>
      <xdr:row>9</xdr:row>
      <xdr:rowOff>7107</xdr:rowOff>
    </xdr:to>
    <xdr:sp macro="" textlink="">
      <xdr:nvSpPr>
        <xdr:cNvPr id="19" name="Enlace APP">
          <a:hlinkClick xmlns:r="http://schemas.openxmlformats.org/officeDocument/2006/relationships" r:id="rId4"/>
        </xdr:cNvPr>
        <xdr:cNvSpPr/>
      </xdr:nvSpPr>
      <xdr:spPr>
        <a:xfrm>
          <a:off x="7740840" y="1279477"/>
          <a:ext cx="1556697" cy="1990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32" name="Cualquier Idioma"/>
        <xdr:cNvSpPr/>
      </xdr:nvSpPr>
      <xdr:spPr>
        <a:xfrm>
          <a:off x="0" y="2066925"/>
          <a:ext cx="699943" cy="432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xdr:col>
      <xdr:colOff>21980</xdr:colOff>
      <xdr:row>22</xdr:row>
      <xdr:rowOff>7327</xdr:rowOff>
    </xdr:from>
    <xdr:to>
      <xdr:col>3</xdr:col>
      <xdr:colOff>523991</xdr:colOff>
      <xdr:row>25</xdr:row>
      <xdr:rowOff>168519</xdr:rowOff>
    </xdr:to>
    <xdr:sp macro="[0]!IR_OM" textlink="">
      <xdr:nvSpPr>
        <xdr:cNvPr id="34" name="OM"/>
        <xdr:cNvSpPr/>
      </xdr:nvSpPr>
      <xdr:spPr>
        <a:xfrm>
          <a:off x="923192" y="3091962"/>
          <a:ext cx="1029549"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527538</xdr:colOff>
      <xdr:row>22</xdr:row>
      <xdr:rowOff>0</xdr:rowOff>
    </xdr:from>
    <xdr:to>
      <xdr:col>5</xdr:col>
      <xdr:colOff>520397</xdr:colOff>
      <xdr:row>25</xdr:row>
      <xdr:rowOff>161192</xdr:rowOff>
    </xdr:to>
    <xdr:sp macro="[0]!IR_O2" textlink="">
      <xdr:nvSpPr>
        <xdr:cNvPr id="35" name="O2"/>
        <xdr:cNvSpPr/>
      </xdr:nvSpPr>
      <xdr:spPr>
        <a:xfrm>
          <a:off x="1956288" y="3084635"/>
          <a:ext cx="1047936" cy="60813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6</xdr:col>
      <xdr:colOff>0</xdr:colOff>
      <xdr:row>21</xdr:row>
      <xdr:rowOff>58615</xdr:rowOff>
    </xdr:from>
    <xdr:to>
      <xdr:col>7</xdr:col>
      <xdr:colOff>514763</xdr:colOff>
      <xdr:row>25</xdr:row>
      <xdr:rowOff>168518</xdr:rowOff>
    </xdr:to>
    <xdr:sp macro="[0]!IR_VF" textlink="">
      <xdr:nvSpPr>
        <xdr:cNvPr id="36" name="VF"/>
        <xdr:cNvSpPr/>
      </xdr:nvSpPr>
      <xdr:spPr>
        <a:xfrm>
          <a:off x="3011365" y="3084634"/>
          <a:ext cx="1042302"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0</xdr:colOff>
      <xdr:row>22</xdr:row>
      <xdr:rowOff>0</xdr:rowOff>
    </xdr:from>
    <xdr:to>
      <xdr:col>9</xdr:col>
      <xdr:colOff>504404</xdr:colOff>
      <xdr:row>25</xdr:row>
      <xdr:rowOff>168519</xdr:rowOff>
    </xdr:to>
    <xdr:sp macro="[0]!IR_E" textlink="">
      <xdr:nvSpPr>
        <xdr:cNvPr id="37" name="EM"/>
        <xdr:cNvSpPr/>
      </xdr:nvSpPr>
      <xdr:spPr>
        <a:xfrm>
          <a:off x="4066442" y="3084635"/>
          <a:ext cx="1031943" cy="61546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22</xdr:row>
      <xdr:rowOff>0</xdr:rowOff>
    </xdr:from>
    <xdr:to>
      <xdr:col>11</xdr:col>
      <xdr:colOff>504200</xdr:colOff>
      <xdr:row>25</xdr:row>
      <xdr:rowOff>183173</xdr:rowOff>
    </xdr:to>
    <xdr:sp macro="[0]!IR_RC" textlink="">
      <xdr:nvSpPr>
        <xdr:cNvPr id="38" name="RC"/>
        <xdr:cNvSpPr/>
      </xdr:nvSpPr>
      <xdr:spPr>
        <a:xfrm>
          <a:off x="5121519" y="3084635"/>
          <a:ext cx="1031739"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21</xdr:row>
      <xdr:rowOff>58615</xdr:rowOff>
    </xdr:from>
    <xdr:to>
      <xdr:col>13</xdr:col>
      <xdr:colOff>510025</xdr:colOff>
      <xdr:row>25</xdr:row>
      <xdr:rowOff>183172</xdr:rowOff>
    </xdr:to>
    <xdr:sp macro="[0]!IR_PP" textlink="">
      <xdr:nvSpPr>
        <xdr:cNvPr id="39" name="PP"/>
        <xdr:cNvSpPr/>
      </xdr:nvSpPr>
      <xdr:spPr>
        <a:xfrm>
          <a:off x="6176596" y="3084634"/>
          <a:ext cx="1037564" cy="63011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0</xdr:colOff>
      <xdr:row>22</xdr:row>
      <xdr:rowOff>0</xdr:rowOff>
    </xdr:from>
    <xdr:to>
      <xdr:col>15</xdr:col>
      <xdr:colOff>503444</xdr:colOff>
      <xdr:row>25</xdr:row>
      <xdr:rowOff>175846</xdr:rowOff>
    </xdr:to>
    <xdr:sp macro="[0]!IR_EN" textlink="">
      <xdr:nvSpPr>
        <xdr:cNvPr id="40" name="EN"/>
        <xdr:cNvSpPr/>
      </xdr:nvSpPr>
      <xdr:spPr>
        <a:xfrm>
          <a:off x="7231673" y="3084635"/>
          <a:ext cx="1030983"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22</xdr:row>
      <xdr:rowOff>0</xdr:rowOff>
    </xdr:from>
    <xdr:to>
      <xdr:col>17</xdr:col>
      <xdr:colOff>515160</xdr:colOff>
      <xdr:row>25</xdr:row>
      <xdr:rowOff>175846</xdr:rowOff>
    </xdr:to>
    <xdr:sp macro="[0]!IR_CL" textlink="">
      <xdr:nvSpPr>
        <xdr:cNvPr id="41" name="CL"/>
        <xdr:cNvSpPr/>
      </xdr:nvSpPr>
      <xdr:spPr>
        <a:xfrm>
          <a:off x="8286750" y="3084635"/>
          <a:ext cx="1042698" cy="62278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26</xdr:row>
      <xdr:rowOff>78190</xdr:rowOff>
    </xdr:from>
    <xdr:to>
      <xdr:col>15</xdr:col>
      <xdr:colOff>504683</xdr:colOff>
      <xdr:row>28</xdr:row>
      <xdr:rowOff>19920</xdr:rowOff>
    </xdr:to>
    <xdr:pic>
      <xdr:nvPicPr>
        <xdr:cNvPr id="18" name="Imagen 17">
          <a:hlinkClick xmlns:r="http://schemas.openxmlformats.org/officeDocument/2006/relationships" r:id="rId5"/>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33731" y="3859757"/>
          <a:ext cx="504683" cy="211842"/>
        </a:xfrm>
        <a:prstGeom prst="rect">
          <a:avLst/>
        </a:prstGeom>
      </xdr:spPr>
    </xdr:pic>
    <xdr:clientData/>
  </xdr:twoCellAnchor>
  <xdr:twoCellAnchor editAs="absolute">
    <xdr:from>
      <xdr:col>15</xdr:col>
      <xdr:colOff>0</xdr:colOff>
      <xdr:row>29</xdr:row>
      <xdr:rowOff>1990</xdr:rowOff>
    </xdr:from>
    <xdr:to>
      <xdr:col>17</xdr:col>
      <xdr:colOff>493900</xdr:colOff>
      <xdr:row>33</xdr:row>
      <xdr:rowOff>65439</xdr:rowOff>
    </xdr:to>
    <xdr:pic>
      <xdr:nvPicPr>
        <xdr:cNvPr id="21" name="UCA">
          <a:hlinkClick xmlns:r="http://schemas.openxmlformats.org/officeDocument/2006/relationships" r:id="rId7"/>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7733731" y="4129869"/>
          <a:ext cx="1545915" cy="605663"/>
        </a:xfrm>
        <a:prstGeom prst="rect">
          <a:avLst/>
        </a:prstGeom>
        <a:ln w="25400">
          <a:solidFill>
            <a:srgbClr val="E87B00"/>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31" name="MENU"/>
        <xdr:cNvGrpSpPr/>
      </xdr:nvGrpSpPr>
      <xdr:grpSpPr>
        <a:xfrm>
          <a:off x="1706880" y="0"/>
          <a:ext cx="5037660" cy="660514"/>
          <a:chOff x="1724476" y="0"/>
          <a:chExt cx="5037660" cy="660514"/>
        </a:xfrm>
      </xdr:grpSpPr>
      <xdr:sp macro="" textlink="">
        <xdr:nvSpPr>
          <xdr:cNvPr id="32"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3" name="FTP-MOODLE"/>
          <xdr:cNvGrpSpPr/>
        </xdr:nvGrpSpPr>
        <xdr:grpSpPr>
          <a:xfrm>
            <a:off x="5320436" y="0"/>
            <a:ext cx="427979" cy="660514"/>
            <a:chOff x="7590235" y="0"/>
            <a:chExt cx="427979" cy="666705"/>
          </a:xfrm>
        </xdr:grpSpPr>
        <xdr:pic>
          <xdr:nvPicPr>
            <xdr:cNvPr id="45"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46"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34"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35"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36" name="TIPO PREGUNTAS"/>
          <xdr:cNvGrpSpPr/>
        </xdr:nvGrpSpPr>
        <xdr:grpSpPr>
          <a:xfrm>
            <a:off x="1724476" y="15241"/>
            <a:ext cx="3589860" cy="610800"/>
            <a:chOff x="1724476" y="15241"/>
            <a:chExt cx="3589860" cy="610800"/>
          </a:xfrm>
        </xdr:grpSpPr>
        <xdr:sp macro="[0]!IR_OM" textlink="">
          <xdr:nvSpPr>
            <xdr:cNvPr id="37"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38"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39"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40"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41"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42"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43"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44"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5" name="MENU"/>
        <xdr:cNvGrpSpPr/>
      </xdr:nvGrpSpPr>
      <xdr:grpSpPr>
        <a:xfrm>
          <a:off x="1706880" y="0"/>
          <a:ext cx="5037660" cy="66051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29"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0"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19"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0" name="TIPO PREGUNTAS"/>
          <xdr:cNvGrpSpPr/>
        </xdr:nvGrpSpPr>
        <xdr:grpSpPr>
          <a:xfrm>
            <a:off x="1724476" y="15241"/>
            <a:ext cx="3589860" cy="610800"/>
            <a:chOff x="1724476" y="15241"/>
            <a:chExt cx="3589860" cy="610800"/>
          </a:xfrm>
        </xdr:grpSpPr>
        <xdr:sp macro="[0]!IR_OM" textlink="">
          <xdr:nvSpPr>
            <xdr:cNvPr id="21"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2"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3"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4"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5"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6"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7"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8"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31"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35674</xdr:rowOff>
    </xdr:to>
    <xdr:grpSp>
      <xdr:nvGrpSpPr>
        <xdr:cNvPr id="16" name="MENU"/>
        <xdr:cNvGrpSpPr/>
      </xdr:nvGrpSpPr>
      <xdr:grpSpPr>
        <a:xfrm>
          <a:off x="1706880" y="0"/>
          <a:ext cx="5037660" cy="660514"/>
          <a:chOff x="1724476" y="0"/>
          <a:chExt cx="5037660" cy="660514"/>
        </a:xfrm>
      </xdr:grpSpPr>
      <xdr:sp macro="" textlink="">
        <xdr:nvSpPr>
          <xdr:cNvPr id="17"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8"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9"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4</xdr:col>
      <xdr:colOff>1197180</xdr:colOff>
      <xdr:row>1</xdr:row>
      <xdr:rowOff>311236</xdr:rowOff>
    </xdr:to>
    <xdr:pic>
      <xdr:nvPicPr>
        <xdr:cNvPr id="15"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0</xdr:row>
      <xdr:rowOff>0</xdr:rowOff>
    </xdr:from>
    <xdr:to>
      <xdr:col>5</xdr:col>
      <xdr:colOff>5037660</xdr:colOff>
      <xdr:row>2</xdr:row>
      <xdr:rowOff>31864</xdr:rowOff>
    </xdr:to>
    <xdr:grpSp>
      <xdr:nvGrpSpPr>
        <xdr:cNvPr id="15" name="MENU"/>
        <xdr:cNvGrpSpPr/>
      </xdr:nvGrpSpPr>
      <xdr:grpSpPr>
        <a:xfrm>
          <a:off x="1706880" y="0"/>
          <a:ext cx="5037660" cy="656704"/>
          <a:chOff x="1724476" y="0"/>
          <a:chExt cx="5037660" cy="660514"/>
        </a:xfrm>
      </xdr:grpSpPr>
      <xdr:sp macro="" textlink="">
        <xdr:nvSpPr>
          <xdr:cNvPr id="16" name="FONDO BLANCO"/>
          <xdr:cNvSpPr/>
        </xdr:nvSpPr>
        <xdr:spPr>
          <a:xfrm>
            <a:off x="5311140" y="7620"/>
            <a:ext cx="541020" cy="61722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17" name="FTP-MOODLE"/>
          <xdr:cNvGrpSpPr/>
        </xdr:nvGrpSpPr>
        <xdr:grpSpPr>
          <a:xfrm>
            <a:off x="5320436" y="0"/>
            <a:ext cx="427979" cy="660514"/>
            <a:chOff x="7590235" y="0"/>
            <a:chExt cx="427979" cy="666705"/>
          </a:xfrm>
        </xdr:grpSpPr>
        <xdr:pic>
          <xdr:nvPicPr>
            <xdr:cNvPr id="30" name="Moodle"/>
            <xdr:cNvPicPr>
              <a:picLocks noChangeAspect="1"/>
            </xdr:cNvPicPr>
          </xdr:nvPicPr>
          <xdr:blipFill rotWithShape="1">
            <a:blip xmlns:r="http://schemas.openxmlformats.org/officeDocument/2006/relationships" r:embed="rId1"/>
            <a:srcRect l="-14323" r="-1"/>
            <a:stretch/>
          </xdr:blipFill>
          <xdr:spPr>
            <a:xfrm>
              <a:off x="7590235" y="0"/>
              <a:ext cx="427979" cy="363096"/>
            </a:xfrm>
            <a:prstGeom prst="rect">
              <a:avLst/>
            </a:prstGeom>
          </xdr:spPr>
        </xdr:pic>
        <xdr:pic>
          <xdr:nvPicPr>
            <xdr:cNvPr id="31" name="FTP"/>
            <xdr:cNvPicPr>
              <a:picLocks noChangeAspect="1"/>
            </xdr:cNvPicPr>
          </xdr:nvPicPr>
          <xdr:blipFill rotWithShape="1">
            <a:blip xmlns:r="http://schemas.openxmlformats.org/officeDocument/2006/relationships" r:embed="rId2"/>
            <a:srcRect l="-13960" r="-2"/>
            <a:stretch/>
          </xdr:blipFill>
          <xdr:spPr>
            <a:xfrm>
              <a:off x="7596187" y="303610"/>
              <a:ext cx="421352" cy="363095"/>
            </a:xfrm>
            <a:prstGeom prst="rect">
              <a:avLst/>
            </a:prstGeom>
          </xdr:spPr>
        </xdr:pic>
      </xdr:grpSp>
      <xdr:sp macro="[0]!IR_DICCIONARIO" textlink="">
        <xdr:nvSpPr>
          <xdr:cNvPr id="18" name="DICCIONARIO"/>
          <xdr:cNvSpPr/>
        </xdr:nvSpPr>
        <xdr:spPr>
          <a:xfrm>
            <a:off x="58621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INICIO" textlink="">
        <xdr:nvSpPr>
          <xdr:cNvPr id="20" name="INICIO"/>
          <xdr:cNvSpPr/>
        </xdr:nvSpPr>
        <xdr:spPr>
          <a:xfrm>
            <a:off x="58621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nvGrpSpPr>
          <xdr:cNvPr id="21" name="TIPO PREGUNTAS"/>
          <xdr:cNvGrpSpPr/>
        </xdr:nvGrpSpPr>
        <xdr:grpSpPr>
          <a:xfrm>
            <a:off x="1724476" y="15241"/>
            <a:ext cx="3589860" cy="610800"/>
            <a:chOff x="1724476" y="15241"/>
            <a:chExt cx="3589860" cy="610800"/>
          </a:xfrm>
        </xdr:grpSpPr>
        <xdr:sp macro="[0]!IR_OM" textlink="">
          <xdr:nvSpPr>
            <xdr:cNvPr id="22" name="OM"/>
            <xdr:cNvSpPr/>
          </xdr:nvSpPr>
          <xdr:spPr>
            <a:xfrm>
              <a:off x="172447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O2" textlink="">
          <xdr:nvSpPr>
            <xdr:cNvPr id="23" name="O2"/>
            <xdr:cNvSpPr/>
          </xdr:nvSpPr>
          <xdr:spPr>
            <a:xfrm>
              <a:off x="261601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VF" textlink="">
          <xdr:nvSpPr>
            <xdr:cNvPr id="24" name="VF"/>
            <xdr:cNvSpPr/>
          </xdr:nvSpPr>
          <xdr:spPr>
            <a:xfrm>
              <a:off x="352279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 textlink="">
          <xdr:nvSpPr>
            <xdr:cNvPr id="25" name="EM"/>
            <xdr:cNvSpPr/>
          </xdr:nvSpPr>
          <xdr:spPr>
            <a:xfrm>
              <a:off x="4414336" y="152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RC" textlink="">
          <xdr:nvSpPr>
            <xdr:cNvPr id="26" name="RC"/>
            <xdr:cNvSpPr/>
          </xdr:nvSpPr>
          <xdr:spPr>
            <a:xfrm>
              <a:off x="172447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PP" textlink="">
          <xdr:nvSpPr>
            <xdr:cNvPr id="27" name="PP"/>
            <xdr:cNvSpPr/>
          </xdr:nvSpPr>
          <xdr:spPr>
            <a:xfrm>
              <a:off x="261601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EN" textlink="">
          <xdr:nvSpPr>
            <xdr:cNvPr id="28" name="EN"/>
            <xdr:cNvSpPr/>
          </xdr:nvSpPr>
          <xdr:spPr>
            <a:xfrm>
              <a:off x="352279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CL" textlink="">
          <xdr:nvSpPr>
            <xdr:cNvPr id="29" name="CL"/>
            <xdr:cNvSpPr/>
          </xdr:nvSpPr>
          <xdr:spPr>
            <a:xfrm>
              <a:off x="4414336" y="320041"/>
              <a:ext cx="900000" cy="306000"/>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grpSp>
    <xdr:clientData/>
  </xdr:twoCellAnchor>
  <xdr:twoCellAnchor editAs="absolute">
    <xdr:from>
      <xdr:col>0</xdr:col>
      <xdr:colOff>0</xdr:colOff>
      <xdr:row>0</xdr:row>
      <xdr:rowOff>0</xdr:rowOff>
    </xdr:from>
    <xdr:to>
      <xdr:col>5</xdr:col>
      <xdr:colOff>4650</xdr:colOff>
      <xdr:row>1</xdr:row>
      <xdr:rowOff>309331</xdr:rowOff>
    </xdr:to>
    <xdr:pic>
      <xdr:nvPicPr>
        <xdr:cNvPr id="32"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0" y="0"/>
          <a:ext cx="1700100" cy="623656"/>
        </a:xfrm>
        <a:prstGeom prst="rect">
          <a:avLst/>
        </a:prstGeom>
        <a:ln w="25400">
          <a:solidFill>
            <a:srgbClr val="E87B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5713</xdr:colOff>
      <xdr:row>1</xdr:row>
      <xdr:rowOff>339000</xdr:rowOff>
    </xdr:to>
    <xdr:grpSp>
      <xdr:nvGrpSpPr>
        <xdr:cNvPr id="2" name="MOODLE-FTP"/>
        <xdr:cNvGrpSpPr/>
      </xdr:nvGrpSpPr>
      <xdr:grpSpPr>
        <a:xfrm>
          <a:off x="0" y="0"/>
          <a:ext cx="4388382" cy="718831"/>
          <a:chOff x="0" y="0"/>
          <a:chExt cx="4386037" cy="721176"/>
        </a:xfrm>
      </xdr:grpSpPr>
      <xdr:pic macro="[0]!IR_DICCIONARIO">
        <xdr:nvPicPr>
          <xdr:cNvPr id="3"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67931" y="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4"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0" y="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5" name="LINK DICCIONARIO"/>
        <xdr:cNvSpPr/>
      </xdr:nvSpPr>
      <xdr:spPr>
        <a:xfrm>
          <a:off x="0" y="381000"/>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6"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tables/table1.xml><?xml version="1.0" encoding="utf-8"?>
<table xmlns="http://schemas.openxmlformats.org/spreadsheetml/2006/main" id="9" name="Tabla_ID" displayName="Tabla_ID" ref="A38:B45" totalsRowShown="0" tableBorderDxfId="330">
  <autoFilter ref="A38:B45">
    <filterColumn colId="0" hiddenButton="1"/>
    <filterColumn colId="1" hiddenButton="1"/>
  </autoFilter>
  <tableColumns count="2">
    <tableColumn id="1" name="NOMBRE" dataDxfId="329"/>
    <tableColumn id="2" name="SIGLA" dataDxfId="328"/>
  </tableColumns>
  <tableStyleInfo showFirstColumn="0" showLastColumn="0" showRowStripes="1" showColumnStripes="0"/>
</table>
</file>

<file path=xl/tables/table2.xml><?xml version="1.0" encoding="utf-8"?>
<table xmlns="http://schemas.openxmlformats.org/spreadsheetml/2006/main" id="1" name="Tabla_OM" displayName="Tabla_O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327">
      <calculatedColumnFormula>IF(COUNTIF(Tabla_OM[[#This Row],[Puntos 1]:[Puntos 6]],"&gt;0")=0,"",COUNTIF(Tabla_OM[[#This Row],[Puntos 1]:[Puntos 6]],"&gt;0"))</calculatedColumnFormula>
    </tableColumn>
    <tableColumn id="2" name="NRI" dataDxfId="326">
      <calculatedColumnFormula>IF(Tabla_OM[[#This Row],[NRC]]="","",COUNTA(Tabla_OM[[#This Row],[Respuesta 1]:[Respuesta 6]])-Tabla_OM[[#This Row],[NRC]])</calculatedColumnFormula>
    </tableColumn>
    <tableColumn id="3" name="Columna1" dataDxfId="325"/>
    <tableColumn id="4" name="Columna2" dataDxfId="324"/>
    <tableColumn id="5" name="Descripcion" dataDxfId="323"/>
    <tableColumn id="6" name="Enunciado" dataDxfId="322"/>
    <tableColumn id="7" name="Respuesta 1" dataDxfId="321"/>
    <tableColumn id="8" name="Respuesta 2" dataDxfId="320"/>
    <tableColumn id="9" name="Respuesta 3" dataDxfId="319"/>
    <tableColumn id="10" name="Respuesta 4" dataDxfId="318"/>
    <tableColumn id="11" name="Respuesta 5" dataDxfId="317"/>
    <tableColumn id="12" name="Respuesta 6" dataDxfId="316"/>
    <tableColumn id="13" name="Retroalim. 1" dataDxfId="315"/>
    <tableColumn id="14" name="Retroalim. 2" dataDxfId="314"/>
    <tableColumn id="15" name="Retroalim. 3" dataDxfId="313"/>
    <tableColumn id="16" name="Retroalim. 4" dataDxfId="312"/>
    <tableColumn id="17" name="Retroalim. 5" dataDxfId="311"/>
    <tableColumn id="18" name="Retroalim. 6" dataDxfId="310"/>
    <tableColumn id="19" name="Puntos 1" dataDxfId="309"/>
    <tableColumn id="20" name="Puntos 2" dataDxfId="308"/>
    <tableColumn id="21" name="Puntos 3" dataDxfId="307"/>
    <tableColumn id="22" name="Puntos 4" dataDxfId="306"/>
    <tableColumn id="23" name="Puntos 5" dataDxfId="305"/>
    <tableColumn id="24" name="Puntos 6" dataDxfId="304"/>
    <tableColumn id="25" name="Puntos 7" dataDxfId="303"/>
    <tableColumn id="26" name="Puntos 8" dataDxfId="302"/>
    <tableColumn id="27" name="Puntos 9" dataDxfId="301"/>
    <tableColumn id="28" name="Puntos 10" dataDxfId="300"/>
    <tableColumn id="29" name="Puntos 11" dataDxfId="299"/>
    <tableColumn id="30" name="Puntos 12" dataDxfId="298"/>
    <tableColumn id="31" name="Pista 1" dataDxfId="297"/>
    <tableColumn id="32" name="Pista 2" dataDxfId="296"/>
    <tableColumn id="33" name="Pista 3" dataDxfId="295"/>
    <tableColumn id="34" name="Pista 4" dataDxfId="294"/>
    <tableColumn id="35" name="Imagen" dataDxfId="293"/>
  </tableColumns>
  <tableStyleInfo name="TableStyleMedium2" showFirstColumn="0" showLastColumn="0" showRowStripes="1" showColumnStripes="0"/>
</table>
</file>

<file path=xl/tables/table3.xml><?xml version="1.0" encoding="utf-8"?>
<table xmlns="http://schemas.openxmlformats.org/spreadsheetml/2006/main" id="2" name="Tabla_O2" displayName="Tabla_O2"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C" dataDxfId="292">
      <calculatedColumnFormula>IF(COUNTIF(Tabla_O2[[#This Row],[Puntos 1]:[Puntos 6]],"&gt;0")=0,"",COUNTIF(Tabla_O2[[#This Row],[Puntos 1]:[Puntos 6]],"&gt;0"))</calculatedColumnFormula>
    </tableColumn>
    <tableColumn id="2" name="NRI" dataDxfId="291">
      <calculatedColumnFormula>IF(Tabla_O2[[#This Row],[NRC]]="","",COUNTA(Tabla_O2[[#This Row],[Respuesta 1]:[Respuesta 6]])-Tabla_O2[[#This Row],[NRC]])</calculatedColumnFormula>
    </tableColumn>
    <tableColumn id="3" name="Columna1" dataDxfId="290"/>
    <tableColumn id="4" name="Columna2" dataDxfId="289"/>
    <tableColumn id="5" name="Descripcion" dataDxfId="288"/>
    <tableColumn id="6" name="Enunciado" dataDxfId="287"/>
    <tableColumn id="7" name="Respuesta 1" dataDxfId="286"/>
    <tableColumn id="8" name="Respuesta 2" dataDxfId="285"/>
    <tableColumn id="9" name="Respuesta 3" dataDxfId="284"/>
    <tableColumn id="10" name="Respuesta 4" dataDxfId="283"/>
    <tableColumn id="11" name="Respuesta 5" dataDxfId="282"/>
    <tableColumn id="12" name="Respuesta 6" dataDxfId="281"/>
    <tableColumn id="13" name="Retroalim. 1" dataDxfId="280"/>
    <tableColumn id="14" name="Retroalim. 2" dataDxfId="279"/>
    <tableColumn id="15" name="Retroalim. 3" dataDxfId="278"/>
    <tableColumn id="16" name="Retroalim. 4" dataDxfId="277"/>
    <tableColumn id="17" name="Retroalim. 5" dataDxfId="276"/>
    <tableColumn id="18" name="Retroalim. 6" dataDxfId="275"/>
    <tableColumn id="19" name="Puntos 1" dataDxfId="274"/>
    <tableColumn id="20" name="Puntos 2" dataDxfId="273"/>
    <tableColumn id="21" name="Puntos 3" dataDxfId="272"/>
    <tableColumn id="22" name="Puntos 4" dataDxfId="271"/>
    <tableColumn id="23" name="Puntos 5" dataDxfId="270"/>
    <tableColumn id="24" name="Puntos 6" dataDxfId="269"/>
    <tableColumn id="25" name="Puntos 7" dataDxfId="268"/>
    <tableColumn id="26" name="Puntos 8" dataDxfId="267"/>
    <tableColumn id="27" name="Puntos 9" dataDxfId="266"/>
    <tableColumn id="28" name="Puntos 10" dataDxfId="265"/>
    <tableColumn id="29" name="Puntos 11" dataDxfId="264"/>
    <tableColumn id="30" name="Puntos 12" dataDxfId="263"/>
    <tableColumn id="31" name="Pista 1" dataDxfId="262"/>
    <tableColumn id="32" name="Pista 2" dataDxfId="261"/>
    <tableColumn id="33" name="Pista 3" dataDxfId="260"/>
    <tableColumn id="34" name="Pista 4" dataDxfId="259"/>
    <tableColumn id="35" name="Imagen" dataDxfId="258"/>
  </tableColumns>
  <tableStyleInfo name="TableStyleMedium2" showFirstColumn="0" showLastColumn="0" showRowStripes="1" showColumnStripes="0"/>
</table>
</file>

<file path=xl/tables/table4.xml><?xml version="1.0" encoding="utf-8"?>
<table xmlns="http://schemas.openxmlformats.org/spreadsheetml/2006/main" id="3" name="Tabla_VF" displayName="Tabla_VF"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257"/>
    <tableColumn id="2" name="C2" dataDxfId="256"/>
    <tableColumn id="3" name="Columna3" dataDxfId="255"/>
    <tableColumn id="4" name="Columna4" dataDxfId="254"/>
    <tableColumn id="5" name="Descripcion" dataDxfId="253"/>
    <tableColumn id="6" name="Enunciado" dataDxfId="252"/>
    <tableColumn id="7" name="Respuesta 1" dataDxfId="251"/>
    <tableColumn id="8" name="Retroalim. 1" dataDxfId="250"/>
    <tableColumn id="9" name="Retroalim. 2" dataDxfId="249"/>
    <tableColumn id="10" name="Columna5" dataDxfId="248"/>
    <tableColumn id="11" name="Columna6" dataDxfId="247"/>
    <tableColumn id="12" name="Columna7" dataDxfId="246"/>
    <tableColumn id="13" name="Columna8" dataDxfId="245"/>
    <tableColumn id="14" name="Columna9" dataDxfId="244"/>
    <tableColumn id="15" name="Columna10" dataDxfId="243"/>
    <tableColumn id="16" name="Columna11" dataDxfId="242"/>
    <tableColumn id="17" name="Columna12" dataDxfId="241"/>
    <tableColumn id="18" name="Columna13" dataDxfId="240"/>
    <tableColumn id="19" name="Columna14" dataDxfId="239"/>
    <tableColumn id="20" name="Columna15" dataDxfId="238"/>
    <tableColumn id="21" name="Columna16" dataDxfId="237"/>
    <tableColumn id="22" name="Columna17" dataDxfId="236"/>
    <tableColumn id="23" name="Columna18" dataDxfId="235"/>
    <tableColumn id="24" name="Columna19" dataDxfId="234"/>
    <tableColumn id="25" name="Columna20" dataDxfId="233"/>
    <tableColumn id="26" name="Columna21" dataDxfId="232"/>
    <tableColumn id="27" name="Columna22" dataDxfId="231"/>
    <tableColumn id="28" name="Columna23" dataDxfId="230"/>
    <tableColumn id="29" name="Columna24" dataDxfId="229"/>
    <tableColumn id="30" name="Columna25" dataDxfId="228"/>
    <tableColumn id="31" name="Pista 1" dataDxfId="227"/>
    <tableColumn id="32" name="Pista 2" dataDxfId="226"/>
    <tableColumn id="33" name="Pista 3" dataDxfId="225"/>
    <tableColumn id="34" name="Pista 4" dataDxfId="224"/>
    <tableColumn id="35" name="Imagen" dataDxfId="223"/>
  </tableColumns>
  <tableStyleInfo name="TableStyleMedium2" showFirstColumn="0" showLastColumn="0" showRowStripes="1" showColumnStripes="0"/>
</table>
</file>

<file path=xl/tables/table5.xml><?xml version="1.0" encoding="utf-8"?>
<table xmlns="http://schemas.openxmlformats.org/spreadsheetml/2006/main" id="4" name="Tabla_EM" displayName="Tabla_EM" ref="A4:AI7" totalsRowShown="0">
  <autoFilter ref="A4:AI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reja " dataDxfId="222">
      <calculatedColumnFormula>IF(COUNTA(Tabla_EM[[#This Row],[Pareja  01.1]:[Pareja  12.14]])/2=0,"",COUNTA(Tabla_EM[[#This Row],[Pareja  01.1]:[Pareja  12.14]])/2)</calculatedColumnFormula>
    </tableColumn>
    <tableColumn id="2" name="C1" dataDxfId="221"/>
    <tableColumn id="3" name="Columna2" dataDxfId="220"/>
    <tableColumn id="4" name="Columna3" dataDxfId="219"/>
    <tableColumn id="5" name="Descripcion" dataDxfId="218"/>
    <tableColumn id="6" name="Enunciado" dataDxfId="217"/>
    <tableColumn id="7" name="Pareja  01.1" dataDxfId="216"/>
    <tableColumn id="8" name="Pareja  01.2" dataDxfId="215"/>
    <tableColumn id="9" name="Pareja  02.1" dataDxfId="214"/>
    <tableColumn id="10" name="Pareja  02.2" dataDxfId="213"/>
    <tableColumn id="11" name="Pareja  03.1" dataDxfId="212"/>
    <tableColumn id="12" name="Pareja  03.2" dataDxfId="211"/>
    <tableColumn id="13" name="Pareja  04.1" dataDxfId="210"/>
    <tableColumn id="14" name="Pareja  04.2" dataDxfId="209"/>
    <tableColumn id="15" name="Pareja  05.1" dataDxfId="208"/>
    <tableColumn id="16" name="Pareja  05.2" dataDxfId="207"/>
    <tableColumn id="17" name="Pareja  06.1" dataDxfId="206"/>
    <tableColumn id="18" name="Pareja  06.2" dataDxfId="205"/>
    <tableColumn id="19" name="Pareja  07.1" dataDxfId="204"/>
    <tableColumn id="20" name="Pareja  07.2" dataDxfId="203"/>
    <tableColumn id="21" name="Pareja  08.1" dataDxfId="202"/>
    <tableColumn id="22" name="Pareja  08.2" dataDxfId="201"/>
    <tableColumn id="23" name="Pareja  09.1" dataDxfId="200"/>
    <tableColumn id="24" name="Pareja  09.2" dataDxfId="199"/>
    <tableColumn id="25" name="Pareja  10.1" dataDxfId="198"/>
    <tableColumn id="26" name="Pareja  10.2" dataDxfId="197"/>
    <tableColumn id="27" name="Pareja  11.1" dataDxfId="196"/>
    <tableColumn id="28" name="Pareja  11.2" dataDxfId="195"/>
    <tableColumn id="29" name="Pareja  12.1" dataDxfId="194"/>
    <tableColumn id="30" name="Pareja  12.14" dataDxfId="193"/>
    <tableColumn id="31" name="Pista 1" dataDxfId="192"/>
    <tableColumn id="32" name="Pista 2" dataDxfId="191"/>
    <tableColumn id="33" name="Pista 3" dataDxfId="190"/>
    <tableColumn id="34" name="Pista 4" dataDxfId="189"/>
    <tableColumn id="35" name="Imagen" dataDxfId="188"/>
  </tableColumns>
  <tableStyleInfo name="TableStyleMedium2" showFirstColumn="0" showLastColumn="0" showRowStripes="1" showColumnStripes="0"/>
</table>
</file>

<file path=xl/tables/table6.xml><?xml version="1.0" encoding="utf-8"?>
<table xmlns="http://schemas.openxmlformats.org/spreadsheetml/2006/main" id="5" name="Tabl_RC" displayName="Tabl_RC" ref="A4:AI6" totalsRowShown="0">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NR" dataDxfId="187">
      <calculatedColumnFormula>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calculatedColumnFormula>
    </tableColumn>
    <tableColumn id="2" name="Columna1" dataDxfId="186"/>
    <tableColumn id="3" name="Columna2" dataDxfId="185"/>
    <tableColumn id="4" name="May" dataDxfId="184"/>
    <tableColumn id="5" name="Descripcion" dataDxfId="183"/>
    <tableColumn id="6" name="Enunciado" dataDxfId="182"/>
    <tableColumn id="7" name="Respuesta 01" dataDxfId="181"/>
    <tableColumn id="8" name="Puntos 01" dataDxfId="180"/>
    <tableColumn id="9" name="Retroalim. 01" dataDxfId="179"/>
    <tableColumn id="10" name="Respuesta 02" dataDxfId="178"/>
    <tableColumn id="11" name="Puntos 02" dataDxfId="177"/>
    <tableColumn id="12" name="Retroalim. 02" dataDxfId="176"/>
    <tableColumn id="13" name="Respuesta 03" dataDxfId="175"/>
    <tableColumn id="14" name="Puntos 03" dataDxfId="174"/>
    <tableColumn id="15" name="Retroalim. 03" dataDxfId="173"/>
    <tableColumn id="16" name="Respuesta 04" dataDxfId="172"/>
    <tableColumn id="17" name="Puntos 04" dataDxfId="171"/>
    <tableColumn id="18" name="Retroalim. 04" dataDxfId="170"/>
    <tableColumn id="19" name="Respuesta 05" dataDxfId="169"/>
    <tableColumn id="20" name="Puntos 05" dataDxfId="168"/>
    <tableColumn id="21" name="Retroalim. 05" dataDxfId="167"/>
    <tableColumn id="22" name="Respuesta 06" dataDxfId="166"/>
    <tableColumn id="23" name="Puntos 06" dataDxfId="165"/>
    <tableColumn id="24" name="Retroalim. 06" dataDxfId="164"/>
    <tableColumn id="25" name="Respuesta 07" dataDxfId="163"/>
    <tableColumn id="26" name="Puntos 07" dataDxfId="162"/>
    <tableColumn id="27" name="Retroalim. 07" dataDxfId="161"/>
    <tableColumn id="28" name="Respuesta 08" dataDxfId="160"/>
    <tableColumn id="29" name="Puntos 08" dataDxfId="159"/>
    <tableColumn id="30" name="Retroalim. 08" dataDxfId="158"/>
    <tableColumn id="31" name="Pista 1" dataDxfId="157"/>
    <tableColumn id="32" name="Pista 2" dataDxfId="156"/>
    <tableColumn id="33" name="Pista 3" dataDxfId="155"/>
    <tableColumn id="34" name="Pista 4" dataDxfId="154"/>
    <tableColumn id="35" name="Imagen" dataDxfId="153"/>
  </tableColumns>
  <tableStyleInfo name="TableStyleMedium2" showFirstColumn="0" showLastColumn="0" showRowStripes="1" showColumnStripes="0"/>
</table>
</file>

<file path=xl/tables/table7.xml><?xml version="1.0" encoding="utf-8"?>
<table xmlns="http://schemas.openxmlformats.org/spreadsheetml/2006/main" id="6" name="Tabla_PP" displayName="Tabla_PP" ref="A4:AI6" totalsRowShown="0" headerRowDxfId="152" dataDxfId="151">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Palabra " dataDxfId="150">
      <calculatedColumnFormula>IF(COUNTA(Tabla_PP[[#This Row],[GP 01]:[P 12]])/2=0,"",COUNTA(Tabla_PP[[#This Row],[GP 01]:[P 12]])/2)</calculatedColumnFormula>
    </tableColumn>
    <tableColumn id="2" name="C1" dataDxfId="149"/>
    <tableColumn id="3" name="Columna2" dataDxfId="148"/>
    <tableColumn id="4" name="Columna3" dataDxfId="147"/>
    <tableColumn id="5" name="Descripcion" dataDxfId="146"/>
    <tableColumn id="6" name="Enunciado" dataDxfId="145"/>
    <tableColumn id="7" name="GP 01" dataDxfId="144"/>
    <tableColumn id="8" name="P 01" dataDxfId="143"/>
    <tableColumn id="9" name="GP 02" dataDxfId="142"/>
    <tableColumn id="10" name="P 02" dataDxfId="141"/>
    <tableColumn id="11" name="GP 03" dataDxfId="140"/>
    <tableColumn id="12" name="P 03" dataDxfId="139"/>
    <tableColumn id="13" name="GP 04" dataDxfId="138"/>
    <tableColumn id="14" name="P 04" dataDxfId="137"/>
    <tableColumn id="15" name="GP 05" dataDxfId="136"/>
    <tableColumn id="16" name="P 05" dataDxfId="135"/>
    <tableColumn id="17" name="GP 06" dataDxfId="134"/>
    <tableColumn id="18" name="P 06" dataDxfId="133"/>
    <tableColumn id="19" name="GP 07" dataDxfId="132"/>
    <tableColumn id="20" name="P 07" dataDxfId="131"/>
    <tableColumn id="21" name="GP 08" dataDxfId="130"/>
    <tableColumn id="22" name="P 08" dataDxfId="129"/>
    <tableColumn id="23" name="GP 09" dataDxfId="128"/>
    <tableColumn id="24" name="P 09" dataDxfId="127"/>
    <tableColumn id="25" name="GP 10" dataDxfId="126"/>
    <tableColumn id="26" name="P 10" dataDxfId="125"/>
    <tableColumn id="27" name="GP 11" dataDxfId="124"/>
    <tableColumn id="28" name="P 11" dataDxfId="123"/>
    <tableColumn id="29" name="GP 12" dataDxfId="122"/>
    <tableColumn id="30" name="P 12" dataDxfId="121"/>
    <tableColumn id="31" name="Pista 1" dataDxfId="120"/>
    <tableColumn id="32" name="Pista 2" dataDxfId="119"/>
    <tableColumn id="33" name="Pista 3" dataDxfId="118"/>
    <tableColumn id="34" name="Pista 4" dataDxfId="117"/>
    <tableColumn id="35" name="Imagen" dataDxfId="116"/>
  </tableColumns>
  <tableStyleInfo name="TableStyleMedium2" showFirstColumn="0" showLastColumn="0" showRowStripes="1" showColumnStripes="0"/>
</table>
</file>

<file path=xl/tables/table8.xml><?xml version="1.0" encoding="utf-8"?>
<table xmlns="http://schemas.openxmlformats.org/spreadsheetml/2006/main" id="7" name="Tabla_EN" displayName="Tabla_EN" ref="A4:AI6" totalsRowShown="0" dataDxfId="113">
  <autoFilter ref="A4:AI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112"/>
    <tableColumn id="2" name="C2" dataDxfId="111"/>
    <tableColumn id="3" name="Columna1" dataDxfId="110"/>
    <tableColumn id="4" name="Columna2" dataDxfId="109"/>
    <tableColumn id="5" name="Descripción" dataDxfId="108"/>
    <tableColumn id="6" name="FastTest PlugIn - ENSAYO_x000a__x000a_Enunciado de la pregunta" dataDxfId="107"/>
    <tableColumn id="7" name="Formato de la Respuesta_x000a_Requerir texto" dataDxfId="106"/>
    <tableColumn id="8" name="Requerir texto" dataDxfId="105"/>
    <tableColumn id="9" name="Tamaño de la caja de entrada" dataDxfId="104"/>
    <tableColumn id="10" name="Permitir archivos adjuntos" dataDxfId="103"/>
    <tableColumn id="11" name="Archivos adjuntos requeridos" dataDxfId="102"/>
    <tableColumn id="12" name="Plantilla de Respuesta" dataDxfId="101"/>
    <tableColumn id="13" name="Información para el evaluador" dataDxfId="100"/>
    <tableColumn id="14" name="Columna3" dataDxfId="99"/>
    <tableColumn id="15" name="Columna4" dataDxfId="98"/>
    <tableColumn id="16" name="Columna5" dataDxfId="97"/>
    <tableColumn id="17" name="Columna6" dataDxfId="96"/>
    <tableColumn id="18" name="Columna7" dataDxfId="95"/>
    <tableColumn id="19" name="Columna8" dataDxfId="94"/>
    <tableColumn id="20" name="Columna9" dataDxfId="93"/>
    <tableColumn id="21" name="Columna10" dataDxfId="92"/>
    <tableColumn id="22" name="Columna11" dataDxfId="91"/>
    <tableColumn id="23" name="Columna12" dataDxfId="90"/>
    <tableColumn id="24" name="Columna13" dataDxfId="89"/>
    <tableColumn id="25" name="Columna14" dataDxfId="88"/>
    <tableColumn id="26" name="Columna15" dataDxfId="87"/>
    <tableColumn id="27" name="Columna16" dataDxfId="86"/>
    <tableColumn id="28" name="Columna17" dataDxfId="85"/>
    <tableColumn id="29" name="Columna18" dataDxfId="84"/>
    <tableColumn id="30" name="Columna19" dataDxfId="83"/>
    <tableColumn id="31" name="Columna20" dataDxfId="82"/>
    <tableColumn id="32" name="Columna21" dataDxfId="81"/>
    <tableColumn id="33" name="Columna22" dataDxfId="80"/>
    <tableColumn id="34" name="Columna23" dataDxfId="79"/>
    <tableColumn id="35" name="Imagen" dataDxfId="78"/>
  </tableColumns>
  <tableStyleInfo name="TableStyleMedium2" showFirstColumn="0" showLastColumn="0" showRowStripes="1" showColumnStripes="0"/>
</table>
</file>

<file path=xl/tables/table9.xml><?xml version="1.0" encoding="utf-8"?>
<table xmlns="http://schemas.openxmlformats.org/spreadsheetml/2006/main" id="8" name="Tabla_CL" displayName="Tabla_CL" ref="A4:AI5" totalsRowShown="0" headerRowDxfId="77" dataDxfId="76">
  <autoFilter ref="A4:AI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autoFilter>
  <tableColumns count="35">
    <tableColumn id="1" name="C1" dataDxfId="75"/>
    <tableColumn id="2" name="C2" dataDxfId="74"/>
    <tableColumn id="3" name="Columna1" dataDxfId="73"/>
    <tableColumn id="4" name="Columna2" dataDxfId="72"/>
    <tableColumn id="5" name="Descripcion" dataDxfId="71"/>
    <tableColumn id="6" name="Enunciado" dataDxfId="70"/>
    <tableColumn id="7" name="Ancho RC" dataDxfId="69"/>
    <tableColumn id="8" name="Columna3" dataDxfId="68"/>
    <tableColumn id="9" name="Columna4" dataDxfId="67"/>
    <tableColumn id="10" name="Columna5" dataDxfId="66"/>
    <tableColumn id="11" name="Columna6" dataDxfId="65"/>
    <tableColumn id="12" name="Columna7" dataDxfId="64"/>
    <tableColumn id="13" name="Columna8" dataDxfId="63"/>
    <tableColumn id="14" name="Columna9" dataDxfId="62"/>
    <tableColumn id="15" name="Columna10" dataDxfId="61"/>
    <tableColumn id="16" name="Columna11" dataDxfId="60"/>
    <tableColumn id="17" name="Columna12" dataDxfId="59"/>
    <tableColumn id="18" name="Columna13" dataDxfId="58"/>
    <tableColumn id="19" name="Columna14" dataDxfId="57"/>
    <tableColumn id="20" name="Columna15" dataDxfId="56"/>
    <tableColumn id="21" name="Columna16" dataDxfId="55"/>
    <tableColumn id="22" name="Columna17" dataDxfId="54"/>
    <tableColumn id="23" name="Columna18" dataDxfId="53"/>
    <tableColumn id="24" name="Columna19" dataDxfId="52"/>
    <tableColumn id="25" name="Columna20" dataDxfId="51"/>
    <tableColumn id="26" name="Columna21" dataDxfId="50"/>
    <tableColumn id="27" name="Columna22" dataDxfId="49"/>
    <tableColumn id="28" name="Columna23" dataDxfId="48"/>
    <tableColumn id="29" name="Columna24" dataDxfId="47"/>
    <tableColumn id="30" name="Columna25" dataDxfId="46"/>
    <tableColumn id="31" name="Pista 1" dataDxfId="45"/>
    <tableColumn id="32" name="Pista 2" dataDxfId="44"/>
    <tableColumn id="33" name="Pista 3" dataDxfId="43"/>
    <tableColumn id="34" name="Pista 4" dataDxfId="42"/>
    <tableColumn id="35" name="Imagen" dataDxfId="41"/>
  </tableColumns>
  <tableStyleInfo name="TableStyleMedium2" showFirstColumn="0" showLastColumn="0" showRowStripes="1" showColumnStripes="0"/>
</table>
</file>

<file path=xl/tables/table10.xml><?xml version="1.0" encoding="utf-8"?>
<table xmlns="http://schemas.openxmlformats.org/spreadsheetml/2006/main" id="12" name="Tabla_Menu" displayName="Tabla_Menu" ref="N2:AA30" totalsRowCount="1" headerRowDxfId="40" dataDxfId="39" tableBorderDxfId="38">
  <autoFilter ref="N2:AA29"/>
  <tableColumns count="14">
    <tableColumn id="1" name="N Sub" totalsRowFunction="custom" dataDxfId="37" totalsRowDxfId="36">
      <calculatedColumnFormula>IF(Tabla_Menu[[#This Row],[Nivel]]=O2,0,COUNTIF(Tabla_Menu[Nivel],Tabla_Menu[[#This Row],[Nivel]]))</calculatedColumnFormula>
      <totalsRowFormula>COUNTIF(Tabla_Menu[N Sub],"&lt;&gt;0")</totalsRowFormula>
    </tableColumn>
    <tableColumn id="2" name="Nivel" dataDxfId="35" totalsRowDxfId="34">
      <calculatedColumnFormula>IFERROR(INDIRECT(Tabla_Menu[[#This Row],[Nivel 1]]&amp;IDIOMA),"")</calculatedColumnFormula>
    </tableColumn>
    <tableColumn id="3" name="Nombre" dataDxfId="33" totalsRowDxfId="32">
      <calculatedColumnFormula>IFERROR(INDIRECT(Tabla_Menu[[#This Row],[Nivel 2]]&amp;IDIOMA)&amp;IF(Tabla_Menu[[#This Row],[Nivel]]="",""," "&amp;Tabla_Menu[[#This Row],['[Teclas']]]),"")</calculatedColumnFormula>
    </tableColumn>
    <tableColumn id="4" name="On Action" dataDxfId="31" totalsRowDxfId="30"/>
    <tableColumn id="5" name="Face Id" dataDxfId="29" totalsRowDxfId="28"/>
    <tableColumn id="6" name="Begin Group" dataDxfId="27" totalsRowDxfId="26"/>
    <tableColumn id="7" name="Nivel 1" dataDxfId="25" totalsRowDxfId="24"/>
    <tableColumn id="8" name="Nivel 2" dataDxfId="23" totalsRowDxfId="22"/>
    <tableColumn id="11" name="Teclas" dataDxfId="21" totalsRowDxfId="20"/>
    <tableColumn id="15" name="HOJAS NO MUESTRA" dataDxfId="19" totalsRowDxfId="18"/>
    <tableColumn id="10" name="N/A" dataDxfId="17" totalsRowDxfId="16">
      <calculatedColumnFormula>IF(OR(Tabla_Menu[[#This Row],[Nivel]]="",IFERROR(SEARCH(MID(CELL("nombrearchivo"),FIND(".xlsm]",CELL("nombrearchivo"),1)+6,100),Tabla_Menu[[#This Row],[HOJAS NO MUESTRA]],1),0)&gt;0),"N/A","")</calculatedColumnFormula>
    </tableColumn>
    <tableColumn id="14" name="Num N/A" dataDxfId="15" totalsRowDxfId="14">
      <calculatedColumnFormula>IF(Tabla_Menu[[#This Row],[N/A]]="",,COUNTIF(Tabla_Menu[Nivel &amp; Incluir],Tabla_Menu[[#This Row],[Nivel &amp; Incluir]]))</calculatedColumnFormula>
    </tableColumn>
    <tableColumn id="12" name="Nivel &amp; Incluir" dataDxfId="13" totalsRowDxfId="12">
      <calculatedColumnFormula>Tabla_Menu[[#This Row],[Nivel]]&amp;Tabla_Menu[[#This Row],[N/A]]</calculatedColumnFormula>
    </tableColumn>
    <tableColumn id="9" name="[Teclas]" dataDxfId="11" totalsRowDxfId="10"/>
  </tableColumns>
  <tableStyleInfo name="Tabla_UCA" showFirstColumn="0" showLastColumn="0" showRowStripes="1" showColumnStripes="0"/>
</table>
</file>

<file path=xl/tables/table11.xml><?xml version="1.0" encoding="utf-8"?>
<table xmlns="http://schemas.openxmlformats.org/spreadsheetml/2006/main" id="10" name="Tabla_Comandos" displayName="Tabla_Comandos" ref="P37:R44" totalsRowCount="1" headerRowDxfId="9" dataDxfId="8" totalsRowDxfId="6" tableBorderDxfId="7">
  <autoFilter ref="P37:R43">
    <filterColumn colId="0" hiddenButton="1"/>
    <filterColumn colId="1" hiddenButton="1"/>
    <filterColumn colId="2" hiddenButton="1"/>
  </autoFilter>
  <tableColumns count="3">
    <tableColumn id="1" name="CommandBars" totalsRowFunction="custom" dataDxfId="5" totalsRowDxfId="4">
      <totalsRowFormula>COUNTA(Tabla_Comandos[CommandBars])</totalsRowFormula>
    </tableColumn>
    <tableColumn id="2" name="Cambio" dataDxfId="3" totalsRowDxfId="2"/>
    <tableColumn id="3" name="Activa/Des" dataDxfId="1" totalsRowDxfId="0"/>
  </tableColumns>
  <tableStyleInfo name="TableStyleLight10"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youtube.com/playlist?app=desktop&amp;list=PLBy0dKFd_LuIN21tTezMcUen28a--ebab" TargetMode="External"/><Relationship Id="rId2" Type="http://schemas.openxmlformats.org/officeDocument/2006/relationships/hyperlink" Target="mailto:fasttestplugin@gmail.com" TargetMode="External"/><Relationship Id="rId1" Type="http://schemas.openxmlformats.org/officeDocument/2006/relationships/hyperlink" Target="https://www.youtube.com/playlist?app=desktop&amp;list=PLBy0dKFd_LuIN21tTezMcUen28a--ebab"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hyperlink" Target="https://www.youtube.com/channel/UC8O0Q5YfdpcmcZKuFeYvsow"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dimension ref="A1:T47"/>
  <sheetViews>
    <sheetView showGridLines="0" showRowColHeaders="0" zoomScale="151" zoomScaleNormal="151" workbookViewId="0">
      <pane xSplit="26" ySplit="55" topLeftCell="XFD56" activePane="bottomRight" state="frozen"/>
      <selection pane="topRight" activeCell="AF1" sqref="AF1"/>
      <selection pane="bottomLeft" activeCell="A56" sqref="A56"/>
      <selection pane="bottomRight" activeCell="A11" sqref="A11:A13"/>
    </sheetView>
  </sheetViews>
  <sheetFormatPr baseColWidth="10" defaultColWidth="0" defaultRowHeight="15" zeroHeight="1" x14ac:dyDescent="0.25"/>
  <cols>
    <col min="1" max="1" width="10.7109375" customWidth="1"/>
    <col min="2" max="2" width="2.7109375" customWidth="1"/>
    <col min="3" max="18" width="7.85546875" customWidth="1"/>
    <col min="19" max="19" width="2.7109375" customWidth="1"/>
    <col min="20" max="20" width="10.7109375" customWidth="1"/>
    <col min="21" max="16384" width="11.42578125" hidden="1"/>
  </cols>
  <sheetData>
    <row r="1" spans="1:19" ht="29.25" thickTop="1" x14ac:dyDescent="0.25">
      <c r="A1" s="319" t="s">
        <v>387</v>
      </c>
      <c r="B1" s="309" t="s">
        <v>5</v>
      </c>
      <c r="C1" s="310"/>
      <c r="D1" s="310"/>
      <c r="E1" s="310"/>
      <c r="F1" s="310"/>
      <c r="G1" s="310"/>
      <c r="H1" s="310"/>
      <c r="I1" s="310"/>
      <c r="J1" s="310"/>
      <c r="K1" s="310"/>
      <c r="L1" s="310"/>
      <c r="M1" s="310"/>
      <c r="N1" s="310"/>
      <c r="O1" s="310"/>
      <c r="P1" s="310"/>
      <c r="Q1" s="310"/>
      <c r="R1" s="310"/>
      <c r="S1" s="311"/>
    </row>
    <row r="2" spans="1:19" ht="6" customHeight="1" x14ac:dyDescent="0.25">
      <c r="A2" s="320"/>
      <c r="B2" s="7"/>
      <c r="C2" s="8"/>
      <c r="D2" s="8"/>
      <c r="E2" s="8"/>
      <c r="F2" s="8"/>
      <c r="G2" s="8"/>
      <c r="H2" s="8"/>
      <c r="I2" s="8"/>
      <c r="J2" s="8"/>
      <c r="K2" s="8"/>
      <c r="L2" s="8"/>
      <c r="M2" s="8"/>
      <c r="N2" s="8"/>
      <c r="O2" s="8"/>
      <c r="P2" s="8"/>
      <c r="Q2" s="8"/>
      <c r="R2" s="8"/>
      <c r="S2" s="9"/>
    </row>
    <row r="3" spans="1:19" x14ac:dyDescent="0.25">
      <c r="A3" s="320"/>
      <c r="B3" s="7"/>
      <c r="C3" s="8"/>
      <c r="D3" s="8"/>
      <c r="E3" s="8"/>
      <c r="F3" s="8"/>
      <c r="G3" s="326" t="str">
        <f ca="1">INDIRECT("Z_IN_04_"&amp;IDIOMA)</f>
        <v>Esta Aplicación ha sido desarrollada, en la primera versión, por:</v>
      </c>
      <c r="H3" s="326"/>
      <c r="I3" s="326"/>
      <c r="J3" s="326"/>
      <c r="K3" s="326"/>
      <c r="L3" s="326"/>
      <c r="M3" s="326"/>
      <c r="N3" s="326"/>
      <c r="O3" s="8"/>
      <c r="P3" s="8"/>
      <c r="Q3" s="8"/>
      <c r="R3" s="8"/>
      <c r="S3" s="9"/>
    </row>
    <row r="4" spans="1:19" ht="6" customHeight="1" x14ac:dyDescent="0.25">
      <c r="A4" s="320"/>
      <c r="B4" s="7"/>
      <c r="C4" s="8"/>
      <c r="D4" s="8"/>
      <c r="E4" s="8"/>
      <c r="F4" s="8"/>
      <c r="G4" s="8"/>
      <c r="H4" s="8"/>
      <c r="I4" s="8"/>
      <c r="J4" s="8"/>
      <c r="K4" s="8"/>
      <c r="L4" s="8"/>
      <c r="M4" s="8"/>
      <c r="N4" s="8"/>
      <c r="O4" s="8"/>
      <c r="P4" s="8"/>
      <c r="Q4" s="8"/>
      <c r="R4" s="8"/>
      <c r="S4" s="9"/>
    </row>
    <row r="5" spans="1:19" ht="15.75" customHeight="1" x14ac:dyDescent="0.25">
      <c r="A5" s="320"/>
      <c r="B5" s="7"/>
      <c r="C5" s="8"/>
      <c r="D5" s="8"/>
      <c r="E5" s="8"/>
      <c r="F5" s="317"/>
      <c r="G5" s="317"/>
      <c r="H5" s="199"/>
      <c r="I5" s="327" t="s">
        <v>0</v>
      </c>
      <c r="J5" s="327"/>
      <c r="K5" s="327"/>
      <c r="L5" s="327"/>
      <c r="M5" s="198"/>
      <c r="N5" s="301"/>
      <c r="O5" s="301"/>
      <c r="P5" s="318" t="s">
        <v>654</v>
      </c>
      <c r="Q5" s="318"/>
      <c r="R5" s="318"/>
      <c r="S5" s="9"/>
    </row>
    <row r="6" spans="1:19" ht="6" customHeight="1" x14ac:dyDescent="0.25">
      <c r="A6" s="320"/>
      <c r="B6" s="7"/>
      <c r="C6" s="8"/>
      <c r="D6" s="8"/>
      <c r="E6" s="8"/>
      <c r="F6" s="317"/>
      <c r="G6" s="317"/>
      <c r="H6" s="199"/>
      <c r="I6" s="8"/>
      <c r="J6" s="8"/>
      <c r="K6" s="8"/>
      <c r="L6" s="8"/>
      <c r="M6" s="198"/>
      <c r="N6" s="301"/>
      <c r="O6" s="301"/>
      <c r="P6" s="329" t="str">
        <f ca="1">INDIRECT("Z_IN_01_"&amp;IDIOMA)</f>
        <v>CANAL YOUTUBE</v>
      </c>
      <c r="Q6" s="329"/>
      <c r="R6" s="329"/>
      <c r="S6" s="9"/>
    </row>
    <row r="7" spans="1:19" ht="15" customHeight="1" x14ac:dyDescent="0.25">
      <c r="A7" s="320"/>
      <c r="B7" s="7"/>
      <c r="C7" s="8"/>
      <c r="D7" s="8"/>
      <c r="E7" s="8"/>
      <c r="F7" s="317"/>
      <c r="G7" s="317"/>
      <c r="H7" s="199"/>
      <c r="I7" s="326" t="str">
        <f ca="1">INDIRECT("Z_IN_05_"&amp;IDIOMA)</f>
        <v>Universidad de Cádiz</v>
      </c>
      <c r="J7" s="326"/>
      <c r="K7" s="326"/>
      <c r="L7" s="326"/>
      <c r="M7" s="198"/>
      <c r="N7" s="301"/>
      <c r="O7" s="301"/>
      <c r="P7" s="329"/>
      <c r="Q7" s="329"/>
      <c r="R7" s="329"/>
      <c r="S7" s="9"/>
    </row>
    <row r="8" spans="1:19" ht="6" customHeight="1" x14ac:dyDescent="0.25">
      <c r="A8" s="320"/>
      <c r="B8" s="7"/>
      <c r="C8" s="8"/>
      <c r="D8" s="8"/>
      <c r="E8" s="8"/>
      <c r="F8" s="317"/>
      <c r="G8" s="317"/>
      <c r="H8" s="199"/>
      <c r="I8" s="8"/>
      <c r="J8" s="8"/>
      <c r="K8" s="8"/>
      <c r="L8" s="8"/>
      <c r="M8" s="198"/>
      <c r="N8" s="301"/>
      <c r="O8" s="301"/>
      <c r="P8" s="8"/>
      <c r="Q8" s="8"/>
      <c r="R8" s="8"/>
      <c r="S8" s="9"/>
    </row>
    <row r="9" spans="1:19" ht="15.75" thickBot="1" x14ac:dyDescent="0.3">
      <c r="A9" s="321"/>
      <c r="B9" s="7"/>
      <c r="C9" s="312" t="str">
        <f ca="1">INDIRECT("Z_IN_03_"&amp;IDIOMA)</f>
        <v>LEER CON ATENCIÓN</v>
      </c>
      <c r="D9" s="312"/>
      <c r="E9" s="8"/>
      <c r="F9" s="317"/>
      <c r="G9" s="317"/>
      <c r="H9" s="199"/>
      <c r="I9" s="328" t="s">
        <v>10</v>
      </c>
      <c r="J9" s="328"/>
      <c r="K9" s="328"/>
      <c r="L9" s="328"/>
      <c r="M9" s="198"/>
      <c r="N9" s="301"/>
      <c r="O9" s="301"/>
      <c r="P9" s="330" t="s">
        <v>653</v>
      </c>
      <c r="Q9" s="330"/>
      <c r="R9" s="330"/>
      <c r="S9" s="9"/>
    </row>
    <row r="10" spans="1:19" ht="6" customHeight="1" x14ac:dyDescent="0.25">
      <c r="B10" s="7"/>
      <c r="C10" s="8"/>
      <c r="D10" s="8"/>
      <c r="E10" s="8"/>
      <c r="F10" s="317"/>
      <c r="G10" s="317"/>
      <c r="H10" s="199"/>
      <c r="I10" s="8"/>
      <c r="J10" s="8"/>
      <c r="K10" s="8"/>
      <c r="L10" s="8"/>
      <c r="M10" s="198"/>
      <c r="N10" s="301"/>
      <c r="O10" s="301"/>
      <c r="P10" s="8"/>
      <c r="Q10" s="8"/>
      <c r="R10" s="8"/>
      <c r="S10" s="9"/>
    </row>
    <row r="11" spans="1:19" ht="15" customHeight="1" x14ac:dyDescent="0.25">
      <c r="A11" s="322" t="s">
        <v>12</v>
      </c>
      <c r="B11" s="7"/>
      <c r="C11" s="8"/>
      <c r="D11" s="313" t="str">
        <f ca="1">INDIRECT("Z_IN_06_"&amp;IDIOMA)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E11" s="313"/>
      <c r="F11" s="313"/>
      <c r="G11" s="313"/>
      <c r="H11" s="313"/>
      <c r="I11" s="313"/>
      <c r="J11" s="313"/>
      <c r="K11" s="313"/>
      <c r="L11" s="313"/>
      <c r="M11" s="313"/>
      <c r="N11" s="313"/>
      <c r="O11" s="313"/>
      <c r="P11" s="313"/>
      <c r="Q11" s="313"/>
      <c r="R11" s="313"/>
      <c r="S11" s="9"/>
    </row>
    <row r="12" spans="1:19" ht="6" customHeight="1" x14ac:dyDescent="0.25">
      <c r="A12" s="322"/>
      <c r="B12" s="7"/>
      <c r="C12" s="8"/>
      <c r="D12" s="313"/>
      <c r="E12" s="313"/>
      <c r="F12" s="313"/>
      <c r="G12" s="313"/>
      <c r="H12" s="313"/>
      <c r="I12" s="313"/>
      <c r="J12" s="313"/>
      <c r="K12" s="313"/>
      <c r="L12" s="313"/>
      <c r="M12" s="313"/>
      <c r="N12" s="313"/>
      <c r="O12" s="313"/>
      <c r="P12" s="313"/>
      <c r="Q12" s="313"/>
      <c r="R12" s="313"/>
      <c r="S12" s="9"/>
    </row>
    <row r="13" spans="1:19" x14ac:dyDescent="0.25">
      <c r="A13" s="322"/>
      <c r="B13" s="7"/>
      <c r="C13" s="8"/>
      <c r="D13" s="313"/>
      <c r="E13" s="313"/>
      <c r="F13" s="313"/>
      <c r="G13" s="313"/>
      <c r="H13" s="313"/>
      <c r="I13" s="313"/>
      <c r="J13" s="313"/>
      <c r="K13" s="313"/>
      <c r="L13" s="313"/>
      <c r="M13" s="313"/>
      <c r="N13" s="313"/>
      <c r="O13" s="313"/>
      <c r="P13" s="313"/>
      <c r="Q13" s="313"/>
      <c r="R13" s="313"/>
      <c r="S13" s="9"/>
    </row>
    <row r="14" spans="1:19" ht="6" customHeight="1" x14ac:dyDescent="0.25">
      <c r="B14" s="7"/>
      <c r="C14" s="8"/>
      <c r="D14" s="313"/>
      <c r="E14" s="313"/>
      <c r="F14" s="313"/>
      <c r="G14" s="313"/>
      <c r="H14" s="313"/>
      <c r="I14" s="313"/>
      <c r="J14" s="313"/>
      <c r="K14" s="313"/>
      <c r="L14" s="313"/>
      <c r="M14" s="313"/>
      <c r="N14" s="313"/>
      <c r="O14" s="313"/>
      <c r="P14" s="313"/>
      <c r="Q14" s="313"/>
      <c r="R14" s="313"/>
      <c r="S14" s="9"/>
    </row>
    <row r="15" spans="1:19" x14ac:dyDescent="0.25">
      <c r="B15" s="7"/>
      <c r="C15" s="8"/>
      <c r="D15" s="313"/>
      <c r="E15" s="313"/>
      <c r="F15" s="313"/>
      <c r="G15" s="313"/>
      <c r="H15" s="313"/>
      <c r="I15" s="313"/>
      <c r="J15" s="313"/>
      <c r="K15" s="313"/>
      <c r="L15" s="313"/>
      <c r="M15" s="313"/>
      <c r="N15" s="313"/>
      <c r="O15" s="313"/>
      <c r="P15" s="313"/>
      <c r="Q15" s="313"/>
      <c r="R15" s="313"/>
      <c r="S15" s="9"/>
    </row>
    <row r="16" spans="1:19" ht="6" customHeight="1" x14ac:dyDescent="0.25">
      <c r="B16" s="7"/>
      <c r="C16" s="8"/>
      <c r="D16" s="313"/>
      <c r="E16" s="313"/>
      <c r="F16" s="313"/>
      <c r="G16" s="313"/>
      <c r="H16" s="313"/>
      <c r="I16" s="313"/>
      <c r="J16" s="313"/>
      <c r="K16" s="313"/>
      <c r="L16" s="313"/>
      <c r="M16" s="313"/>
      <c r="N16" s="313"/>
      <c r="O16" s="313"/>
      <c r="P16" s="313"/>
      <c r="Q16" s="313"/>
      <c r="R16" s="313"/>
      <c r="S16" s="9"/>
    </row>
    <row r="17" spans="1:19" x14ac:dyDescent="0.25">
      <c r="A17" s="323" t="str">
        <f>IFERROR(HLOOKUP(LANGUAGE,DICCIONARIO!F1:K20,20,0),LANGUAGE)</f>
        <v>PERSONALIZAR DICCIONARIO</v>
      </c>
      <c r="B17" s="7"/>
      <c r="C17" s="8"/>
      <c r="D17" s="313"/>
      <c r="E17" s="313"/>
      <c r="F17" s="313"/>
      <c r="G17" s="313"/>
      <c r="H17" s="313"/>
      <c r="I17" s="313"/>
      <c r="J17" s="313"/>
      <c r="K17" s="313"/>
      <c r="L17" s="313"/>
      <c r="M17" s="313"/>
      <c r="N17" s="313"/>
      <c r="O17" s="313"/>
      <c r="P17" s="313"/>
      <c r="Q17" s="313"/>
      <c r="R17" s="313"/>
      <c r="S17" s="9"/>
    </row>
    <row r="18" spans="1:19" ht="6" customHeight="1" x14ac:dyDescent="0.25">
      <c r="A18" s="323"/>
      <c r="B18" s="7"/>
      <c r="C18" s="8"/>
      <c r="D18" s="313"/>
      <c r="E18" s="313"/>
      <c r="F18" s="313"/>
      <c r="G18" s="313"/>
      <c r="H18" s="313"/>
      <c r="I18" s="313"/>
      <c r="J18" s="313"/>
      <c r="K18" s="313"/>
      <c r="L18" s="313"/>
      <c r="M18" s="313"/>
      <c r="N18" s="313"/>
      <c r="O18" s="313"/>
      <c r="P18" s="313"/>
      <c r="Q18" s="313"/>
      <c r="R18" s="313"/>
      <c r="S18" s="9"/>
    </row>
    <row r="19" spans="1:19" x14ac:dyDescent="0.25">
      <c r="A19" s="323"/>
      <c r="B19" s="7"/>
      <c r="C19" s="8"/>
      <c r="D19" s="313"/>
      <c r="E19" s="313"/>
      <c r="F19" s="313"/>
      <c r="G19" s="313"/>
      <c r="H19" s="313"/>
      <c r="I19" s="313"/>
      <c r="J19" s="313"/>
      <c r="K19" s="313"/>
      <c r="L19" s="313"/>
      <c r="M19" s="313"/>
      <c r="N19" s="313"/>
      <c r="O19" s="313"/>
      <c r="P19" s="313"/>
      <c r="Q19" s="313"/>
      <c r="R19" s="313"/>
      <c r="S19" s="9"/>
    </row>
    <row r="20" spans="1:19" ht="6" customHeight="1" x14ac:dyDescent="0.25">
      <c r="B20" s="7"/>
      <c r="C20" s="8"/>
      <c r="D20" s="313"/>
      <c r="E20" s="313"/>
      <c r="F20" s="313"/>
      <c r="G20" s="313"/>
      <c r="H20" s="313"/>
      <c r="I20" s="313"/>
      <c r="J20" s="313"/>
      <c r="K20" s="313"/>
      <c r="L20" s="313"/>
      <c r="M20" s="313"/>
      <c r="N20" s="313"/>
      <c r="O20" s="313"/>
      <c r="P20" s="313"/>
      <c r="Q20" s="313"/>
      <c r="R20" s="313"/>
      <c r="S20" s="9"/>
    </row>
    <row r="21" spans="1:19" x14ac:dyDescent="0.25">
      <c r="B21" s="7"/>
      <c r="C21" s="8"/>
      <c r="D21" s="313"/>
      <c r="E21" s="313"/>
      <c r="F21" s="313"/>
      <c r="G21" s="313"/>
      <c r="H21" s="313"/>
      <c r="I21" s="313"/>
      <c r="J21" s="313"/>
      <c r="K21" s="313"/>
      <c r="L21" s="313"/>
      <c r="M21" s="313"/>
      <c r="N21" s="313"/>
      <c r="O21" s="313"/>
      <c r="P21" s="313"/>
      <c r="Q21" s="313"/>
      <c r="R21" s="313"/>
      <c r="S21" s="9"/>
    </row>
    <row r="22" spans="1:19" ht="5.0999999999999996" customHeight="1" thickBot="1" x14ac:dyDescent="0.3">
      <c r="B22" s="7"/>
      <c r="C22" s="8"/>
      <c r="D22" s="82"/>
      <c r="E22" s="82"/>
      <c r="F22" s="82"/>
      <c r="G22" s="82"/>
      <c r="H22" s="82"/>
      <c r="I22" s="82"/>
      <c r="J22" s="82"/>
      <c r="K22" s="82"/>
      <c r="L22" s="82"/>
      <c r="M22" s="82"/>
      <c r="N22" s="82"/>
      <c r="O22" s="82"/>
      <c r="P22" s="82"/>
      <c r="Q22" s="82"/>
      <c r="R22" s="82"/>
      <c r="S22" s="9"/>
    </row>
    <row r="23" spans="1:19" ht="15" customHeight="1" thickBot="1" x14ac:dyDescent="0.3">
      <c r="B23" s="7"/>
      <c r="C23" s="314" t="str">
        <f ca="1">INDIRECT("Z_BP_10_"&amp;IDIOMA)</f>
        <v>OM 1R</v>
      </c>
      <c r="D23" s="315"/>
      <c r="E23" s="314" t="str">
        <f ca="1">INDIRECT("Z_BP_11_"&amp;IDIOMA)</f>
        <v>OM +R</v>
      </c>
      <c r="F23" s="316"/>
      <c r="G23" s="314" t="str">
        <f ca="1">INDIRECT("Z_BP_12_"&amp;IDIOMA)</f>
        <v>VF</v>
      </c>
      <c r="H23" s="316"/>
      <c r="I23" s="314" t="str">
        <f ca="1">INDIRECT("Z_BP_13_"&amp;IDIOMA)</f>
        <v>EM</v>
      </c>
      <c r="J23" s="315"/>
      <c r="K23" s="314" t="str">
        <f ca="1">INDIRECT("Z_BP_14_"&amp;IDIOMA)</f>
        <v>RC</v>
      </c>
      <c r="L23" s="316"/>
      <c r="M23" s="314" t="str">
        <f ca="1">INDIRECT("Z_BP_15_"&amp;IDIOMA)</f>
        <v>PP</v>
      </c>
      <c r="N23" s="316"/>
      <c r="O23" s="314" t="str">
        <f ca="1">INDIRECT("Z_BP_31_"&amp;IDIOMA)</f>
        <v>EN</v>
      </c>
      <c r="P23" s="316"/>
      <c r="Q23" s="314" t="str">
        <f ca="1">INDIRECT("Z_BP_16_"&amp;IDIOMA)</f>
        <v>CL</v>
      </c>
      <c r="R23" s="316"/>
      <c r="S23" s="9"/>
    </row>
    <row r="24" spans="1:19" ht="14.45" customHeight="1" x14ac:dyDescent="0.25">
      <c r="B24" s="7"/>
      <c r="C24" s="305" t="str">
        <f ca="1">INDIRECT("Z_IN_08_"&amp;IDIOMA)</f>
        <v xml:space="preserve">Opción Múltiple 1R </v>
      </c>
      <c r="D24" s="306"/>
      <c r="E24" s="306" t="str">
        <f ca="1">INDIRECT("Z_IN_09_"&amp;IDIOMA)</f>
        <v xml:space="preserve">Opción Múltiple +R </v>
      </c>
      <c r="F24" s="306"/>
      <c r="G24" s="306" t="str">
        <f ca="1">INDIRECT("Z_IN_10_"&amp;IDIOMA)</f>
        <v>Verdadero/Falso</v>
      </c>
      <c r="H24" s="306"/>
      <c r="I24" s="306" t="str">
        <f ca="1">INDIRECT("Z_IN_11_"&amp;IDIOMA)</f>
        <v>Emparejar</v>
      </c>
      <c r="J24" s="306"/>
      <c r="K24" s="306" t="str">
        <f ca="1">INDIRECT("Z_IN_12_"&amp;IDIOMA)</f>
        <v>Respuesta Corta</v>
      </c>
      <c r="L24" s="306"/>
      <c r="M24" s="306" t="str">
        <f ca="1">INDIRECT("Z_IN_13_"&amp;IDIOMA)</f>
        <v>Palabra Perdida</v>
      </c>
      <c r="N24" s="306"/>
      <c r="O24" s="306" t="str">
        <f ca="1">INDIRECT("Z_IN_16_"&amp;IDIOMA)</f>
        <v>Ensayo</v>
      </c>
      <c r="P24" s="306"/>
      <c r="Q24" s="306" t="str">
        <f ca="1">INDIRECT("Z_IN_14_"&amp;IDIOMA)</f>
        <v>Cloze</v>
      </c>
      <c r="R24" s="331"/>
      <c r="S24" s="9"/>
    </row>
    <row r="25" spans="1:19" ht="6" customHeight="1" thickBot="1" x14ac:dyDescent="0.3">
      <c r="B25" s="7"/>
      <c r="C25" s="307"/>
      <c r="D25" s="308"/>
      <c r="E25" s="308"/>
      <c r="F25" s="308"/>
      <c r="G25" s="308"/>
      <c r="H25" s="308"/>
      <c r="I25" s="308"/>
      <c r="J25" s="308"/>
      <c r="K25" s="308"/>
      <c r="L25" s="308"/>
      <c r="M25" s="308"/>
      <c r="N25" s="308"/>
      <c r="O25" s="308"/>
      <c r="P25" s="308"/>
      <c r="Q25" s="308"/>
      <c r="R25" s="332"/>
      <c r="S25" s="9"/>
    </row>
    <row r="26" spans="1:19" ht="15" customHeight="1" thickBot="1" x14ac:dyDescent="0.3">
      <c r="B26" s="7"/>
      <c r="C26" s="302" t="str">
        <f ca="1">'Datos OM'!G2&amp;" "&amp;INDIRECT("Z_IN_15_"&amp;IDIOMA)</f>
        <v>3 Preguntas</v>
      </c>
      <c r="D26" s="304"/>
      <c r="E26" s="302" t="str">
        <f ca="1">'Datos O2'!G2&amp;" "&amp;INDIRECT("Z_IN_15_"&amp;IDIOMA)</f>
        <v>2 Preguntas</v>
      </c>
      <c r="F26" s="303"/>
      <c r="G26" s="302" t="str">
        <f ca="1">'Datos VF'!G2&amp;" "&amp;INDIRECT("Z_IN_15_"&amp;IDIOMA)</f>
        <v>2 Preguntas</v>
      </c>
      <c r="H26" s="303"/>
      <c r="I26" s="302" t="str">
        <f ca="1">'Datos EM'!G2&amp;" "&amp;INDIRECT("Z_IN_15_"&amp;IDIOMA)</f>
        <v>3 Preguntas</v>
      </c>
      <c r="J26" s="304"/>
      <c r="K26" s="302" t="str">
        <f ca="1">'Datos RC'!G2&amp;" "&amp;INDIRECT("Z_IN_15_"&amp;IDIOMA)</f>
        <v>2 Preguntas</v>
      </c>
      <c r="L26" s="303"/>
      <c r="M26" s="302" t="str">
        <f ca="1">'Datos PP'!G2&amp;" "&amp;INDIRECT("Z_IN_15_"&amp;IDIOMA)</f>
        <v>2 Preguntas</v>
      </c>
      <c r="N26" s="303"/>
      <c r="O26" s="302" t="str">
        <f ca="1">'Datos EN'!G2&amp;" "&amp;INDIRECT("Z_IN_15_"&amp;IDIOMA)</f>
        <v>2 Preguntas</v>
      </c>
      <c r="P26" s="303"/>
      <c r="Q26" s="302" t="str">
        <f ca="1">'Datos CL'!G2&amp;" "&amp;INDIRECT("Z_IN_15_"&amp;IDIOMA)</f>
        <v>1 Preguntas</v>
      </c>
      <c r="R26" s="303"/>
      <c r="S26" s="9"/>
    </row>
    <row r="27" spans="1:19" ht="6" customHeight="1" x14ac:dyDescent="0.25">
      <c r="B27" s="7"/>
      <c r="C27" s="8"/>
      <c r="D27" s="324" t="str">
        <f ca="1">INDIRECT("Z_IN_07_"&amp;IDIOMA)</f>
        <v>Esta HOJA sirve para almacenar las preguntas y poder reutilizarlas cuando sea necesario, sin tener que volver a escribirlas para un nuevo BANCO DE PREGUNTAS.</v>
      </c>
      <c r="E27" s="324"/>
      <c r="F27" s="324"/>
      <c r="G27" s="324"/>
      <c r="H27" s="324"/>
      <c r="I27" s="324"/>
      <c r="J27" s="324"/>
      <c r="K27" s="324"/>
      <c r="L27" s="324"/>
      <c r="M27" s="324"/>
      <c r="N27" s="210"/>
      <c r="O27" s="10"/>
      <c r="P27" s="10"/>
      <c r="Q27" s="10"/>
      <c r="R27" s="10"/>
      <c r="S27" s="9"/>
    </row>
    <row r="28" spans="1:19" ht="15" customHeight="1" x14ac:dyDescent="0.25">
      <c r="B28" s="7"/>
      <c r="C28" s="8"/>
      <c r="D28" s="325"/>
      <c r="E28" s="325"/>
      <c r="F28" s="325"/>
      <c r="G28" s="325"/>
      <c r="H28" s="325"/>
      <c r="I28" s="325"/>
      <c r="J28" s="325"/>
      <c r="K28" s="325"/>
      <c r="L28" s="325"/>
      <c r="M28" s="325"/>
      <c r="N28" s="211"/>
      <c r="O28" s="198"/>
      <c r="P28" s="301"/>
      <c r="Q28" s="301"/>
      <c r="R28" s="301"/>
      <c r="S28" s="208"/>
    </row>
    <row r="29" spans="1:19" ht="6" customHeight="1" x14ac:dyDescent="0.25">
      <c r="B29" s="7"/>
      <c r="C29" s="8"/>
      <c r="D29" s="325"/>
      <c r="E29" s="325"/>
      <c r="F29" s="325"/>
      <c r="G29" s="325"/>
      <c r="H29" s="325"/>
      <c r="I29" s="325"/>
      <c r="J29" s="325"/>
      <c r="K29" s="325"/>
      <c r="L29" s="325"/>
      <c r="M29" s="325"/>
      <c r="N29" s="211"/>
      <c r="O29" s="198"/>
      <c r="P29" s="301"/>
      <c r="Q29" s="301"/>
      <c r="R29" s="301"/>
      <c r="S29" s="208"/>
    </row>
    <row r="30" spans="1:19" x14ac:dyDescent="0.25">
      <c r="B30" s="7"/>
      <c r="C30" s="8"/>
      <c r="D30" s="325"/>
      <c r="E30" s="325"/>
      <c r="F30" s="325"/>
      <c r="G30" s="325"/>
      <c r="H30" s="325"/>
      <c r="I30" s="325"/>
      <c r="J30" s="325"/>
      <c r="K30" s="325"/>
      <c r="L30" s="325"/>
      <c r="M30" s="325"/>
      <c r="N30" s="211"/>
      <c r="O30" s="198"/>
      <c r="P30" s="301"/>
      <c r="Q30" s="301"/>
      <c r="R30" s="301"/>
      <c r="S30" s="208"/>
    </row>
    <row r="31" spans="1:19" ht="6" customHeight="1" x14ac:dyDescent="0.25">
      <c r="B31" s="7"/>
      <c r="C31" s="8"/>
      <c r="D31" s="325"/>
      <c r="E31" s="325"/>
      <c r="F31" s="325"/>
      <c r="G31" s="325"/>
      <c r="H31" s="325"/>
      <c r="I31" s="325"/>
      <c r="J31" s="325"/>
      <c r="K31" s="325"/>
      <c r="L31" s="325"/>
      <c r="M31" s="325"/>
      <c r="N31" s="211"/>
      <c r="O31" s="198"/>
      <c r="P31" s="301"/>
      <c r="Q31" s="301"/>
      <c r="R31" s="301"/>
      <c r="S31" s="208"/>
    </row>
    <row r="32" spans="1:19" x14ac:dyDescent="0.25">
      <c r="B32" s="7"/>
      <c r="C32" s="8"/>
      <c r="D32" s="325"/>
      <c r="E32" s="325"/>
      <c r="F32" s="325"/>
      <c r="G32" s="325"/>
      <c r="H32" s="325"/>
      <c r="I32" s="325"/>
      <c r="J32" s="325"/>
      <c r="K32" s="325"/>
      <c r="L32" s="325"/>
      <c r="M32" s="325"/>
      <c r="N32" s="211"/>
      <c r="O32" s="198"/>
      <c r="P32" s="301"/>
      <c r="Q32" s="301"/>
      <c r="R32" s="301"/>
      <c r="S32" s="208"/>
    </row>
    <row r="33" spans="1:20" ht="6" customHeight="1" x14ac:dyDescent="0.25">
      <c r="B33" s="7"/>
      <c r="C33" s="8"/>
      <c r="D33" s="325"/>
      <c r="E33" s="325"/>
      <c r="F33" s="325"/>
      <c r="G33" s="325"/>
      <c r="H33" s="325"/>
      <c r="I33" s="325"/>
      <c r="J33" s="325"/>
      <c r="K33" s="325"/>
      <c r="L33" s="325"/>
      <c r="M33" s="325"/>
      <c r="N33" s="211"/>
      <c r="O33" s="198"/>
      <c r="P33" s="301"/>
      <c r="Q33" s="301"/>
      <c r="R33" s="301"/>
      <c r="S33" s="208"/>
    </row>
    <row r="34" spans="1:20" x14ac:dyDescent="0.25">
      <c r="B34" s="7"/>
      <c r="C34" s="8"/>
      <c r="D34" s="325"/>
      <c r="E34" s="325"/>
      <c r="F34" s="325"/>
      <c r="G34" s="325"/>
      <c r="H34" s="325"/>
      <c r="I34" s="325"/>
      <c r="J34" s="325"/>
      <c r="K34" s="325"/>
      <c r="L34" s="325"/>
      <c r="M34" s="325"/>
      <c r="N34" s="211"/>
      <c r="O34" s="198"/>
      <c r="P34" s="301"/>
      <c r="Q34" s="301"/>
      <c r="R34" s="301"/>
      <c r="S34" s="208"/>
    </row>
    <row r="35" spans="1:20" ht="9.9499999999999993" customHeight="1" thickBot="1" x14ac:dyDescent="0.3">
      <c r="B35" s="11"/>
      <c r="C35" s="12"/>
      <c r="D35" s="12"/>
      <c r="E35" s="12"/>
      <c r="F35" s="12"/>
      <c r="G35" s="12"/>
      <c r="H35" s="12"/>
      <c r="I35" s="12"/>
      <c r="J35" s="12"/>
      <c r="K35" s="12"/>
      <c r="L35" s="12"/>
      <c r="M35" s="93"/>
      <c r="N35" s="93"/>
      <c r="O35" s="93"/>
      <c r="P35" s="93"/>
      <c r="Q35" s="93"/>
      <c r="R35" s="93"/>
      <c r="S35" s="209"/>
    </row>
    <row r="36" spans="1:20" ht="15.75" hidden="1" thickTop="1" x14ac:dyDescent="0.25">
      <c r="B36" s="14"/>
      <c r="C36" s="14"/>
      <c r="D36" s="14"/>
      <c r="E36" s="13"/>
      <c r="F36" s="13"/>
      <c r="G36" s="13"/>
      <c r="H36" s="13"/>
      <c r="I36" s="13"/>
      <c r="J36" s="13"/>
      <c r="K36" s="13"/>
      <c r="L36" s="13"/>
      <c r="M36" s="13"/>
      <c r="N36" s="13"/>
      <c r="O36" s="13"/>
      <c r="P36" s="13"/>
      <c r="Q36" s="13"/>
      <c r="R36" s="13"/>
      <c r="S36" s="13"/>
      <c r="T36" s="13"/>
    </row>
    <row r="37" spans="1:20" hidden="1" x14ac:dyDescent="0.25">
      <c r="A37" s="65" t="str">
        <f>IFERROR(VLOOKUP(LANGUAGE,Tabla_ID[],2,0),"")</f>
        <v>S</v>
      </c>
    </row>
    <row r="38" spans="1:20" ht="15.75" hidden="1" thickBot="1" x14ac:dyDescent="0.3">
      <c r="A38" s="204" t="s">
        <v>389</v>
      </c>
      <c r="B38" s="205" t="s">
        <v>390</v>
      </c>
    </row>
    <row r="39" spans="1:20" hidden="1" x14ac:dyDescent="0.25">
      <c r="A39" s="66" t="s">
        <v>12</v>
      </c>
      <c r="B39" s="69" t="s">
        <v>13</v>
      </c>
    </row>
    <row r="40" spans="1:20" hidden="1" x14ac:dyDescent="0.25">
      <c r="A40" s="67" t="s">
        <v>19</v>
      </c>
      <c r="B40" s="70" t="s">
        <v>17</v>
      </c>
    </row>
    <row r="41" spans="1:20" hidden="1" x14ac:dyDescent="0.25">
      <c r="A41" s="67" t="s">
        <v>20</v>
      </c>
      <c r="B41" s="70" t="s">
        <v>15</v>
      </c>
    </row>
    <row r="42" spans="1:20" hidden="1" x14ac:dyDescent="0.25">
      <c r="A42" s="67" t="s">
        <v>21</v>
      </c>
      <c r="B42" s="70" t="s">
        <v>16</v>
      </c>
    </row>
    <row r="43" spans="1:20" hidden="1" x14ac:dyDescent="0.25">
      <c r="A43" s="67" t="s">
        <v>22</v>
      </c>
      <c r="B43" s="70" t="s">
        <v>14</v>
      </c>
    </row>
    <row r="44" spans="1:20" hidden="1" x14ac:dyDescent="0.25">
      <c r="A44" s="67" t="s">
        <v>23</v>
      </c>
      <c r="B44" s="70" t="s">
        <v>24</v>
      </c>
    </row>
    <row r="45" spans="1:20" ht="15.75" hidden="1" thickBot="1" x14ac:dyDescent="0.3">
      <c r="A45" s="68" t="str">
        <f>A17</f>
        <v>PERSONALIZAR DICCIONARIO</v>
      </c>
      <c r="B45" s="71" t="s">
        <v>388</v>
      </c>
    </row>
    <row r="46" spans="1:20" ht="5.0999999999999996" customHeight="1" thickTop="1" x14ac:dyDescent="0.25"/>
    <row r="47" spans="1:20" ht="15" hidden="1" customHeight="1" x14ac:dyDescent="0.25"/>
  </sheetData>
  <sheetProtection algorithmName="SHA-512" hashValue="uVOfsFDaewFL2xFYdoeW2Ke1ozZpHaJKdObnLDT6CgkitI3MGneUPTIwYp3dTwnibmFgBlMze+35Bewo32diKQ==" saltValue="JAF8UB6OlUZ/tufn5p0BPw==" spinCount="100000" sheet="1" objects="1" scenarios="1" selectLockedCells="1"/>
  <mergeCells count="42">
    <mergeCell ref="A1:A9"/>
    <mergeCell ref="A11:A13"/>
    <mergeCell ref="A17:A19"/>
    <mergeCell ref="D27:M34"/>
    <mergeCell ref="P30:R34"/>
    <mergeCell ref="G3:N3"/>
    <mergeCell ref="I5:L5"/>
    <mergeCell ref="I7:L7"/>
    <mergeCell ref="I9:L9"/>
    <mergeCell ref="P6:R7"/>
    <mergeCell ref="P9:R9"/>
    <mergeCell ref="M23:N23"/>
    <mergeCell ref="O23:P23"/>
    <mergeCell ref="Q23:R23"/>
    <mergeCell ref="M24:N25"/>
    <mergeCell ref="Q24:R25"/>
    <mergeCell ref="B1:S1"/>
    <mergeCell ref="C9:D9"/>
    <mergeCell ref="D11:R21"/>
    <mergeCell ref="C23:D23"/>
    <mergeCell ref="E23:F23"/>
    <mergeCell ref="G23:H23"/>
    <mergeCell ref="I23:J23"/>
    <mergeCell ref="K23:L23"/>
    <mergeCell ref="N5:O10"/>
    <mergeCell ref="F5:G10"/>
    <mergeCell ref="P5:R5"/>
    <mergeCell ref="P28:R29"/>
    <mergeCell ref="G26:H26"/>
    <mergeCell ref="I26:J26"/>
    <mergeCell ref="K26:L26"/>
    <mergeCell ref="C24:D25"/>
    <mergeCell ref="E24:F25"/>
    <mergeCell ref="G24:H25"/>
    <mergeCell ref="I24:J25"/>
    <mergeCell ref="K24:L25"/>
    <mergeCell ref="O24:P25"/>
    <mergeCell ref="M26:N26"/>
    <mergeCell ref="Q26:R26"/>
    <mergeCell ref="O26:P26"/>
    <mergeCell ref="C26:D26"/>
    <mergeCell ref="E26:F26"/>
  </mergeCells>
  <dataValidations count="1">
    <dataValidation type="list" allowBlank="1" showInputMessage="1" showErrorMessage="1" sqref="A11:A13">
      <formula1>$A$39:$A$45</formula1>
    </dataValidation>
  </dataValidations>
  <hyperlinks>
    <hyperlink ref="B1:S1" r:id="rId1" display="GENERAR BANCO DE PREGUNTAS PARA MOODLE Versión 3.8"/>
    <hyperlink ref="I9" r:id="rId2"/>
    <hyperlink ref="O1:P1" r:id="rId3" display="GENERAR BANCO DE PREGUNTAS PARA MOODLE Versión 3.8"/>
    <hyperlink ref="H5:K5" r:id="rId4" display="MILAGROS HUERTA GÓMEZ DE MERODIO"/>
  </hyperlinks>
  <pageMargins left="0.7" right="0.7" top="0.75" bottom="0.75" header="0.3" footer="0.3"/>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dimension ref="A1:AI7"/>
  <sheetViews>
    <sheetView showGridLines="0" showRowColHeaders="0" zoomScale="125" zoomScaleNormal="125" workbookViewId="0">
      <pane xSplit="6" ySplit="3" topLeftCell="G4"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INDIRECT("Z_BP_10_"&amp;IDIOMA)&amp;"                  "&amp;INDIRECT("Z_BP_11_"&amp;IDIOMA)&amp;"                    "&amp;INDIRECT("Z_BP_12_"&amp;IDIOMA)&amp;"                         "&amp;INDIRECT("Z_BP_13_"&amp;IDIOMA)&amp;"                                "&amp;INDIRECT("Z_IN_00_"&amp;IDIOMA)</f>
        <v>OM 1R                  OM +R                    VF                         EM                                INICIO</v>
      </c>
      <c r="G1" s="79" t="str">
        <f ca="1">INDIRECT("Z_BP_01_"&amp;IDIOMA)</f>
        <v>Preguntas Almacenadas</v>
      </c>
      <c r="H1" s="283"/>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8" t="str">
        <f ca="1">"    "&amp;INDIRECT("Z_BP_14_"&amp;IDIOMA)&amp;"                         "&amp;INDIRECT("Z_BP_15_"&amp;IDIOMA)&amp;"                         "&amp;INDIRECT("Z_BP_31_"&amp;IDIOMA)&amp;"                         "&amp;INDIRECT("Z_BP_16_"&amp;IDIOMA)&amp;"                                 "&amp;INDIRECT("Z_BP_02_"&amp;IDIOMA)</f>
        <v xml:space="preserve">    RC                         PP                         EN                         CL                                 DICCIONARIO</v>
      </c>
      <c r="G2" s="62">
        <f>COUNTA(Tabla_OM[Enunciado])</f>
        <v>3</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V"&amp;MID(Version,5,7)&amp;UPPER(INICIO!C24)&amp;"
"&amp;INDIRECT("Z_BP_03_"&amp;IDIOMA)</f>
        <v>FastTest PlugIn - V6.0  - OPCIÓN MÚLTIPLE 1R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
        <v>279</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IF(COUNTIF(Tabla_OM[[#This Row],[Puntos 1]:[Puntos 6]],"&gt;0")=0,"",COUNTIF(Tabla_OM[[#This Row],[Puntos 1]:[Puntos 6]],"&gt;0"))</f>
        <v>1</v>
      </c>
      <c r="B5" s="219">
        <f>IF(Tabla_OM[[#This Row],[NRC]]="","",COUNTA(Tabla_OM[[#This Row],[Respuesta 1]:[Respuesta 6]])-Tabla_OM[[#This Row],[NRC]])</f>
        <v>5</v>
      </c>
      <c r="D5" s="48"/>
      <c r="E5" s="106" t="s">
        <v>662</v>
      </c>
      <c r="F5" s="105" t="s">
        <v>663</v>
      </c>
      <c r="G5" s="27" t="s">
        <v>664</v>
      </c>
      <c r="H5" s="28" t="s">
        <v>665</v>
      </c>
      <c r="I5" s="29" t="s">
        <v>666</v>
      </c>
      <c r="J5" s="30" t="s">
        <v>667</v>
      </c>
      <c r="K5" s="31" t="s">
        <v>668</v>
      </c>
      <c r="L5" s="32" t="s">
        <v>669</v>
      </c>
      <c r="M5" s="49" t="s">
        <v>670</v>
      </c>
      <c r="N5" s="50" t="s">
        <v>671</v>
      </c>
      <c r="O5" s="51" t="s">
        <v>672</v>
      </c>
      <c r="P5" s="52" t="s">
        <v>673</v>
      </c>
      <c r="Q5" s="53" t="s">
        <v>674</v>
      </c>
      <c r="R5" s="54" t="s">
        <v>675</v>
      </c>
      <c r="S5" s="49">
        <v>100</v>
      </c>
      <c r="T5" s="50">
        <v>0</v>
      </c>
      <c r="U5" s="51">
        <v>0</v>
      </c>
      <c r="V5" s="52">
        <v>0</v>
      </c>
      <c r="W5" s="53">
        <v>0</v>
      </c>
      <c r="X5" s="54">
        <v>0</v>
      </c>
      <c r="Y5" s="54"/>
      <c r="Z5" s="54"/>
      <c r="AA5" s="54"/>
      <c r="AB5" s="54"/>
      <c r="AC5" s="54"/>
      <c r="AD5" s="54"/>
      <c r="AE5" s="55"/>
      <c r="AF5" s="56"/>
      <c r="AG5" s="57"/>
      <c r="AH5" s="58"/>
      <c r="AI5" s="118"/>
    </row>
    <row r="6" spans="1:35" x14ac:dyDescent="0.25">
      <c r="A6" s="334">
        <f>IF(COUNTIF(Tabla_OM[[#This Row],[Puntos 1]:[Puntos 6]],"&gt;0")=0,"",COUNTIF(Tabla_OM[[#This Row],[Puntos 1]:[Puntos 6]],"&gt;0"))</f>
        <v>1</v>
      </c>
      <c r="B6" s="334">
        <f>IF(Tabla_OM[[#This Row],[NRC]]="","",COUNTA(Tabla_OM[[#This Row],[Respuesta 1]:[Respuesta 6]])-Tabla_OM[[#This Row],[NRC]])</f>
        <v>5</v>
      </c>
      <c r="C6" s="1"/>
      <c r="D6" s="335"/>
      <c r="E6" s="336" t="s">
        <v>676</v>
      </c>
      <c r="F6" s="337" t="s">
        <v>677</v>
      </c>
      <c r="G6" s="338" t="s">
        <v>678</v>
      </c>
      <c r="H6" s="339" t="s">
        <v>679</v>
      </c>
      <c r="I6" s="340" t="s">
        <v>680</v>
      </c>
      <c r="J6" s="341" t="s">
        <v>681</v>
      </c>
      <c r="K6" s="342" t="s">
        <v>682</v>
      </c>
      <c r="L6" s="343" t="s">
        <v>683</v>
      </c>
      <c r="M6" s="344">
        <v>1</v>
      </c>
      <c r="N6" s="345">
        <v>2</v>
      </c>
      <c r="O6" s="346">
        <v>3</v>
      </c>
      <c r="P6" s="347">
        <v>4</v>
      </c>
      <c r="Q6" s="348">
        <v>5</v>
      </c>
      <c r="R6" s="349">
        <v>6</v>
      </c>
      <c r="S6" s="344">
        <v>100</v>
      </c>
      <c r="T6" s="345"/>
      <c r="U6" s="346"/>
      <c r="V6" s="347"/>
      <c r="W6" s="348"/>
      <c r="X6" s="349"/>
      <c r="Y6" s="349"/>
      <c r="Z6" s="349"/>
      <c r="AA6" s="349"/>
      <c r="AB6" s="349"/>
      <c r="AC6" s="349"/>
      <c r="AD6" s="349"/>
      <c r="AE6" s="350"/>
      <c r="AF6" s="351"/>
      <c r="AG6" s="352"/>
      <c r="AH6" s="353"/>
      <c r="AI6" s="354"/>
    </row>
    <row r="7" spans="1:35" ht="48" x14ac:dyDescent="0.25">
      <c r="A7" s="334">
        <f>IF(COUNTIF(Tabla_OM[[#This Row],[Puntos 1]:[Puntos 6]],"&gt;0")=0,"",COUNTIF(Tabla_OM[[#This Row],[Puntos 1]:[Puntos 6]],"&gt;0"))</f>
        <v>1</v>
      </c>
      <c r="B7" s="334">
        <f>IF(Tabla_OM[[#This Row],[NRC]]="","",COUNTA(Tabla_OM[[#This Row],[Respuesta 1]:[Respuesta 6]])-Tabla_OM[[#This Row],[NRC]])</f>
        <v>2</v>
      </c>
      <c r="C7" s="1"/>
      <c r="D7" s="335"/>
      <c r="E7" s="336" t="s">
        <v>684</v>
      </c>
      <c r="F7" s="337" t="s">
        <v>685</v>
      </c>
      <c r="G7" s="338" t="s">
        <v>686</v>
      </c>
      <c r="H7" s="339" t="s">
        <v>687</v>
      </c>
      <c r="I7" s="340" t="s">
        <v>688</v>
      </c>
      <c r="J7" s="341"/>
      <c r="K7" s="342"/>
      <c r="L7" s="343"/>
      <c r="M7" s="344"/>
      <c r="N7" s="345"/>
      <c r="O7" s="346"/>
      <c r="P7" s="347"/>
      <c r="Q7" s="348"/>
      <c r="R7" s="349"/>
      <c r="S7" s="344">
        <v>100</v>
      </c>
      <c r="T7" s="345"/>
      <c r="U7" s="346"/>
      <c r="V7" s="347"/>
      <c r="W7" s="348"/>
      <c r="X7" s="349"/>
      <c r="Y7" s="349"/>
      <c r="Z7" s="349"/>
      <c r="AA7" s="349"/>
      <c r="AB7" s="349"/>
      <c r="AC7" s="349"/>
      <c r="AD7" s="349"/>
      <c r="AE7" s="350"/>
      <c r="AF7" s="351"/>
      <c r="AG7" s="352"/>
      <c r="AH7" s="353"/>
      <c r="AI7" s="354"/>
    </row>
  </sheetData>
  <sheetProtection algorithmName="SHA-512" hashValue="pel+qTGeAD79ivUFjodYNM6o83Dj5kA2gux5i0eEMiRCmlZ+MjmogIOgGoVPgxXEn1j/tVkbexJpevhOVJkA1g==" saltValue="HEVDWKJtlVCs+FWbZp1ySQ==" spinCount="100000" sheet="1" objects="1" scenarios="1" selectLockedCells="1"/>
  <pageMargins left="0.7" right="0.7" top="0.75" bottom="0.75" header="0.3" footer="0.3"/>
  <pageSetup paperSize="9" orientation="portrait" horizontalDpi="1200" verticalDpi="120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dimension ref="A1:AI6"/>
  <sheetViews>
    <sheetView showGridLines="0" showRowColHeaders="0" zoomScale="125" zoomScaleNormal="125" workbookViewId="0">
      <pane xSplit="6" ySplit="3" topLeftCell="X5"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24" width="14.28515625" style="4" customWidth="1"/>
    <col min="25"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COUNTA(Tabla_O2[Enunciado])</f>
        <v>2</v>
      </c>
    </row>
    <row r="3" spans="1:35" s="15" customFormat="1" ht="50.1" customHeight="1" x14ac:dyDescent="0.25">
      <c r="A3" s="80" t="str">
        <f ca="1">"N. "&amp;INDIRECT("Z_BP_05_"&amp;IDIOMA)</f>
        <v>N. Respuesta Correcta</v>
      </c>
      <c r="B3" s="80" t="str">
        <f ca="1">"N. "&amp;INDIRECT("Z_BP_06_"&amp;IDIOMA)</f>
        <v>N. Respuesta Incorrecta</v>
      </c>
      <c r="C3" s="110"/>
      <c r="D3" s="36"/>
      <c r="E3" s="37" t="str">
        <f ca="1">INDIRECT("Z_BP_04_"&amp;IDIOMA)</f>
        <v>Descripción</v>
      </c>
      <c r="F3" s="64" t="str">
        <f ca="1">"FastTest PlugIn - V"&amp;MID(Version,5,7)&amp;UPPER(INICIO!E24)&amp;"
"&amp;INDIRECT("Z_BP_03_"&amp;IDIOMA)</f>
        <v>FastTest PlugIn - V6.0  - OPCIÓN MÚLTIPLE +R 
Enunciado de la pregunta</v>
      </c>
      <c r="G3" s="96" t="str">
        <f ca="1">INDIRECT("Z_BP_19_"&amp;IDIOMA)&amp;" 1"</f>
        <v>Respuesta 1</v>
      </c>
      <c r="H3" s="97" t="str">
        <f ca="1">INDIRECT("Z_BP_19_"&amp;IDIOMA)&amp;" 2"</f>
        <v>Respuesta 2</v>
      </c>
      <c r="I3" s="98" t="str">
        <f ca="1">INDIRECT("Z_BP_19_"&amp;IDIOMA)&amp;" 3"</f>
        <v>Respuesta 3</v>
      </c>
      <c r="J3" s="99" t="str">
        <f ca="1">INDIRECT("Z_BP_19_"&amp;IDIOMA)&amp;" 4"</f>
        <v>Respuesta 4</v>
      </c>
      <c r="K3" s="100" t="str">
        <f ca="1">INDIRECT("Z_BP_19_"&amp;IDIOMA)&amp;" 5"</f>
        <v>Respuesta 5</v>
      </c>
      <c r="L3" s="101" t="str">
        <f ca="1">INDIRECT("Z_BP_19_"&amp;IDIOMA)&amp;" 6"</f>
        <v>Respuesta 6</v>
      </c>
      <c r="M3" s="102" t="str">
        <f ca="1">INDIRECT("Z_BP_07_"&amp;IDIOMA)&amp;" 1"</f>
        <v>Retroalim. 1</v>
      </c>
      <c r="N3" s="103" t="str">
        <f ca="1">INDIRECT("Z_BP_07_"&amp;IDIOMA)&amp;" 2"</f>
        <v>Retroalim. 2</v>
      </c>
      <c r="O3" s="104" t="str">
        <f ca="1">INDIRECT("Z_BP_07_"&amp;IDIOMA)&amp;" 3"</f>
        <v>Retroalim. 3</v>
      </c>
      <c r="P3" s="111" t="str">
        <f ca="1">INDIRECT("Z_BP_07_"&amp;IDIOMA)&amp;" 4"</f>
        <v>Retroalim. 4</v>
      </c>
      <c r="Q3" s="112" t="str">
        <f ca="1">INDIRECT("Z_BP_07_"&amp;IDIOMA)&amp;" 5"</f>
        <v>Retroalim. 5</v>
      </c>
      <c r="R3" s="113" t="str">
        <f ca="1">INDIRECT("Z_BP_07_"&amp;IDIOMA)&amp;" 6"</f>
        <v>Retroalim. 6</v>
      </c>
      <c r="S3" s="102" t="str">
        <f ca="1">INDIRECT("Z_BP_09_"&amp;IDIOMA)&amp;" 1"</f>
        <v>Puntos 1</v>
      </c>
      <c r="T3" s="103" t="str">
        <f ca="1">INDIRECT("Z_BP_09_"&amp;IDIOMA)&amp;" 2"</f>
        <v>Puntos 2</v>
      </c>
      <c r="U3" s="104" t="str">
        <f ca="1">INDIRECT("Z_BP_09_"&amp;IDIOMA)&amp;" 3"</f>
        <v>Puntos 3</v>
      </c>
      <c r="V3" s="111" t="str">
        <f ca="1">INDIRECT("Z_BP_09_"&amp;IDIOMA)&amp;" 4"</f>
        <v>Puntos 4</v>
      </c>
      <c r="W3" s="112" t="str">
        <f ca="1">INDIRECT("Z_BP_09_"&amp;IDIOMA)&amp;" 5"</f>
        <v>Puntos 5</v>
      </c>
      <c r="X3" s="113" t="str">
        <f ca="1">INDIRECT("Z_BP_09_"&amp;IDIOMA)&amp;" 6"</f>
        <v>Puntos 6</v>
      </c>
      <c r="Y3" s="113"/>
      <c r="Z3" s="113"/>
      <c r="AA3" s="113"/>
      <c r="AB3" s="113"/>
      <c r="AC3" s="113"/>
      <c r="AD3" s="113"/>
      <c r="AE3" s="114" t="str">
        <f ca="1">INDIRECT("Z_BP_08_"&amp;IDIOMA)&amp;" 1"</f>
        <v>Pista 1</v>
      </c>
      <c r="AF3" s="115" t="str">
        <f ca="1">INDIRECT("Z_BP_08_"&amp;IDIOMA)&amp;" 2"</f>
        <v>Pista 2</v>
      </c>
      <c r="AG3" s="116" t="str">
        <f ca="1">INDIRECT("Z_BP_08_"&amp;IDIOMA)&amp;" 3"</f>
        <v>Pista 3</v>
      </c>
      <c r="AH3" s="117" t="str">
        <f ca="1">INDIRECT("Z_BP_08_"&amp;IDIOMA)&amp;" 4"</f>
        <v>Pista 4</v>
      </c>
      <c r="AI3" s="94" t="str">
        <f>'Datos OM'!AI3</f>
        <v>Imagen</v>
      </c>
    </row>
    <row r="4" spans="1:35" s="15" customFormat="1" ht="50.1" hidden="1" customHeight="1" x14ac:dyDescent="0.25">
      <c r="A4" s="80" t="s">
        <v>409</v>
      </c>
      <c r="B4" s="80" t="s">
        <v>410</v>
      </c>
      <c r="C4" s="15" t="s">
        <v>298</v>
      </c>
      <c r="D4" s="36" t="s">
        <v>299</v>
      </c>
      <c r="E4" s="37" t="s">
        <v>411</v>
      </c>
      <c r="F4" s="64" t="s">
        <v>412</v>
      </c>
      <c r="G4" s="21" t="s">
        <v>280</v>
      </c>
      <c r="H4" s="22" t="s">
        <v>281</v>
      </c>
      <c r="I4" s="23" t="s">
        <v>282</v>
      </c>
      <c r="J4" s="24" t="s">
        <v>283</v>
      </c>
      <c r="K4" s="25" t="s">
        <v>284</v>
      </c>
      <c r="L4" s="26" t="s">
        <v>285</v>
      </c>
      <c r="M4" s="38" t="s">
        <v>286</v>
      </c>
      <c r="N4" s="39" t="s">
        <v>287</v>
      </c>
      <c r="O4" s="40" t="s">
        <v>288</v>
      </c>
      <c r="P4" s="41" t="s">
        <v>289</v>
      </c>
      <c r="Q4" s="42" t="s">
        <v>290</v>
      </c>
      <c r="R4" s="43" t="s">
        <v>291</v>
      </c>
      <c r="S4" s="38" t="s">
        <v>292</v>
      </c>
      <c r="T4" s="39" t="s">
        <v>293</v>
      </c>
      <c r="U4" s="40" t="s">
        <v>294</v>
      </c>
      <c r="V4" s="41" t="s">
        <v>295</v>
      </c>
      <c r="W4" s="42" t="s">
        <v>296</v>
      </c>
      <c r="X4" s="43" t="s">
        <v>297</v>
      </c>
      <c r="Y4" s="43" t="s">
        <v>371</v>
      </c>
      <c r="Z4" s="43" t="s">
        <v>372</v>
      </c>
      <c r="AA4" s="43" t="s">
        <v>373</v>
      </c>
      <c r="AB4" s="43" t="s">
        <v>374</v>
      </c>
      <c r="AC4" s="43" t="s">
        <v>375</v>
      </c>
      <c r="AD4" s="43" t="s">
        <v>376</v>
      </c>
      <c r="AE4" s="44" t="s">
        <v>275</v>
      </c>
      <c r="AF4" s="45" t="s">
        <v>276</v>
      </c>
      <c r="AG4" s="46" t="s">
        <v>277</v>
      </c>
      <c r="AH4" s="47" t="s">
        <v>278</v>
      </c>
      <c r="AI4" s="94" t="s">
        <v>279</v>
      </c>
    </row>
    <row r="5" spans="1:35" s="1" customFormat="1" x14ac:dyDescent="0.25">
      <c r="A5" s="219">
        <f>IF(COUNTIF(Tabla_O2[[#This Row],[Puntos 1]:[Puntos 6]],"&gt;0")=0,"",COUNTIF(Tabla_O2[[#This Row],[Puntos 1]:[Puntos 6]],"&gt;0"))</f>
        <v>2</v>
      </c>
      <c r="B5" s="219">
        <f>IF(Tabla_O2[[#This Row],[NRC]]="","",COUNTA(Tabla_O2[[#This Row],[Respuesta 1]:[Respuesta 6]])-Tabla_O2[[#This Row],[NRC]])</f>
        <v>4</v>
      </c>
      <c r="D5" s="48"/>
      <c r="E5" s="106" t="s">
        <v>662</v>
      </c>
      <c r="F5" s="105" t="s">
        <v>663</v>
      </c>
      <c r="G5" s="27" t="s">
        <v>689</v>
      </c>
      <c r="H5" s="28" t="s">
        <v>690</v>
      </c>
      <c r="I5" s="29" t="s">
        <v>666</v>
      </c>
      <c r="J5" s="30" t="s">
        <v>667</v>
      </c>
      <c r="K5" s="31" t="s">
        <v>668</v>
      </c>
      <c r="L5" s="32" t="s">
        <v>665</v>
      </c>
      <c r="M5" s="49" t="s">
        <v>670</v>
      </c>
      <c r="N5" s="50" t="s">
        <v>670</v>
      </c>
      <c r="O5" s="51" t="s">
        <v>672</v>
      </c>
      <c r="P5" s="52" t="s">
        <v>673</v>
      </c>
      <c r="Q5" s="53" t="s">
        <v>674</v>
      </c>
      <c r="R5" s="54" t="s">
        <v>675</v>
      </c>
      <c r="S5" s="49">
        <v>50</v>
      </c>
      <c r="T5" s="50">
        <v>50</v>
      </c>
      <c r="U5" s="51"/>
      <c r="V5" s="52"/>
      <c r="W5" s="53"/>
      <c r="X5" s="54"/>
      <c r="Y5" s="54"/>
      <c r="Z5" s="54"/>
      <c r="AA5" s="54"/>
      <c r="AB5" s="54"/>
      <c r="AC5" s="54"/>
      <c r="AD5" s="54"/>
      <c r="AE5" s="55"/>
      <c r="AF5" s="56"/>
      <c r="AG5" s="57"/>
      <c r="AH5" s="58"/>
      <c r="AI5" s="118"/>
    </row>
    <row r="6" spans="1:35" x14ac:dyDescent="0.25">
      <c r="A6" s="355">
        <f>IF(COUNTIF(Tabla_O2[[#This Row],[Puntos 1]:[Puntos 6]],"&gt;0")=0,"",COUNTIF(Tabla_O2[[#This Row],[Puntos 1]:[Puntos 6]],"&gt;0"))</f>
        <v>2</v>
      </c>
      <c r="B6" s="355">
        <f>IF(Tabla_O2[[#This Row],[NRC]]="","",COUNTA(Tabla_O2[[#This Row],[Respuesta 1]:[Respuesta 6]])-Tabla_O2[[#This Row],[NRC]])</f>
        <v>4</v>
      </c>
      <c r="C6" s="1"/>
      <c r="D6" s="335"/>
      <c r="E6" s="336" t="s">
        <v>676</v>
      </c>
      <c r="F6" s="356" t="s">
        <v>677</v>
      </c>
      <c r="G6" s="338" t="s">
        <v>678</v>
      </c>
      <c r="H6" s="339" t="s">
        <v>691</v>
      </c>
      <c r="I6" s="340" t="s">
        <v>679</v>
      </c>
      <c r="J6" s="341" t="s">
        <v>680</v>
      </c>
      <c r="K6" s="342" t="s">
        <v>692</v>
      </c>
      <c r="L6" s="343" t="s">
        <v>693</v>
      </c>
      <c r="M6" s="344" t="s">
        <v>670</v>
      </c>
      <c r="N6" s="345" t="s">
        <v>670</v>
      </c>
      <c r="O6" s="346" t="s">
        <v>672</v>
      </c>
      <c r="P6" s="347" t="s">
        <v>673</v>
      </c>
      <c r="Q6" s="348" t="s">
        <v>674</v>
      </c>
      <c r="R6" s="349" t="s">
        <v>675</v>
      </c>
      <c r="S6" s="344">
        <v>50</v>
      </c>
      <c r="T6" s="345">
        <v>50</v>
      </c>
      <c r="U6" s="346"/>
      <c r="V6" s="347"/>
      <c r="W6" s="348"/>
      <c r="X6" s="349"/>
      <c r="Y6" s="349"/>
      <c r="Z6" s="349"/>
      <c r="AA6" s="349"/>
      <c r="AB6" s="349"/>
      <c r="AC6" s="349"/>
      <c r="AD6" s="349"/>
      <c r="AE6" s="350"/>
      <c r="AF6" s="351"/>
      <c r="AG6" s="352"/>
      <c r="AH6" s="353"/>
      <c r="AI6" s="354"/>
    </row>
  </sheetData>
  <sheetProtection algorithmName="SHA-512" hashValue="HP7WCJFqgq+tE5/GgM8PKF/7vDFh2s+J7k4OU42+p3MFpYgR1/l5lyH4onckyFzpFSAsfmlJmdR701Dh3miiYw==" saltValue="7LadVExfALrlfLDxYD2ypg==" spinCount="100000" sheet="1" objects="1" scenarios="1" selectLockedCells="1"/>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dimension ref="A1:AI6"/>
  <sheetViews>
    <sheetView showGridLines="0" showRowColHeaders="0" zoomScale="125" zoomScaleNormal="125" workbookViewId="0">
      <pane xSplit="6" ySplit="3" topLeftCell="G5" activePane="bottomRight" state="frozen"/>
      <selection pane="topRight" activeCell="G1" sqref="G1"/>
      <selection pane="bottomLeft" activeCell="A4" sqref="A4"/>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9" width="12.5703125" style="4" customWidth="1"/>
    <col min="10"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COUNTA(Tabla_VF[Enunciado])</f>
        <v>2</v>
      </c>
    </row>
    <row r="3" spans="1:35" s="15" customFormat="1" ht="50.1" customHeight="1" x14ac:dyDescent="0.25">
      <c r="A3" s="259"/>
      <c r="B3" s="259"/>
      <c r="C3" s="110"/>
      <c r="D3" s="36"/>
      <c r="E3" s="37" t="str">
        <f ca="1">INDIRECT("Z_BP_04_"&amp;IDIOMA)</f>
        <v>Descripción</v>
      </c>
      <c r="F3" s="64" t="str">
        <f ca="1">"FastTest PlugIn - V"&amp;MID(Version,5,7)&amp;UPPER(INICIO!G24)&amp;"
"&amp;INDIRECT("Z_BP_03_"&amp;IDIOMA)</f>
        <v>FastTest PlugIn - V6.0  - VERDADERO/FALSO
Enunciado de la pregunta</v>
      </c>
      <c r="G3" s="96" t="str">
        <f ca="1">'Datos OM'!G3</f>
        <v>Respuesta 1</v>
      </c>
      <c r="H3" s="103" t="str">
        <f ca="1">'Datos OM'!M3</f>
        <v>Retroalim. 1</v>
      </c>
      <c r="I3" s="104" t="str">
        <f ca="1">'Datos OM'!N3</f>
        <v>Retroalim. 2</v>
      </c>
      <c r="J3" s="111"/>
      <c r="K3" s="112"/>
      <c r="L3" s="113"/>
      <c r="M3" s="102"/>
      <c r="N3" s="103"/>
      <c r="O3" s="104"/>
      <c r="P3" s="111"/>
      <c r="Q3" s="112"/>
      <c r="R3" s="113"/>
      <c r="S3" s="113"/>
      <c r="T3" s="113"/>
      <c r="U3" s="113"/>
      <c r="V3" s="113"/>
      <c r="W3" s="113"/>
      <c r="X3" s="113"/>
      <c r="Y3" s="113"/>
      <c r="Z3" s="113"/>
      <c r="AA3" s="113"/>
      <c r="AB3" s="113"/>
      <c r="AC3" s="113"/>
      <c r="AD3" s="113"/>
      <c r="AE3" s="114" t="str">
        <f ca="1">'Datos OM'!AE3</f>
        <v>Pista 1</v>
      </c>
      <c r="AF3" s="115" t="str">
        <f ca="1">'Datos OM'!AF3</f>
        <v>Pista 2</v>
      </c>
      <c r="AG3" s="116" t="str">
        <f ca="1">'Datos OM'!AG3</f>
        <v>Pista 3</v>
      </c>
      <c r="AH3" s="117" t="str">
        <f ca="1">'Datos OM'!AH3</f>
        <v>Pista 4</v>
      </c>
      <c r="AI3" s="94" t="str">
        <f>'Datos OM'!AI3</f>
        <v>Imagen</v>
      </c>
    </row>
    <row r="4" spans="1:35" s="15" customFormat="1" ht="20.100000000000001" hidden="1" customHeight="1" x14ac:dyDescent="0.25">
      <c r="A4" s="259" t="s">
        <v>379</v>
      </c>
      <c r="B4" s="259" t="s">
        <v>380</v>
      </c>
      <c r="C4" s="15" t="s">
        <v>300</v>
      </c>
      <c r="D4" s="36" t="s">
        <v>301</v>
      </c>
      <c r="E4" s="37" t="s">
        <v>411</v>
      </c>
      <c r="F4" s="64" t="s">
        <v>412</v>
      </c>
      <c r="G4" s="21" t="s">
        <v>280</v>
      </c>
      <c r="H4" s="39" t="s">
        <v>286</v>
      </c>
      <c r="I4" s="40" t="s">
        <v>287</v>
      </c>
      <c r="J4" s="41" t="s">
        <v>302</v>
      </c>
      <c r="K4" s="42" t="s">
        <v>303</v>
      </c>
      <c r="L4" s="43" t="s">
        <v>304</v>
      </c>
      <c r="M4" s="38" t="s">
        <v>305</v>
      </c>
      <c r="N4" s="39" t="s">
        <v>306</v>
      </c>
      <c r="O4" s="40" t="s">
        <v>307</v>
      </c>
      <c r="P4" s="41" t="s">
        <v>308</v>
      </c>
      <c r="Q4" s="42" t="s">
        <v>309</v>
      </c>
      <c r="R4" s="43" t="s">
        <v>310</v>
      </c>
      <c r="S4" s="43" t="s">
        <v>311</v>
      </c>
      <c r="T4" s="43" t="s">
        <v>312</v>
      </c>
      <c r="U4" s="43" t="s">
        <v>313</v>
      </c>
      <c r="V4" s="43" t="s">
        <v>314</v>
      </c>
      <c r="W4" s="43" t="s">
        <v>315</v>
      </c>
      <c r="X4" s="43" t="s">
        <v>316</v>
      </c>
      <c r="Y4" s="43" t="s">
        <v>317</v>
      </c>
      <c r="Z4" s="43" t="s">
        <v>318</v>
      </c>
      <c r="AA4" s="43" t="s">
        <v>319</v>
      </c>
      <c r="AB4" s="43" t="s">
        <v>320</v>
      </c>
      <c r="AC4" s="43" t="s">
        <v>321</v>
      </c>
      <c r="AD4" s="43" t="s">
        <v>322</v>
      </c>
      <c r="AE4" s="44" t="s">
        <v>275</v>
      </c>
      <c r="AF4" s="45" t="s">
        <v>276</v>
      </c>
      <c r="AG4" s="46" t="s">
        <v>277</v>
      </c>
      <c r="AH4" s="47" t="s">
        <v>278</v>
      </c>
      <c r="AI4" s="94" t="s">
        <v>279</v>
      </c>
    </row>
    <row r="5" spans="1:35" s="1" customFormat="1" x14ac:dyDescent="0.25">
      <c r="A5" s="260"/>
      <c r="B5" s="260"/>
      <c r="D5" s="48"/>
      <c r="E5" s="106" t="s">
        <v>662</v>
      </c>
      <c r="F5" s="105" t="s">
        <v>694</v>
      </c>
      <c r="G5" s="27" t="b">
        <v>1</v>
      </c>
      <c r="H5" s="50" t="s">
        <v>695</v>
      </c>
      <c r="I5" s="51" t="s">
        <v>696</v>
      </c>
      <c r="J5" s="52"/>
      <c r="K5" s="53"/>
      <c r="L5" s="54"/>
      <c r="M5" s="49"/>
      <c r="N5" s="50"/>
      <c r="O5" s="51"/>
      <c r="P5" s="52"/>
      <c r="Q5" s="53"/>
      <c r="R5" s="54"/>
      <c r="S5" s="54"/>
      <c r="T5" s="54"/>
      <c r="U5" s="54"/>
      <c r="V5" s="54"/>
      <c r="W5" s="54"/>
      <c r="X5" s="54"/>
      <c r="Y5" s="54"/>
      <c r="Z5" s="54"/>
      <c r="AA5" s="54"/>
      <c r="AB5" s="54"/>
      <c r="AC5" s="54"/>
      <c r="AD5" s="54"/>
      <c r="AE5" s="55" t="s">
        <v>275</v>
      </c>
      <c r="AF5" s="56" t="s">
        <v>276</v>
      </c>
      <c r="AG5" s="57" t="s">
        <v>277</v>
      </c>
      <c r="AH5" s="58" t="s">
        <v>278</v>
      </c>
      <c r="AI5" s="95"/>
    </row>
    <row r="6" spans="1:35" x14ac:dyDescent="0.25">
      <c r="A6" s="357"/>
      <c r="B6" s="357"/>
      <c r="C6" s="1"/>
      <c r="D6" s="335"/>
      <c r="E6" s="336" t="s">
        <v>697</v>
      </c>
      <c r="F6" s="337" t="s">
        <v>698</v>
      </c>
      <c r="G6" s="338" t="b">
        <v>0</v>
      </c>
      <c r="H6" s="345" t="s">
        <v>699</v>
      </c>
      <c r="I6" s="346" t="s">
        <v>700</v>
      </c>
      <c r="J6" s="347"/>
      <c r="K6" s="348"/>
      <c r="L6" s="349"/>
      <c r="M6" s="344"/>
      <c r="N6" s="345"/>
      <c r="O6" s="346"/>
      <c r="P6" s="347"/>
      <c r="Q6" s="348"/>
      <c r="R6" s="349"/>
      <c r="S6" s="349"/>
      <c r="T6" s="349"/>
      <c r="U6" s="349"/>
      <c r="V6" s="349"/>
      <c r="W6" s="349"/>
      <c r="X6" s="349"/>
      <c r="Y6" s="349"/>
      <c r="Z6" s="349"/>
      <c r="AA6" s="349"/>
      <c r="AB6" s="349"/>
      <c r="AC6" s="349"/>
      <c r="AD6" s="349"/>
      <c r="AE6" s="350" t="s">
        <v>275</v>
      </c>
      <c r="AF6" s="351" t="s">
        <v>276</v>
      </c>
      <c r="AG6" s="352" t="s">
        <v>277</v>
      </c>
      <c r="AH6" s="353" t="s">
        <v>278</v>
      </c>
      <c r="AI6" s="358"/>
    </row>
  </sheetData>
  <sheetProtection algorithmName="SHA-512" hashValue="YqFQ6itwnDPM4EEOFKjYfPRQCIg9AbtW7ix3LjHJ/cZbm2eA2VyBaGXx89SOxmXVACiKD1KaZgfUOgqixLCHTg==" saltValue="oYQ0K4zA6ny2jQ+3+7lqnA==" spinCount="100000" sheet="1" objects="1" scenarios="1" selectLockedCells="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dimension ref="A1:AI7"/>
  <sheetViews>
    <sheetView showGridLines="0" showRowColHeaders="0" zoomScale="125" zoomScaleNormal="125" workbookViewId="0">
      <pane xSplit="6" ySplit="3" topLeftCell="AC5" activePane="bottomRight" state="frozen"/>
      <selection pane="topRight" activeCell="G1" sqref="G1"/>
      <selection pane="bottomLeft" activeCell="A4" sqref="A4"/>
      <selection pane="bottomRight" activeCell="E5" sqref="E5:AI7"/>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COUNTA(Tabla_EM[Enunciado])</f>
        <v>3</v>
      </c>
    </row>
    <row r="3" spans="1:35" s="15" customFormat="1" ht="50.1" customHeight="1" x14ac:dyDescent="0.25">
      <c r="A3" s="89" t="str">
        <f ca="1">INDIRECT("Z_BP_17_"&amp;IDIOMA)</f>
        <v xml:space="preserve">Pareja </v>
      </c>
      <c r="B3" s="2"/>
      <c r="C3" s="33"/>
      <c r="D3" s="33"/>
      <c r="E3" s="37" t="str">
        <f ca="1">'Datos OM'!E3</f>
        <v>Descripción</v>
      </c>
      <c r="F3" s="64" t="str">
        <f ca="1">"FastTest PlugIn - V"&amp;MID(Version,5,7)&amp;UPPER(INICIO!I24)&amp;"
"&amp;INDIRECT("Z_BP_03_"&amp;IDIOMA)</f>
        <v>FastTest PlugIn - V6.0  - EMPAREJAR
Enunciado de la pregunta</v>
      </c>
      <c r="G3" s="187" t="str">
        <f ca="1">$A$3&amp;" 01.1"</f>
        <v>Pareja  01.1</v>
      </c>
      <c r="H3" s="187" t="str">
        <f ca="1">$A$3&amp;" 01.2"</f>
        <v>Pareja  01.2</v>
      </c>
      <c r="I3" s="188" t="str">
        <f ca="1">$A$3&amp;" 02.1"</f>
        <v>Pareja  02.1</v>
      </c>
      <c r="J3" s="188" t="str">
        <f ca="1">$A$3&amp;" 02.2"</f>
        <v>Pareja  02.2</v>
      </c>
      <c r="K3" s="189" t="str">
        <f ca="1">$A$3&amp;" 03.1"</f>
        <v>Pareja  03.1</v>
      </c>
      <c r="L3" s="189" t="str">
        <f ca="1">$A$3&amp;" 03.2"</f>
        <v>Pareja  03.2</v>
      </c>
      <c r="M3" s="190" t="str">
        <f ca="1">$A$3&amp;" 04.1"</f>
        <v>Pareja  04.1</v>
      </c>
      <c r="N3" s="190" t="str">
        <f ca="1">$A$3&amp;" 04.2"</f>
        <v>Pareja  04.2</v>
      </c>
      <c r="O3" s="191" t="str">
        <f ca="1">$A$3&amp;" 05.1"</f>
        <v>Pareja  05.1</v>
      </c>
      <c r="P3" s="191" t="str">
        <f ca="1">$A$3&amp;" 05.2"</f>
        <v>Pareja  05.2</v>
      </c>
      <c r="Q3" s="192" t="str">
        <f ca="1">$A$3&amp;" 06.1"</f>
        <v>Pareja  06.1</v>
      </c>
      <c r="R3" s="192" t="str">
        <f ca="1">$A$3&amp;" 06.2"</f>
        <v>Pareja  06.2</v>
      </c>
      <c r="S3" s="187" t="str">
        <f ca="1">$A$3&amp;" 07.1"</f>
        <v>Pareja  07.1</v>
      </c>
      <c r="T3" s="187" t="str">
        <f ca="1">$A$3&amp;" 07.2"</f>
        <v>Pareja  07.2</v>
      </c>
      <c r="U3" s="188" t="str">
        <f ca="1">$A$3&amp;" 08.1"</f>
        <v>Pareja  08.1</v>
      </c>
      <c r="V3" s="188" t="str">
        <f ca="1">$A$3&amp;" 08.2"</f>
        <v>Pareja  08.2</v>
      </c>
      <c r="W3" s="189" t="str">
        <f ca="1">$A$3&amp;" 09.1"</f>
        <v>Pareja  09.1</v>
      </c>
      <c r="X3" s="189" t="str">
        <f ca="1">$A$3&amp;" 09.2"</f>
        <v>Pareja  09.2</v>
      </c>
      <c r="Y3" s="190" t="str">
        <f ca="1">$A$3&amp;" 10.1"</f>
        <v>Pareja  10.1</v>
      </c>
      <c r="Z3" s="190" t="str">
        <f ca="1">$A$3&amp;" 10.2"</f>
        <v>Pareja  10.2</v>
      </c>
      <c r="AA3" s="191" t="str">
        <f ca="1">$A$3&amp;" 11.1"</f>
        <v>Pareja  11.1</v>
      </c>
      <c r="AB3" s="191" t="str">
        <f ca="1">$A$3&amp;" 11.2"</f>
        <v>Pareja  11.2</v>
      </c>
      <c r="AC3" s="192" t="str">
        <f ca="1">$A$3&amp;" 12.1"</f>
        <v>Pareja  12.1</v>
      </c>
      <c r="AD3" s="192" t="str">
        <f ca="1">$A$3&amp;" 12.1"</f>
        <v>Pareja  12.1</v>
      </c>
      <c r="AE3" s="193" t="str">
        <f ca="1">'Datos OM'!AE3</f>
        <v>Pista 1</v>
      </c>
      <c r="AF3" s="194" t="str">
        <f ca="1">'Datos OM'!AF3</f>
        <v>Pista 2</v>
      </c>
      <c r="AG3" s="195" t="str">
        <f ca="1">'Datos OM'!AG3</f>
        <v>Pista 3</v>
      </c>
      <c r="AH3" s="196" t="str">
        <f ca="1">'Datos OM'!AH3</f>
        <v>Pista 4</v>
      </c>
      <c r="AI3" s="94" t="str">
        <f>'Datos OM'!AI3</f>
        <v>Imagen</v>
      </c>
    </row>
    <row r="4" spans="1:35" s="15" customFormat="1" ht="30.75" hidden="1" x14ac:dyDescent="0.25">
      <c r="A4" s="89" t="s">
        <v>162</v>
      </c>
      <c r="B4" s="20" t="s">
        <v>379</v>
      </c>
      <c r="C4" s="33" t="s">
        <v>299</v>
      </c>
      <c r="D4" s="33" t="s">
        <v>300</v>
      </c>
      <c r="E4" s="37" t="s">
        <v>411</v>
      </c>
      <c r="F4" s="64" t="s">
        <v>412</v>
      </c>
      <c r="G4" s="221" t="s">
        <v>323</v>
      </c>
      <c r="H4" s="221" t="s">
        <v>324</v>
      </c>
      <c r="I4" s="222" t="s">
        <v>325</v>
      </c>
      <c r="J4" s="222" t="s">
        <v>326</v>
      </c>
      <c r="K4" s="223" t="s">
        <v>327</v>
      </c>
      <c r="L4" s="223" t="s">
        <v>328</v>
      </c>
      <c r="M4" s="224" t="s">
        <v>329</v>
      </c>
      <c r="N4" s="224" t="s">
        <v>330</v>
      </c>
      <c r="O4" s="225" t="s">
        <v>331</v>
      </c>
      <c r="P4" s="225" t="s">
        <v>332</v>
      </c>
      <c r="Q4" s="226" t="s">
        <v>333</v>
      </c>
      <c r="R4" s="226" t="s">
        <v>334</v>
      </c>
      <c r="S4" s="221" t="s">
        <v>335</v>
      </c>
      <c r="T4" s="221" t="s">
        <v>336</v>
      </c>
      <c r="U4" s="222" t="s">
        <v>337</v>
      </c>
      <c r="V4" s="222" t="s">
        <v>338</v>
      </c>
      <c r="W4" s="223" t="s">
        <v>339</v>
      </c>
      <c r="X4" s="223" t="s">
        <v>340</v>
      </c>
      <c r="Y4" s="224" t="s">
        <v>341</v>
      </c>
      <c r="Z4" s="224" t="s">
        <v>342</v>
      </c>
      <c r="AA4" s="225" t="s">
        <v>343</v>
      </c>
      <c r="AB4" s="225" t="s">
        <v>344</v>
      </c>
      <c r="AC4" s="226" t="s">
        <v>345</v>
      </c>
      <c r="AD4" s="226" t="s">
        <v>346</v>
      </c>
      <c r="AE4" s="227" t="s">
        <v>275</v>
      </c>
      <c r="AF4" s="228" t="s">
        <v>276</v>
      </c>
      <c r="AG4" s="229" t="s">
        <v>277</v>
      </c>
      <c r="AH4" s="230" t="s">
        <v>278</v>
      </c>
      <c r="AI4" s="94" t="s">
        <v>279</v>
      </c>
    </row>
    <row r="5" spans="1:35" s="1" customFormat="1" x14ac:dyDescent="0.25">
      <c r="A5" s="90">
        <f>IF(COUNTA(Tabla_EM[[#This Row],[Pareja  01.1]:[Pareja  12.14]])/2=0,"",COUNTA(Tabla_EM[[#This Row],[Pareja  01.1]:[Pareja  12.14]])/2)</f>
        <v>12</v>
      </c>
      <c r="B5" s="261"/>
      <c r="D5" s="48"/>
      <c r="E5" s="106" t="s">
        <v>701</v>
      </c>
      <c r="F5" s="105" t="s">
        <v>702</v>
      </c>
      <c r="G5" s="119" t="s">
        <v>703</v>
      </c>
      <c r="H5" s="119" t="s">
        <v>704</v>
      </c>
      <c r="I5" s="120" t="s">
        <v>705</v>
      </c>
      <c r="J5" s="120" t="s">
        <v>706</v>
      </c>
      <c r="K5" s="121" t="s">
        <v>707</v>
      </c>
      <c r="L5" s="121" t="s">
        <v>708</v>
      </c>
      <c r="M5" s="122" t="s">
        <v>709</v>
      </c>
      <c r="N5" s="122" t="s">
        <v>710</v>
      </c>
      <c r="O5" s="123" t="s">
        <v>711</v>
      </c>
      <c r="P5" s="123" t="s">
        <v>712</v>
      </c>
      <c r="Q5" s="124" t="s">
        <v>713</v>
      </c>
      <c r="R5" s="124" t="s">
        <v>714</v>
      </c>
      <c r="S5" s="119" t="s">
        <v>715</v>
      </c>
      <c r="T5" s="119" t="s">
        <v>716</v>
      </c>
      <c r="U5" s="120" t="s">
        <v>717</v>
      </c>
      <c r="V5" s="120" t="s">
        <v>718</v>
      </c>
      <c r="W5" s="121" t="s">
        <v>719</v>
      </c>
      <c r="X5" s="121" t="s">
        <v>720</v>
      </c>
      <c r="Y5" s="122" t="s">
        <v>721</v>
      </c>
      <c r="Z5" s="122" t="s">
        <v>722</v>
      </c>
      <c r="AA5" s="123" t="s">
        <v>723</v>
      </c>
      <c r="AB5" s="123" t="s">
        <v>724</v>
      </c>
      <c r="AC5" s="124" t="s">
        <v>725</v>
      </c>
      <c r="AD5" s="124" t="s">
        <v>726</v>
      </c>
      <c r="AE5" s="55" t="s">
        <v>275</v>
      </c>
      <c r="AF5" s="56" t="s">
        <v>276</v>
      </c>
      <c r="AG5" s="57" t="s">
        <v>277</v>
      </c>
      <c r="AH5" s="58" t="s">
        <v>727</v>
      </c>
      <c r="AI5" s="118"/>
    </row>
    <row r="6" spans="1:35" x14ac:dyDescent="0.25">
      <c r="A6" s="359">
        <f>IF(COUNTA(Tabla_EM[[#This Row],[Pareja  01.1]:[Pareja  12.14]])/2=0,"",COUNTA(Tabla_EM[[#This Row],[Pareja  01.1]:[Pareja  12.14]])/2)</f>
        <v>12</v>
      </c>
      <c r="B6" s="360"/>
      <c r="C6" s="1"/>
      <c r="D6" s="335"/>
      <c r="E6" s="336" t="s">
        <v>728</v>
      </c>
      <c r="F6" s="337" t="s">
        <v>729</v>
      </c>
      <c r="G6" s="361">
        <v>1</v>
      </c>
      <c r="H6" s="361" t="s">
        <v>730</v>
      </c>
      <c r="I6" s="362">
        <v>2</v>
      </c>
      <c r="J6" s="362" t="s">
        <v>731</v>
      </c>
      <c r="K6" s="363">
        <v>3</v>
      </c>
      <c r="L6" s="363" t="s">
        <v>732</v>
      </c>
      <c r="M6" s="364">
        <v>4</v>
      </c>
      <c r="N6" s="364" t="s">
        <v>733</v>
      </c>
      <c r="O6" s="365">
        <v>5</v>
      </c>
      <c r="P6" s="365" t="s">
        <v>734</v>
      </c>
      <c r="Q6" s="366">
        <v>6</v>
      </c>
      <c r="R6" s="366" t="s">
        <v>735</v>
      </c>
      <c r="S6" s="361">
        <v>7</v>
      </c>
      <c r="T6" s="361" t="s">
        <v>736</v>
      </c>
      <c r="U6" s="362">
        <v>8</v>
      </c>
      <c r="V6" s="362" t="s">
        <v>737</v>
      </c>
      <c r="W6" s="363">
        <v>9</v>
      </c>
      <c r="X6" s="363" t="s">
        <v>738</v>
      </c>
      <c r="Y6" s="364">
        <v>10</v>
      </c>
      <c r="Z6" s="364" t="s">
        <v>739</v>
      </c>
      <c r="AA6" s="365">
        <v>11</v>
      </c>
      <c r="AB6" s="365" t="s">
        <v>740</v>
      </c>
      <c r="AC6" s="366">
        <v>12</v>
      </c>
      <c r="AD6" s="366" t="s">
        <v>741</v>
      </c>
      <c r="AE6" s="367" t="s">
        <v>275</v>
      </c>
      <c r="AF6" s="368" t="s">
        <v>276</v>
      </c>
      <c r="AG6" s="369" t="s">
        <v>277</v>
      </c>
      <c r="AH6" s="370" t="s">
        <v>727</v>
      </c>
      <c r="AI6" s="354"/>
    </row>
    <row r="7" spans="1:35" ht="180" x14ac:dyDescent="0.25">
      <c r="A7" s="359">
        <f>IF(COUNTA(Tabla_EM[[#This Row],[Pareja  01.1]:[Pareja  12.14]])/2=0,"",COUNTA(Tabla_EM[[#This Row],[Pareja  01.1]:[Pareja  12.14]])/2)</f>
        <v>12</v>
      </c>
      <c r="B7" s="360"/>
      <c r="C7" s="1"/>
      <c r="D7" s="335"/>
      <c r="E7" s="336" t="s">
        <v>728</v>
      </c>
      <c r="F7" s="337" t="s">
        <v>729</v>
      </c>
      <c r="G7" s="361" t="s">
        <v>742</v>
      </c>
      <c r="H7" s="361" t="s">
        <v>713</v>
      </c>
      <c r="I7" s="362" t="s">
        <v>743</v>
      </c>
      <c r="J7" s="362" t="s">
        <v>744</v>
      </c>
      <c r="K7" s="363" t="s">
        <v>745</v>
      </c>
      <c r="L7" s="363" t="s">
        <v>746</v>
      </c>
      <c r="M7" s="364" t="s">
        <v>747</v>
      </c>
      <c r="N7" s="364" t="s">
        <v>748</v>
      </c>
      <c r="O7" s="365" t="s">
        <v>749</v>
      </c>
      <c r="P7" s="365" t="s">
        <v>749</v>
      </c>
      <c r="Q7" s="366" t="s">
        <v>749</v>
      </c>
      <c r="R7" s="366" t="s">
        <v>749</v>
      </c>
      <c r="S7" s="361" t="s">
        <v>749</v>
      </c>
      <c r="T7" s="361" t="s">
        <v>749</v>
      </c>
      <c r="U7" s="362" t="s">
        <v>749</v>
      </c>
      <c r="V7" s="362" t="s">
        <v>749</v>
      </c>
      <c r="W7" s="363" t="s">
        <v>749</v>
      </c>
      <c r="X7" s="363" t="s">
        <v>749</v>
      </c>
      <c r="Y7" s="364" t="s">
        <v>749</v>
      </c>
      <c r="Z7" s="364" t="s">
        <v>749</v>
      </c>
      <c r="AA7" s="365" t="s">
        <v>749</v>
      </c>
      <c r="AB7" s="365" t="s">
        <v>749</v>
      </c>
      <c r="AC7" s="366" t="s">
        <v>749</v>
      </c>
      <c r="AD7" s="366" t="s">
        <v>749</v>
      </c>
      <c r="AE7" s="367" t="s">
        <v>275</v>
      </c>
      <c r="AF7" s="368" t="s">
        <v>276</v>
      </c>
      <c r="AG7" s="369" t="s">
        <v>277</v>
      </c>
      <c r="AH7" s="370" t="s">
        <v>727</v>
      </c>
      <c r="AI7" s="354"/>
    </row>
  </sheetData>
  <sheetProtection algorithmName="SHA-512" hashValue="nHDWWW/Dz+W54Qu7BowEpRxKOrb/QDjwxFVBrpoD2CenlQ+kqCc1Nm3/mq4nHePthBCdmeatP1sniToUUEqAGA==" saltValue="BvpfR/T2AYEt7SeSN4nrPw==" spinCount="100000" sheet="1" objects="1" scenarios="1" selectLockedCells="1"/>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dimension ref="A1:AI6"/>
  <sheetViews>
    <sheetView showGridLines="0" showRowColHeaders="0" zoomScale="125" zoomScaleNormal="125" workbookViewId="0">
      <pane xSplit="6" ySplit="3" topLeftCell="AB5" activePane="bottomRight" state="frozen"/>
      <selection pane="topRight" activeCell="G1" sqref="G1"/>
      <selection pane="bottomLeft" activeCell="A4" sqref="A4"/>
      <selection pane="bottomRight" activeCell="D5" sqref="D5:AI6"/>
    </sheetView>
  </sheetViews>
  <sheetFormatPr baseColWidth="10" defaultColWidth="0" defaultRowHeight="15" x14ac:dyDescent="0.25"/>
  <cols>
    <col min="1" max="1" width="3.7109375" style="5" customWidth="1"/>
    <col min="2" max="2" width="3.7109375" style="5" hidden="1" customWidth="1"/>
    <col min="3" max="3" width="3.7109375" style="4" hidden="1" customWidth="1"/>
    <col min="4" max="4" width="3.7109375" style="4" customWidth="1"/>
    <col min="5" max="5" width="18" style="5" customWidth="1"/>
    <col min="6" max="6" width="75.7109375" style="4" customWidth="1"/>
    <col min="7" max="7" width="13.85546875" style="4" customWidth="1"/>
    <col min="8" max="8" width="12.5703125" style="4" customWidth="1"/>
    <col min="9" max="9" width="14" style="4" customWidth="1"/>
    <col min="10" max="10" width="13.85546875" style="4" customWidth="1"/>
    <col min="11" max="11" width="12.5703125" style="4" customWidth="1"/>
    <col min="12" max="12" width="14" style="4" customWidth="1"/>
    <col min="13" max="30" width="14.28515625" style="4" customWidth="1"/>
    <col min="31" max="32" width="11.42578125" style="4" customWidth="1"/>
    <col min="33"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COUNTA(Tabl_RC[Enunciado])</f>
        <v>2</v>
      </c>
    </row>
    <row r="3" spans="1:35" s="15" customFormat="1" ht="50.1" customHeight="1" x14ac:dyDescent="0.25">
      <c r="A3" s="89" t="str">
        <f ca="1">INDIRECT("Z_BP_19_"&amp;IDIOMA)</f>
        <v>Respuesta</v>
      </c>
      <c r="B3" s="6"/>
      <c r="C3" s="33"/>
      <c r="D3" s="81" t="str">
        <f ca="1">INDIRECT("Z_BP_18_"&amp;IDIOMA)</f>
        <v>Mayúsculas</v>
      </c>
      <c r="E3" s="37" t="str">
        <f ca="1">'Datos OM'!E3</f>
        <v>Descripción</v>
      </c>
      <c r="F3" s="64" t="str">
        <f ca="1">"FastTest PlugIn - V"&amp;MID(Version,5,7)&amp;UPPER(INICIO!K24)&amp;"
"&amp;INDIRECT("Z_BP_03_"&amp;IDIOMA)</f>
        <v>FastTest PlugIn - V6.0  - RESPUESTA CORTA
Enunciado de la pregunta</v>
      </c>
      <c r="G3" s="150" t="str">
        <f ca="1">$A$3&amp;" 01"</f>
        <v>Respuesta 01</v>
      </c>
      <c r="H3" s="151" t="str">
        <f ca="1">INDIRECT("Z_BP_09_"&amp;IDIOMA)&amp;" 01"</f>
        <v>Puntos 01</v>
      </c>
      <c r="I3" s="151" t="str">
        <f ca="1">INDIRECT("Z_BP_07_"&amp;IDIOMA)&amp;" 01"</f>
        <v>Retroalim. 01</v>
      </c>
      <c r="J3" s="152" t="str">
        <f ca="1">$A$3&amp;" 02"</f>
        <v>Respuesta 02</v>
      </c>
      <c r="K3" s="153" t="str">
        <f ca="1">INDIRECT("Z_BP_09_"&amp;IDIOMA)&amp;" 02"</f>
        <v>Puntos 02</v>
      </c>
      <c r="L3" s="153" t="str">
        <f ca="1">INDIRECT("Z_BP_07_"&amp;IDIOMA)&amp;" 02"</f>
        <v>Retroalim. 02</v>
      </c>
      <c r="M3" s="152" t="str">
        <f ca="1">$A$3&amp;" 03"</f>
        <v>Respuesta 03</v>
      </c>
      <c r="N3" s="153" t="str">
        <f ca="1">INDIRECT("Z_BP_09_"&amp;IDIOMA)&amp;" 03"</f>
        <v>Puntos 03</v>
      </c>
      <c r="O3" s="153" t="str">
        <f ca="1">INDIRECT("Z_BP_07_"&amp;IDIOMA)&amp;" 03"</f>
        <v>Retroalim. 03</v>
      </c>
      <c r="P3" s="154" t="str">
        <f ca="1">$A$3&amp;" 04"</f>
        <v>Respuesta 04</v>
      </c>
      <c r="Q3" s="155" t="str">
        <f ca="1">INDIRECT("Z_BP_09_"&amp;IDIOMA)&amp;" 04"</f>
        <v>Puntos 04</v>
      </c>
      <c r="R3" s="155" t="str">
        <f ca="1">INDIRECT("Z_BP_07_"&amp;IDIOMA)&amp;" 04"</f>
        <v>Retroalim. 04</v>
      </c>
      <c r="S3" s="156" t="str">
        <f ca="1">$A$3&amp;" 05"</f>
        <v>Respuesta 05</v>
      </c>
      <c r="T3" s="157" t="str">
        <f ca="1">INDIRECT("Z_BP_09_"&amp;IDIOMA)&amp;" 05"</f>
        <v>Puntos 05</v>
      </c>
      <c r="U3" s="157" t="str">
        <f ca="1">INDIRECT("Z_BP_07_"&amp;IDIOMA)&amp;" 05"</f>
        <v>Retroalim. 05</v>
      </c>
      <c r="V3" s="158" t="str">
        <f ca="1">$A$3&amp;" 06"</f>
        <v>Respuesta 06</v>
      </c>
      <c r="W3" s="159" t="str">
        <f ca="1">INDIRECT("Z_BP_09_"&amp;IDIOMA)&amp;" 06"</f>
        <v>Puntos 06</v>
      </c>
      <c r="X3" s="159" t="str">
        <f ca="1">INDIRECT("Z_BP_07_"&amp;IDIOMA)&amp;" 06"</f>
        <v>Retroalim. 06</v>
      </c>
      <c r="Y3" s="150" t="str">
        <f ca="1">$A$3&amp;" 07"</f>
        <v>Respuesta 07</v>
      </c>
      <c r="Z3" s="151" t="str">
        <f ca="1">INDIRECT("Z_BP_09_"&amp;IDIOMA)&amp;" 07"</f>
        <v>Puntos 07</v>
      </c>
      <c r="AA3" s="151" t="str">
        <f ca="1">INDIRECT("Z_BP_07_"&amp;IDIOMA)&amp;" 07"</f>
        <v>Retroalim. 07</v>
      </c>
      <c r="AB3" s="152" t="str">
        <f ca="1">$A$3&amp;" 08"</f>
        <v>Respuesta 08</v>
      </c>
      <c r="AC3" s="153" t="str">
        <f ca="1">INDIRECT("Z_BP_09_"&amp;IDIOMA)&amp;" 08"</f>
        <v>Puntos 08</v>
      </c>
      <c r="AD3" s="153" t="str">
        <f ca="1">INDIRECT("Z_BP_07_"&amp;IDIOMA)&amp;" 08"</f>
        <v>Retroalim. 08</v>
      </c>
      <c r="AE3" s="160" t="str">
        <f ca="1">'Datos OM'!AE3</f>
        <v>Pista 1</v>
      </c>
      <c r="AF3" s="161" t="str">
        <f ca="1">'Datos OM'!AF3</f>
        <v>Pista 2</v>
      </c>
      <c r="AG3" s="162" t="str">
        <f ca="1">'Datos OM'!AG3</f>
        <v>Pista 3</v>
      </c>
      <c r="AH3" s="163" t="str">
        <f ca="1">'Datos OM'!AH3</f>
        <v>Pista 4</v>
      </c>
      <c r="AI3" s="94" t="str">
        <f>'Datos OM'!AI3</f>
        <v>Imagen</v>
      </c>
    </row>
    <row r="4" spans="1:35" s="15" customFormat="1" ht="21.75" hidden="1" x14ac:dyDescent="0.25">
      <c r="A4" s="89" t="s">
        <v>414</v>
      </c>
      <c r="B4" s="6" t="s">
        <v>298</v>
      </c>
      <c r="C4" s="33" t="s">
        <v>299</v>
      </c>
      <c r="D4" s="129" t="s">
        <v>413</v>
      </c>
      <c r="E4" s="107" t="s">
        <v>411</v>
      </c>
      <c r="F4" s="108" t="s">
        <v>412</v>
      </c>
      <c r="G4" s="131" t="s">
        <v>347</v>
      </c>
      <c r="H4" s="132" t="s">
        <v>348</v>
      </c>
      <c r="I4" s="132" t="s">
        <v>349</v>
      </c>
      <c r="J4" s="133" t="s">
        <v>350</v>
      </c>
      <c r="K4" s="134" t="s">
        <v>351</v>
      </c>
      <c r="L4" s="134" t="s">
        <v>352</v>
      </c>
      <c r="M4" s="133" t="s">
        <v>353</v>
      </c>
      <c r="N4" s="134" t="s">
        <v>354</v>
      </c>
      <c r="O4" s="134" t="s">
        <v>355</v>
      </c>
      <c r="P4" s="135" t="s">
        <v>356</v>
      </c>
      <c r="Q4" s="136" t="s">
        <v>357</v>
      </c>
      <c r="R4" s="136" t="s">
        <v>358</v>
      </c>
      <c r="S4" s="137" t="s">
        <v>359</v>
      </c>
      <c r="T4" s="138" t="s">
        <v>360</v>
      </c>
      <c r="U4" s="138" t="s">
        <v>361</v>
      </c>
      <c r="V4" s="139" t="s">
        <v>362</v>
      </c>
      <c r="W4" s="140" t="s">
        <v>363</v>
      </c>
      <c r="X4" s="140" t="s">
        <v>364</v>
      </c>
      <c r="Y4" s="131" t="s">
        <v>365</v>
      </c>
      <c r="Z4" s="132" t="s">
        <v>366</v>
      </c>
      <c r="AA4" s="132" t="s">
        <v>367</v>
      </c>
      <c r="AB4" s="133" t="s">
        <v>368</v>
      </c>
      <c r="AC4" s="134" t="s">
        <v>369</v>
      </c>
      <c r="AD4" s="134" t="s">
        <v>370</v>
      </c>
      <c r="AE4" s="141" t="s">
        <v>275</v>
      </c>
      <c r="AF4" s="142" t="s">
        <v>276</v>
      </c>
      <c r="AG4" s="143" t="s">
        <v>277</v>
      </c>
      <c r="AH4" s="144" t="s">
        <v>278</v>
      </c>
      <c r="AI4" s="109" t="s">
        <v>279</v>
      </c>
    </row>
    <row r="5" spans="1:35" s="1" customFormat="1" x14ac:dyDescent="0.25">
      <c r="A5" s="9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8</v>
      </c>
      <c r="B5" s="34"/>
      <c r="C5" s="35"/>
      <c r="D5" s="130">
        <v>1</v>
      </c>
      <c r="E5" s="106" t="s">
        <v>750</v>
      </c>
      <c r="F5" s="105" t="s">
        <v>751</v>
      </c>
      <c r="G5" s="119" t="s">
        <v>752</v>
      </c>
      <c r="H5" s="145">
        <v>100</v>
      </c>
      <c r="I5" s="145" t="s">
        <v>753</v>
      </c>
      <c r="J5" s="120" t="s">
        <v>754</v>
      </c>
      <c r="K5" s="146">
        <v>100</v>
      </c>
      <c r="L5" s="146" t="s">
        <v>753</v>
      </c>
      <c r="M5" s="120" t="s">
        <v>755</v>
      </c>
      <c r="N5" s="146">
        <v>100</v>
      </c>
      <c r="O5" s="146" t="s">
        <v>753</v>
      </c>
      <c r="P5" s="122" t="s">
        <v>756</v>
      </c>
      <c r="Q5" s="147">
        <v>100</v>
      </c>
      <c r="R5" s="147" t="s">
        <v>753</v>
      </c>
      <c r="S5" s="123" t="s">
        <v>757</v>
      </c>
      <c r="T5" s="148">
        <v>100</v>
      </c>
      <c r="U5" s="148" t="s">
        <v>753</v>
      </c>
      <c r="V5" s="124" t="s">
        <v>758</v>
      </c>
      <c r="W5" s="149">
        <v>100</v>
      </c>
      <c r="X5" s="149" t="s">
        <v>753</v>
      </c>
      <c r="Y5" s="119" t="s">
        <v>759</v>
      </c>
      <c r="Z5" s="145">
        <v>100</v>
      </c>
      <c r="AA5" s="145" t="s">
        <v>753</v>
      </c>
      <c r="AB5" s="120" t="s">
        <v>760</v>
      </c>
      <c r="AC5" s="146">
        <v>100</v>
      </c>
      <c r="AD5" s="146" t="s">
        <v>753</v>
      </c>
      <c r="AE5" s="125" t="s">
        <v>761</v>
      </c>
      <c r="AF5" s="126" t="s">
        <v>762</v>
      </c>
      <c r="AG5" s="127" t="s">
        <v>763</v>
      </c>
      <c r="AH5" s="128" t="s">
        <v>764</v>
      </c>
      <c r="AI5" s="118"/>
    </row>
    <row r="6" spans="1:35" x14ac:dyDescent="0.25">
      <c r="A6" s="371">
        <f>IF(COUNTA(Tabl_RC[[#This Row],[Respuesta 01]],Tabl_RC[[#This Row],[Respuesta 02]],Tabl_RC[[#This Row],[Respuesta 03]],Tabl_RC[[#This Row],[Respuesta 04]],Tabl_RC[[#This Row],[Respuesta 05]],Tabl_RC[[#This Row],[Respuesta 06]],Tabl_RC[[#This Row],[Respuesta 07]],Tabl_RC[[#This Row],[Respuesta 08]])=0,"",
       COUNTA(Tabl_RC[[#This Row],[Respuesta 01]],Tabl_RC[[#This Row],[Respuesta 02]],Tabl_RC[[#This Row],[Respuesta 03]],Tabl_RC[[#This Row],[Respuesta 04]],Tabl_RC[[#This Row],[Respuesta 05]],Tabl_RC[[#This Row],[Respuesta 06]],Tabl_RC[[#This Row],[Respuesta 07]],Tabl_RC[[#This Row],[Respuesta 08]]))</f>
        <v>3</v>
      </c>
      <c r="B6" s="372"/>
      <c r="C6" s="373"/>
      <c r="D6" s="374">
        <v>0</v>
      </c>
      <c r="E6" s="336" t="s">
        <v>765</v>
      </c>
      <c r="F6" s="337" t="s">
        <v>766</v>
      </c>
      <c r="G6" s="361" t="s">
        <v>767</v>
      </c>
      <c r="H6" s="375">
        <v>100</v>
      </c>
      <c r="I6" s="375" t="s">
        <v>753</v>
      </c>
      <c r="J6" s="362" t="s">
        <v>768</v>
      </c>
      <c r="K6" s="376">
        <v>50</v>
      </c>
      <c r="L6" s="376" t="s">
        <v>769</v>
      </c>
      <c r="M6" s="362" t="s">
        <v>770</v>
      </c>
      <c r="N6" s="376">
        <v>100</v>
      </c>
      <c r="O6" s="376" t="s">
        <v>771</v>
      </c>
      <c r="P6" s="364"/>
      <c r="Q6" s="377"/>
      <c r="R6" s="377"/>
      <c r="S6" s="365"/>
      <c r="T6" s="378"/>
      <c r="U6" s="378"/>
      <c r="V6" s="366"/>
      <c r="W6" s="379"/>
      <c r="X6" s="379"/>
      <c r="Y6" s="361"/>
      <c r="Z6" s="375"/>
      <c r="AA6" s="375"/>
      <c r="AB6" s="362"/>
      <c r="AC6" s="376"/>
      <c r="AD6" s="376"/>
      <c r="AE6" s="367"/>
      <c r="AF6" s="368"/>
      <c r="AG6" s="369"/>
      <c r="AH6" s="370"/>
      <c r="AI6" s="354"/>
    </row>
  </sheetData>
  <sheetProtection algorithmName="SHA-512" hashValue="sX7cbco60cQh0b3LY9sPJFXctDmxUh+HRbQN/nUul4DpRdYdJISdR6OqHRrZj/PbtBztZHMXveVKr2kVG19zqg==" saltValue="OD4U5/PjFVB/w6kmIBjJoA==" spinCount="100000" sheet="1" objects="1" scenarios="1" selectLockedCells="1"/>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dimension ref="A1:AI6"/>
  <sheetViews>
    <sheetView showGridLines="0" showRowColHeaders="0" zoomScale="125" zoomScaleNormal="125" workbookViewId="0">
      <pane xSplit="6" ySplit="3" topLeftCell="AC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12" width="12.5703125" style="4" customWidth="1"/>
    <col min="13" max="30" width="14.28515625" style="4" customWidth="1"/>
    <col min="31" max="33" width="11.42578125" style="4" customWidth="1"/>
    <col min="34" max="34" width="11.42578125"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COUNTA(Tabla_PP[Enunciado])</f>
        <v>2</v>
      </c>
    </row>
    <row r="3" spans="1:35" s="15" customFormat="1" ht="50.1" customHeight="1" x14ac:dyDescent="0.25">
      <c r="A3" s="92" t="str">
        <f ca="1">INDIRECT("Z_BP_20_"&amp;IDIOMA)</f>
        <v xml:space="preserve">Palabra </v>
      </c>
      <c r="B3" s="2"/>
      <c r="C3" s="33"/>
      <c r="D3" s="33"/>
      <c r="E3" s="20" t="str">
        <f ca="1">'Datos OM'!E3</f>
        <v>Descripción</v>
      </c>
      <c r="F3" s="64" t="str">
        <f ca="1">"FastTest PlugIn - V"&amp;MID(Version,5,7)&amp;UPPER(INICIO!M24)&amp;"
"&amp;INDIRECT("Z_BP_03_"&amp;IDIOMA)</f>
        <v>FastTest PlugIn - V6.0  - PALABRA PERDIDA
Enunciado de la pregunta</v>
      </c>
      <c r="G3" s="168" t="str">
        <f ca="1">INDIRECT("Z_BP_23_"&amp;IDIOMA)&amp;"
"&amp;H3</f>
        <v>Grupo 
Palabra  01</v>
      </c>
      <c r="H3" s="168" t="str">
        <f ca="1">INDIRECT("Z_BP_20_"&amp;IDIOMA)&amp;" 01"</f>
        <v>Palabra  01</v>
      </c>
      <c r="I3" s="169" t="str">
        <f ca="1">INDIRECT("Z_BP_23_"&amp;IDIOMA)&amp;"
"&amp;J3</f>
        <v>Grupo 
Palabra  02</v>
      </c>
      <c r="J3" s="169" t="str">
        <f ca="1">INDIRECT("Z_BP_20_"&amp;IDIOMA)&amp;" 02"</f>
        <v>Palabra  02</v>
      </c>
      <c r="K3" s="168" t="str">
        <f ca="1">INDIRECT("Z_BP_23_"&amp;IDIOMA)&amp;"
"&amp;L3</f>
        <v>Grupo 
Palabra  03</v>
      </c>
      <c r="L3" s="168" t="str">
        <f ca="1">INDIRECT("Z_BP_20_"&amp;IDIOMA)&amp;" 03"</f>
        <v>Palabra  03</v>
      </c>
      <c r="M3" s="169" t="str">
        <f ca="1">INDIRECT("Z_BP_23_"&amp;IDIOMA)&amp;"
"&amp;N3</f>
        <v>Grupo 
Palabra  04</v>
      </c>
      <c r="N3" s="169" t="str">
        <f ca="1">INDIRECT("Z_BP_20_"&amp;IDIOMA)&amp;" 04"</f>
        <v>Palabra  04</v>
      </c>
      <c r="O3" s="168" t="str">
        <f ca="1">INDIRECT("Z_BP_23_"&amp;IDIOMA)&amp;"
"&amp;P3</f>
        <v>Grupo 
Palabra  05</v>
      </c>
      <c r="P3" s="168" t="str">
        <f ca="1">INDIRECT("Z_BP_20_"&amp;IDIOMA)&amp;" 05"</f>
        <v>Palabra  05</v>
      </c>
      <c r="Q3" s="169" t="str">
        <f ca="1">INDIRECT("Z_BP_23_"&amp;IDIOMA)&amp;"
"&amp;R3</f>
        <v>Grupo 
Palabra  06</v>
      </c>
      <c r="R3" s="169" t="str">
        <f ca="1">INDIRECT("Z_BP_20_"&amp;IDIOMA)&amp;" 06"</f>
        <v>Palabra  06</v>
      </c>
      <c r="S3" s="168" t="str">
        <f ca="1">INDIRECT("Z_BP_23_"&amp;IDIOMA)&amp;"
"&amp;T3</f>
        <v>Grupo 
Palabra  07</v>
      </c>
      <c r="T3" s="168" t="str">
        <f ca="1">INDIRECT("Z_BP_20_"&amp;IDIOMA)&amp;" 07"</f>
        <v>Palabra  07</v>
      </c>
      <c r="U3" s="169" t="str">
        <f ca="1">INDIRECT("Z_BP_23_"&amp;IDIOMA)&amp;"
"&amp;V3</f>
        <v>Grupo 
Palabra  08</v>
      </c>
      <c r="V3" s="169" t="str">
        <f ca="1">INDIRECT("Z_BP_20_"&amp;IDIOMA)&amp;" 08"</f>
        <v>Palabra  08</v>
      </c>
      <c r="W3" s="168" t="str">
        <f ca="1">INDIRECT("Z_BP_23_"&amp;IDIOMA)&amp;"
"&amp;X3</f>
        <v>Grupo 
Palabra  09</v>
      </c>
      <c r="X3" s="168" t="str">
        <f ca="1">INDIRECT("Z_BP_20_"&amp;IDIOMA)&amp;" 09"</f>
        <v>Palabra  09</v>
      </c>
      <c r="Y3" s="169" t="str">
        <f ca="1">INDIRECT("Z_BP_23_"&amp;IDIOMA)&amp;"
"&amp;Z3</f>
        <v>Grupo 
Palabra  10</v>
      </c>
      <c r="Z3" s="169" t="str">
        <f ca="1">INDIRECT("Z_BP_20_"&amp;IDIOMA)&amp;" 10"</f>
        <v>Palabra  10</v>
      </c>
      <c r="AA3" s="168" t="str">
        <f ca="1">INDIRECT("Z_BP_23_"&amp;IDIOMA)&amp;"
"&amp;AB3</f>
        <v>Grupo 
Palabra  11</v>
      </c>
      <c r="AB3" s="168" t="str">
        <f ca="1">INDIRECT("Z_BP_20_"&amp;IDIOMA)&amp;" 11"</f>
        <v>Palabra  11</v>
      </c>
      <c r="AC3" s="169" t="str">
        <f ca="1">INDIRECT("Z_BP_23_"&amp;IDIOMA)&amp;"
"&amp;AD3</f>
        <v>Grupo 
Palabra  12</v>
      </c>
      <c r="AD3" s="169" t="str">
        <f ca="1">INDIRECT("Z_BP_20_"&amp;IDIOMA)&amp;" 12"</f>
        <v>Palabra  12</v>
      </c>
      <c r="AE3" s="160" t="str">
        <f ca="1">'Datos OM'!AE3</f>
        <v>Pista 1</v>
      </c>
      <c r="AF3" s="161" t="str">
        <f ca="1">'Datos OM'!AF3</f>
        <v>Pista 2</v>
      </c>
      <c r="AG3" s="162" t="str">
        <f ca="1">'Datos OM'!AG3</f>
        <v>Pista 3</v>
      </c>
      <c r="AH3" s="163" t="str">
        <f ca="1">'Datos OM'!AH3</f>
        <v>Pista 4</v>
      </c>
      <c r="AI3" s="94" t="str">
        <f>'Datos OM'!AI3</f>
        <v>Imagen</v>
      </c>
    </row>
    <row r="4" spans="1:35" s="15" customFormat="1" ht="40.5" hidden="1" x14ac:dyDescent="0.25">
      <c r="A4" s="166" t="s">
        <v>181</v>
      </c>
      <c r="B4" s="262" t="s">
        <v>379</v>
      </c>
      <c r="C4" s="59" t="s">
        <v>299</v>
      </c>
      <c r="D4" s="59" t="s">
        <v>300</v>
      </c>
      <c r="E4" s="167" t="s">
        <v>411</v>
      </c>
      <c r="F4" s="108" t="s">
        <v>412</v>
      </c>
      <c r="G4" s="164" t="s">
        <v>415</v>
      </c>
      <c r="H4" s="164" t="s">
        <v>416</v>
      </c>
      <c r="I4" s="165" t="s">
        <v>417</v>
      </c>
      <c r="J4" s="165" t="s">
        <v>418</v>
      </c>
      <c r="K4" s="164" t="s">
        <v>419</v>
      </c>
      <c r="L4" s="164" t="s">
        <v>420</v>
      </c>
      <c r="M4" s="165" t="s">
        <v>421</v>
      </c>
      <c r="N4" s="165" t="s">
        <v>422</v>
      </c>
      <c r="O4" s="164" t="s">
        <v>423</v>
      </c>
      <c r="P4" s="164" t="s">
        <v>425</v>
      </c>
      <c r="Q4" s="165" t="s">
        <v>426</v>
      </c>
      <c r="R4" s="165" t="s">
        <v>424</v>
      </c>
      <c r="S4" s="164" t="s">
        <v>427</v>
      </c>
      <c r="T4" s="164" t="s">
        <v>428</v>
      </c>
      <c r="U4" s="165" t="s">
        <v>429</v>
      </c>
      <c r="V4" s="165" t="s">
        <v>430</v>
      </c>
      <c r="W4" s="164" t="s">
        <v>431</v>
      </c>
      <c r="X4" s="164" t="s">
        <v>432</v>
      </c>
      <c r="Y4" s="165" t="s">
        <v>433</v>
      </c>
      <c r="Z4" s="165" t="s">
        <v>434</v>
      </c>
      <c r="AA4" s="164" t="s">
        <v>435</v>
      </c>
      <c r="AB4" s="164" t="s">
        <v>436</v>
      </c>
      <c r="AC4" s="165" t="s">
        <v>437</v>
      </c>
      <c r="AD4" s="165" t="s">
        <v>438</v>
      </c>
      <c r="AE4" s="141" t="s">
        <v>275</v>
      </c>
      <c r="AF4" s="142" t="s">
        <v>276</v>
      </c>
      <c r="AG4" s="143" t="s">
        <v>277</v>
      </c>
      <c r="AH4" s="144" t="s">
        <v>278</v>
      </c>
      <c r="AI4" s="109" t="s">
        <v>279</v>
      </c>
    </row>
    <row r="5" spans="1:35" s="1" customFormat="1" ht="24" x14ac:dyDescent="0.25">
      <c r="A5" s="90">
        <f>IF(COUNTA(Tabla_PP[[#This Row],[GP 01]:[P 12]])/2=0,"",COUNTA(Tabla_PP[[#This Row],[GP 01]:[P 12]])/2)</f>
        <v>12</v>
      </c>
      <c r="B5" s="20"/>
      <c r="C5" s="231"/>
      <c r="D5" s="231"/>
      <c r="E5" s="170" t="s">
        <v>772</v>
      </c>
      <c r="F5" s="220" t="s">
        <v>773</v>
      </c>
      <c r="G5" s="27">
        <v>1</v>
      </c>
      <c r="H5" s="27" t="s">
        <v>752</v>
      </c>
      <c r="I5" s="28">
        <v>1</v>
      </c>
      <c r="J5" s="28" t="s">
        <v>754</v>
      </c>
      <c r="K5" s="27">
        <v>1</v>
      </c>
      <c r="L5" s="27" t="s">
        <v>757</v>
      </c>
      <c r="M5" s="28">
        <v>1</v>
      </c>
      <c r="N5" s="28" t="s">
        <v>758</v>
      </c>
      <c r="O5" s="27">
        <v>2</v>
      </c>
      <c r="P5" s="27" t="s">
        <v>774</v>
      </c>
      <c r="Q5" s="28">
        <v>2</v>
      </c>
      <c r="R5" s="28" t="s">
        <v>775</v>
      </c>
      <c r="S5" s="27">
        <v>2</v>
      </c>
      <c r="T5" s="27" t="s">
        <v>776</v>
      </c>
      <c r="U5" s="28">
        <v>3</v>
      </c>
      <c r="V5" s="28" t="s">
        <v>777</v>
      </c>
      <c r="W5" s="27">
        <v>3</v>
      </c>
      <c r="X5" s="27" t="s">
        <v>778</v>
      </c>
      <c r="Y5" s="28">
        <v>3</v>
      </c>
      <c r="Z5" s="28" t="s">
        <v>779</v>
      </c>
      <c r="AA5" s="27">
        <v>3</v>
      </c>
      <c r="AB5" s="27" t="s">
        <v>780</v>
      </c>
      <c r="AC5" s="28">
        <v>3</v>
      </c>
      <c r="AD5" s="28" t="s">
        <v>781</v>
      </c>
      <c r="AE5" s="232" t="s">
        <v>782</v>
      </c>
      <c r="AF5" s="233" t="s">
        <v>783</v>
      </c>
      <c r="AG5" s="234" t="s">
        <v>784</v>
      </c>
      <c r="AH5" s="235" t="s">
        <v>785</v>
      </c>
      <c r="AI5" s="118"/>
    </row>
    <row r="6" spans="1:35" ht="36" x14ac:dyDescent="0.25">
      <c r="A6" s="359">
        <f>IF(COUNTA(Tabla_PP[[#This Row],[GP 01]:[P 12]])/2=0,"",COUNTA(Tabla_PP[[#This Row],[GP 01]:[P 12]])/2)</f>
        <v>12</v>
      </c>
      <c r="B6" s="380"/>
      <c r="C6" s="381"/>
      <c r="D6" s="381"/>
      <c r="E6" s="382" t="s">
        <v>772</v>
      </c>
      <c r="F6" s="356" t="s">
        <v>786</v>
      </c>
      <c r="G6" s="338">
        <v>1</v>
      </c>
      <c r="H6" s="338" t="s">
        <v>752</v>
      </c>
      <c r="I6" s="339">
        <v>1</v>
      </c>
      <c r="J6" s="339" t="s">
        <v>754</v>
      </c>
      <c r="K6" s="338">
        <v>1</v>
      </c>
      <c r="L6" s="338" t="s">
        <v>757</v>
      </c>
      <c r="M6" s="339">
        <v>1</v>
      </c>
      <c r="N6" s="339" t="s">
        <v>758</v>
      </c>
      <c r="O6" s="338">
        <v>2</v>
      </c>
      <c r="P6" s="338" t="s">
        <v>774</v>
      </c>
      <c r="Q6" s="339">
        <v>2</v>
      </c>
      <c r="R6" s="339" t="s">
        <v>775</v>
      </c>
      <c r="S6" s="338">
        <v>2</v>
      </c>
      <c r="T6" s="338" t="s">
        <v>776</v>
      </c>
      <c r="U6" s="339">
        <v>3</v>
      </c>
      <c r="V6" s="339" t="s">
        <v>777</v>
      </c>
      <c r="W6" s="338">
        <v>3</v>
      </c>
      <c r="X6" s="338" t="s">
        <v>778</v>
      </c>
      <c r="Y6" s="339">
        <v>3</v>
      </c>
      <c r="Z6" s="339" t="s">
        <v>779</v>
      </c>
      <c r="AA6" s="338">
        <v>3</v>
      </c>
      <c r="AB6" s="338" t="s">
        <v>780</v>
      </c>
      <c r="AC6" s="339">
        <v>3</v>
      </c>
      <c r="AD6" s="339" t="s">
        <v>781</v>
      </c>
      <c r="AE6" s="383" t="s">
        <v>782</v>
      </c>
      <c r="AF6" s="384" t="s">
        <v>783</v>
      </c>
      <c r="AG6" s="385" t="s">
        <v>784</v>
      </c>
      <c r="AH6" s="386" t="s">
        <v>785</v>
      </c>
      <c r="AI6" s="354"/>
    </row>
  </sheetData>
  <sheetProtection algorithmName="SHA-512" hashValue="c7JP+itEVFeT3hCI0VtZkO5768PrRa95shhSWGpFM3oeaGoIyyWwTNc3/jvLQbq6BE+ho8j1p9DoJCnXW9DqTw==" saltValue="G9j3AFtda2Qwg3xqvSSH+Q==" spinCount="100000" sheet="1" objects="1" scenarios="1" selectLockedCells="1"/>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dimension ref="A1:AI6"/>
  <sheetViews>
    <sheetView showGridLines="0" showRowColHeaders="0" zoomScale="125" zoomScaleNormal="125" workbookViewId="0">
      <pane xSplit="6" ySplit="3" topLeftCell="L5" activePane="bottomRight" state="frozen"/>
      <selection activeCell="G18" sqref="G18"/>
      <selection pane="topRight" activeCell="G18" sqref="G18"/>
      <selection pane="bottomLeft" activeCell="G18" sqref="G18"/>
      <selection pane="bottomRight" activeCell="E5" sqref="E5:AI6"/>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75.7109375" style="4" customWidth="1"/>
    <col min="7" max="7" width="12.5703125" style="4" customWidth="1"/>
    <col min="8" max="8" width="12.85546875" style="4" customWidth="1"/>
    <col min="9" max="9" width="23" style="4" customWidth="1"/>
    <col min="10" max="10" width="22.28515625" style="4" customWidth="1"/>
    <col min="11" max="11" width="24.42578125" style="4" customWidth="1"/>
    <col min="12" max="12" width="19.42578125" style="4" customWidth="1"/>
    <col min="13" max="13" width="24.85546875" style="4" customWidth="1"/>
    <col min="14" max="30" width="14.28515625" style="4" hidden="1" customWidth="1"/>
    <col min="31" max="34" width="0" style="4" hidden="1" customWidth="1"/>
    <col min="35"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E1" s="63"/>
      <c r="AF1" s="63"/>
      <c r="AG1" s="63"/>
      <c r="AH1" s="63"/>
    </row>
    <row r="2" spans="1:35" s="1" customFormat="1" ht="24.95" customHeight="1" x14ac:dyDescent="0.25">
      <c r="A2" s="3"/>
      <c r="B2" s="3"/>
      <c r="D2" s="2"/>
      <c r="F2" s="87" t="str">
        <f ca="1">'Datos OM'!F2</f>
        <v xml:space="preserve">    RC                         PP                         EN                         CL                                 DICCIONARIO</v>
      </c>
      <c r="G2" s="62">
        <f>COUNTA(Tabla_EN[FastTest PlugIn - ENSAYO
Enunciado de la pregunta])</f>
        <v>2</v>
      </c>
    </row>
    <row r="3" spans="1:35" s="15" customFormat="1" ht="50.1" customHeight="1" x14ac:dyDescent="0.25">
      <c r="A3" s="263"/>
      <c r="B3" s="2"/>
      <c r="C3" s="33"/>
      <c r="D3" s="33"/>
      <c r="E3" s="20" t="str">
        <f ca="1">'Datos OM'!E3</f>
        <v>Descripción</v>
      </c>
      <c r="F3" s="64" t="str">
        <f ca="1">"FastTest PlugIn - V"&amp;MID(Version,5,7)&amp;UPPER(INICIO!O24)&amp;"
"&amp;INDIRECT("Z_BP_03_"&amp;IDIOMA)</f>
        <v>FastTest PlugIn - V6.0  - ENSAYO
Enunciado de la pregunta</v>
      </c>
      <c r="G3" s="83" t="str">
        <f ca="1">INDIRECT("Z_BP_24_"&amp;IDIOMA)&amp;"
"&amp;H3</f>
        <v>Formato de la Respuesta
Requerir texto</v>
      </c>
      <c r="H3" s="103" t="str">
        <f ca="1">INDIRECT("Z_BP_25_"&amp;IDIOMA)</f>
        <v>Requerir texto</v>
      </c>
      <c r="I3" s="98" t="str">
        <f ca="1">INDIRECT("Z_BP_26_"&amp;IDIOMA)</f>
        <v>Tamaño de la caja de entrada</v>
      </c>
      <c r="J3" s="84" t="str">
        <f ca="1">INDIRECT("Z_BP_27_"&amp;IDIOMA)</f>
        <v>Permitir archivos adjuntos</v>
      </c>
      <c r="K3" s="85" t="str">
        <f ca="1">INDIRECT("Z_BP_28_"&amp;IDIOMA)</f>
        <v>Archivos adjuntos requeridos</v>
      </c>
      <c r="L3" s="86" t="str">
        <f ca="1">INDIRECT("Z_BP_29_"&amp;IDIOMA)</f>
        <v>Plantilla de Respuesta</v>
      </c>
      <c r="M3" s="83" t="str">
        <f ca="1">INDIRECT("Z_BP_30_"&amp;IDIOMA)</f>
        <v>Información para el evaluador</v>
      </c>
      <c r="N3" s="177"/>
      <c r="O3" s="178"/>
      <c r="P3" s="178"/>
      <c r="Q3" s="177"/>
      <c r="R3" s="177"/>
      <c r="S3" s="178"/>
      <c r="T3" s="178"/>
      <c r="U3" s="177"/>
      <c r="V3" s="177"/>
      <c r="W3" s="178"/>
      <c r="X3" s="178"/>
      <c r="Y3" s="177"/>
      <c r="Z3" s="177"/>
      <c r="AA3" s="178"/>
      <c r="AB3" s="178"/>
      <c r="AC3" s="177"/>
      <c r="AD3" s="177"/>
      <c r="AE3" s="179"/>
      <c r="AF3" s="180"/>
      <c r="AG3" s="181"/>
      <c r="AH3" s="182"/>
      <c r="AI3" s="94" t="str">
        <f>'Datos OM'!AI3</f>
        <v>Imagen</v>
      </c>
    </row>
    <row r="4" spans="1:35" s="15" customFormat="1" ht="50.1" hidden="1" customHeight="1" x14ac:dyDescent="0.25">
      <c r="A4" s="264" t="s">
        <v>379</v>
      </c>
      <c r="B4" s="261" t="s">
        <v>380</v>
      </c>
      <c r="C4" s="59" t="s">
        <v>298</v>
      </c>
      <c r="D4" s="59" t="s">
        <v>299</v>
      </c>
      <c r="E4" s="167" t="s">
        <v>105</v>
      </c>
      <c r="F4" s="108" t="s">
        <v>377</v>
      </c>
      <c r="G4" s="173" t="s">
        <v>378</v>
      </c>
      <c r="H4" s="39" t="s">
        <v>218</v>
      </c>
      <c r="I4" s="23" t="s">
        <v>224</v>
      </c>
      <c r="J4" s="174" t="s">
        <v>230</v>
      </c>
      <c r="K4" s="175" t="s">
        <v>236</v>
      </c>
      <c r="L4" s="176" t="s">
        <v>242</v>
      </c>
      <c r="M4" s="173" t="s">
        <v>248</v>
      </c>
      <c r="N4" s="61" t="s">
        <v>300</v>
      </c>
      <c r="O4" s="60" t="s">
        <v>301</v>
      </c>
      <c r="P4" s="60" t="s">
        <v>302</v>
      </c>
      <c r="Q4" s="61" t="s">
        <v>303</v>
      </c>
      <c r="R4" s="61" t="s">
        <v>304</v>
      </c>
      <c r="S4" s="60" t="s">
        <v>305</v>
      </c>
      <c r="T4" s="60" t="s">
        <v>306</v>
      </c>
      <c r="U4" s="61" t="s">
        <v>307</v>
      </c>
      <c r="V4" s="61" t="s">
        <v>308</v>
      </c>
      <c r="W4" s="60" t="s">
        <v>309</v>
      </c>
      <c r="X4" s="60" t="s">
        <v>310</v>
      </c>
      <c r="Y4" s="61" t="s">
        <v>311</v>
      </c>
      <c r="Z4" s="61" t="s">
        <v>312</v>
      </c>
      <c r="AA4" s="60" t="s">
        <v>313</v>
      </c>
      <c r="AB4" s="60" t="s">
        <v>314</v>
      </c>
      <c r="AC4" s="61" t="s">
        <v>315</v>
      </c>
      <c r="AD4" s="61" t="s">
        <v>316</v>
      </c>
      <c r="AE4" s="16" t="s">
        <v>317</v>
      </c>
      <c r="AF4" s="17" t="s">
        <v>318</v>
      </c>
      <c r="AG4" s="18" t="s">
        <v>319</v>
      </c>
      <c r="AH4" s="19" t="s">
        <v>320</v>
      </c>
      <c r="AI4" s="109" t="s">
        <v>279</v>
      </c>
    </row>
    <row r="5" spans="1:35" s="1" customFormat="1" ht="36" x14ac:dyDescent="0.25">
      <c r="A5" s="265"/>
      <c r="B5" s="266"/>
      <c r="C5" s="231"/>
      <c r="D5" s="231"/>
      <c r="E5" s="170" t="s">
        <v>787</v>
      </c>
      <c r="F5" s="220" t="s">
        <v>788</v>
      </c>
      <c r="G5" s="183" t="s">
        <v>789</v>
      </c>
      <c r="H5" s="50"/>
      <c r="I5" s="29">
        <v>5</v>
      </c>
      <c r="J5" s="184" t="s">
        <v>790</v>
      </c>
      <c r="K5" s="185"/>
      <c r="L5" s="186" t="s">
        <v>791</v>
      </c>
      <c r="M5" s="183" t="s">
        <v>792</v>
      </c>
      <c r="N5" s="236"/>
      <c r="O5" s="237"/>
      <c r="P5" s="237"/>
      <c r="Q5" s="236"/>
      <c r="R5" s="236"/>
      <c r="S5" s="237"/>
      <c r="T5" s="237"/>
      <c r="U5" s="236"/>
      <c r="V5" s="236"/>
      <c r="W5" s="237"/>
      <c r="X5" s="237"/>
      <c r="Y5" s="236"/>
      <c r="Z5" s="236"/>
      <c r="AA5" s="237"/>
      <c r="AB5" s="237"/>
      <c r="AC5" s="236"/>
      <c r="AD5" s="236"/>
      <c r="AE5" s="238"/>
      <c r="AF5" s="239"/>
      <c r="AG5" s="240"/>
      <c r="AH5" s="241"/>
      <c r="AI5" s="118"/>
    </row>
    <row r="6" spans="1:35" ht="36" x14ac:dyDescent="0.25">
      <c r="A6" s="387"/>
      <c r="B6" s="388"/>
      <c r="C6" s="381"/>
      <c r="D6" s="381"/>
      <c r="E6" s="382" t="s">
        <v>793</v>
      </c>
      <c r="F6" s="356" t="s">
        <v>794</v>
      </c>
      <c r="G6" s="389" t="s">
        <v>789</v>
      </c>
      <c r="H6" s="345" t="s">
        <v>795</v>
      </c>
      <c r="I6" s="340">
        <v>5</v>
      </c>
      <c r="J6" s="390">
        <v>3</v>
      </c>
      <c r="K6" s="391" t="s">
        <v>790</v>
      </c>
      <c r="L6" s="392" t="s">
        <v>791</v>
      </c>
      <c r="M6" s="389" t="s">
        <v>792</v>
      </c>
      <c r="N6" s="393"/>
      <c r="O6" s="394"/>
      <c r="P6" s="394"/>
      <c r="Q6" s="393"/>
      <c r="R6" s="393"/>
      <c r="S6" s="394"/>
      <c r="T6" s="394"/>
      <c r="U6" s="393"/>
      <c r="V6" s="393"/>
      <c r="W6" s="394"/>
      <c r="X6" s="394"/>
      <c r="Y6" s="393"/>
      <c r="Z6" s="393"/>
      <c r="AA6" s="394"/>
      <c r="AB6" s="394"/>
      <c r="AC6" s="393"/>
      <c r="AD6" s="393"/>
      <c r="AE6" s="395"/>
      <c r="AF6" s="396"/>
      <c r="AG6" s="397"/>
      <c r="AH6" s="398"/>
      <c r="AI6" s="354"/>
    </row>
  </sheetData>
  <sheetProtection algorithmName="SHA-512" hashValue="WsvFN94/SzyCTf78+Xs6db5g75gEO/rBAuKO/aqrI6G0zoTQeGf1zRPHfXs91yEcDW2O/hpBfdHeBs6SuZlaYg==" saltValue="y9t9RtxtOmdAzl4s9xRBiQ==" spinCount="100000" sheet="1" objects="1" scenarios="1" selectLockedCells="1"/>
  <conditionalFormatting sqref="G5:K6">
    <cfRule type="cellIs" dxfId="115" priority="3" operator="equal">
      <formula>""</formula>
    </cfRule>
    <cfRule type="cellIs" dxfId="114" priority="4" operator="equal">
      <formula>0</formula>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dimension ref="A1:AI5"/>
  <sheetViews>
    <sheetView showGridLines="0" showRowColHeaders="0" tabSelected="1" zoomScale="125" zoomScaleNormal="125" workbookViewId="0">
      <pane xSplit="6" ySplit="3" topLeftCell="G5" activePane="bottomRight" state="frozen"/>
      <selection activeCell="G18" sqref="G18"/>
      <selection pane="topRight" activeCell="G18" sqref="G18"/>
      <selection pane="bottomLeft" activeCell="G18" sqref="G18"/>
      <selection pane="bottomRight" activeCell="E5" sqref="E5:AI5"/>
    </sheetView>
  </sheetViews>
  <sheetFormatPr baseColWidth="10" defaultColWidth="0" defaultRowHeight="15" x14ac:dyDescent="0.25"/>
  <cols>
    <col min="1" max="2" width="3.7109375" style="5" customWidth="1"/>
    <col min="3" max="3" width="3.5703125" style="4" hidden="1" customWidth="1"/>
    <col min="4" max="4" width="4" style="4" hidden="1" customWidth="1"/>
    <col min="5" max="5" width="18" style="5" customWidth="1"/>
    <col min="6" max="6" width="135.5703125" style="4" customWidth="1"/>
    <col min="7" max="7" width="12.5703125" style="4" customWidth="1"/>
    <col min="8" max="12" width="12.5703125" style="4" hidden="1" customWidth="1"/>
    <col min="13" max="30" width="14.28515625" style="4" hidden="1" customWidth="1"/>
    <col min="31" max="35" width="11.42578125" style="4" customWidth="1"/>
    <col min="36" max="16384" width="11.42578125" style="4" hidden="1"/>
  </cols>
  <sheetData>
    <row r="1" spans="1:35" s="1" customFormat="1" ht="24.95" customHeight="1" x14ac:dyDescent="0.25">
      <c r="A1" s="63"/>
      <c r="B1" s="63"/>
      <c r="D1" s="63"/>
      <c r="E1" s="63"/>
      <c r="F1" s="87" t="str">
        <f ca="1">'Datos OM'!F1</f>
        <v>OM 1R                  OM +R                    VF                         EM                                INICIO</v>
      </c>
      <c r="G1" s="79" t="str">
        <f ca="1">INDIRECT("Z_BP_01_"&amp;IDIOMA)</f>
        <v>Preguntas Almacenadas</v>
      </c>
      <c r="J1" s="63"/>
      <c r="K1" s="63"/>
      <c r="L1" s="63"/>
      <c r="M1" s="63"/>
      <c r="N1" s="63"/>
      <c r="O1" s="63"/>
      <c r="P1" s="63"/>
      <c r="Q1" s="63"/>
      <c r="R1" s="63"/>
      <c r="S1" s="63"/>
      <c r="T1" s="63"/>
      <c r="U1" s="63"/>
      <c r="V1" s="63"/>
      <c r="W1" s="63"/>
      <c r="X1" s="63"/>
      <c r="Y1" s="63"/>
      <c r="Z1" s="63"/>
      <c r="AA1" s="63"/>
      <c r="AB1" s="63"/>
      <c r="AC1" s="63"/>
      <c r="AD1" s="63"/>
      <c r="AF1" s="63"/>
      <c r="AG1" s="63"/>
      <c r="AH1" s="63"/>
    </row>
    <row r="2" spans="1:35" s="1" customFormat="1" ht="24.95" customHeight="1" x14ac:dyDescent="0.25">
      <c r="A2" s="3"/>
      <c r="B2" s="3"/>
      <c r="D2" s="2"/>
      <c r="F2" s="88" t="str">
        <f ca="1">'Datos OM'!F2</f>
        <v xml:space="preserve">    RC                         PP                         EN                         CL                                 DICCIONARIO</v>
      </c>
      <c r="G2" s="62">
        <f>COUNTA(Tabla_CL[Enunciado])</f>
        <v>1</v>
      </c>
    </row>
    <row r="3" spans="1:35" s="15" customFormat="1" ht="50.1" customHeight="1" x14ac:dyDescent="0.25">
      <c r="A3" s="333"/>
      <c r="B3" s="333"/>
      <c r="C3" s="33"/>
      <c r="D3" s="33"/>
      <c r="E3" s="37" t="str">
        <f ca="1">'Datos OM'!E3</f>
        <v>Descripción</v>
      </c>
      <c r="F3" s="64" t="str">
        <f ca="1">"FastTest PlugIn - V"&amp;MID(Version,5,7)&amp;UPPER(INICIO!Q24)&amp;"
"&amp;INDIRECT("Z_BP_03_"&amp;IDIOMA)</f>
        <v>FastTest PlugIn - V6.0  - CLOZE
Enunciado de la pregunta</v>
      </c>
      <c r="G3" s="197" t="str">
        <f ca="1">INDIRECT("Z_BP_32_"&amp;IDIOMA)</f>
        <v>Ancho RC</v>
      </c>
      <c r="H3" s="103"/>
      <c r="I3" s="98"/>
      <c r="J3" s="84"/>
      <c r="K3" s="85"/>
      <c r="L3" s="86"/>
      <c r="M3" s="83"/>
      <c r="N3" s="172"/>
      <c r="O3" s="171"/>
      <c r="P3" s="171"/>
      <c r="Q3" s="172"/>
      <c r="R3" s="172"/>
      <c r="S3" s="171"/>
      <c r="T3" s="171"/>
      <c r="U3" s="172"/>
      <c r="V3" s="172"/>
      <c r="W3" s="171"/>
      <c r="X3" s="171"/>
      <c r="Y3" s="172"/>
      <c r="Z3" s="172"/>
      <c r="AA3" s="171"/>
      <c r="AB3" s="171"/>
      <c r="AC3" s="172"/>
      <c r="AD3" s="172"/>
      <c r="AE3" s="160" t="str">
        <f ca="1">'Datos OM'!AE3</f>
        <v>Pista 1</v>
      </c>
      <c r="AF3" s="161" t="str">
        <f ca="1">'Datos OM'!AF3</f>
        <v>Pista 2</v>
      </c>
      <c r="AG3" s="162" t="str">
        <f ca="1">'Datos OM'!AG3</f>
        <v>Pista 3</v>
      </c>
      <c r="AH3" s="163" t="str">
        <f ca="1">'Datos OM'!AH3</f>
        <v>Pista 4</v>
      </c>
      <c r="AI3" s="94" t="str">
        <f>'Datos OM'!AI3</f>
        <v>Imagen</v>
      </c>
    </row>
    <row r="4" spans="1:35" s="15" customFormat="1" hidden="1" x14ac:dyDescent="0.25">
      <c r="A4" s="167" t="s">
        <v>379</v>
      </c>
      <c r="B4" s="167" t="s">
        <v>380</v>
      </c>
      <c r="C4" s="247" t="s">
        <v>298</v>
      </c>
      <c r="D4" s="247" t="s">
        <v>299</v>
      </c>
      <c r="E4" s="37" t="s">
        <v>411</v>
      </c>
      <c r="F4" s="248" t="s">
        <v>412</v>
      </c>
      <c r="G4" s="249" t="s">
        <v>269</v>
      </c>
      <c r="H4" s="39" t="s">
        <v>300</v>
      </c>
      <c r="I4" s="23" t="s">
        <v>301</v>
      </c>
      <c r="J4" s="84" t="s">
        <v>302</v>
      </c>
      <c r="K4" s="85" t="s">
        <v>303</v>
      </c>
      <c r="L4" s="86" t="s">
        <v>304</v>
      </c>
      <c r="M4" s="83" t="s">
        <v>305</v>
      </c>
      <c r="N4" s="28" t="s">
        <v>306</v>
      </c>
      <c r="O4" s="27" t="s">
        <v>307</v>
      </c>
      <c r="P4" s="27" t="s">
        <v>308</v>
      </c>
      <c r="Q4" s="28" t="s">
        <v>309</v>
      </c>
      <c r="R4" s="28" t="s">
        <v>310</v>
      </c>
      <c r="S4" s="27" t="s">
        <v>311</v>
      </c>
      <c r="T4" s="27" t="s">
        <v>312</v>
      </c>
      <c r="U4" s="28" t="s">
        <v>313</v>
      </c>
      <c r="V4" s="28" t="s">
        <v>314</v>
      </c>
      <c r="W4" s="27" t="s">
        <v>315</v>
      </c>
      <c r="X4" s="27" t="s">
        <v>316</v>
      </c>
      <c r="Y4" s="28" t="s">
        <v>317</v>
      </c>
      <c r="Z4" s="28" t="s">
        <v>318</v>
      </c>
      <c r="AA4" s="27" t="s">
        <v>319</v>
      </c>
      <c r="AB4" s="27" t="s">
        <v>320</v>
      </c>
      <c r="AC4" s="28" t="s">
        <v>321</v>
      </c>
      <c r="AD4" s="28" t="s">
        <v>322</v>
      </c>
      <c r="AE4" s="250" t="s">
        <v>275</v>
      </c>
      <c r="AF4" s="251" t="s">
        <v>276</v>
      </c>
      <c r="AG4" s="252" t="s">
        <v>277</v>
      </c>
      <c r="AH4" s="253" t="s">
        <v>278</v>
      </c>
      <c r="AI4" s="94" t="s">
        <v>279</v>
      </c>
    </row>
    <row r="5" spans="1:35" s="1" customFormat="1" ht="60" x14ac:dyDescent="0.25">
      <c r="A5" s="265"/>
      <c r="B5" s="266"/>
      <c r="C5" s="231"/>
      <c r="D5" s="231"/>
      <c r="E5" s="106" t="s">
        <v>796</v>
      </c>
      <c r="F5" s="220" t="s">
        <v>797</v>
      </c>
      <c r="G5" s="242">
        <v>10</v>
      </c>
      <c r="H5" s="50"/>
      <c r="I5" s="29"/>
      <c r="J5" s="184"/>
      <c r="K5" s="185"/>
      <c r="L5" s="186"/>
      <c r="M5" s="183"/>
      <c r="N5" s="236"/>
      <c r="O5" s="237"/>
      <c r="P5" s="237"/>
      <c r="Q5" s="236"/>
      <c r="R5" s="236"/>
      <c r="S5" s="237"/>
      <c r="T5" s="237"/>
      <c r="U5" s="236"/>
      <c r="V5" s="236"/>
      <c r="W5" s="237"/>
      <c r="X5" s="237"/>
      <c r="Y5" s="236"/>
      <c r="Z5" s="236"/>
      <c r="AA5" s="237"/>
      <c r="AB5" s="237"/>
      <c r="AC5" s="236"/>
      <c r="AD5" s="236"/>
      <c r="AE5" s="243"/>
      <c r="AF5" s="244"/>
      <c r="AG5" s="245"/>
      <c r="AH5" s="246"/>
      <c r="AI5" s="118"/>
    </row>
  </sheetData>
  <sheetProtection algorithmName="SHA-512" hashValue="tMENBNzHd6ETM6C2c/AxQdV90c+Iy9c6WPKx8KcmXyXuMaA8W4rhF4WTG73RgFXXwseMC+1KjsfvrqL2LhL0SA==" saltValue="gRmfhzwpzUVVh8F8irMtzw==" spinCount="100000" sheet="1" objects="1" scenarios="1" selectLockedCells="1"/>
  <mergeCells count="1">
    <mergeCell ref="A3:B3"/>
  </mergeCell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BA388"/>
  <sheetViews>
    <sheetView showGridLines="0" showRowColHeaders="0" topLeftCell="D1" zoomScale="163" zoomScaleNormal="163" workbookViewId="0">
      <pane ySplit="3" topLeftCell="A4" activePane="bottomLeft" state="frozen"/>
      <selection pane="bottomLeft" activeCell="D3" sqref="D3"/>
    </sheetView>
  </sheetViews>
  <sheetFormatPr baseColWidth="10" defaultColWidth="0" defaultRowHeight="15" zeroHeight="1" outlineLevelCol="1" x14ac:dyDescent="0.25"/>
  <cols>
    <col min="1" max="1" width="10.7109375" hidden="1" customWidth="1" outlineLevel="1"/>
    <col min="2" max="3" width="6" hidden="1" customWidth="1" outlineLevel="1"/>
    <col min="4" max="4" width="65.7109375" customWidth="1" collapsed="1"/>
    <col min="5" max="5" width="65.7109375" customWidth="1"/>
    <col min="6" max="11" width="29" hidden="1" customWidth="1" outlineLevel="1"/>
    <col min="12" max="12" width="2.7109375" customWidth="1" collapsed="1"/>
    <col min="13" max="13" width="2.7109375" hidden="1" customWidth="1" collapsed="1"/>
    <col min="14" max="14" width="5.42578125" style="76" hidden="1" customWidth="1" outlineLevel="1"/>
    <col min="15" max="15" width="15.5703125" style="76" hidden="1" customWidth="1" outlineLevel="1"/>
    <col min="16" max="16" width="30.42578125" style="76" hidden="1" customWidth="1" outlineLevel="1"/>
    <col min="17" max="17" width="14.85546875" style="76" hidden="1" customWidth="1" outlineLevel="1"/>
    <col min="18" max="18" width="4.5703125" style="76" hidden="1" customWidth="1" outlineLevel="1"/>
    <col min="19" max="19" width="6.5703125" style="76" hidden="1" customWidth="1" outlineLevel="1"/>
    <col min="20" max="21" width="11.140625" style="76" hidden="1" customWidth="1" outlineLevel="1"/>
    <col min="22" max="22" width="7.140625" style="76" hidden="1" customWidth="1" outlineLevel="1"/>
    <col min="23" max="23" width="4.7109375" style="76" hidden="1" customWidth="1" outlineLevel="1"/>
    <col min="24" max="24" width="4.28515625" style="76" hidden="1" customWidth="1" outlineLevel="1"/>
    <col min="25" max="25" width="3.7109375" style="76" hidden="1" customWidth="1" outlineLevel="1"/>
    <col min="26" max="26" width="3.85546875" style="76" hidden="1" customWidth="1" outlineLevel="1"/>
    <col min="27" max="27" width="14.7109375" hidden="1" customWidth="1" outlineLevel="1"/>
    <col min="28" max="28" width="2.7109375" hidden="1" customWidth="1" outlineLevel="1"/>
    <col min="29" max="30" width="5.7109375" hidden="1" customWidth="1" outlineLevel="1"/>
    <col min="31" max="31" width="2.7109375" customWidth="1" collapsed="1"/>
    <col min="32" max="53" width="5.7109375" hidden="1" customWidth="1"/>
    <col min="54" max="16384" width="11.42578125" hidden="1"/>
  </cols>
  <sheetData>
    <row r="1" spans="1:30" ht="30" customHeight="1" thickBot="1" x14ac:dyDescent="0.3">
      <c r="A1" s="73" t="s">
        <v>18</v>
      </c>
      <c r="B1" s="72"/>
      <c r="C1" s="73"/>
      <c r="D1" s="206" t="str">
        <f ca="1">INDIRECT("Z_IN_00_"&amp;IDIOMA)</f>
        <v>INICIO</v>
      </c>
      <c r="E1" s="212" t="str">
        <f>LANGUAGE</f>
        <v>ESPAÑOL</v>
      </c>
      <c r="F1" s="74" t="s">
        <v>12</v>
      </c>
      <c r="G1" s="74" t="s">
        <v>19</v>
      </c>
      <c r="H1" s="74" t="s">
        <v>20</v>
      </c>
      <c r="I1" s="74" t="s">
        <v>21</v>
      </c>
      <c r="J1" s="74" t="s">
        <v>22</v>
      </c>
      <c r="K1" s="74" t="s">
        <v>23</v>
      </c>
      <c r="N1" s="288">
        <v>1</v>
      </c>
      <c r="O1" s="288">
        <f>N1+1</f>
        <v>2</v>
      </c>
      <c r="P1" s="288">
        <f t="shared" ref="P1:AA1" si="0">O1+1</f>
        <v>3</v>
      </c>
      <c r="Q1" s="288">
        <f t="shared" si="0"/>
        <v>4</v>
      </c>
      <c r="R1" s="288">
        <f t="shared" si="0"/>
        <v>5</v>
      </c>
      <c r="S1" s="288">
        <f t="shared" si="0"/>
        <v>6</v>
      </c>
      <c r="T1" s="288">
        <f t="shared" si="0"/>
        <v>7</v>
      </c>
      <c r="U1" s="288">
        <f t="shared" si="0"/>
        <v>8</v>
      </c>
      <c r="V1" s="288">
        <f t="shared" si="0"/>
        <v>9</v>
      </c>
      <c r="W1" s="288">
        <f t="shared" si="0"/>
        <v>10</v>
      </c>
      <c r="X1" s="288">
        <f t="shared" si="0"/>
        <v>11</v>
      </c>
      <c r="Y1" s="288">
        <f t="shared" si="0"/>
        <v>12</v>
      </c>
      <c r="Z1" s="288">
        <f t="shared" si="0"/>
        <v>13</v>
      </c>
      <c r="AA1" s="288">
        <f t="shared" si="0"/>
        <v>14</v>
      </c>
      <c r="AC1" s="290" t="s">
        <v>610</v>
      </c>
      <c r="AD1" s="290"/>
    </row>
    <row r="2" spans="1:30" ht="30" customHeight="1" thickBot="1" x14ac:dyDescent="0.3">
      <c r="A2" s="72" t="s">
        <v>24</v>
      </c>
      <c r="B2" s="72"/>
      <c r="C2" s="72"/>
      <c r="D2" s="207" t="str">
        <f>"LINK "&amp;INICIO!A45</f>
        <v>LINK PERSONALIZAR DICCIONARIO</v>
      </c>
      <c r="E2" s="213" t="str">
        <f>IFERROR(INDEX(F2:K20,1,MATCH(E1,F20:K20,0)),IDIOMA)</f>
        <v>S</v>
      </c>
      <c r="F2" s="75" t="s">
        <v>13</v>
      </c>
      <c r="G2" s="75" t="s">
        <v>17</v>
      </c>
      <c r="H2" s="75" t="s">
        <v>15</v>
      </c>
      <c r="I2" s="75" t="s">
        <v>16</v>
      </c>
      <c r="J2" s="75" t="s">
        <v>14</v>
      </c>
      <c r="K2" s="75" t="s">
        <v>24</v>
      </c>
      <c r="N2" s="294" t="s">
        <v>479</v>
      </c>
      <c r="O2" s="294" t="s">
        <v>480</v>
      </c>
      <c r="P2" s="294" t="s">
        <v>481</v>
      </c>
      <c r="Q2" s="294" t="s">
        <v>482</v>
      </c>
      <c r="R2" s="286" t="s">
        <v>483</v>
      </c>
      <c r="S2" s="286" t="s">
        <v>484</v>
      </c>
      <c r="T2" s="294" t="s">
        <v>603</v>
      </c>
      <c r="U2" s="294" t="s">
        <v>604</v>
      </c>
      <c r="V2" s="294" t="s">
        <v>605</v>
      </c>
      <c r="W2" s="295" t="s">
        <v>486</v>
      </c>
      <c r="X2" s="286" t="s">
        <v>485</v>
      </c>
      <c r="Y2" s="286" t="s">
        <v>606</v>
      </c>
      <c r="Z2" s="286" t="s">
        <v>487</v>
      </c>
      <c r="AA2" s="294" t="s">
        <v>607</v>
      </c>
      <c r="AC2" s="290" t="s">
        <v>611</v>
      </c>
      <c r="AD2" s="290" t="str">
        <f>IF(IDIOMA="S","May","Shift")&amp;"+"</f>
        <v>May+</v>
      </c>
    </row>
    <row r="3" spans="1:30" ht="15.75" thickBot="1" x14ac:dyDescent="0.3">
      <c r="A3" s="78" t="str">
        <f t="shared" ref="A3:A44" si="1">$A$1&amp;B3&amp;"_"&amp;C3&amp;"_"&amp;$A$2</f>
        <v>Z_IN_00_D</v>
      </c>
      <c r="B3" s="77" t="s">
        <v>25</v>
      </c>
      <c r="C3" s="78" t="s">
        <v>26</v>
      </c>
      <c r="D3" s="255"/>
      <c r="E3" s="214" t="str">
        <f>IFERROR(IF(D3&lt;&gt;"",D3,HLOOKUP($E$2,$F$2:K3,ROW(D3)-1,0)),F3)</f>
        <v>INICIO</v>
      </c>
      <c r="F3" s="214" t="s">
        <v>11</v>
      </c>
      <c r="G3" s="214" t="s">
        <v>27</v>
      </c>
      <c r="H3" s="214" t="s">
        <v>28</v>
      </c>
      <c r="I3" s="214" t="s">
        <v>29</v>
      </c>
      <c r="J3" s="214" t="s">
        <v>27</v>
      </c>
      <c r="K3" s="214" t="s">
        <v>30</v>
      </c>
      <c r="L3" s="76" t="s">
        <v>31</v>
      </c>
      <c r="M3" s="76" t="s">
        <v>31</v>
      </c>
      <c r="N3" s="299">
        <f ca="1">IF(Tabla_Menu[[#This Row],[Nivel]]=O2,0,COUNTIF(Tabla_Menu[Nivel],Tabla_Menu[[#This Row],[Nivel]]))</f>
        <v>1</v>
      </c>
      <c r="O3" s="293" t="str">
        <f ca="1">IFERROR(INDIRECT(Tabla_Menu[[#This Row],[Nivel 1]]&amp;IDIOMA),"")</f>
        <v>MENU EXCEL</v>
      </c>
      <c r="P3" s="293" t="str">
        <f ca="1">IFERROR(INDIRECT(Tabla_Menu[[#This Row],[Nivel 2]]&amp;IDIOMA)&amp;IF(Tabla_Menu[[#This Row],[Nivel]]="",""," "&amp;Tabla_Menu[[#This Row],['[Teclas']]]),"")</f>
        <v xml:space="preserve">MENU EXCEL </v>
      </c>
      <c r="Q3" s="291" t="s">
        <v>652</v>
      </c>
      <c r="R3" s="292">
        <v>263</v>
      </c>
      <c r="S3" s="267" t="s">
        <v>488</v>
      </c>
      <c r="T3" s="270" t="s">
        <v>649</v>
      </c>
      <c r="U3" s="270" t="s">
        <v>649</v>
      </c>
      <c r="V3" s="298" t="s">
        <v>645</v>
      </c>
      <c r="W3" s="271" t="s">
        <v>651</v>
      </c>
      <c r="X3" s="269" t="str">
        <f ca="1">IF(OR(Tabla_Menu[[#This Row],[Nivel]]="",IFERROR(SEARCH(MID(CELL("nombrearchivo"),FIND(".xlsm]",CELL("nombrearchivo"),1)+6,100),Tabla_Menu[[#This Row],[HOJAS NO MUESTRA]],1),0)&gt;0),"N/A","")</f>
        <v>N/A</v>
      </c>
      <c r="Y3" s="291">
        <f ca="1">IF(Tabla_Menu[[#This Row],[N/A]]="",,COUNTIF(Tabla_Menu[Nivel &amp; Incluir],Tabla_Menu[[#This Row],[Nivel &amp; Incluir]]))</f>
        <v>1</v>
      </c>
      <c r="Z3" s="272" t="str">
        <f ca="1">Tabla_Menu[[#This Row],[Nivel]]&amp;Tabla_Menu[[#This Row],[N/A]]</f>
        <v>MENU EXCELN/A</v>
      </c>
      <c r="AA3" s="270"/>
    </row>
    <row r="4" spans="1:30" x14ac:dyDescent="0.25">
      <c r="A4" s="201" t="str">
        <f t="shared" si="1"/>
        <v>Z_IN_01_D</v>
      </c>
      <c r="B4" s="200" t="str">
        <f t="shared" ref="B4:B20" si="2">B3</f>
        <v>IN</v>
      </c>
      <c r="C4" s="201" t="s">
        <v>32</v>
      </c>
      <c r="D4" s="300"/>
      <c r="E4" s="217" t="str">
        <f>IFERROR(IF(D4&lt;&gt;"",D4,HLOOKUP($E$2,$F$2:K4,ROW(D4)-1,0)),F4)</f>
        <v>CANAL YOUTUBE</v>
      </c>
      <c r="F4" s="215" t="s">
        <v>403</v>
      </c>
      <c r="G4" s="215" t="s">
        <v>404</v>
      </c>
      <c r="H4" s="215" t="s">
        <v>405</v>
      </c>
      <c r="I4" s="215" t="s">
        <v>406</v>
      </c>
      <c r="J4" s="215" t="s">
        <v>407</v>
      </c>
      <c r="K4" s="215" t="s">
        <v>408</v>
      </c>
      <c r="L4" s="76"/>
      <c r="M4" s="76"/>
      <c r="N4" s="267">
        <f ca="1">IF(Tabla_Menu[[#This Row],[Nivel]]=O2,0,COUNTIF(Tabla_Menu[Nivel],Tabla_Menu[[#This Row],[Nivel]]))</f>
        <v>4</v>
      </c>
      <c r="O4" s="291" t="str">
        <f ca="1">IFERROR(INDIRECT(Tabla_Menu[[#This Row],[Nivel 1]]&amp;IDIOMA),"")</f>
        <v>MENÚ GENERAL</v>
      </c>
      <c r="P4" s="291" t="str">
        <f ca="1">IFERROR(INDIRECT(Tabla_Menu[[#This Row],[Nivel 2]]&amp;IDIOMA)&amp;IF(Tabla_Menu[[#This Row],[Nivel]]="",""," "&amp;Tabla_Menu[[#This Row],['[Teclas']]]),"")</f>
        <v xml:space="preserve">GUARDAR  </v>
      </c>
      <c r="Q4" s="291" t="s">
        <v>489</v>
      </c>
      <c r="R4" s="292">
        <v>3</v>
      </c>
      <c r="S4" s="267" t="s">
        <v>488</v>
      </c>
      <c r="T4" s="270" t="s">
        <v>491</v>
      </c>
      <c r="U4" s="270" t="s">
        <v>492</v>
      </c>
      <c r="V4" s="270" t="s">
        <v>612</v>
      </c>
      <c r="W4" s="271"/>
      <c r="X4" s="267" t="str">
        <f ca="1">IF(OR(Tabla_Menu[[#This Row],[Nivel]]="",IFERROR(SEARCH(MID(CELL("nombrearchivo"),FIND(".xlsm]",CELL("nombrearchivo"),1)+6,100),Tabla_Menu[[#This Row],[HOJAS NO MUESTRA]],1),0)&gt;0),"N/A","")</f>
        <v/>
      </c>
      <c r="Y4" s="291">
        <f ca="1">IF(Tabla_Menu[[#This Row],[N/A]]="",,COUNTIF(Tabla_Menu[Nivel &amp; Incluir],Tabla_Menu[[#This Row],[Nivel &amp; Incluir]]))</f>
        <v>0</v>
      </c>
      <c r="Z4" s="273" t="str">
        <f ca="1">Tabla_Menu[[#This Row],[Nivel]]&amp;Tabla_Menu[[#This Row],[N/A]]</f>
        <v>MENÚ GENERAL</v>
      </c>
      <c r="AA4" s="270"/>
    </row>
    <row r="5" spans="1:30" x14ac:dyDescent="0.25">
      <c r="A5" s="203" t="str">
        <f t="shared" si="1"/>
        <v>Z_IN_02_D</v>
      </c>
      <c r="B5" s="202" t="str">
        <f t="shared" si="2"/>
        <v>IN</v>
      </c>
      <c r="C5" s="203" t="s">
        <v>33</v>
      </c>
      <c r="D5" s="257"/>
      <c r="E5" s="216" t="str">
        <f>IFERROR(IF(D5&lt;&gt;"",D5,HLOOKUP($E$2,$F$2:K5,ROW(D5)-1,0)),F5)</f>
        <v>NO FUNCIONA CON
VERSIONES DE EXCEL 
ANTERIORES A 2007
NI CON LA ÚLTIMA ACTUALIZACIÓN DE MAC</v>
      </c>
      <c r="F5" s="216" t="s">
        <v>34</v>
      </c>
      <c r="G5" s="216" t="s">
        <v>35</v>
      </c>
      <c r="H5" s="216" t="s">
        <v>36</v>
      </c>
      <c r="I5" s="216" t="s">
        <v>37</v>
      </c>
      <c r="J5" s="216" t="s">
        <v>38</v>
      </c>
      <c r="K5" s="216" t="s">
        <v>39</v>
      </c>
      <c r="L5" s="76" t="s">
        <v>31</v>
      </c>
      <c r="M5" s="76" t="s">
        <v>31</v>
      </c>
      <c r="N5" s="267">
        <f ca="1">IF(Tabla_Menu[[#This Row],[Nivel]]=O4,0,COUNTIF(Tabla_Menu[Nivel],Tabla_Menu[[#This Row],[Nivel]]))</f>
        <v>0</v>
      </c>
      <c r="O5" s="291" t="str">
        <f ca="1">IFERROR(INDIRECT(Tabla_Menu[[#This Row],[Nivel 1]]&amp;IDIOMA),"")</f>
        <v>MENÚ GENERAL</v>
      </c>
      <c r="P5" s="291" t="str">
        <f ca="1">IFERROR(INDIRECT(Tabla_Menu[[#This Row],[Nivel 2]]&amp;IDIOMA)&amp;IF(Tabla_Menu[[#This Row],[Nivel]]="",""," "&amp;Tabla_Menu[[#This Row],['[Teclas']]]),"")</f>
        <v xml:space="preserve">CERRAR </v>
      </c>
      <c r="Q5" s="291" t="s">
        <v>493</v>
      </c>
      <c r="R5" s="292">
        <v>478</v>
      </c>
      <c r="S5" s="267" t="s">
        <v>488</v>
      </c>
      <c r="T5" s="270" t="s">
        <v>491</v>
      </c>
      <c r="U5" s="270" t="s">
        <v>494</v>
      </c>
      <c r="V5" s="270" t="s">
        <v>608</v>
      </c>
      <c r="W5" s="271"/>
      <c r="X5" s="267" t="str">
        <f ca="1">IF(OR(Tabla_Menu[[#This Row],[Nivel]]="",IFERROR(SEARCH(MID(CELL("nombrearchivo"),FIND(".xlsm]",CELL("nombrearchivo"),1)+6,100),Tabla_Menu[[#This Row],[HOJAS NO MUESTRA]],1),0)&gt;0),"N/A","")</f>
        <v/>
      </c>
      <c r="Y5" s="291">
        <f ca="1">IF(Tabla_Menu[[#This Row],[N/A]]="",,COUNTIF(Tabla_Menu[Nivel &amp; Incluir],Tabla_Menu[[#This Row],[Nivel &amp; Incluir]]))</f>
        <v>0</v>
      </c>
      <c r="Z5" s="273" t="str">
        <f ca="1">Tabla_Menu[[#This Row],[Nivel]]&amp;Tabla_Menu[[#This Row],[N/A]]</f>
        <v>MENÚ GENERAL</v>
      </c>
      <c r="AA5" s="270"/>
    </row>
    <row r="6" spans="1:30" x14ac:dyDescent="0.25">
      <c r="A6" s="201" t="str">
        <f t="shared" si="1"/>
        <v>Z_IN_03_D</v>
      </c>
      <c r="B6" s="200" t="str">
        <f t="shared" si="2"/>
        <v>IN</v>
      </c>
      <c r="C6" s="201" t="s">
        <v>40</v>
      </c>
      <c r="D6" s="256"/>
      <c r="E6" s="215" t="str">
        <f>IFERROR(IF(D6&lt;&gt;"",D6,HLOOKUP($E$2,$F$2:K6,ROW(D6)-1,0)),F6)</f>
        <v>LEER CON ATENCIÓN</v>
      </c>
      <c r="F6" s="215" t="s">
        <v>2</v>
      </c>
      <c r="G6" s="215" t="s">
        <v>41</v>
      </c>
      <c r="H6" s="215" t="s">
        <v>42</v>
      </c>
      <c r="I6" s="215" t="s">
        <v>43</v>
      </c>
      <c r="J6" s="215" t="s">
        <v>44</v>
      </c>
      <c r="K6" s="215" t="s">
        <v>45</v>
      </c>
      <c r="L6" s="76" t="s">
        <v>31</v>
      </c>
      <c r="M6" s="76" t="s">
        <v>31</v>
      </c>
      <c r="N6" s="267">
        <f ca="1">IF(Tabla_Menu[[#This Row],[Nivel]]=O5,0,COUNTIF(Tabla_Menu[Nivel],Tabla_Menu[[#This Row],[Nivel]]))</f>
        <v>0</v>
      </c>
      <c r="O6" s="291" t="str">
        <f ca="1">IFERROR(INDIRECT(Tabla_Menu[[#This Row],[Nivel 1]]&amp;IDIOMA),"")</f>
        <v>MENÚ GENERAL</v>
      </c>
      <c r="P6" s="291" t="str">
        <f ca="1">IFERROR(INDIRECT(Tabla_Menu[[#This Row],[Nivel 2]]&amp;IDIOMA)&amp;IF(Tabla_Menu[[#This Row],[Nivel]]="",""," "&amp;Tabla_Menu[[#This Row],['[Teclas']]]),"")</f>
        <v xml:space="preserve">COPIAR </v>
      </c>
      <c r="Q6" s="291" t="s">
        <v>495</v>
      </c>
      <c r="R6" s="292">
        <v>19</v>
      </c>
      <c r="S6" s="267" t="s">
        <v>490</v>
      </c>
      <c r="T6" s="270" t="s">
        <v>491</v>
      </c>
      <c r="U6" s="270" t="s">
        <v>496</v>
      </c>
      <c r="V6" s="270" t="s">
        <v>613</v>
      </c>
      <c r="W6" s="271" t="s">
        <v>11</v>
      </c>
      <c r="X6" s="267" t="str">
        <f ca="1">IF(OR(Tabla_Menu[[#This Row],[Nivel]]="",IFERROR(SEARCH(MID(CELL("nombrearchivo"),FIND(".xlsm]",CELL("nombrearchivo"),1)+6,100),Tabla_Menu[[#This Row],[HOJAS NO MUESTRA]],1),0)&gt;0),"N/A","")</f>
        <v/>
      </c>
      <c r="Y6" s="291">
        <f ca="1">IF(Tabla_Menu[[#This Row],[N/A]]="",,COUNTIF(Tabla_Menu[Nivel &amp; Incluir],Tabla_Menu[[#This Row],[Nivel &amp; Incluir]]))</f>
        <v>0</v>
      </c>
      <c r="Z6" s="273" t="str">
        <f ca="1">Tabla_Menu[[#This Row],[Nivel]]&amp;Tabla_Menu[[#This Row],[N/A]]</f>
        <v>MENÚ GENERAL</v>
      </c>
      <c r="AA6" s="270"/>
    </row>
    <row r="7" spans="1:30" x14ac:dyDescent="0.25">
      <c r="A7" s="203" t="str">
        <f t="shared" si="1"/>
        <v>Z_IN_04_D</v>
      </c>
      <c r="B7" s="202" t="str">
        <f t="shared" si="2"/>
        <v>IN</v>
      </c>
      <c r="C7" s="203" t="s">
        <v>46</v>
      </c>
      <c r="D7" s="257"/>
      <c r="E7" s="216" t="str">
        <f>IFERROR(IF(D7&lt;&gt;"",D7,HLOOKUP($E$2,$F$2:K7,ROW(D7)-1,0)),F7)</f>
        <v>Esta Aplicación ha sido desarrollada, en la primera versión, por:</v>
      </c>
      <c r="F7" s="216" t="s">
        <v>4</v>
      </c>
      <c r="G7" s="216" t="s">
        <v>47</v>
      </c>
      <c r="H7" s="216" t="s">
        <v>48</v>
      </c>
      <c r="I7" s="216" t="s">
        <v>49</v>
      </c>
      <c r="J7" s="216" t="s">
        <v>50</v>
      </c>
      <c r="K7" s="216" t="s">
        <v>51</v>
      </c>
      <c r="L7" s="76" t="s">
        <v>31</v>
      </c>
      <c r="M7" s="76" t="s">
        <v>31</v>
      </c>
      <c r="N7" s="267">
        <f ca="1">IF(Tabla_Menu[[#This Row],[Nivel]]=O6,0,COUNTIF(Tabla_Menu[Nivel],Tabla_Menu[[#This Row],[Nivel]]))</f>
        <v>0</v>
      </c>
      <c r="O7" s="291" t="str">
        <f ca="1">IFERROR(INDIRECT(Tabla_Menu[[#This Row],[Nivel 1]]&amp;IDIOMA),"")</f>
        <v>MENÚ GENERAL</v>
      </c>
      <c r="P7" s="291" t="str">
        <f ca="1">IFERROR(INDIRECT(Tabla_Menu[[#This Row],[Nivel 2]]&amp;IDIOMA)&amp;IF(Tabla_Menu[[#This Row],[Nivel]]="",""," "&amp;Tabla_Menu[[#This Row],['[Teclas']]]),"")</f>
        <v xml:space="preserve">PEGAR </v>
      </c>
      <c r="Q7" s="291" t="s">
        <v>497</v>
      </c>
      <c r="R7" s="292">
        <v>22</v>
      </c>
      <c r="S7" s="267" t="s">
        <v>488</v>
      </c>
      <c r="T7" s="270" t="s">
        <v>491</v>
      </c>
      <c r="U7" s="270" t="s">
        <v>498</v>
      </c>
      <c r="V7" s="270" t="s">
        <v>614</v>
      </c>
      <c r="W7" s="271" t="s">
        <v>11</v>
      </c>
      <c r="X7" s="267" t="str">
        <f ca="1">IF(OR(Tabla_Menu[[#This Row],[Nivel]]="",IFERROR(SEARCH(MID(CELL("nombrearchivo"),FIND(".xlsm]",CELL("nombrearchivo"),1)+6,100),Tabla_Menu[[#This Row],[HOJAS NO MUESTRA]],1),0)&gt;0),"N/A","")</f>
        <v/>
      </c>
      <c r="Y7" s="291">
        <f ca="1">IF(Tabla_Menu[[#This Row],[N/A]]="",,COUNTIF(Tabla_Menu[Nivel &amp; Incluir],Tabla_Menu[[#This Row],[Nivel &amp; Incluir]]))</f>
        <v>0</v>
      </c>
      <c r="Z7" s="273" t="str">
        <f ca="1">Tabla_Menu[[#This Row],[Nivel]]&amp;Tabla_Menu[[#This Row],[N/A]]</f>
        <v>MENÚ GENERAL</v>
      </c>
      <c r="AA7" s="270"/>
    </row>
    <row r="8" spans="1:30" x14ac:dyDescent="0.25">
      <c r="A8" s="201" t="str">
        <f t="shared" si="1"/>
        <v>Z_IN_05_D</v>
      </c>
      <c r="B8" s="200" t="str">
        <f t="shared" si="2"/>
        <v>IN</v>
      </c>
      <c r="C8" s="201" t="s">
        <v>52</v>
      </c>
      <c r="D8" s="256"/>
      <c r="E8" s="215" t="str">
        <f>IFERROR(IF(D8&lt;&gt;"",D8,HLOOKUP($E$2,$F$2:K8,ROW(D8)-1,0)),F8)</f>
        <v>Universidad de Cádiz</v>
      </c>
      <c r="F8" s="215" t="s">
        <v>1</v>
      </c>
      <c r="G8" s="215" t="s">
        <v>53</v>
      </c>
      <c r="H8" s="215" t="s">
        <v>54</v>
      </c>
      <c r="I8" s="215" t="s">
        <v>55</v>
      </c>
      <c r="J8" s="215" t="s">
        <v>56</v>
      </c>
      <c r="K8" s="215" t="s">
        <v>57</v>
      </c>
      <c r="L8" s="76" t="s">
        <v>31</v>
      </c>
      <c r="M8" s="76" t="s">
        <v>31</v>
      </c>
      <c r="N8" s="267">
        <f ca="1">IF(Tabla_Menu[[#This Row],[Nivel]]=O7,0,COUNTIF(Tabla_Menu[Nivel],Tabla_Menu[[#This Row],[Nivel]]))</f>
        <v>10</v>
      </c>
      <c r="O8" s="291" t="str">
        <f ca="1">IFERROR(INDIRECT(Tabla_Menu[[#This Row],[Nivel 1]]&amp;IDIOMA),"")</f>
        <v>IR A…</v>
      </c>
      <c r="P8" s="291" t="str">
        <f ca="1">IFERROR(INDIRECT(Tabla_Menu[[#This Row],[Nivel 2]]&amp;IDIOMA)&amp;IF(Tabla_Menu[[#This Row],[Nivel]]="",""," "&amp;Tabla_Menu[[#This Row],['[Teclas']]]),"")</f>
        <v xml:space="preserve">INICIO </v>
      </c>
      <c r="Q8" s="291" t="s">
        <v>499</v>
      </c>
      <c r="R8" s="292">
        <v>1016</v>
      </c>
      <c r="S8" s="267" t="s">
        <v>488</v>
      </c>
      <c r="T8" s="270" t="s">
        <v>500</v>
      </c>
      <c r="U8" s="270" t="s">
        <v>501</v>
      </c>
      <c r="V8" s="270" t="s">
        <v>609</v>
      </c>
      <c r="W8" s="271" t="s">
        <v>11</v>
      </c>
      <c r="X8" s="267" t="str">
        <f ca="1">IF(OR(Tabla_Menu[[#This Row],[Nivel]]="",IFERROR(SEARCH(MID(CELL("nombrearchivo"),FIND(".xlsm]",CELL("nombrearchivo"),1)+6,100),Tabla_Menu[[#This Row],[HOJAS NO MUESTRA]],1),0)&gt;0),"N/A","")</f>
        <v/>
      </c>
      <c r="Y8" s="291">
        <f ca="1">IF(Tabla_Menu[[#This Row],[N/A]]="",,COUNTIF(Tabla_Menu[Nivel &amp; Incluir],Tabla_Menu[[#This Row],[Nivel &amp; Incluir]]))</f>
        <v>0</v>
      </c>
      <c r="Z8" s="273" t="str">
        <f ca="1">Tabla_Menu[[#This Row],[Nivel]]&amp;Tabla_Menu[[#This Row],[N/A]]</f>
        <v>IR A…</v>
      </c>
      <c r="AA8" s="270"/>
    </row>
    <row r="9" spans="1:30" x14ac:dyDescent="0.25">
      <c r="A9" s="203" t="str">
        <f t="shared" si="1"/>
        <v>Z_IN_06_D</v>
      </c>
      <c r="B9" s="202" t="str">
        <f t="shared" si="2"/>
        <v>IN</v>
      </c>
      <c r="C9" s="203" t="s">
        <v>58</v>
      </c>
      <c r="D9" s="257"/>
      <c r="E9" s="216" t="str">
        <f>IFERROR(IF(D9&lt;&gt;"",D9,HLOOKUP($E$2,$F$2:K9,ROW(D9)-1,0)),F9)</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Bancos de Preguntas almacenados en un mismo sitio y con orden.
3. La aplicación sirve para facilitar la creación de un BANCO DE PREGUNTAS para los cuestionarios, el usuario final deberá repasar que las preguntas se importan bien (al menos las primeras veces) así como si ha rellenado los datos de manera adecuada, como si lo estuviera haciendo en Moodle.
Pulsa sobre el TIPO DE PREGUNTA sobre el que quieres CONSULTAR las preguntas almacenadas.</v>
      </c>
      <c r="F9" s="216" t="s">
        <v>59</v>
      </c>
      <c r="G9" s="216" t="s">
        <v>60</v>
      </c>
      <c r="H9" s="216" t="s">
        <v>61</v>
      </c>
      <c r="I9" s="216" t="s">
        <v>62</v>
      </c>
      <c r="J9" s="216" t="s">
        <v>63</v>
      </c>
      <c r="K9" s="216" t="s">
        <v>64</v>
      </c>
      <c r="L9" s="76" t="s">
        <v>31</v>
      </c>
      <c r="M9" s="76" t="s">
        <v>31</v>
      </c>
      <c r="N9" s="267">
        <f ca="1">IF(Tabla_Menu[[#This Row],[Nivel]]=O8,0,COUNTIF(Tabla_Menu[Nivel],Tabla_Menu[[#This Row],[Nivel]]))</f>
        <v>0</v>
      </c>
      <c r="O9" s="291" t="str">
        <f ca="1">IFERROR(INDIRECT(Tabla_Menu[[#This Row],[Nivel 1]]&amp;IDIOMA),"")</f>
        <v>IR A…</v>
      </c>
      <c r="P9" s="291" t="str">
        <f ca="1">IFERROR(INDIRECT(Tabla_Menu[[#This Row],[Nivel 2]]&amp;IDIOMA)&amp;IF(Tabla_Menu[[#This Row],[Nivel]]="",""," "&amp;Tabla_Menu[[#This Row],['[Teclas']]]),"")</f>
        <v xml:space="preserve">DICCIONARIO </v>
      </c>
      <c r="Q9" s="291" t="s">
        <v>502</v>
      </c>
      <c r="R9" s="292">
        <v>2</v>
      </c>
      <c r="S9" s="267" t="s">
        <v>488</v>
      </c>
      <c r="T9" s="270" t="s">
        <v>500</v>
      </c>
      <c r="U9" s="270" t="s">
        <v>569</v>
      </c>
      <c r="V9" s="270" t="s">
        <v>615</v>
      </c>
      <c r="W9" s="271" t="s">
        <v>391</v>
      </c>
      <c r="X9" s="267" t="str">
        <f ca="1">IF(OR(Tabla_Menu[[#This Row],[Nivel]]="",IFERROR(SEARCH(MID(CELL("nombrearchivo"),FIND(".xlsm]",CELL("nombrearchivo"),1)+6,100),Tabla_Menu[[#This Row],[HOJAS NO MUESTRA]],1),0)&gt;0),"N/A","")</f>
        <v/>
      </c>
      <c r="Y9" s="291">
        <f ca="1">IF(Tabla_Menu[[#This Row],[N/A]]="",,COUNTIF(Tabla_Menu[Nivel &amp; Incluir],Tabla_Menu[[#This Row],[Nivel &amp; Incluir]]))</f>
        <v>0</v>
      </c>
      <c r="Z9" s="273" t="str">
        <f ca="1">Tabla_Menu[[#This Row],[Nivel]]&amp;Tabla_Menu[[#This Row],[N/A]]</f>
        <v>IR A…</v>
      </c>
      <c r="AA9" s="270"/>
    </row>
    <row r="10" spans="1:30" x14ac:dyDescent="0.25">
      <c r="A10" s="201" t="str">
        <f t="shared" si="1"/>
        <v>Z_IN_07_D</v>
      </c>
      <c r="B10" s="200" t="str">
        <f t="shared" si="2"/>
        <v>IN</v>
      </c>
      <c r="C10" s="201" t="s">
        <v>65</v>
      </c>
      <c r="D10" s="256"/>
      <c r="E10" s="215" t="str">
        <f>IFERROR(IF(D10&lt;&gt;"",D10,HLOOKUP($E$2,$F$2:K10,ROW(D10)-1,0)),F10)</f>
        <v>Esta HOJA sirve para almacenar las preguntas y poder reutilizarlas cuando sea necesario, sin tener que volver a escribirlas para un nuevo BANCO DE PREGUNTAS.</v>
      </c>
      <c r="F10" s="215" t="s">
        <v>381</v>
      </c>
      <c r="G10" s="215" t="s">
        <v>382</v>
      </c>
      <c r="H10" s="215" t="s">
        <v>383</v>
      </c>
      <c r="I10" s="215" t="s">
        <v>384</v>
      </c>
      <c r="J10" s="215" t="s">
        <v>385</v>
      </c>
      <c r="K10" s="215" t="s">
        <v>386</v>
      </c>
      <c r="L10" s="76" t="s">
        <v>31</v>
      </c>
      <c r="M10" s="76" t="s">
        <v>31</v>
      </c>
      <c r="N10" s="267">
        <f ca="1">IF(Tabla_Menu[[#This Row],[Nivel]]=O9,0,COUNTIF(Tabla_Menu[Nivel],Tabla_Menu[[#This Row],[Nivel]]))</f>
        <v>0</v>
      </c>
      <c r="O10" s="291" t="str">
        <f ca="1">IFERROR(INDIRECT(Tabla_Menu[[#This Row],[Nivel 1]]&amp;IDIOMA),"")</f>
        <v>IR A…</v>
      </c>
      <c r="P10" s="291" t="str">
        <f ca="1">IFERROR(INDIRECT(Tabla_Menu[[#This Row],[Nivel 2]]&amp;IDIOMA)&amp;IF(Tabla_Menu[[#This Row],[Nivel]]="",""," "&amp;Tabla_Menu[[#This Row],['[Teclas']]]),"")</f>
        <v xml:space="preserve">Opción Múltiple 1R  </v>
      </c>
      <c r="Q10" s="291" t="s">
        <v>570</v>
      </c>
      <c r="R10" s="292">
        <v>5</v>
      </c>
      <c r="S10" s="267" t="s">
        <v>490</v>
      </c>
      <c r="T10" s="270" t="s">
        <v>500</v>
      </c>
      <c r="U10" s="270" t="s">
        <v>563</v>
      </c>
      <c r="V10" s="270" t="s">
        <v>637</v>
      </c>
      <c r="W10" s="271" t="s">
        <v>578</v>
      </c>
      <c r="X10" s="267" t="str">
        <f ca="1">IF(OR(Tabla_Menu[[#This Row],[Nivel]]="",IFERROR(SEARCH(MID(CELL("nombrearchivo"),FIND(".xlsm]",CELL("nombrearchivo"),1)+6,100),Tabla_Menu[[#This Row],[HOJAS NO MUESTRA]],1),0)&gt;0),"N/A","")</f>
        <v/>
      </c>
      <c r="Y10" s="291">
        <f ca="1">IF(Tabla_Menu[[#This Row],[N/A]]="",,COUNTIF(Tabla_Menu[Nivel &amp; Incluir],Tabla_Menu[[#This Row],[Nivel &amp; Incluir]]))</f>
        <v>0</v>
      </c>
      <c r="Z10" s="273" t="str">
        <f ca="1">Tabla_Menu[[#This Row],[Nivel]]&amp;Tabla_Menu[[#This Row],[N/A]]</f>
        <v>IR A…</v>
      </c>
      <c r="AA10" s="270"/>
    </row>
    <row r="11" spans="1:30" x14ac:dyDescent="0.25">
      <c r="A11" s="203" t="str">
        <f t="shared" si="1"/>
        <v>Z_IN_08_D</v>
      </c>
      <c r="B11" s="202" t="str">
        <f t="shared" si="2"/>
        <v>IN</v>
      </c>
      <c r="C11" s="203" t="s">
        <v>66</v>
      </c>
      <c r="D11" s="257"/>
      <c r="E11" s="216" t="str">
        <f>IFERROR(IF(D11&lt;&gt;"",D11,HLOOKUP($E$2,$F$2:K11,ROW(D11)-1,0)),F11)</f>
        <v xml:space="preserve">Opción Múltiple 1R </v>
      </c>
      <c r="F11" s="216" t="s">
        <v>67</v>
      </c>
      <c r="G11" s="216" t="s">
        <v>449</v>
      </c>
      <c r="H11" s="216" t="s">
        <v>68</v>
      </c>
      <c r="I11" s="216" t="s">
        <v>69</v>
      </c>
      <c r="J11" s="216" t="s">
        <v>450</v>
      </c>
      <c r="K11" s="216" t="s">
        <v>449</v>
      </c>
      <c r="L11" s="76" t="s">
        <v>31</v>
      </c>
      <c r="M11" s="76" t="s">
        <v>31</v>
      </c>
      <c r="N11" s="267">
        <f ca="1">IF(Tabla_Menu[[#This Row],[Nivel]]=O10,0,COUNTIF(Tabla_Menu[Nivel],Tabla_Menu[[#This Row],[Nivel]]))</f>
        <v>0</v>
      </c>
      <c r="O11" s="291" t="str">
        <f ca="1">IFERROR(INDIRECT(Tabla_Menu[[#This Row],[Nivel 1]]&amp;IDIOMA),"")</f>
        <v>IR A…</v>
      </c>
      <c r="P11" s="291" t="str">
        <f ca="1">IFERROR(INDIRECT(Tabla_Menu[[#This Row],[Nivel 2]]&amp;IDIOMA)&amp;IF(Tabla_Menu[[#This Row],[Nivel]]="",""," "&amp;Tabla_Menu[[#This Row],['[Teclas']]]),"")</f>
        <v xml:space="preserve">Opción Múltiple +R  </v>
      </c>
      <c r="Q11" s="291" t="s">
        <v>571</v>
      </c>
      <c r="R11" s="292">
        <v>5</v>
      </c>
      <c r="S11" s="267" t="s">
        <v>488</v>
      </c>
      <c r="T11" s="270" t="s">
        <v>500</v>
      </c>
      <c r="U11" s="270" t="s">
        <v>505</v>
      </c>
      <c r="V11" s="270" t="s">
        <v>638</v>
      </c>
      <c r="W11" s="271" t="s">
        <v>579</v>
      </c>
      <c r="X11" s="267" t="str">
        <f ca="1">IF(OR(Tabla_Menu[[#This Row],[Nivel]]="",IFERROR(SEARCH(MID(CELL("nombrearchivo"),FIND(".xlsm]",CELL("nombrearchivo"),1)+6,100),Tabla_Menu[[#This Row],[HOJAS NO MUESTRA]],1),0)&gt;0),"N/A","")</f>
        <v/>
      </c>
      <c r="Y11" s="291">
        <f ca="1">IF(Tabla_Menu[[#This Row],[N/A]]="",,COUNTIF(Tabla_Menu[Nivel &amp; Incluir],Tabla_Menu[[#This Row],[Nivel &amp; Incluir]]))</f>
        <v>0</v>
      </c>
      <c r="Z11" s="273" t="str">
        <f ca="1">Tabla_Menu[[#This Row],[Nivel]]&amp;Tabla_Menu[[#This Row],[N/A]]</f>
        <v>IR A…</v>
      </c>
      <c r="AA11" s="270"/>
    </row>
    <row r="12" spans="1:30" x14ac:dyDescent="0.25">
      <c r="A12" s="201" t="str">
        <f t="shared" si="1"/>
        <v>Z_IN_09_D</v>
      </c>
      <c r="B12" s="200" t="str">
        <f t="shared" si="2"/>
        <v>IN</v>
      </c>
      <c r="C12" s="201" t="s">
        <v>70</v>
      </c>
      <c r="D12" s="256"/>
      <c r="E12" s="215" t="str">
        <f>IFERROR(IF(D12&lt;&gt;"",D12,HLOOKUP($E$2,$F$2:K12,ROW(D12)-1,0)),F12)</f>
        <v xml:space="preserve">Opción Múltiple +R </v>
      </c>
      <c r="F12" s="215" t="s">
        <v>451</v>
      </c>
      <c r="G12" s="215" t="s">
        <v>452</v>
      </c>
      <c r="H12" s="215" t="s">
        <v>453</v>
      </c>
      <c r="I12" s="215" t="s">
        <v>454</v>
      </c>
      <c r="J12" s="215" t="s">
        <v>455</v>
      </c>
      <c r="K12" s="215" t="s">
        <v>456</v>
      </c>
      <c r="L12" s="76" t="s">
        <v>31</v>
      </c>
      <c r="M12" s="76" t="s">
        <v>31</v>
      </c>
      <c r="N12" s="267">
        <f ca="1">IF(Tabla_Menu[[#This Row],[Nivel]]=O11,0,COUNTIF(Tabla_Menu[Nivel],Tabla_Menu[[#This Row],[Nivel]]))</f>
        <v>0</v>
      </c>
      <c r="O12" s="291" t="str">
        <f ca="1">IFERROR(INDIRECT(Tabla_Menu[[#This Row],[Nivel 1]]&amp;IDIOMA),"")</f>
        <v>IR A…</v>
      </c>
      <c r="P12" s="291" t="str">
        <f ca="1">IFERROR(INDIRECT(Tabla_Menu[[#This Row],[Nivel 2]]&amp;IDIOMA)&amp;IF(Tabla_Menu[[#This Row],[Nivel]]="",""," "&amp;Tabla_Menu[[#This Row],['[Teclas']]]),"")</f>
        <v xml:space="preserve">Verdadero/Falso </v>
      </c>
      <c r="Q12" s="291" t="s">
        <v>572</v>
      </c>
      <c r="R12" s="292">
        <v>5</v>
      </c>
      <c r="S12" s="267" t="s">
        <v>488</v>
      </c>
      <c r="T12" s="270" t="s">
        <v>500</v>
      </c>
      <c r="U12" s="270" t="s">
        <v>503</v>
      </c>
      <c r="V12" s="270" t="s">
        <v>639</v>
      </c>
      <c r="W12" s="271" t="s">
        <v>580</v>
      </c>
      <c r="X12" s="267" t="str">
        <f ca="1">IF(OR(Tabla_Menu[[#This Row],[Nivel]]="",IFERROR(SEARCH(MID(CELL("nombrearchivo"),FIND(".xlsm]",CELL("nombrearchivo"),1)+6,100),Tabla_Menu[[#This Row],[HOJAS NO MUESTRA]],1),0)&gt;0),"N/A","")</f>
        <v/>
      </c>
      <c r="Y12" s="291">
        <f ca="1">IF(Tabla_Menu[[#This Row],[N/A]]="",,COUNTIF(Tabla_Menu[Nivel &amp; Incluir],Tabla_Menu[[#This Row],[Nivel &amp; Incluir]]))</f>
        <v>0</v>
      </c>
      <c r="Z12" s="273" t="str">
        <f ca="1">Tabla_Menu[[#This Row],[Nivel]]&amp;Tabla_Menu[[#This Row],[N/A]]</f>
        <v>IR A…</v>
      </c>
      <c r="AA12" s="270"/>
    </row>
    <row r="13" spans="1:30" x14ac:dyDescent="0.25">
      <c r="A13" s="203" t="str">
        <f t="shared" si="1"/>
        <v>Z_IN_10_D</v>
      </c>
      <c r="B13" s="202" t="str">
        <f t="shared" si="2"/>
        <v>IN</v>
      </c>
      <c r="C13" s="203" t="s">
        <v>71</v>
      </c>
      <c r="D13" s="257"/>
      <c r="E13" s="216" t="str">
        <f>IFERROR(IF(D13&lt;&gt;"",D13,HLOOKUP($E$2,$F$2:K13,ROW(D13)-1,0)),F13)</f>
        <v>Verdadero/Falso</v>
      </c>
      <c r="F13" s="216" t="s">
        <v>457</v>
      </c>
      <c r="G13" s="216" t="s">
        <v>458</v>
      </c>
      <c r="H13" s="216" t="s">
        <v>459</v>
      </c>
      <c r="I13" s="216" t="s">
        <v>460</v>
      </c>
      <c r="J13" s="216" t="s">
        <v>461</v>
      </c>
      <c r="K13" s="216" t="s">
        <v>462</v>
      </c>
      <c r="L13" s="76" t="s">
        <v>31</v>
      </c>
      <c r="M13" s="76" t="s">
        <v>31</v>
      </c>
      <c r="N13" s="267">
        <f ca="1">IF(Tabla_Menu[[#This Row],[Nivel]]=O12,0,COUNTIF(Tabla_Menu[Nivel],Tabla_Menu[[#This Row],[Nivel]]))</f>
        <v>0</v>
      </c>
      <c r="O13" s="293" t="str">
        <f ca="1">IFERROR(INDIRECT(Tabla_Menu[[#This Row],[Nivel 1]]&amp;IDIOMA),"")</f>
        <v>IR A…</v>
      </c>
      <c r="P13" s="293" t="str">
        <f ca="1">IFERROR(INDIRECT(Tabla_Menu[[#This Row],[Nivel 2]]&amp;IDIOMA)&amp;IF(Tabla_Menu[[#This Row],[Nivel]]="",""," "&amp;Tabla_Menu[[#This Row],['[Teclas']]]),"")</f>
        <v xml:space="preserve">Emparejar </v>
      </c>
      <c r="Q13" s="291" t="s">
        <v>587</v>
      </c>
      <c r="R13" s="292">
        <v>5</v>
      </c>
      <c r="S13" s="267" t="s">
        <v>488</v>
      </c>
      <c r="T13" s="270" t="s">
        <v>500</v>
      </c>
      <c r="U13" s="270" t="s">
        <v>564</v>
      </c>
      <c r="V13" s="270" t="s">
        <v>640</v>
      </c>
      <c r="W13" s="271" t="s">
        <v>581</v>
      </c>
      <c r="X13" s="267" t="str">
        <f ca="1">IF(OR(Tabla_Menu[[#This Row],[Nivel]]="",IFERROR(SEARCH(MID(CELL("nombrearchivo"),FIND(".xlsm]",CELL("nombrearchivo"),1)+6,100),Tabla_Menu[[#This Row],[HOJAS NO MUESTRA]],1),0)&gt;0),"N/A","")</f>
        <v/>
      </c>
      <c r="Y13" s="291">
        <f ca="1">IF(Tabla_Menu[[#This Row],[N/A]]="",,COUNTIF(Tabla_Menu[Nivel &amp; Incluir],Tabla_Menu[[#This Row],[Nivel &amp; Incluir]]))</f>
        <v>0</v>
      </c>
      <c r="Z13" s="272" t="str">
        <f ca="1">Tabla_Menu[[#This Row],[Nivel]]&amp;Tabla_Menu[[#This Row],[N/A]]</f>
        <v>IR A…</v>
      </c>
      <c r="AA13" s="270"/>
    </row>
    <row r="14" spans="1:30" x14ac:dyDescent="0.25">
      <c r="A14" s="201" t="str">
        <f t="shared" si="1"/>
        <v>Z_IN_11_D</v>
      </c>
      <c r="B14" s="200" t="str">
        <f t="shared" si="2"/>
        <v>IN</v>
      </c>
      <c r="C14" s="201" t="s">
        <v>72</v>
      </c>
      <c r="D14" s="256"/>
      <c r="E14" s="215" t="str">
        <f>IFERROR(IF(D14&lt;&gt;"",D14,HLOOKUP($E$2,$F$2:K14,ROW(D14)-1,0)),F14)</f>
        <v>Emparejar</v>
      </c>
      <c r="F14" s="215" t="s">
        <v>7</v>
      </c>
      <c r="G14" s="215" t="s">
        <v>463</v>
      </c>
      <c r="H14" s="215" t="s">
        <v>464</v>
      </c>
      <c r="I14" s="215" t="s">
        <v>73</v>
      </c>
      <c r="J14" s="215" t="s">
        <v>465</v>
      </c>
      <c r="K14" s="215" t="s">
        <v>466</v>
      </c>
      <c r="L14" s="76" t="s">
        <v>31</v>
      </c>
      <c r="M14" s="76" t="s">
        <v>31</v>
      </c>
      <c r="N14" s="267">
        <f ca="1">IF(Tabla_Menu[[#This Row],[Nivel]]=O13,0,COUNTIF(Tabla_Menu[Nivel],Tabla_Menu[[#This Row],[Nivel]]))</f>
        <v>0</v>
      </c>
      <c r="O14" s="293" t="str">
        <f ca="1">IFERROR(INDIRECT(Tabla_Menu[[#This Row],[Nivel 1]]&amp;IDIOMA),"")</f>
        <v>IR A…</v>
      </c>
      <c r="P14" s="293" t="str">
        <f ca="1">IFERROR(INDIRECT(Tabla_Menu[[#This Row],[Nivel 2]]&amp;IDIOMA)&amp;IF(Tabla_Menu[[#This Row],[Nivel]]="",""," "&amp;Tabla_Menu[[#This Row],['[Teclas']]]),"")</f>
        <v xml:space="preserve">Respuesta Corta </v>
      </c>
      <c r="Q14" s="291" t="s">
        <v>573</v>
      </c>
      <c r="R14" s="292">
        <v>5</v>
      </c>
      <c r="S14" s="267" t="s">
        <v>488</v>
      </c>
      <c r="T14" s="270" t="s">
        <v>500</v>
      </c>
      <c r="U14" s="270" t="s">
        <v>565</v>
      </c>
      <c r="V14" s="270" t="s">
        <v>641</v>
      </c>
      <c r="W14" s="271" t="s">
        <v>582</v>
      </c>
      <c r="X14" s="267" t="str">
        <f ca="1">IF(OR(Tabla_Menu[[#This Row],[Nivel]]="",IFERROR(SEARCH(MID(CELL("nombrearchivo"),FIND(".xlsm]",CELL("nombrearchivo"),1)+6,100),Tabla_Menu[[#This Row],[HOJAS NO MUESTRA]],1),0)&gt;0),"N/A","")</f>
        <v/>
      </c>
      <c r="Y14" s="291">
        <f ca="1">IF(Tabla_Menu[[#This Row],[N/A]]="",,COUNTIF(Tabla_Menu[Nivel &amp; Incluir],Tabla_Menu[[#This Row],[Nivel &amp; Incluir]]))</f>
        <v>0</v>
      </c>
      <c r="Z14" s="272" t="str">
        <f ca="1">Tabla_Menu[[#This Row],[Nivel]]&amp;Tabla_Menu[[#This Row],[N/A]]</f>
        <v>IR A…</v>
      </c>
      <c r="AA14" s="270"/>
    </row>
    <row r="15" spans="1:30" x14ac:dyDescent="0.25">
      <c r="A15" s="203" t="str">
        <f t="shared" si="1"/>
        <v>Z_IN_12_D</v>
      </c>
      <c r="B15" s="202" t="str">
        <f t="shared" si="2"/>
        <v>IN</v>
      </c>
      <c r="C15" s="203" t="s">
        <v>74</v>
      </c>
      <c r="D15" s="257"/>
      <c r="E15" s="216" t="str">
        <f>IFERROR(IF(D15&lt;&gt;"",D15,HLOOKUP($E$2,$F$2:K15,ROW(D15)-1,0)),F15)</f>
        <v>Respuesta Corta</v>
      </c>
      <c r="F15" s="216" t="s">
        <v>8</v>
      </c>
      <c r="G15" s="216" t="s">
        <v>75</v>
      </c>
      <c r="H15" s="216" t="s">
        <v>265</v>
      </c>
      <c r="I15" s="216" t="s">
        <v>266</v>
      </c>
      <c r="J15" s="216" t="s">
        <v>267</v>
      </c>
      <c r="K15" s="216" t="s">
        <v>467</v>
      </c>
      <c r="L15" s="76" t="s">
        <v>31</v>
      </c>
      <c r="M15" s="76" t="s">
        <v>31</v>
      </c>
      <c r="N15" s="267">
        <f ca="1">IF(Tabla_Menu[[#This Row],[Nivel]]=O14,0,COUNTIF(Tabla_Menu[Nivel],Tabla_Menu[[#This Row],[Nivel]]))</f>
        <v>0</v>
      </c>
      <c r="O15" s="293" t="str">
        <f ca="1">IFERROR(INDIRECT(Tabla_Menu[[#This Row],[Nivel 1]]&amp;IDIOMA),"")</f>
        <v>IR A…</v>
      </c>
      <c r="P15" s="293" t="str">
        <f ca="1">IFERROR(INDIRECT(Tabla_Menu[[#This Row],[Nivel 2]]&amp;IDIOMA)&amp;IF(Tabla_Menu[[#This Row],[Nivel]]="",""," "&amp;Tabla_Menu[[#This Row],['[Teclas']]]),"")</f>
        <v xml:space="preserve">Palabra Perdida </v>
      </c>
      <c r="Q15" s="291" t="s">
        <v>574</v>
      </c>
      <c r="R15" s="292">
        <v>5</v>
      </c>
      <c r="S15" s="267" t="s">
        <v>488</v>
      </c>
      <c r="T15" s="270" t="s">
        <v>500</v>
      </c>
      <c r="U15" s="270" t="s">
        <v>566</v>
      </c>
      <c r="V15" s="270" t="s">
        <v>642</v>
      </c>
      <c r="W15" s="271" t="s">
        <v>583</v>
      </c>
      <c r="X15" s="267" t="str">
        <f ca="1">IF(OR(Tabla_Menu[[#This Row],[Nivel]]="",IFERROR(SEARCH(MID(CELL("nombrearchivo"),FIND(".xlsm]",CELL("nombrearchivo"),1)+6,100),Tabla_Menu[[#This Row],[HOJAS NO MUESTRA]],1),0)&gt;0),"N/A","")</f>
        <v/>
      </c>
      <c r="Y15" s="291">
        <f ca="1">IF(Tabla_Menu[[#This Row],[N/A]]="",,COUNTIF(Tabla_Menu[Nivel &amp; Incluir],Tabla_Menu[[#This Row],[Nivel &amp; Incluir]]))</f>
        <v>0</v>
      </c>
      <c r="Z15" s="272" t="str">
        <f ca="1">Tabla_Menu[[#This Row],[Nivel]]&amp;Tabla_Menu[[#This Row],[N/A]]</f>
        <v>IR A…</v>
      </c>
      <c r="AA15" s="270"/>
    </row>
    <row r="16" spans="1:30" x14ac:dyDescent="0.25">
      <c r="A16" s="201" t="str">
        <f t="shared" si="1"/>
        <v>Z_IN_13_D</v>
      </c>
      <c r="B16" s="200" t="str">
        <f t="shared" si="2"/>
        <v>IN</v>
      </c>
      <c r="C16" s="201" t="s">
        <v>76</v>
      </c>
      <c r="D16" s="256"/>
      <c r="E16" s="215" t="str">
        <f>IFERROR(IF(D16&lt;&gt;"",D16,HLOOKUP($E$2,$F$2:K16,ROW(D16)-1,0)),F16)</f>
        <v>Palabra Perdida</v>
      </c>
      <c r="F16" s="215" t="s">
        <v>9</v>
      </c>
      <c r="G16" s="215" t="s">
        <v>77</v>
      </c>
      <c r="H16" s="215" t="s">
        <v>468</v>
      </c>
      <c r="I16" s="215" t="s">
        <v>268</v>
      </c>
      <c r="J16" s="215" t="s">
        <v>469</v>
      </c>
      <c r="K16" s="215" t="s">
        <v>470</v>
      </c>
      <c r="L16" s="76" t="s">
        <v>31</v>
      </c>
      <c r="M16" s="76" t="s">
        <v>31</v>
      </c>
      <c r="N16" s="267">
        <f ca="1">IF(Tabla_Menu[[#This Row],[Nivel]]=O15,0,COUNTIF(Tabla_Menu[Nivel],Tabla_Menu[[#This Row],[Nivel]]))</f>
        <v>0</v>
      </c>
      <c r="O16" s="293" t="str">
        <f ca="1">IFERROR(INDIRECT(Tabla_Menu[[#This Row],[Nivel 1]]&amp;IDIOMA),"")</f>
        <v>IR A…</v>
      </c>
      <c r="P16" s="293" t="str">
        <f ca="1">IFERROR(INDIRECT(Tabla_Menu[[#This Row],[Nivel 2]]&amp;IDIOMA)&amp;IF(Tabla_Menu[[#This Row],[Nivel]]="",""," "&amp;Tabla_Menu[[#This Row],['[Teclas']]]),"")</f>
        <v xml:space="preserve">Ensayo </v>
      </c>
      <c r="Q16" s="291" t="s">
        <v>575</v>
      </c>
      <c r="R16" s="292">
        <v>5</v>
      </c>
      <c r="S16" s="267" t="s">
        <v>488</v>
      </c>
      <c r="T16" s="270" t="s">
        <v>500</v>
      </c>
      <c r="U16" s="270" t="s">
        <v>568</v>
      </c>
      <c r="V16" s="270" t="s">
        <v>643</v>
      </c>
      <c r="W16" s="271" t="s">
        <v>584</v>
      </c>
      <c r="X16" s="267" t="str">
        <f ca="1">IF(OR(Tabla_Menu[[#This Row],[Nivel]]="",IFERROR(SEARCH(MID(CELL("nombrearchivo"),FIND(".xlsm]",CELL("nombrearchivo"),1)+6,100),Tabla_Menu[[#This Row],[HOJAS NO MUESTRA]],1),0)&gt;0),"N/A","")</f>
        <v/>
      </c>
      <c r="Y16" s="291">
        <f ca="1">IF(Tabla_Menu[[#This Row],[N/A]]="",,COUNTIF(Tabla_Menu[Nivel &amp; Incluir],Tabla_Menu[[#This Row],[Nivel &amp; Incluir]]))</f>
        <v>0</v>
      </c>
      <c r="Z16" s="272" t="str">
        <f ca="1">Tabla_Menu[[#This Row],[Nivel]]&amp;Tabla_Menu[[#This Row],[N/A]]</f>
        <v>IR A…</v>
      </c>
      <c r="AA16" s="270"/>
    </row>
    <row r="17" spans="1:27" x14ac:dyDescent="0.25">
      <c r="A17" s="203" t="str">
        <f t="shared" si="1"/>
        <v>Z_IN_14_D</v>
      </c>
      <c r="B17" s="202" t="str">
        <f t="shared" si="2"/>
        <v>IN</v>
      </c>
      <c r="C17" s="203" t="s">
        <v>78</v>
      </c>
      <c r="D17" s="257"/>
      <c r="E17" s="216" t="str">
        <f>IFERROR(IF(D17&lt;&gt;"",D17,HLOOKUP($E$2,$F$2:K17,ROW(D17)-1,0)),F17)</f>
        <v>Cloze</v>
      </c>
      <c r="F17" s="216" t="s">
        <v>79</v>
      </c>
      <c r="G17" s="216" t="s">
        <v>79</v>
      </c>
      <c r="H17" s="216" t="s">
        <v>79</v>
      </c>
      <c r="I17" s="216" t="s">
        <v>79</v>
      </c>
      <c r="J17" s="216" t="s">
        <v>79</v>
      </c>
      <c r="K17" s="216" t="s">
        <v>80</v>
      </c>
      <c r="L17" s="76" t="s">
        <v>31</v>
      </c>
      <c r="M17" s="76" t="s">
        <v>31</v>
      </c>
      <c r="N17" s="267">
        <f ca="1">IF(Tabla_Menu[[#This Row],[Nivel]]=O16,0,COUNTIF(Tabla_Menu[Nivel],Tabla_Menu[[#This Row],[Nivel]]))</f>
        <v>0</v>
      </c>
      <c r="O17" s="293" t="str">
        <f ca="1">IFERROR(INDIRECT(Tabla_Menu[[#This Row],[Nivel 1]]&amp;IDIOMA),"")</f>
        <v>IR A…</v>
      </c>
      <c r="P17" s="293" t="str">
        <f ca="1">IFERROR(INDIRECT(Tabla_Menu[[#This Row],[Nivel 2]]&amp;IDIOMA)&amp;IF(Tabla_Menu[[#This Row],[Nivel]]="",""," "&amp;Tabla_Menu[[#This Row],['[Teclas']]]),"")</f>
        <v xml:space="preserve">Cloze </v>
      </c>
      <c r="Q17" s="291" t="s">
        <v>576</v>
      </c>
      <c r="R17" s="292">
        <v>5</v>
      </c>
      <c r="S17" s="267" t="s">
        <v>488</v>
      </c>
      <c r="T17" s="270" t="s">
        <v>500</v>
      </c>
      <c r="U17" s="270" t="s">
        <v>567</v>
      </c>
      <c r="V17" s="270" t="s">
        <v>644</v>
      </c>
      <c r="W17" s="271" t="s">
        <v>585</v>
      </c>
      <c r="X17" s="267" t="str">
        <f ca="1">IF(OR(Tabla_Menu[[#This Row],[Nivel]]="",IFERROR(SEARCH(MID(CELL("nombrearchivo"),FIND(".xlsm]",CELL("nombrearchivo"),1)+6,100),Tabla_Menu[[#This Row],[HOJAS NO MUESTRA]],1),0)&gt;0),"N/A","")</f>
        <v>N/A</v>
      </c>
      <c r="Y17" s="291">
        <f ca="1">IF(Tabla_Menu[[#This Row],[N/A]]="",,COUNTIF(Tabla_Menu[Nivel &amp; Incluir],Tabla_Menu[[#This Row],[Nivel &amp; Incluir]]))</f>
        <v>1</v>
      </c>
      <c r="Z17" s="272" t="str">
        <f ca="1">Tabla_Menu[[#This Row],[Nivel]]&amp;Tabla_Menu[[#This Row],[N/A]]</f>
        <v>IR A…N/A</v>
      </c>
      <c r="AA17" s="270"/>
    </row>
    <row r="18" spans="1:27" x14ac:dyDescent="0.25">
      <c r="A18" s="201" t="str">
        <f t="shared" si="1"/>
        <v>Z_IN_15_D</v>
      </c>
      <c r="B18" s="200" t="str">
        <f t="shared" si="2"/>
        <v>IN</v>
      </c>
      <c r="C18" s="201" t="s">
        <v>81</v>
      </c>
      <c r="D18" s="256"/>
      <c r="E18" s="215" t="str">
        <f>IFERROR(IF(D18&lt;&gt;"",D18,HLOOKUP($E$2,$F$2:K18,ROW(D18)-1,0)),F18)</f>
        <v>Preguntas</v>
      </c>
      <c r="F18" s="215" t="s">
        <v>6</v>
      </c>
      <c r="G18" s="215" t="s">
        <v>82</v>
      </c>
      <c r="H18" s="215" t="s">
        <v>82</v>
      </c>
      <c r="I18" s="215" t="s">
        <v>83</v>
      </c>
      <c r="J18" s="215" t="s">
        <v>84</v>
      </c>
      <c r="K18" s="215" t="s">
        <v>85</v>
      </c>
      <c r="L18" s="76" t="s">
        <v>31</v>
      </c>
      <c r="M18" s="76" t="s">
        <v>31</v>
      </c>
      <c r="N18" s="267">
        <f ca="1">IF(Tabla_Menu[[#This Row],[Nivel]]=O17,0,COUNTIF(Tabla_Menu[Nivel],Tabla_Menu[[#This Row],[Nivel]]))</f>
        <v>1</v>
      </c>
      <c r="O18" s="293" t="str">
        <f ca="1">IFERROR(INDIRECT(Tabla_Menu[[#This Row],[Nivel 1]]&amp;IDIOMA),"")</f>
        <v>LINK DICCIONARIO</v>
      </c>
      <c r="P18" s="293" t="str">
        <f ca="1">IFERROR(INDIRECT(Tabla_Menu[[#This Row],[Nivel 2]]&amp;IDIOMA)&amp;IF(Tabla_Menu[[#This Row],[Nivel]]="",""," "&amp;Tabla_Menu[[#This Row],['[Teclas']]]),"")</f>
        <v xml:space="preserve">LINK DICCIONARIO </v>
      </c>
      <c r="Q18" s="291" t="s">
        <v>577</v>
      </c>
      <c r="R18" s="292">
        <v>91</v>
      </c>
      <c r="S18" s="267" t="s">
        <v>490</v>
      </c>
      <c r="T18" s="270" t="s">
        <v>504</v>
      </c>
      <c r="U18" s="270" t="s">
        <v>504</v>
      </c>
      <c r="V18" s="270" t="s">
        <v>616</v>
      </c>
      <c r="W18" s="271" t="s">
        <v>586</v>
      </c>
      <c r="X18" s="269" t="str">
        <f ca="1">IF(OR(Tabla_Menu[[#This Row],[Nivel]]="",IFERROR(SEARCH(MID(CELL("nombrearchivo"),FIND(".xlsm]",CELL("nombrearchivo"),1)+6,100),Tabla_Menu[[#This Row],[HOJAS NO MUESTRA]],1),0)&gt;0),"N/A","")</f>
        <v>N/A</v>
      </c>
      <c r="Y18" s="291">
        <f ca="1">IF(Tabla_Menu[[#This Row],[N/A]]="",,COUNTIF(Tabla_Menu[Nivel &amp; Incluir],Tabla_Menu[[#This Row],[Nivel &amp; Incluir]]))</f>
        <v>1</v>
      </c>
      <c r="Z18" s="272" t="str">
        <f ca="1">Tabla_Menu[[#This Row],[Nivel]]&amp;Tabla_Menu[[#This Row],[N/A]]</f>
        <v>LINK DICCIONARION/A</v>
      </c>
      <c r="AA18" s="270"/>
    </row>
    <row r="19" spans="1:27" x14ac:dyDescent="0.25">
      <c r="A19" s="203" t="str">
        <f t="shared" ref="A19:A20" si="3">$A$1&amp;B19&amp;"_"&amp;C19&amp;"_"&amp;$A$2</f>
        <v>Z_IN_16_D</v>
      </c>
      <c r="B19" s="202" t="str">
        <f t="shared" si="2"/>
        <v>IN</v>
      </c>
      <c r="C19" s="203" t="s">
        <v>159</v>
      </c>
      <c r="D19" s="257"/>
      <c r="E19" s="216" t="str">
        <f>IFERROR(IF(D19&lt;&gt;"",D19,HLOOKUP($E$2,$F$2:K19,ROW(D19)-1,0)),F19)</f>
        <v>Ensayo</v>
      </c>
      <c r="F19" s="216" t="s">
        <v>206</v>
      </c>
      <c r="G19" s="216" t="s">
        <v>207</v>
      </c>
      <c r="H19" s="216" t="s">
        <v>208</v>
      </c>
      <c r="I19" s="216" t="s">
        <v>209</v>
      </c>
      <c r="J19" s="216" t="s">
        <v>210</v>
      </c>
      <c r="K19" s="216" t="s">
        <v>471</v>
      </c>
      <c r="L19" s="76" t="s">
        <v>31</v>
      </c>
      <c r="M19" s="76" t="s">
        <v>31</v>
      </c>
      <c r="N19" s="267">
        <f ca="1">IF(Tabla_Menu[[#This Row],[Nivel]]=O18,0,COUNTIF(Tabla_Menu[Nivel],Tabla_Menu[[#This Row],[Nivel]]))</f>
        <v>11</v>
      </c>
      <c r="O19" s="293" t="str">
        <f ca="1">IFERROR(INDIRECT(Tabla_Menu[[#This Row],[Nivel 1]]&amp;IDIOMA),"")</f>
        <v/>
      </c>
      <c r="P19" s="293" t="str">
        <f ca="1">IFERROR(INDIRECT(Tabla_Menu[[#This Row],[Nivel 2]]&amp;IDIOMA)&amp;IF(Tabla_Menu[[#This Row],[Nivel]]="",""," "&amp;Tabla_Menu[[#This Row],['[Teclas']]]),"")</f>
        <v/>
      </c>
      <c r="Q19" s="291"/>
      <c r="R19" s="292"/>
      <c r="S19" s="267"/>
      <c r="T19" s="270"/>
      <c r="U19" s="285" t="s">
        <v>617</v>
      </c>
      <c r="V19" s="284" t="s">
        <v>618</v>
      </c>
      <c r="W19" s="271"/>
      <c r="X19" s="269" t="str">
        <f ca="1">IF(OR(Tabla_Menu[[#This Row],[Nivel]]="",IFERROR(SEARCH(MID(CELL("nombrearchivo"),FIND(".xlsm]",CELL("nombrearchivo"),1)+6,100),Tabla_Menu[[#This Row],[HOJAS NO MUESTRA]],1),0)&gt;0),"N/A","")</f>
        <v>N/A</v>
      </c>
      <c r="Y19" s="291">
        <f ca="1">IF(Tabla_Menu[[#This Row],[N/A]]="",,COUNTIF(Tabla_Menu[Nivel &amp; Incluir],Tabla_Menu[[#This Row],[Nivel &amp; Incluir]]))</f>
        <v>11</v>
      </c>
      <c r="Z19" s="272" t="str">
        <f ca="1">Tabla_Menu[[#This Row],[Nivel]]&amp;Tabla_Menu[[#This Row],[N/A]]</f>
        <v>N/A</v>
      </c>
      <c r="AA19" s="270"/>
    </row>
    <row r="20" spans="1:27" x14ac:dyDescent="0.25">
      <c r="A20" s="201" t="str">
        <f t="shared" si="3"/>
        <v>Z_IN_17_D</v>
      </c>
      <c r="B20" s="200" t="str">
        <f t="shared" si="2"/>
        <v>IN</v>
      </c>
      <c r="C20" s="201">
        <v>17</v>
      </c>
      <c r="D20" s="256"/>
      <c r="E20" s="215" t="str">
        <f>IFERROR(IF(D20&lt;&gt;"",D20,HLOOKUP($E$2,$F$2:K20,ROW(D20)-1,0)),F20)</f>
        <v>PERSONALIZAR DICCIONARIO</v>
      </c>
      <c r="F20" s="215" t="s">
        <v>393</v>
      </c>
      <c r="G20" s="215" t="s">
        <v>394</v>
      </c>
      <c r="H20" s="215" t="s">
        <v>395</v>
      </c>
      <c r="I20" s="215" t="s">
        <v>396</v>
      </c>
      <c r="J20" s="215" t="s">
        <v>397</v>
      </c>
      <c r="K20" s="215" t="s">
        <v>398</v>
      </c>
      <c r="L20" s="76"/>
      <c r="M20" s="76"/>
      <c r="N20" s="267">
        <f ca="1">IF(Tabla_Menu[[#This Row],[Nivel]]=O19,0,COUNTIF(Tabla_Menu[Nivel],Tabla_Menu[[#This Row],[Nivel]]))</f>
        <v>0</v>
      </c>
      <c r="O20" s="293" t="str">
        <f ca="1">IFERROR(INDIRECT(Tabla_Menu[[#This Row],[Nivel 1]]&amp;IDIOMA),"")</f>
        <v/>
      </c>
      <c r="P20" s="293" t="str">
        <f ca="1">IFERROR(INDIRECT(Tabla_Menu[[#This Row],[Nivel 2]]&amp;IDIOMA)&amp;IF(Tabla_Menu[[#This Row],[Nivel]]="",""," "&amp;Tabla_Menu[[#This Row],['[Teclas']]]),"")</f>
        <v/>
      </c>
      <c r="Q20" s="291"/>
      <c r="R20" s="292"/>
      <c r="S20" s="267"/>
      <c r="T20" s="270"/>
      <c r="U20" s="273" t="s">
        <v>619</v>
      </c>
      <c r="V20" s="267" t="s">
        <v>620</v>
      </c>
      <c r="W20" s="271"/>
      <c r="X20" s="269" t="str">
        <f ca="1">IF(OR(Tabla_Menu[[#This Row],[Nivel]]="",IFERROR(SEARCH(MID(CELL("nombrearchivo"),FIND(".xlsm]",CELL("nombrearchivo"),1)+6,100),Tabla_Menu[[#This Row],[HOJAS NO MUESTRA]],1),0)&gt;0),"N/A","")</f>
        <v>N/A</v>
      </c>
      <c r="Y20" s="291">
        <f ca="1">IF(Tabla_Menu[[#This Row],[N/A]]="",,COUNTIF(Tabla_Menu[Nivel &amp; Incluir],Tabla_Menu[[#This Row],[Nivel &amp; Incluir]]))</f>
        <v>11</v>
      </c>
      <c r="Z20" s="272" t="str">
        <f ca="1">Tabla_Menu[[#This Row],[Nivel]]&amp;Tabla_Menu[[#This Row],[N/A]]</f>
        <v>N/A</v>
      </c>
      <c r="AA20" s="270"/>
    </row>
    <row r="21" spans="1:27" x14ac:dyDescent="0.25">
      <c r="A21" s="78" t="str">
        <f t="shared" si="1"/>
        <v>Z_BP_00_D</v>
      </c>
      <c r="B21" s="77" t="s">
        <v>86</v>
      </c>
      <c r="C21" s="78" t="s">
        <v>26</v>
      </c>
      <c r="D21" s="255"/>
      <c r="E21" s="214" t="str">
        <f>IFERROR(IF(D21&lt;&gt;"",D21,HLOOKUP($E$2,$F$2:K21,ROW(D21)-1,0)),F21)</f>
        <v>Banco de preguntas</v>
      </c>
      <c r="F21" s="214" t="s">
        <v>87</v>
      </c>
      <c r="G21" s="214" t="s">
        <v>88</v>
      </c>
      <c r="H21" s="214" t="s">
        <v>89</v>
      </c>
      <c r="I21" s="214" t="s">
        <v>90</v>
      </c>
      <c r="J21" s="214" t="s">
        <v>91</v>
      </c>
      <c r="K21" s="214" t="s">
        <v>92</v>
      </c>
      <c r="L21" s="76" t="s">
        <v>31</v>
      </c>
      <c r="M21" s="76" t="s">
        <v>31</v>
      </c>
      <c r="N21" s="267">
        <f ca="1">IF(Tabla_Menu[[#This Row],[Nivel]]=O20,0,COUNTIF(Tabla_Menu[Nivel],Tabla_Menu[[#This Row],[Nivel]]))</f>
        <v>0</v>
      </c>
      <c r="O21" s="293" t="str">
        <f ca="1">IFERROR(INDIRECT(Tabla_Menu[[#This Row],[Nivel 1]]&amp;IDIOMA),"")</f>
        <v/>
      </c>
      <c r="P21" s="293" t="str">
        <f ca="1">IFERROR(INDIRECT(Tabla_Menu[[#This Row],[Nivel 2]]&amp;IDIOMA)&amp;IF(Tabla_Menu[[#This Row],[Nivel]]="",""," "&amp;Tabla_Menu[[#This Row],['[Teclas']]]),"")</f>
        <v/>
      </c>
      <c r="Q21" s="291"/>
      <c r="R21" s="292"/>
      <c r="S21" s="267"/>
      <c r="T21" s="270"/>
      <c r="U21" s="285" t="s">
        <v>621</v>
      </c>
      <c r="V21" s="284" t="s">
        <v>622</v>
      </c>
      <c r="W21" s="271"/>
      <c r="X21" s="269" t="str">
        <f ca="1">IF(OR(Tabla_Menu[[#This Row],[Nivel]]="",IFERROR(SEARCH(MID(CELL("nombrearchivo"),FIND(".xlsm]",CELL("nombrearchivo"),1)+6,100),Tabla_Menu[[#This Row],[HOJAS NO MUESTRA]],1),0)&gt;0),"N/A","")</f>
        <v>N/A</v>
      </c>
      <c r="Y21" s="291">
        <f ca="1">IF(Tabla_Menu[[#This Row],[N/A]]="",,COUNTIF(Tabla_Menu[Nivel &amp; Incluir],Tabla_Menu[[#This Row],[Nivel &amp; Incluir]]))</f>
        <v>11</v>
      </c>
      <c r="Z21" s="272" t="str">
        <f ca="1">Tabla_Menu[[#This Row],[Nivel]]&amp;Tabla_Menu[[#This Row],[N/A]]</f>
        <v>N/A</v>
      </c>
      <c r="AA21" s="270"/>
    </row>
    <row r="22" spans="1:27" x14ac:dyDescent="0.25">
      <c r="A22" s="201" t="str">
        <f t="shared" si="1"/>
        <v>Z_BP_01_D</v>
      </c>
      <c r="B22" s="200" t="str">
        <f t="shared" ref="B22:B53" si="4">B21</f>
        <v>BP</v>
      </c>
      <c r="C22" s="201" t="s">
        <v>32</v>
      </c>
      <c r="D22" s="256"/>
      <c r="E22" s="215" t="str">
        <f>IFERROR(IF(D22&lt;&gt;"",D22,HLOOKUP($E$2,$F$2:K22,ROW(D22)-1,0)),F22)</f>
        <v>Preguntas Almacenadas</v>
      </c>
      <c r="F22" s="215" t="s">
        <v>93</v>
      </c>
      <c r="G22" s="215" t="s">
        <v>94</v>
      </c>
      <c r="H22" s="215" t="s">
        <v>95</v>
      </c>
      <c r="I22" s="215" t="s">
        <v>96</v>
      </c>
      <c r="J22" s="215" t="s">
        <v>97</v>
      </c>
      <c r="K22" s="215" t="s">
        <v>98</v>
      </c>
      <c r="L22" s="76" t="s">
        <v>31</v>
      </c>
      <c r="M22" s="76" t="s">
        <v>31</v>
      </c>
      <c r="N22" s="267">
        <f ca="1">IF(Tabla_Menu[[#This Row],[Nivel]]=O21,0,COUNTIF(Tabla_Menu[Nivel],Tabla_Menu[[#This Row],[Nivel]]))</f>
        <v>0</v>
      </c>
      <c r="O22" s="293" t="str">
        <f ca="1">IFERROR(INDIRECT(Tabla_Menu[[#This Row],[Nivel 1]]&amp;IDIOMA),"")</f>
        <v/>
      </c>
      <c r="P22" s="293" t="str">
        <f ca="1">IFERROR(INDIRECT(Tabla_Menu[[#This Row],[Nivel 2]]&amp;IDIOMA)&amp;IF(Tabla_Menu[[#This Row],[Nivel]]="",""," "&amp;Tabla_Menu[[#This Row],['[Teclas']]]),"")</f>
        <v/>
      </c>
      <c r="Q22" s="291"/>
      <c r="R22" s="292"/>
      <c r="S22" s="267"/>
      <c r="T22" s="270"/>
      <c r="U22" s="273" t="s">
        <v>623</v>
      </c>
      <c r="V22" s="267" t="s">
        <v>624</v>
      </c>
      <c r="W22" s="271"/>
      <c r="X22" s="269" t="str">
        <f ca="1">IF(OR(Tabla_Menu[[#This Row],[Nivel]]="",IFERROR(SEARCH(MID(CELL("nombrearchivo"),FIND(".xlsm]",CELL("nombrearchivo"),1)+6,100),Tabla_Menu[[#This Row],[HOJAS NO MUESTRA]],1),0)&gt;0),"N/A","")</f>
        <v>N/A</v>
      </c>
      <c r="Y22" s="291">
        <f ca="1">IF(Tabla_Menu[[#This Row],[N/A]]="",,COUNTIF(Tabla_Menu[Nivel &amp; Incluir],Tabla_Menu[[#This Row],[Nivel &amp; Incluir]]))</f>
        <v>11</v>
      </c>
      <c r="Z22" s="272" t="str">
        <f ca="1">Tabla_Menu[[#This Row],[Nivel]]&amp;Tabla_Menu[[#This Row],[N/A]]</f>
        <v>N/A</v>
      </c>
      <c r="AA22" s="270"/>
    </row>
    <row r="23" spans="1:27" x14ac:dyDescent="0.25">
      <c r="A23" s="203" t="str">
        <f t="shared" si="1"/>
        <v>Z_BP_02_D</v>
      </c>
      <c r="B23" s="202" t="str">
        <f t="shared" si="4"/>
        <v>BP</v>
      </c>
      <c r="C23" s="203" t="s">
        <v>33</v>
      </c>
      <c r="D23" s="257"/>
      <c r="E23" s="216" t="str">
        <f>IFERROR(IF(D23&lt;&gt;"",D23,HLOOKUP($E$2,$F$2:K23,ROW(D23)-1,0)),F23)</f>
        <v>DICCIONARIO</v>
      </c>
      <c r="F23" s="216" t="s">
        <v>391</v>
      </c>
      <c r="G23" s="216" t="s">
        <v>392</v>
      </c>
      <c r="H23" s="216" t="s">
        <v>399</v>
      </c>
      <c r="I23" s="216" t="s">
        <v>400</v>
      </c>
      <c r="J23" s="216" t="s">
        <v>401</v>
      </c>
      <c r="K23" s="216" t="s">
        <v>402</v>
      </c>
      <c r="N23" s="267">
        <f ca="1">IF(Tabla_Menu[[#This Row],[Nivel]]=O22,0,COUNTIF(Tabla_Menu[Nivel],Tabla_Menu[[#This Row],[Nivel]]))</f>
        <v>0</v>
      </c>
      <c r="O23" s="293" t="str">
        <f ca="1">IFERROR(INDIRECT(Tabla_Menu[[#This Row],[Nivel 1]]&amp;IDIOMA),"")</f>
        <v/>
      </c>
      <c r="P23" s="293" t="str">
        <f ca="1">IFERROR(INDIRECT(Tabla_Menu[[#This Row],[Nivel 2]]&amp;IDIOMA)&amp;IF(Tabla_Menu[[#This Row],[Nivel]]="",""," "&amp;Tabla_Menu[[#This Row],['[Teclas']]]),"")</f>
        <v/>
      </c>
      <c r="Q23" s="291"/>
      <c r="R23" s="292"/>
      <c r="S23" s="267"/>
      <c r="T23" s="270"/>
      <c r="U23" s="285" t="s">
        <v>625</v>
      </c>
      <c r="V23" s="284" t="s">
        <v>626</v>
      </c>
      <c r="W23" s="271"/>
      <c r="X23" s="269" t="str">
        <f ca="1">IF(OR(Tabla_Menu[[#This Row],[Nivel]]="",IFERROR(SEARCH(MID(CELL("nombrearchivo"),FIND(".xlsm]",CELL("nombrearchivo"),1)+6,100),Tabla_Menu[[#This Row],[HOJAS NO MUESTRA]],1),0)&gt;0),"N/A","")</f>
        <v>N/A</v>
      </c>
      <c r="Y23" s="291">
        <f ca="1">IF(Tabla_Menu[[#This Row],[N/A]]="",,COUNTIF(Tabla_Menu[Nivel &amp; Incluir],Tabla_Menu[[#This Row],[Nivel &amp; Incluir]]))</f>
        <v>11</v>
      </c>
      <c r="Z23" s="272" t="str">
        <f ca="1">Tabla_Menu[[#This Row],[Nivel]]&amp;Tabla_Menu[[#This Row],[N/A]]</f>
        <v>N/A</v>
      </c>
      <c r="AA23" s="270"/>
    </row>
    <row r="24" spans="1:27" x14ac:dyDescent="0.25">
      <c r="A24" s="201" t="str">
        <f t="shared" si="1"/>
        <v>Z_BP_03_D</v>
      </c>
      <c r="B24" s="200" t="str">
        <f t="shared" si="4"/>
        <v>BP</v>
      </c>
      <c r="C24" s="201" t="s">
        <v>40</v>
      </c>
      <c r="D24" s="256"/>
      <c r="E24" s="215" t="str">
        <f>IFERROR(IF(D24&lt;&gt;"",D24,HLOOKUP($E$2,$F$2:K24,ROW(D24)-1,0)),F24)</f>
        <v>Enunciado de la pregunta</v>
      </c>
      <c r="F24" s="215" t="s">
        <v>99</v>
      </c>
      <c r="G24" s="215" t="s">
        <v>100</v>
      </c>
      <c r="H24" s="215" t="s">
        <v>101</v>
      </c>
      <c r="I24" s="215" t="s">
        <v>102</v>
      </c>
      <c r="J24" s="215" t="s">
        <v>103</v>
      </c>
      <c r="K24" s="215" t="s">
        <v>104</v>
      </c>
      <c r="N24" s="267">
        <f ca="1">IF(Tabla_Menu[[#This Row],[Nivel]]=O23,0,COUNTIF(Tabla_Menu[Nivel],Tabla_Menu[[#This Row],[Nivel]]))</f>
        <v>0</v>
      </c>
      <c r="O24" s="293" t="str">
        <f ca="1">IFERROR(INDIRECT(Tabla_Menu[[#This Row],[Nivel 1]]&amp;IDIOMA),"")</f>
        <v/>
      </c>
      <c r="P24" s="293" t="str">
        <f ca="1">IFERROR(INDIRECT(Tabla_Menu[[#This Row],[Nivel 2]]&amp;IDIOMA)&amp;IF(Tabla_Menu[[#This Row],[Nivel]]="",""," "&amp;Tabla_Menu[[#This Row],['[Teclas']]]),"")</f>
        <v/>
      </c>
      <c r="Q24" s="291"/>
      <c r="R24" s="292"/>
      <c r="S24" s="267"/>
      <c r="T24" s="270"/>
      <c r="U24" s="273" t="s">
        <v>627</v>
      </c>
      <c r="V24" s="267" t="s">
        <v>628</v>
      </c>
      <c r="W24" s="271"/>
      <c r="X24" s="269" t="str">
        <f ca="1">IF(OR(Tabla_Menu[[#This Row],[Nivel]]="",IFERROR(SEARCH(MID(CELL("nombrearchivo"),FIND(".xlsm]",CELL("nombrearchivo"),1)+6,100),Tabla_Menu[[#This Row],[HOJAS NO MUESTRA]],1),0)&gt;0),"N/A","")</f>
        <v>N/A</v>
      </c>
      <c r="Y24" s="291">
        <f ca="1">IF(Tabla_Menu[[#This Row],[N/A]]="",,COUNTIF(Tabla_Menu[Nivel &amp; Incluir],Tabla_Menu[[#This Row],[Nivel &amp; Incluir]]))</f>
        <v>11</v>
      </c>
      <c r="Z24" s="272" t="str">
        <f ca="1">Tabla_Menu[[#This Row],[Nivel]]&amp;Tabla_Menu[[#This Row],[N/A]]</f>
        <v>N/A</v>
      </c>
      <c r="AA24" s="270"/>
    </row>
    <row r="25" spans="1:27" x14ac:dyDescent="0.25">
      <c r="A25" s="203" t="str">
        <f t="shared" si="1"/>
        <v>Z_BP_04_D</v>
      </c>
      <c r="B25" s="202" t="str">
        <f t="shared" si="4"/>
        <v>BP</v>
      </c>
      <c r="C25" s="203" t="s">
        <v>46</v>
      </c>
      <c r="D25" s="257"/>
      <c r="E25" s="216" t="str">
        <f>IFERROR(IF(D25&lt;&gt;"",D25,HLOOKUP($E$2,$F$2:K25,ROW(D25)-1,0)),F25)</f>
        <v>Descripción</v>
      </c>
      <c r="F25" s="216" t="s">
        <v>105</v>
      </c>
      <c r="G25" s="216" t="s">
        <v>106</v>
      </c>
      <c r="H25" s="216" t="s">
        <v>106</v>
      </c>
      <c r="I25" s="216" t="s">
        <v>107</v>
      </c>
      <c r="J25" s="216" t="s">
        <v>108</v>
      </c>
      <c r="K25" s="216" t="s">
        <v>109</v>
      </c>
      <c r="N25" s="267">
        <f ca="1">IF(Tabla_Menu[[#This Row],[Nivel]]=O24,0,COUNTIF(Tabla_Menu[Nivel],Tabla_Menu[[#This Row],[Nivel]]))</f>
        <v>0</v>
      </c>
      <c r="O25" s="293" t="str">
        <f ca="1">IFERROR(INDIRECT(Tabla_Menu[[#This Row],[Nivel 1]]&amp;IDIOMA),"")</f>
        <v/>
      </c>
      <c r="P25" s="293" t="str">
        <f ca="1">IFERROR(INDIRECT(Tabla_Menu[[#This Row],[Nivel 2]]&amp;IDIOMA)&amp;IF(Tabla_Menu[[#This Row],[Nivel]]="",""," "&amp;Tabla_Menu[[#This Row],['[Teclas']]]),"")</f>
        <v/>
      </c>
      <c r="Q25" s="291"/>
      <c r="R25" s="292"/>
      <c r="S25" s="267"/>
      <c r="T25" s="270"/>
      <c r="U25" s="285" t="s">
        <v>629</v>
      </c>
      <c r="V25" s="284" t="s">
        <v>630</v>
      </c>
      <c r="W25" s="271"/>
      <c r="X25" s="269" t="str">
        <f ca="1">IF(OR(Tabla_Menu[[#This Row],[Nivel]]="",IFERROR(SEARCH(MID(CELL("nombrearchivo"),FIND(".xlsm]",CELL("nombrearchivo"),1)+6,100),Tabla_Menu[[#This Row],[HOJAS NO MUESTRA]],1),0)&gt;0),"N/A","")</f>
        <v>N/A</v>
      </c>
      <c r="Y25" s="291">
        <f ca="1">IF(Tabla_Menu[[#This Row],[N/A]]="",,COUNTIF(Tabla_Menu[Nivel &amp; Incluir],Tabla_Menu[[#This Row],[Nivel &amp; Incluir]]))</f>
        <v>11</v>
      </c>
      <c r="Z25" s="272" t="str">
        <f ca="1">Tabla_Menu[[#This Row],[Nivel]]&amp;Tabla_Menu[[#This Row],[N/A]]</f>
        <v>N/A</v>
      </c>
      <c r="AA25" s="270"/>
    </row>
    <row r="26" spans="1:27" x14ac:dyDescent="0.25">
      <c r="A26" s="201" t="str">
        <f t="shared" si="1"/>
        <v>Z_BP_05_D</v>
      </c>
      <c r="B26" s="200" t="str">
        <f t="shared" si="4"/>
        <v>BP</v>
      </c>
      <c r="C26" s="201" t="s">
        <v>52</v>
      </c>
      <c r="D26" s="256"/>
      <c r="E26" s="215" t="str">
        <f>IFERROR(IF(D26&lt;&gt;"",D26,HLOOKUP($E$2,$F$2:K26,ROW(D26)-1,0)),F26)</f>
        <v>Respuesta Correcta</v>
      </c>
      <c r="F26" s="215" t="s">
        <v>110</v>
      </c>
      <c r="G26" s="215" t="s">
        <v>111</v>
      </c>
      <c r="H26" s="215" t="s">
        <v>112</v>
      </c>
      <c r="I26" s="215" t="s">
        <v>113</v>
      </c>
      <c r="J26" s="215" t="s">
        <v>114</v>
      </c>
      <c r="K26" s="215" t="s">
        <v>115</v>
      </c>
      <c r="N26" s="267">
        <f ca="1">IF(Tabla_Menu[[#This Row],[Nivel]]=O25,0,COUNTIF(Tabla_Menu[Nivel],Tabla_Menu[[#This Row],[Nivel]]))</f>
        <v>0</v>
      </c>
      <c r="O26" s="293" t="str">
        <f ca="1">IFERROR(INDIRECT(Tabla_Menu[[#This Row],[Nivel 1]]&amp;IDIOMA),"")</f>
        <v/>
      </c>
      <c r="P26" s="293" t="str">
        <f ca="1">IFERROR(INDIRECT(Tabla_Menu[[#This Row],[Nivel 2]]&amp;IDIOMA)&amp;IF(Tabla_Menu[[#This Row],[Nivel]]="",""," "&amp;Tabla_Menu[[#This Row],['[Teclas']]]),"")</f>
        <v/>
      </c>
      <c r="Q26" s="291"/>
      <c r="R26" s="292"/>
      <c r="S26" s="267"/>
      <c r="T26" s="270"/>
      <c r="U26" s="273" t="s">
        <v>632</v>
      </c>
      <c r="V26" s="267" t="s">
        <v>633</v>
      </c>
      <c r="W26" s="271"/>
      <c r="X26" s="269" t="str">
        <f ca="1">IF(OR(Tabla_Menu[[#This Row],[Nivel]]="",IFERROR(SEARCH(MID(CELL("nombrearchivo"),FIND(".xlsm]",CELL("nombrearchivo"),1)+6,100),Tabla_Menu[[#This Row],[HOJAS NO MUESTRA]],1),0)&gt;0),"N/A","")</f>
        <v>N/A</v>
      </c>
      <c r="Y26" s="291">
        <f ca="1">IF(Tabla_Menu[[#This Row],[N/A]]="",,COUNTIF(Tabla_Menu[Nivel &amp; Incluir],Tabla_Menu[[#This Row],[Nivel &amp; Incluir]]))</f>
        <v>11</v>
      </c>
      <c r="Z26" s="272" t="str">
        <f ca="1">Tabla_Menu[[#This Row],[Nivel]]&amp;Tabla_Menu[[#This Row],[N/A]]</f>
        <v>N/A</v>
      </c>
      <c r="AA26" s="270"/>
    </row>
    <row r="27" spans="1:27" x14ac:dyDescent="0.25">
      <c r="A27" s="203" t="str">
        <f t="shared" si="1"/>
        <v>Z_BP_06_D</v>
      </c>
      <c r="B27" s="202" t="str">
        <f t="shared" si="4"/>
        <v>BP</v>
      </c>
      <c r="C27" s="203" t="s">
        <v>58</v>
      </c>
      <c r="D27" s="257"/>
      <c r="E27" s="216" t="str">
        <f>IFERROR(IF(D27&lt;&gt;"",D27,HLOOKUP($E$2,$F$2:K27,ROW(D27)-1,0)),F27)</f>
        <v>Respuesta Incorrecta</v>
      </c>
      <c r="F27" s="216" t="s">
        <v>116</v>
      </c>
      <c r="G27" s="216" t="s">
        <v>117</v>
      </c>
      <c r="H27" s="216" t="s">
        <v>118</v>
      </c>
      <c r="I27" s="216" t="s">
        <v>119</v>
      </c>
      <c r="J27" s="216" t="s">
        <v>120</v>
      </c>
      <c r="K27" s="216" t="s">
        <v>121</v>
      </c>
      <c r="N27" s="267">
        <f ca="1">IF(Tabla_Menu[[#This Row],[Nivel]]=O26,0,COUNTIF(Tabla_Menu[Nivel],Tabla_Menu[[#This Row],[Nivel]]))</f>
        <v>0</v>
      </c>
      <c r="O27" s="293" t="str">
        <f ca="1">IFERROR(INDIRECT(Tabla_Menu[[#This Row],[Nivel 1]]&amp;IDIOMA),"")</f>
        <v/>
      </c>
      <c r="P27" s="293" t="str">
        <f ca="1">IFERROR(INDIRECT(Tabla_Menu[[#This Row],[Nivel 2]]&amp;IDIOMA)&amp;IF(Tabla_Menu[[#This Row],[Nivel]]="",""," "&amp;Tabla_Menu[[#This Row],['[Teclas']]]),"")</f>
        <v/>
      </c>
      <c r="Q27" s="291"/>
      <c r="R27" s="292"/>
      <c r="S27" s="267"/>
      <c r="T27" s="270"/>
      <c r="U27" s="273" t="s">
        <v>634</v>
      </c>
      <c r="V27" s="267" t="s">
        <v>635</v>
      </c>
      <c r="W27" s="271"/>
      <c r="X27" s="269" t="str">
        <f ca="1">IF(OR(Tabla_Menu[[#This Row],[Nivel]]="",IFERROR(SEARCH(MID(CELL("nombrearchivo"),FIND(".xlsm]",CELL("nombrearchivo"),1)+6,100),Tabla_Menu[[#This Row],[HOJAS NO MUESTRA]],1),0)&gt;0),"N/A","")</f>
        <v>N/A</v>
      </c>
      <c r="Y27" s="291">
        <f ca="1">IF(Tabla_Menu[[#This Row],[N/A]]="",,COUNTIF(Tabla_Menu[Nivel &amp; Incluir],Tabla_Menu[[#This Row],[Nivel &amp; Incluir]]))</f>
        <v>11</v>
      </c>
      <c r="Z27" s="272" t="str">
        <f ca="1">Tabla_Menu[[#This Row],[Nivel]]&amp;Tabla_Menu[[#This Row],[N/A]]</f>
        <v>N/A</v>
      </c>
      <c r="AA27" s="270"/>
    </row>
    <row r="28" spans="1:27" x14ac:dyDescent="0.25">
      <c r="A28" s="201" t="str">
        <f t="shared" si="1"/>
        <v>Z_BP_07_D</v>
      </c>
      <c r="B28" s="200" t="str">
        <f t="shared" si="4"/>
        <v>BP</v>
      </c>
      <c r="C28" s="201" t="s">
        <v>65</v>
      </c>
      <c r="D28" s="256"/>
      <c r="E28" s="215" t="str">
        <f>IFERROR(IF(D28&lt;&gt;"",D28,HLOOKUP($E$2,$F$2:K28,ROW(D28)-1,0)),F28)</f>
        <v>Retroalim.</v>
      </c>
      <c r="F28" s="215" t="s">
        <v>122</v>
      </c>
      <c r="G28" s="215" t="s">
        <v>123</v>
      </c>
      <c r="H28" s="215" t="s">
        <v>124</v>
      </c>
      <c r="I28" s="215" t="s">
        <v>125</v>
      </c>
      <c r="J28" s="215" t="s">
        <v>126</v>
      </c>
      <c r="K28" s="215" t="s">
        <v>123</v>
      </c>
      <c r="N28" s="269">
        <f ca="1">IF(Tabla_Menu[[#This Row],[Nivel]]=O27,0,COUNTIF(Tabla_Menu[Nivel],Tabla_Menu[[#This Row],[Nivel]]))</f>
        <v>0</v>
      </c>
      <c r="O28" s="293" t="str">
        <f ca="1">IFERROR(INDIRECT(Tabla_Menu[[#This Row],[Nivel 1]]&amp;IDIOMA),"")</f>
        <v/>
      </c>
      <c r="P28" s="293" t="str">
        <f ca="1">IFERROR(INDIRECT(Tabla_Menu[[#This Row],[Nivel 2]]&amp;IDIOMA)&amp;IF(Tabla_Menu[[#This Row],[Nivel]]="",""," "&amp;Tabla_Menu[[#This Row],['[Teclas']]]),"")</f>
        <v/>
      </c>
      <c r="Q28" s="291" t="s">
        <v>495</v>
      </c>
      <c r="R28" s="292"/>
      <c r="S28" s="267"/>
      <c r="T28" s="270"/>
      <c r="U28" s="270"/>
      <c r="V28" s="270" t="s">
        <v>631</v>
      </c>
      <c r="W28" s="271"/>
      <c r="X28" s="269" t="str">
        <f ca="1">IF(OR(Tabla_Menu[[#This Row],[Nivel]]="",IFERROR(SEARCH(MID(CELL("nombrearchivo"),FIND(".xlsm]",CELL("nombrearchivo"),1)+6,100),Tabla_Menu[[#This Row],[HOJAS NO MUESTRA]],1),0)&gt;0),"N/A","")</f>
        <v>N/A</v>
      </c>
      <c r="Y28" s="291">
        <f ca="1">IF(Tabla_Menu[[#This Row],[N/A]]="",,COUNTIF(Tabla_Menu[Nivel &amp; Incluir],Tabla_Menu[[#This Row],[Nivel &amp; Incluir]]))</f>
        <v>11</v>
      </c>
      <c r="Z28" s="272" t="str">
        <f ca="1">Tabla_Menu[[#This Row],[Nivel]]&amp;Tabla_Menu[[#This Row],[N/A]]</f>
        <v>N/A</v>
      </c>
      <c r="AA28" s="297"/>
    </row>
    <row r="29" spans="1:27" x14ac:dyDescent="0.25">
      <c r="A29" s="203" t="str">
        <f t="shared" si="1"/>
        <v>Z_BP_08_D</v>
      </c>
      <c r="B29" s="202" t="str">
        <f t="shared" si="4"/>
        <v>BP</v>
      </c>
      <c r="C29" s="203" t="s">
        <v>66</v>
      </c>
      <c r="D29" s="257"/>
      <c r="E29" s="216" t="str">
        <f>IFERROR(IF(D29&lt;&gt;"",D29,HLOOKUP($E$2,$F$2:K29,ROW(D29)-1,0)),F29)</f>
        <v>Pista</v>
      </c>
      <c r="F29" s="216" t="s">
        <v>127</v>
      </c>
      <c r="G29" s="216" t="s">
        <v>128</v>
      </c>
      <c r="H29" s="216" t="s">
        <v>129</v>
      </c>
      <c r="I29" s="216" t="s">
        <v>130</v>
      </c>
      <c r="J29" s="216" t="s">
        <v>131</v>
      </c>
      <c r="K29" s="216" t="s">
        <v>132</v>
      </c>
      <c r="N29" s="269">
        <f ca="1">IF(Tabla_Menu[[#This Row],[Nivel]]=O28,0,COUNTIF(Tabla_Menu[Nivel],Tabla_Menu[[#This Row],[Nivel]]))</f>
        <v>0</v>
      </c>
      <c r="O29" s="293" t="str">
        <f ca="1">IFERROR(INDIRECT(Tabla_Menu[[#This Row],[Nivel 1]]&amp;IDIOMA),"")</f>
        <v/>
      </c>
      <c r="P29" s="293" t="str">
        <f ca="1">IFERROR(INDIRECT(Tabla_Menu[[#This Row],[Nivel 2]]&amp;IDIOMA)&amp;IF(Tabla_Menu[[#This Row],[Nivel]]="",""," "&amp;Tabla_Menu[[#This Row],['[Teclas']]]),"")</f>
        <v/>
      </c>
      <c r="Q29" s="291" t="s">
        <v>489</v>
      </c>
      <c r="R29" s="292"/>
      <c r="S29" s="267"/>
      <c r="T29" s="270"/>
      <c r="U29" s="270"/>
      <c r="V29" s="270" t="s">
        <v>650</v>
      </c>
      <c r="W29" s="271"/>
      <c r="X29" s="269" t="str">
        <f ca="1">IF(OR(Tabla_Menu[[#This Row],[Nivel]]="",IFERROR(SEARCH(MID(CELL("nombrearchivo"),FIND(".xlsm]",CELL("nombrearchivo"),1)+6,100),Tabla_Menu[[#This Row],[HOJAS NO MUESTRA]],1),0)&gt;0),"N/A","")</f>
        <v>N/A</v>
      </c>
      <c r="Y29" s="291">
        <f ca="1">IF(Tabla_Menu[[#This Row],[N/A]]="",,COUNTIF(Tabla_Menu[Nivel &amp; Incluir],Tabla_Menu[[#This Row],[Nivel &amp; Incluir]]))</f>
        <v>11</v>
      </c>
      <c r="Z29" s="272" t="str">
        <f ca="1">Tabla_Menu[[#This Row],[Nivel]]&amp;Tabla_Menu[[#This Row],[N/A]]</f>
        <v>N/A</v>
      </c>
      <c r="AA29" s="297"/>
    </row>
    <row r="30" spans="1:27" x14ac:dyDescent="0.25">
      <c r="A30" s="201" t="str">
        <f t="shared" si="1"/>
        <v>Z_BP_09_D</v>
      </c>
      <c r="B30" s="200" t="str">
        <f t="shared" si="4"/>
        <v>BP</v>
      </c>
      <c r="C30" s="201" t="s">
        <v>70</v>
      </c>
      <c r="D30" s="256"/>
      <c r="E30" s="215" t="str">
        <f>IFERROR(IF(D30&lt;&gt;"",D30,HLOOKUP($E$2,$F$2:K30,ROW(D30)-1,0)),F30)</f>
        <v>Puntos</v>
      </c>
      <c r="F30" s="215" t="s">
        <v>133</v>
      </c>
      <c r="G30" s="215" t="s">
        <v>134</v>
      </c>
      <c r="H30" s="215" t="s">
        <v>134</v>
      </c>
      <c r="I30" s="215" t="s">
        <v>135</v>
      </c>
      <c r="J30" s="215" t="s">
        <v>136</v>
      </c>
      <c r="K30" s="215" t="s">
        <v>137</v>
      </c>
      <c r="N30" s="274">
        <f ca="1">COUNTIF(Tabla_Menu[N Sub],"&lt;&gt;0")</f>
        <v>5</v>
      </c>
      <c r="O30" s="268"/>
      <c r="P30" s="268"/>
      <c r="Q30" s="268"/>
      <c r="R30" s="268"/>
      <c r="S30" s="268"/>
      <c r="T30" s="268"/>
      <c r="U30" s="268"/>
      <c r="V30" s="268"/>
      <c r="W30" s="268"/>
      <c r="X30" s="268"/>
      <c r="Y30" s="268"/>
      <c r="Z30" s="268"/>
      <c r="AA30" s="268"/>
    </row>
    <row r="31" spans="1:27" x14ac:dyDescent="0.25">
      <c r="A31" s="203" t="str">
        <f t="shared" si="1"/>
        <v>Z_BP_10_D</v>
      </c>
      <c r="B31" s="202" t="str">
        <f t="shared" si="4"/>
        <v>BP</v>
      </c>
      <c r="C31" s="203" t="s">
        <v>71</v>
      </c>
      <c r="D31" s="257"/>
      <c r="E31" s="216" t="str">
        <f>IFERROR(IF(D31&lt;&gt;"",D31,HLOOKUP($E$2,$F$2:K31,ROW(D31)-1,0)),F31)</f>
        <v>OM 1R</v>
      </c>
      <c r="F31" s="216" t="s">
        <v>138</v>
      </c>
      <c r="G31" s="216" t="s">
        <v>472</v>
      </c>
      <c r="H31" s="216" t="s">
        <v>139</v>
      </c>
      <c r="I31" s="216" t="s">
        <v>140</v>
      </c>
      <c r="J31" s="216" t="s">
        <v>141</v>
      </c>
      <c r="K31" s="216" t="s">
        <v>142</v>
      </c>
      <c r="N31" s="76" t="s">
        <v>31</v>
      </c>
    </row>
    <row r="32" spans="1:27" x14ac:dyDescent="0.25">
      <c r="A32" s="201" t="str">
        <f t="shared" si="1"/>
        <v>Z_BP_11_D</v>
      </c>
      <c r="B32" s="200" t="str">
        <f t="shared" si="4"/>
        <v>BP</v>
      </c>
      <c r="C32" s="201" t="s">
        <v>72</v>
      </c>
      <c r="D32" s="256"/>
      <c r="E32" s="215" t="str">
        <f>IFERROR(IF(D32&lt;&gt;"",D32,HLOOKUP($E$2,$F$2:K32,ROW(D32)-1,0)),F32)</f>
        <v>OM +R</v>
      </c>
      <c r="F32" s="215" t="s">
        <v>478</v>
      </c>
      <c r="G32" s="215" t="s">
        <v>477</v>
      </c>
      <c r="H32" s="215" t="s">
        <v>473</v>
      </c>
      <c r="I32" s="215" t="s">
        <v>474</v>
      </c>
      <c r="J32" s="215" t="s">
        <v>475</v>
      </c>
      <c r="K32" s="215" t="s">
        <v>476</v>
      </c>
      <c r="N32" s="76" t="s">
        <v>31</v>
      </c>
    </row>
    <row r="33" spans="1:18" x14ac:dyDescent="0.25">
      <c r="A33" s="203" t="str">
        <f t="shared" si="1"/>
        <v>Z_BP_12_D</v>
      </c>
      <c r="B33" s="202" t="str">
        <f t="shared" si="4"/>
        <v>BP</v>
      </c>
      <c r="C33" s="203" t="s">
        <v>74</v>
      </c>
      <c r="D33" s="257"/>
      <c r="E33" s="216" t="str">
        <f>IFERROR(IF(D33&lt;&gt;"",D33,HLOOKUP($E$2,$F$2:K33,ROW(D33)-1,0)),F33)</f>
        <v>VF</v>
      </c>
      <c r="F33" s="216" t="s">
        <v>143</v>
      </c>
      <c r="G33" s="216" t="s">
        <v>144</v>
      </c>
      <c r="H33" s="216" t="s">
        <v>143</v>
      </c>
      <c r="I33" s="216" t="s">
        <v>143</v>
      </c>
      <c r="J33" s="216" t="s">
        <v>143</v>
      </c>
      <c r="K33" s="216" t="s">
        <v>145</v>
      </c>
      <c r="N33" s="76" t="s">
        <v>31</v>
      </c>
    </row>
    <row r="34" spans="1:18" x14ac:dyDescent="0.25">
      <c r="A34" s="201" t="str">
        <f t="shared" si="1"/>
        <v>Z_BP_13_D</v>
      </c>
      <c r="B34" s="200" t="str">
        <f t="shared" si="4"/>
        <v>BP</v>
      </c>
      <c r="C34" s="201" t="s">
        <v>76</v>
      </c>
      <c r="D34" s="256"/>
      <c r="E34" s="215" t="str">
        <f>IFERROR(IF(D34&lt;&gt;"",D34,HLOOKUP($E$2,$F$2:K34,ROW(D34)-1,0)),F34)</f>
        <v>EM</v>
      </c>
      <c r="F34" s="215" t="s">
        <v>146</v>
      </c>
      <c r="G34" s="215" t="s">
        <v>147</v>
      </c>
      <c r="H34" s="215" t="s">
        <v>148</v>
      </c>
      <c r="I34" s="215" t="s">
        <v>149</v>
      </c>
      <c r="J34" s="215" t="s">
        <v>25</v>
      </c>
      <c r="K34" s="215" t="s">
        <v>150</v>
      </c>
      <c r="N34" s="76" t="s">
        <v>31</v>
      </c>
    </row>
    <row r="35" spans="1:18" x14ac:dyDescent="0.25">
      <c r="A35" s="203" t="str">
        <f t="shared" si="1"/>
        <v>Z_BP_14_D</v>
      </c>
      <c r="B35" s="202" t="str">
        <f t="shared" si="4"/>
        <v>BP</v>
      </c>
      <c r="C35" s="203" t="s">
        <v>78</v>
      </c>
      <c r="D35" s="257"/>
      <c r="E35" s="216" t="str">
        <f>IFERROR(IF(D35&lt;&gt;"",D35,HLOOKUP($E$2,$F$2:K35,ROW(D35)-1,0)),F35)</f>
        <v>RC</v>
      </c>
      <c r="F35" s="216" t="s">
        <v>151</v>
      </c>
      <c r="G35" s="216" t="s">
        <v>152</v>
      </c>
      <c r="H35" s="216" t="s">
        <v>151</v>
      </c>
      <c r="I35" s="216" t="s">
        <v>151</v>
      </c>
      <c r="J35" s="216" t="s">
        <v>153</v>
      </c>
      <c r="K35" s="216" t="s">
        <v>154</v>
      </c>
      <c r="N35" s="76" t="s">
        <v>31</v>
      </c>
    </row>
    <row r="36" spans="1:18" x14ac:dyDescent="0.25">
      <c r="A36" s="201" t="str">
        <f t="shared" si="1"/>
        <v>Z_BP_15_D</v>
      </c>
      <c r="B36" s="200" t="str">
        <f t="shared" si="4"/>
        <v>BP</v>
      </c>
      <c r="C36" s="201" t="s">
        <v>81</v>
      </c>
      <c r="D36" s="256"/>
      <c r="E36" s="215" t="str">
        <f>IFERROR(IF(D36&lt;&gt;"",D36,HLOOKUP($E$2,$F$2:K36,ROW(D36)-1,0)),F36)</f>
        <v>PP</v>
      </c>
      <c r="F36" s="215" t="s">
        <v>155</v>
      </c>
      <c r="G36" s="215" t="s">
        <v>156</v>
      </c>
      <c r="H36" s="215" t="s">
        <v>157</v>
      </c>
      <c r="I36" s="215" t="s">
        <v>155</v>
      </c>
      <c r="J36" s="215" t="s">
        <v>155</v>
      </c>
      <c r="K36" s="215" t="s">
        <v>158</v>
      </c>
      <c r="N36" s="76" t="s">
        <v>31</v>
      </c>
    </row>
    <row r="37" spans="1:18" x14ac:dyDescent="0.25">
      <c r="A37" s="203" t="str">
        <f t="shared" si="1"/>
        <v>Z_BP_16_D</v>
      </c>
      <c r="B37" s="202" t="str">
        <f>B36</f>
        <v>BP</v>
      </c>
      <c r="C37" s="203">
        <v>16</v>
      </c>
      <c r="D37" s="257"/>
      <c r="E37" s="216" t="str">
        <f>IFERROR(IF(D37&lt;&gt;"",D37,HLOOKUP($E$2,$F$2:K37,ROW(D37)-1,0)),F37)</f>
        <v>CL</v>
      </c>
      <c r="F37" s="216" t="s">
        <v>160</v>
      </c>
      <c r="G37" s="216" t="s">
        <v>160</v>
      </c>
      <c r="H37" s="216" t="s">
        <v>160</v>
      </c>
      <c r="I37" s="216" t="s">
        <v>160</v>
      </c>
      <c r="J37" s="216" t="s">
        <v>160</v>
      </c>
      <c r="K37" s="216" t="s">
        <v>160</v>
      </c>
      <c r="N37" s="76" t="s">
        <v>31</v>
      </c>
      <c r="P37" s="287" t="s">
        <v>588</v>
      </c>
      <c r="Q37" s="287" t="s">
        <v>589</v>
      </c>
      <c r="R37" s="287" t="s">
        <v>590</v>
      </c>
    </row>
    <row r="38" spans="1:18" x14ac:dyDescent="0.25">
      <c r="A38" s="201" t="str">
        <f t="shared" si="1"/>
        <v>Z_BP_17_D</v>
      </c>
      <c r="B38" s="200" t="str">
        <f t="shared" si="4"/>
        <v>BP</v>
      </c>
      <c r="C38" s="201" t="s">
        <v>161</v>
      </c>
      <c r="D38" s="256"/>
      <c r="E38" s="215" t="str">
        <f>IFERROR(IF(D38&lt;&gt;"",D38,HLOOKUP($E$2,$F$2:K38,ROW(D38)-1,0)),F38)</f>
        <v xml:space="preserve">Pareja </v>
      </c>
      <c r="F38" s="215" t="s">
        <v>162</v>
      </c>
      <c r="G38" s="215" t="s">
        <v>163</v>
      </c>
      <c r="H38" s="215" t="s">
        <v>164</v>
      </c>
      <c r="I38" s="215" t="s">
        <v>165</v>
      </c>
      <c r="J38" s="215" t="s">
        <v>166</v>
      </c>
      <c r="K38" s="215" t="s">
        <v>167</v>
      </c>
      <c r="N38" s="76" t="s">
        <v>31</v>
      </c>
      <c r="P38" s="268" t="s">
        <v>591</v>
      </c>
      <c r="Q38" s="268" t="s">
        <v>592</v>
      </c>
      <c r="R38" s="289" t="s">
        <v>490</v>
      </c>
    </row>
    <row r="39" spans="1:18" x14ac:dyDescent="0.25">
      <c r="A39" s="203" t="str">
        <f t="shared" si="1"/>
        <v>Z_BP_18_D</v>
      </c>
      <c r="B39" s="202" t="str">
        <f t="shared" si="4"/>
        <v>BP</v>
      </c>
      <c r="C39" s="203" t="s">
        <v>168</v>
      </c>
      <c r="D39" s="257"/>
      <c r="E39" s="216" t="str">
        <f>IFERROR(IF(D39&lt;&gt;"",D39,HLOOKUP($E$2,$F$2:K39,ROW(D39)-1,0)),F39)</f>
        <v>Mayúsculas</v>
      </c>
      <c r="F39" s="216" t="s">
        <v>3</v>
      </c>
      <c r="G39" s="216" t="s">
        <v>169</v>
      </c>
      <c r="H39" s="216" t="s">
        <v>170</v>
      </c>
      <c r="I39" s="216" t="s">
        <v>171</v>
      </c>
      <c r="J39" s="216" t="s">
        <v>172</v>
      </c>
      <c r="K39" s="216" t="s">
        <v>173</v>
      </c>
      <c r="N39" s="76" t="s">
        <v>31</v>
      </c>
      <c r="P39" s="268" t="s">
        <v>593</v>
      </c>
      <c r="Q39" s="268" t="s">
        <v>594</v>
      </c>
      <c r="R39" s="289" t="s">
        <v>490</v>
      </c>
    </row>
    <row r="40" spans="1:18" x14ac:dyDescent="0.25">
      <c r="A40" s="201" t="str">
        <f t="shared" si="1"/>
        <v>Z_BP_19_D</v>
      </c>
      <c r="B40" s="200" t="str">
        <f t="shared" si="4"/>
        <v>BP</v>
      </c>
      <c r="C40" s="201" t="s">
        <v>174</v>
      </c>
      <c r="D40" s="256"/>
      <c r="E40" s="215" t="str">
        <f>IFERROR(IF(D40&lt;&gt;"",D40,HLOOKUP($E$2,$F$2:K40,ROW(D40)-1,0)),F40)</f>
        <v>Respuesta</v>
      </c>
      <c r="F40" s="215" t="s">
        <v>175</v>
      </c>
      <c r="G40" s="215" t="s">
        <v>176</v>
      </c>
      <c r="H40" s="215" t="s">
        <v>177</v>
      </c>
      <c r="I40" s="215" t="s">
        <v>178</v>
      </c>
      <c r="J40" s="215" t="s">
        <v>126</v>
      </c>
      <c r="K40" s="215" t="s">
        <v>179</v>
      </c>
      <c r="N40" s="76" t="s">
        <v>31</v>
      </c>
      <c r="P40" s="268" t="s">
        <v>595</v>
      </c>
      <c r="Q40" s="268" t="s">
        <v>596</v>
      </c>
      <c r="R40" s="289" t="s">
        <v>490</v>
      </c>
    </row>
    <row r="41" spans="1:18" x14ac:dyDescent="0.25">
      <c r="A41" s="203" t="str">
        <f t="shared" si="1"/>
        <v>Z_BP_20_D</v>
      </c>
      <c r="B41" s="202" t="str">
        <f t="shared" si="4"/>
        <v>BP</v>
      </c>
      <c r="C41" s="203" t="s">
        <v>180</v>
      </c>
      <c r="D41" s="257"/>
      <c r="E41" s="216" t="str">
        <f>IFERROR(IF(D41&lt;&gt;"",D41,HLOOKUP($E$2,$F$2:K41,ROW(D41)-1,0)),F41)</f>
        <v xml:space="preserve">Palabra </v>
      </c>
      <c r="F41" s="216" t="s">
        <v>181</v>
      </c>
      <c r="G41" s="216" t="s">
        <v>182</v>
      </c>
      <c r="H41" s="216" t="s">
        <v>183</v>
      </c>
      <c r="I41" s="216" t="s">
        <v>184</v>
      </c>
      <c r="J41" s="216" t="s">
        <v>185</v>
      </c>
      <c r="K41" s="216" t="s">
        <v>186</v>
      </c>
      <c r="N41" s="76" t="s">
        <v>31</v>
      </c>
      <c r="P41" s="268" t="s">
        <v>597</v>
      </c>
      <c r="Q41" s="268" t="s">
        <v>598</v>
      </c>
      <c r="R41" s="289" t="s">
        <v>488</v>
      </c>
    </row>
    <row r="42" spans="1:18" x14ac:dyDescent="0.25">
      <c r="A42" s="201" t="str">
        <f t="shared" si="1"/>
        <v>Z_BP_21_D</v>
      </c>
      <c r="B42" s="200" t="str">
        <f t="shared" si="4"/>
        <v>BP</v>
      </c>
      <c r="C42" s="201" t="s">
        <v>187</v>
      </c>
      <c r="D42" s="256"/>
      <c r="E42" s="215" t="str">
        <f>IFERROR(IF(D42&lt;&gt;"",D42,HLOOKUP($E$2,$F$2:K42,ROW(D42)-1,0)),F42)</f>
        <v>VERDADERO</v>
      </c>
      <c r="F42" s="215" t="s">
        <v>188</v>
      </c>
      <c r="G42" s="215" t="s">
        <v>189</v>
      </c>
      <c r="H42" s="215" t="s">
        <v>190</v>
      </c>
      <c r="I42" s="215" t="s">
        <v>191</v>
      </c>
      <c r="J42" s="215" t="s">
        <v>192</v>
      </c>
      <c r="K42" s="215" t="s">
        <v>193</v>
      </c>
      <c r="N42" s="76" t="s">
        <v>31</v>
      </c>
      <c r="P42" s="268" t="s">
        <v>599</v>
      </c>
      <c r="Q42" s="268" t="s">
        <v>600</v>
      </c>
      <c r="R42" s="289" t="s">
        <v>488</v>
      </c>
    </row>
    <row r="43" spans="1:18" x14ac:dyDescent="0.25">
      <c r="A43" s="203" t="str">
        <f t="shared" si="1"/>
        <v>Z_BP_22_D</v>
      </c>
      <c r="B43" s="202" t="str">
        <f t="shared" si="4"/>
        <v>BP</v>
      </c>
      <c r="C43" s="203" t="s">
        <v>194</v>
      </c>
      <c r="D43" s="257"/>
      <c r="E43" s="216" t="str">
        <f>IFERROR(IF(D43&lt;&gt;"",D43,HLOOKUP($E$2,$F$2:K43,ROW(D43)-1,0)),F43)</f>
        <v>FALSO</v>
      </c>
      <c r="F43" s="216" t="s">
        <v>195</v>
      </c>
      <c r="G43" s="216" t="s">
        <v>196</v>
      </c>
      <c r="H43" s="216" t="s">
        <v>197</v>
      </c>
      <c r="I43" s="216" t="s">
        <v>195</v>
      </c>
      <c r="J43" s="216" t="s">
        <v>195</v>
      </c>
      <c r="K43" s="216" t="s">
        <v>198</v>
      </c>
      <c r="N43" s="76" t="s">
        <v>31</v>
      </c>
      <c r="P43" s="268" t="s">
        <v>601</v>
      </c>
      <c r="Q43" s="268" t="s">
        <v>602</v>
      </c>
      <c r="R43" s="289" t="s">
        <v>490</v>
      </c>
    </row>
    <row r="44" spans="1:18" x14ac:dyDescent="0.25">
      <c r="A44" s="201" t="str">
        <f t="shared" si="1"/>
        <v>Z_BP_23_D</v>
      </c>
      <c r="B44" s="200" t="str">
        <f t="shared" si="4"/>
        <v>BP</v>
      </c>
      <c r="C44" s="201" t="s">
        <v>199</v>
      </c>
      <c r="D44" s="256"/>
      <c r="E44" s="215" t="str">
        <f>IFERROR(IF(D44&lt;&gt;"",D44,HLOOKUP($E$2,$F$2:K44,ROW(D44)-1,0)),F44)</f>
        <v xml:space="preserve">Grupo </v>
      </c>
      <c r="F44" s="215" t="s">
        <v>200</v>
      </c>
      <c r="G44" s="215" t="s">
        <v>201</v>
      </c>
      <c r="H44" s="215" t="s">
        <v>202</v>
      </c>
      <c r="I44" s="215" t="s">
        <v>203</v>
      </c>
      <c r="J44" s="215" t="s">
        <v>204</v>
      </c>
      <c r="K44" s="215" t="s">
        <v>205</v>
      </c>
      <c r="L44" t="s">
        <v>31</v>
      </c>
      <c r="M44" t="s">
        <v>31</v>
      </c>
      <c r="N44" s="76" t="s">
        <v>31</v>
      </c>
      <c r="P44" s="267">
        <f>COUNTA(Tabla_Comandos[CommandBars])</f>
        <v>6</v>
      </c>
      <c r="Q44" s="268"/>
      <c r="R44" s="268"/>
    </row>
    <row r="45" spans="1:18" x14ac:dyDescent="0.25">
      <c r="A45" s="203" t="str">
        <f t="shared" ref="A45:A52" si="5">$A$1&amp;B45&amp;"_"&amp;C45&amp;"_"&amp;$A$2</f>
        <v>Z_BP_24_D</v>
      </c>
      <c r="B45" s="202" t="str">
        <f t="shared" si="4"/>
        <v>BP</v>
      </c>
      <c r="C45" s="203" t="s">
        <v>254</v>
      </c>
      <c r="D45" s="257"/>
      <c r="E45" s="216" t="str">
        <f>IFERROR(IF(D45&lt;&gt;"",D45,HLOOKUP($E$2,$F$2:K45,ROW(D45)-1,0)),F45)</f>
        <v>Formato de la Respuesta</v>
      </c>
      <c r="F45" s="216" t="s">
        <v>212</v>
      </c>
      <c r="G45" s="216" t="s">
        <v>213</v>
      </c>
      <c r="H45" s="216" t="s">
        <v>214</v>
      </c>
      <c r="I45" s="216" t="s">
        <v>215</v>
      </c>
      <c r="J45" s="216" t="s">
        <v>216</v>
      </c>
      <c r="K45" s="216" t="s">
        <v>217</v>
      </c>
      <c r="N45" s="76" t="s">
        <v>31</v>
      </c>
    </row>
    <row r="46" spans="1:18" x14ac:dyDescent="0.25">
      <c r="A46" s="201" t="str">
        <f t="shared" si="5"/>
        <v>Z_BP_25_D</v>
      </c>
      <c r="B46" s="200" t="str">
        <f t="shared" si="4"/>
        <v>BP</v>
      </c>
      <c r="C46" s="201" t="s">
        <v>255</v>
      </c>
      <c r="D46" s="256"/>
      <c r="E46" s="215" t="str">
        <f>IFERROR(IF(D46&lt;&gt;"",D46,HLOOKUP($E$2,$F$2:K46,ROW(D46)-1,0)),F46)</f>
        <v>Requerir texto</v>
      </c>
      <c r="F46" s="215" t="s">
        <v>218</v>
      </c>
      <c r="G46" s="215" t="s">
        <v>219</v>
      </c>
      <c r="H46" s="215" t="s">
        <v>220</v>
      </c>
      <c r="I46" s="215" t="s">
        <v>221</v>
      </c>
      <c r="J46" s="215" t="s">
        <v>222</v>
      </c>
      <c r="K46" s="215" t="s">
        <v>223</v>
      </c>
      <c r="N46" s="76" t="s">
        <v>31</v>
      </c>
    </row>
    <row r="47" spans="1:18" x14ac:dyDescent="0.25">
      <c r="A47" s="203" t="str">
        <f t="shared" si="5"/>
        <v>Z_BP_26_D</v>
      </c>
      <c r="B47" s="202" t="str">
        <f t="shared" si="4"/>
        <v>BP</v>
      </c>
      <c r="C47" s="203" t="s">
        <v>256</v>
      </c>
      <c r="D47" s="257"/>
      <c r="E47" s="216" t="str">
        <f>IFERROR(IF(D47&lt;&gt;"",D47,HLOOKUP($E$2,$F$2:K47,ROW(D47)-1,0)),F47)</f>
        <v>Tamaño de la caja de entrada</v>
      </c>
      <c r="F47" s="216" t="s">
        <v>224</v>
      </c>
      <c r="G47" s="216" t="s">
        <v>225</v>
      </c>
      <c r="H47" s="216" t="s">
        <v>226</v>
      </c>
      <c r="I47" s="216" t="s">
        <v>227</v>
      </c>
      <c r="J47" s="216" t="s">
        <v>228</v>
      </c>
      <c r="K47" s="216" t="s">
        <v>229</v>
      </c>
    </row>
    <row r="48" spans="1:18" x14ac:dyDescent="0.25">
      <c r="A48" s="201" t="str">
        <f t="shared" si="5"/>
        <v>Z_BP_27_D</v>
      </c>
      <c r="B48" s="200" t="str">
        <f t="shared" si="4"/>
        <v>BP</v>
      </c>
      <c r="C48" s="201" t="s">
        <v>257</v>
      </c>
      <c r="D48" s="256"/>
      <c r="E48" s="215" t="str">
        <f>IFERROR(IF(D48&lt;&gt;"",D48,HLOOKUP($E$2,$F$2:K48,ROW(D48)-1,0)),F48)</f>
        <v>Permitir archivos adjuntos</v>
      </c>
      <c r="F48" s="215" t="s">
        <v>230</v>
      </c>
      <c r="G48" s="215" t="s">
        <v>231</v>
      </c>
      <c r="H48" s="215" t="s">
        <v>232</v>
      </c>
      <c r="I48" s="215" t="s">
        <v>233</v>
      </c>
      <c r="J48" s="215" t="s">
        <v>234</v>
      </c>
      <c r="K48" s="215" t="s">
        <v>235</v>
      </c>
    </row>
    <row r="49" spans="1:27" x14ac:dyDescent="0.25">
      <c r="A49" s="203" t="str">
        <f t="shared" si="5"/>
        <v>Z_BP_28_D</v>
      </c>
      <c r="B49" s="202" t="str">
        <f t="shared" si="4"/>
        <v>BP</v>
      </c>
      <c r="C49" s="203" t="s">
        <v>258</v>
      </c>
      <c r="D49" s="257"/>
      <c r="E49" s="216" t="str">
        <f>IFERROR(IF(D49&lt;&gt;"",D49,HLOOKUP($E$2,$F$2:K49,ROW(D49)-1,0)),F49)</f>
        <v>Archivos adjuntos requeridos</v>
      </c>
      <c r="F49" s="216" t="s">
        <v>236</v>
      </c>
      <c r="G49" s="216" t="s">
        <v>237</v>
      </c>
      <c r="H49" s="216" t="s">
        <v>238</v>
      </c>
      <c r="I49" s="216" t="s">
        <v>239</v>
      </c>
      <c r="J49" s="216" t="s">
        <v>240</v>
      </c>
      <c r="K49" s="216" t="s">
        <v>241</v>
      </c>
    </row>
    <row r="50" spans="1:27" x14ac:dyDescent="0.25">
      <c r="A50" s="201" t="str">
        <f t="shared" si="5"/>
        <v>Z_BP_29_D</v>
      </c>
      <c r="B50" s="200" t="str">
        <f t="shared" si="4"/>
        <v>BP</v>
      </c>
      <c r="C50" s="201" t="s">
        <v>259</v>
      </c>
      <c r="D50" s="256"/>
      <c r="E50" s="215" t="str">
        <f>IFERROR(IF(D50&lt;&gt;"",D50,HLOOKUP($E$2,$F$2:K50,ROW(D50)-1,0)),F50)</f>
        <v>Plantilla de Respuesta</v>
      </c>
      <c r="F50" s="215" t="s">
        <v>242</v>
      </c>
      <c r="G50" s="215" t="s">
        <v>243</v>
      </c>
      <c r="H50" s="215" t="s">
        <v>244</v>
      </c>
      <c r="I50" s="215" t="s">
        <v>245</v>
      </c>
      <c r="J50" s="215" t="s">
        <v>246</v>
      </c>
      <c r="K50" s="215" t="s">
        <v>247</v>
      </c>
    </row>
    <row r="51" spans="1:27" x14ac:dyDescent="0.25">
      <c r="A51" s="203" t="str">
        <f t="shared" si="5"/>
        <v>Z_BP_30_D</v>
      </c>
      <c r="B51" s="202" t="str">
        <f t="shared" si="4"/>
        <v>BP</v>
      </c>
      <c r="C51" s="203" t="s">
        <v>260</v>
      </c>
      <c r="D51" s="257"/>
      <c r="E51" s="216" t="str">
        <f>IFERROR(IF(D51&lt;&gt;"",D51,HLOOKUP($E$2,$F$2:K51,ROW(D51)-1,0)),F51)</f>
        <v>Información para el evaluador</v>
      </c>
      <c r="F51" s="216" t="s">
        <v>248</v>
      </c>
      <c r="G51" s="216" t="s">
        <v>249</v>
      </c>
      <c r="H51" s="216" t="s">
        <v>250</v>
      </c>
      <c r="I51" s="216" t="s">
        <v>251</v>
      </c>
      <c r="J51" s="216" t="s">
        <v>252</v>
      </c>
      <c r="K51" s="216" t="s">
        <v>253</v>
      </c>
    </row>
    <row r="52" spans="1:27" x14ac:dyDescent="0.25">
      <c r="A52" s="201" t="str">
        <f t="shared" si="5"/>
        <v>Z_BP_31_D</v>
      </c>
      <c r="B52" s="200" t="str">
        <f t="shared" si="4"/>
        <v>BP</v>
      </c>
      <c r="C52" s="201" t="s">
        <v>261</v>
      </c>
      <c r="D52" s="256"/>
      <c r="E52" s="215" t="str">
        <f>IFERROR(IF(D52&lt;&gt;"",D52,HLOOKUP($E$2,$F$2:K52,ROW(D52)-1,0)),F52)</f>
        <v>EN</v>
      </c>
      <c r="F52" s="215" t="s">
        <v>211</v>
      </c>
      <c r="G52" s="215" t="s">
        <v>262</v>
      </c>
      <c r="H52" s="215" t="s">
        <v>263</v>
      </c>
      <c r="I52" s="215" t="s">
        <v>211</v>
      </c>
      <c r="J52" s="215" t="s">
        <v>263</v>
      </c>
      <c r="K52" s="215" t="s">
        <v>264</v>
      </c>
    </row>
    <row r="53" spans="1:27" ht="15.75" thickBot="1" x14ac:dyDescent="0.3">
      <c r="A53" s="203" t="str">
        <f t="shared" ref="A53:A56" si="6">$A$1&amp;B53&amp;"_"&amp;C53&amp;"_"&amp;$A$2</f>
        <v>Z_BP_32_D</v>
      </c>
      <c r="B53" s="202" t="str">
        <f t="shared" si="4"/>
        <v>BP</v>
      </c>
      <c r="C53" s="203">
        <v>32</v>
      </c>
      <c r="D53" s="257"/>
      <c r="E53" s="218" t="str">
        <f>IFERROR(IF(D53&lt;&gt;"",D53,HLOOKUP($E$2,$F$2:K53,ROW(D53)-1,0)),F53)</f>
        <v>Ancho RC</v>
      </c>
      <c r="F53" s="216" t="s">
        <v>269</v>
      </c>
      <c r="G53" s="216" t="s">
        <v>270</v>
      </c>
      <c r="H53" s="216" t="s">
        <v>271</v>
      </c>
      <c r="I53" s="216" t="s">
        <v>272</v>
      </c>
      <c r="J53" s="216" t="s">
        <v>273</v>
      </c>
      <c r="K53" s="216" t="s">
        <v>274</v>
      </c>
    </row>
    <row r="54" spans="1:27" x14ac:dyDescent="0.25">
      <c r="A54" s="78" t="str">
        <f t="shared" si="6"/>
        <v>Z_TX_00_D</v>
      </c>
      <c r="B54" s="77" t="s">
        <v>448</v>
      </c>
      <c r="C54" s="78" t="s">
        <v>26</v>
      </c>
      <c r="D54" s="255"/>
      <c r="E54" s="214" t="str">
        <f>IFERROR(IF(D54&lt;&gt;"",D54,HLOOKUP($E$2,$F$2:K54,ROW(D54)-1,0)),F54)</f>
        <v>MENSAJES MACROS</v>
      </c>
      <c r="F54" s="254" t="s">
        <v>439</v>
      </c>
      <c r="G54" s="254" t="s">
        <v>440</v>
      </c>
      <c r="H54" s="254" t="s">
        <v>439</v>
      </c>
      <c r="I54" s="254" t="s">
        <v>439</v>
      </c>
      <c r="J54" s="254" t="s">
        <v>439</v>
      </c>
      <c r="K54" s="254" t="s">
        <v>441</v>
      </c>
      <c r="L54" s="76" t="s">
        <v>31</v>
      </c>
      <c r="M54" s="76" t="s">
        <v>31</v>
      </c>
    </row>
    <row r="55" spans="1:27" x14ac:dyDescent="0.25">
      <c r="A55" s="201" t="str">
        <f t="shared" si="6"/>
        <v>Z_TX_01_D</v>
      </c>
      <c r="B55" s="200" t="s">
        <v>448</v>
      </c>
      <c r="C55" s="201" t="s">
        <v>32</v>
      </c>
      <c r="D55" s="256"/>
      <c r="E55" s="215" t="str">
        <f>IFERROR(IF(D55&lt;&gt;"",D55,HLOOKUP($E$2,$F$2:K55,ROW(D55)-1,0)),F55)</f>
        <v>Copia el link (Ctrl+C) y 
pega (Ctrl+V) en Internet.</v>
      </c>
      <c r="F55" s="215" t="s">
        <v>442</v>
      </c>
      <c r="G55" s="215" t="s">
        <v>443</v>
      </c>
      <c r="H55" s="215" t="s">
        <v>444</v>
      </c>
      <c r="I55" s="215" t="s">
        <v>445</v>
      </c>
      <c r="J55" s="215" t="s">
        <v>446</v>
      </c>
      <c r="K55" s="215" t="s">
        <v>447</v>
      </c>
    </row>
    <row r="56" spans="1:27" s="76" customFormat="1" x14ac:dyDescent="0.25">
      <c r="A56" s="275" t="str">
        <f t="shared" si="6"/>
        <v>Z_TX_92_1_D</v>
      </c>
      <c r="B56" s="275" t="str">
        <f t="shared" ref="B56:B65" si="7">B55</f>
        <v>TX</v>
      </c>
      <c r="C56" s="275" t="s">
        <v>506</v>
      </c>
      <c r="D56" s="276"/>
      <c r="E56" s="277" t="str">
        <f>IFERROR(IF(D56&lt;&gt;"",D56,HLOOKUP($E$2,$F$2:K56,ROW(D56)-1,0)),F56)</f>
        <v>MENÚ GENERAL</v>
      </c>
      <c r="F56" s="278" t="s">
        <v>507</v>
      </c>
      <c r="G56" s="277" t="s">
        <v>508</v>
      </c>
      <c r="H56" s="277" t="s">
        <v>509</v>
      </c>
      <c r="I56" s="277" t="s">
        <v>510</v>
      </c>
      <c r="J56" s="277" t="s">
        <v>511</v>
      </c>
      <c r="K56" s="277" t="s">
        <v>512</v>
      </c>
      <c r="L56"/>
      <c r="M56"/>
      <c r="AA56"/>
    </row>
    <row r="57" spans="1:27" s="76" customFormat="1" x14ac:dyDescent="0.25">
      <c r="A57" s="279" t="str">
        <f>$A$1&amp;B57&amp;"_"&amp;C57&amp;"_"&amp;$A$2</f>
        <v>Z_TX_92_2_D</v>
      </c>
      <c r="B57" s="279" t="str">
        <f t="shared" si="7"/>
        <v>TX</v>
      </c>
      <c r="C57" s="279" t="s">
        <v>513</v>
      </c>
      <c r="D57" s="280"/>
      <c r="E57" s="281" t="str">
        <f>IFERROR(IF(D57&lt;&gt;"",D57,HLOOKUP($E$2,$F$2:K57,ROW(D57)-1,0)),F57)</f>
        <v xml:space="preserve">GUARDAR </v>
      </c>
      <c r="F57" s="282" t="s">
        <v>514</v>
      </c>
      <c r="G57" s="281" t="s">
        <v>515</v>
      </c>
      <c r="H57" s="281" t="s">
        <v>516</v>
      </c>
      <c r="I57" s="281" t="s">
        <v>517</v>
      </c>
      <c r="J57" s="281" t="s">
        <v>518</v>
      </c>
      <c r="K57" s="281" t="s">
        <v>519</v>
      </c>
      <c r="L57"/>
      <c r="M57"/>
      <c r="AA57"/>
    </row>
    <row r="58" spans="1:27" s="76" customFormat="1" x14ac:dyDescent="0.25">
      <c r="A58" s="275" t="str">
        <f t="shared" ref="A58" si="8">$A$1&amp;B58&amp;"_"&amp;C58&amp;"_"&amp;$A$2</f>
        <v>Z_TX_92_3_D</v>
      </c>
      <c r="B58" s="275" t="str">
        <f t="shared" si="7"/>
        <v>TX</v>
      </c>
      <c r="C58" s="275" t="s">
        <v>520</v>
      </c>
      <c r="D58" s="276"/>
      <c r="E58" s="277" t="str">
        <f>IFERROR(IF(D58&lt;&gt;"",D58,HLOOKUP($E$2,$F$2:K58,ROW(D58)-1,0)),F58)</f>
        <v>CERRAR</v>
      </c>
      <c r="F58" s="278" t="s">
        <v>521</v>
      </c>
      <c r="G58" s="277" t="s">
        <v>522</v>
      </c>
      <c r="H58" s="277" t="s">
        <v>523</v>
      </c>
      <c r="I58" s="277" t="s">
        <v>524</v>
      </c>
      <c r="J58" s="277" t="s">
        <v>525</v>
      </c>
      <c r="K58" s="277" t="s">
        <v>526</v>
      </c>
      <c r="L58"/>
      <c r="M58"/>
      <c r="AA58"/>
    </row>
    <row r="59" spans="1:27" s="76" customFormat="1" x14ac:dyDescent="0.25">
      <c r="A59" s="279" t="str">
        <f>$A$1&amp;B59&amp;"_"&amp;C59&amp;"_"&amp;$A$2</f>
        <v>Z_TX_92_4_D</v>
      </c>
      <c r="B59" s="279" t="str">
        <f t="shared" si="7"/>
        <v>TX</v>
      </c>
      <c r="C59" s="279" t="s">
        <v>527</v>
      </c>
      <c r="D59" s="280"/>
      <c r="E59" s="281" t="str">
        <f>IFERROR(IF(D59&lt;&gt;"",D59,HLOOKUP($E$2,$F$2:K59,ROW(D59)-1,0)),F59)</f>
        <v>AYUDA</v>
      </c>
      <c r="F59" s="282" t="s">
        <v>528</v>
      </c>
      <c r="G59" s="281" t="s">
        <v>529</v>
      </c>
      <c r="H59" s="281" t="s">
        <v>530</v>
      </c>
      <c r="I59" s="281" t="s">
        <v>531</v>
      </c>
      <c r="J59" s="281" t="s">
        <v>532</v>
      </c>
      <c r="K59" s="281" t="s">
        <v>533</v>
      </c>
      <c r="L59"/>
      <c r="M59"/>
      <c r="AA59"/>
    </row>
    <row r="60" spans="1:27" s="76" customFormat="1" x14ac:dyDescent="0.25">
      <c r="A60" s="275" t="str">
        <f t="shared" ref="A60" si="9">$A$1&amp;B60&amp;"_"&amp;C60&amp;"_"&amp;$A$2</f>
        <v>Z_TX_92_5_D</v>
      </c>
      <c r="B60" s="275" t="str">
        <f t="shared" si="7"/>
        <v>TX</v>
      </c>
      <c r="C60" s="275" t="s">
        <v>534</v>
      </c>
      <c r="D60" s="276"/>
      <c r="E60" s="277" t="str">
        <f>IFERROR(IF(D60&lt;&gt;"",D60,HLOOKUP($E$2,$F$2:K60,ROW(D60)-1,0)),F60)</f>
        <v>COPIAR</v>
      </c>
      <c r="F60" s="282" t="s">
        <v>535</v>
      </c>
      <c r="G60" s="277" t="s">
        <v>536</v>
      </c>
      <c r="H60" s="277" t="s">
        <v>537</v>
      </c>
      <c r="I60" s="277" t="s">
        <v>538</v>
      </c>
      <c r="J60" s="277" t="s">
        <v>539</v>
      </c>
      <c r="K60" s="277" t="s">
        <v>540</v>
      </c>
      <c r="L60"/>
      <c r="M60"/>
    </row>
    <row r="61" spans="1:27" s="76" customFormat="1" x14ac:dyDescent="0.25">
      <c r="A61" s="279" t="str">
        <f>$A$1&amp;B61&amp;"_"&amp;C61&amp;"_"&amp;$A$2</f>
        <v>Z_TX_92_6_D</v>
      </c>
      <c r="B61" s="279" t="str">
        <f t="shared" si="7"/>
        <v>TX</v>
      </c>
      <c r="C61" s="279" t="s">
        <v>541</v>
      </c>
      <c r="D61" s="280"/>
      <c r="E61" s="281" t="str">
        <f>IFERROR(IF(D61&lt;&gt;"",D61,HLOOKUP($E$2,$F$2:K61,ROW(D61)-1,0)),F61)</f>
        <v>PEGAR</v>
      </c>
      <c r="F61" s="282" t="s">
        <v>542</v>
      </c>
      <c r="G61" s="281" t="s">
        <v>543</v>
      </c>
      <c r="H61" s="281" t="s">
        <v>544</v>
      </c>
      <c r="I61" s="281" t="s">
        <v>545</v>
      </c>
      <c r="J61" s="281" t="s">
        <v>546</v>
      </c>
      <c r="K61" s="281" t="s">
        <v>547</v>
      </c>
      <c r="L61"/>
      <c r="M61"/>
    </row>
    <row r="62" spans="1:27" s="76" customFormat="1" x14ac:dyDescent="0.25">
      <c r="A62" s="275" t="str">
        <f t="shared" ref="A62" si="10">$A$1&amp;B62&amp;"_"&amp;C62&amp;"_"&amp;$A$2</f>
        <v>Z_TX_92_7_D</v>
      </c>
      <c r="B62" s="275" t="str">
        <f t="shared" si="7"/>
        <v>TX</v>
      </c>
      <c r="C62" s="275" t="s">
        <v>548</v>
      </c>
      <c r="D62" s="276"/>
      <c r="E62" s="277" t="str">
        <f>IFERROR(IF(D62&lt;&gt;"",D62,HLOOKUP($E$2,$F$2:K62,ROW(D62)-1,0)),F62)</f>
        <v>IR A…</v>
      </c>
      <c r="F62" s="282" t="s">
        <v>549</v>
      </c>
      <c r="G62" s="277" t="s">
        <v>550</v>
      </c>
      <c r="H62" s="277" t="s">
        <v>551</v>
      </c>
      <c r="I62" s="277" t="s">
        <v>552</v>
      </c>
      <c r="J62" s="277" t="s">
        <v>553</v>
      </c>
      <c r="K62" s="277" t="s">
        <v>554</v>
      </c>
      <c r="L62"/>
      <c r="M62"/>
      <c r="N62"/>
      <c r="O62"/>
      <c r="P62"/>
      <c r="Q62"/>
      <c r="R62"/>
      <c r="S62"/>
      <c r="T62"/>
      <c r="U62"/>
      <c r="V62"/>
      <c r="W62"/>
      <c r="X62"/>
      <c r="Y62"/>
      <c r="Z62"/>
      <c r="AA62"/>
    </row>
    <row r="63" spans="1:27" s="76" customFormat="1" x14ac:dyDescent="0.25">
      <c r="A63" s="279" t="str">
        <f>$A$1&amp;B63&amp;"_"&amp;C63&amp;"_"&amp;$A$2</f>
        <v>Z_TX_92_8_D</v>
      </c>
      <c r="B63" s="279" t="str">
        <f t="shared" si="7"/>
        <v>TX</v>
      </c>
      <c r="C63" s="279" t="s">
        <v>555</v>
      </c>
      <c r="D63" s="280"/>
      <c r="E63" s="281" t="str">
        <f>IFERROR(IF(D63&lt;&gt;"",D63,HLOOKUP($E$2,$F$2:K63,ROW(D63)-1,0)),F63)</f>
        <v>LINK DICCIONARIO</v>
      </c>
      <c r="F63" s="282" t="s">
        <v>557</v>
      </c>
      <c r="G63" s="281" t="s">
        <v>558</v>
      </c>
      <c r="H63" s="281" t="s">
        <v>559</v>
      </c>
      <c r="I63" s="281" t="s">
        <v>560</v>
      </c>
      <c r="J63" s="281" t="s">
        <v>561</v>
      </c>
      <c r="K63" s="281" t="s">
        <v>562</v>
      </c>
      <c r="L63"/>
      <c r="M63"/>
      <c r="N63"/>
      <c r="O63"/>
      <c r="P63"/>
      <c r="Q63"/>
      <c r="R63"/>
      <c r="S63"/>
      <c r="T63"/>
      <c r="U63"/>
      <c r="V63"/>
      <c r="W63"/>
      <c r="X63"/>
      <c r="Y63"/>
      <c r="Z63"/>
      <c r="AA63"/>
    </row>
    <row r="64" spans="1:27" s="76" customFormat="1" x14ac:dyDescent="0.25">
      <c r="A64" s="275" t="str">
        <f>$A$1&amp;B64&amp;"_"&amp;C64&amp;"_"&amp;$A$2</f>
        <v>Z_TX_92_9_D</v>
      </c>
      <c r="B64" s="275" t="str">
        <f t="shared" si="7"/>
        <v>TX</v>
      </c>
      <c r="C64" s="275" t="s">
        <v>556</v>
      </c>
      <c r="D64" s="276"/>
      <c r="E64" s="277" t="str">
        <f>IFERROR(IF(D64&lt;&gt;"",D64,HLOOKUP($E$2,$F$2:K64,ROW(D64)-1,0)),F64)</f>
        <v>MENU EXCEL</v>
      </c>
      <c r="F64" s="282" t="s">
        <v>646</v>
      </c>
      <c r="G64" s="277" t="s">
        <v>647</v>
      </c>
      <c r="H64" s="277" t="s">
        <v>647</v>
      </c>
      <c r="I64" s="277" t="s">
        <v>647</v>
      </c>
      <c r="J64" s="277" t="s">
        <v>647</v>
      </c>
      <c r="K64" s="277" t="s">
        <v>648</v>
      </c>
      <c r="L64"/>
      <c r="M64"/>
      <c r="N64"/>
      <c r="O64"/>
      <c r="P64"/>
      <c r="Q64"/>
      <c r="R64"/>
      <c r="S64"/>
      <c r="T64"/>
      <c r="U64"/>
      <c r="V64"/>
      <c r="W64"/>
      <c r="X64"/>
      <c r="Y64"/>
      <c r="Z64"/>
      <c r="AA64"/>
    </row>
    <row r="65" spans="1:27" s="76" customFormat="1" x14ac:dyDescent="0.25">
      <c r="A65" s="279" t="str">
        <f>$A$1&amp;B65&amp;"_"&amp;C65&amp;"_"&amp;$A$2</f>
        <v>Z_TX_92_10_D</v>
      </c>
      <c r="B65" s="279" t="str">
        <f t="shared" si="7"/>
        <v>TX</v>
      </c>
      <c r="C65" s="279" t="s">
        <v>655</v>
      </c>
      <c r="D65" s="280"/>
      <c r="E65" s="281" t="str">
        <f>IFERROR(IF(D65&lt;&gt;"",D65,HLOOKUP($E$2,$F$2:K65,ROW(D65)-1,0)),F65)</f>
        <v>¿Desea guardar los cambios?</v>
      </c>
      <c r="F65" s="282" t="s">
        <v>656</v>
      </c>
      <c r="G65" s="281" t="s">
        <v>657</v>
      </c>
      <c r="H65" s="281" t="s">
        <v>658</v>
      </c>
      <c r="I65" s="281" t="s">
        <v>659</v>
      </c>
      <c r="J65" s="281" t="s">
        <v>660</v>
      </c>
      <c r="K65" s="281" t="s">
        <v>661</v>
      </c>
      <c r="L65"/>
      <c r="M65"/>
      <c r="N65"/>
      <c r="O65"/>
      <c r="P65"/>
      <c r="Q65"/>
      <c r="R65"/>
      <c r="S65"/>
      <c r="T65"/>
      <c r="U65"/>
      <c r="V65"/>
      <c r="W65"/>
      <c r="X65"/>
      <c r="Y65"/>
      <c r="Z65"/>
      <c r="AA65"/>
    </row>
    <row r="66" spans="1:27" x14ac:dyDescent="0.25">
      <c r="D66" s="258"/>
      <c r="E66" s="296" t="s">
        <v>636</v>
      </c>
      <c r="N66"/>
      <c r="O66"/>
      <c r="P66"/>
      <c r="Q66"/>
      <c r="R66"/>
      <c r="S66"/>
      <c r="T66"/>
      <c r="U66"/>
      <c r="V66"/>
      <c r="W66"/>
      <c r="X66"/>
      <c r="Y66"/>
      <c r="Z66"/>
    </row>
    <row r="67" spans="1:27" x14ac:dyDescent="0.25">
      <c r="N67"/>
      <c r="O67"/>
      <c r="P67"/>
      <c r="Q67"/>
      <c r="R67"/>
      <c r="S67"/>
      <c r="T67"/>
      <c r="U67"/>
      <c r="V67"/>
      <c r="W67"/>
      <c r="X67"/>
      <c r="Y67"/>
      <c r="Z67"/>
    </row>
    <row r="68" spans="1:27" hidden="1" x14ac:dyDescent="0.25">
      <c r="N68"/>
      <c r="O68"/>
      <c r="P68"/>
      <c r="Q68"/>
      <c r="R68"/>
      <c r="S68"/>
      <c r="T68"/>
      <c r="U68"/>
      <c r="V68"/>
      <c r="W68"/>
      <c r="X68"/>
      <c r="Y68"/>
      <c r="Z68"/>
    </row>
    <row r="69" spans="1:27" hidden="1" x14ac:dyDescent="0.25">
      <c r="N69"/>
      <c r="O69"/>
      <c r="P69"/>
      <c r="Q69"/>
      <c r="R69"/>
      <c r="S69"/>
      <c r="T69"/>
      <c r="U69"/>
      <c r="V69"/>
      <c r="W69"/>
      <c r="X69"/>
      <c r="Y69"/>
      <c r="Z69"/>
    </row>
    <row r="70" spans="1:27" hidden="1" x14ac:dyDescent="0.25">
      <c r="N70"/>
      <c r="O70"/>
      <c r="P70"/>
      <c r="Q70"/>
      <c r="R70"/>
      <c r="S70"/>
      <c r="T70"/>
      <c r="U70"/>
      <c r="V70"/>
      <c r="W70"/>
      <c r="X70"/>
      <c r="Y70"/>
      <c r="Z70"/>
    </row>
    <row r="71" spans="1:27" hidden="1" x14ac:dyDescent="0.25">
      <c r="N71"/>
      <c r="O71"/>
      <c r="P71"/>
      <c r="Q71"/>
      <c r="R71"/>
      <c r="S71"/>
      <c r="T71"/>
      <c r="U71"/>
      <c r="V71"/>
      <c r="W71"/>
      <c r="X71"/>
      <c r="Y71"/>
      <c r="Z71"/>
    </row>
    <row r="72" spans="1:27" hidden="1" x14ac:dyDescent="0.25">
      <c r="N72"/>
      <c r="O72"/>
      <c r="P72"/>
      <c r="Q72"/>
      <c r="R72"/>
      <c r="S72"/>
      <c r="T72"/>
      <c r="U72"/>
      <c r="V72"/>
      <c r="W72"/>
      <c r="X72"/>
      <c r="Y72"/>
      <c r="Z72"/>
    </row>
    <row r="73" spans="1:27" hidden="1" x14ac:dyDescent="0.25">
      <c r="N73"/>
      <c r="O73"/>
      <c r="P73"/>
      <c r="Q73"/>
      <c r="R73"/>
      <c r="S73"/>
      <c r="T73"/>
      <c r="U73"/>
      <c r="V73"/>
      <c r="W73"/>
      <c r="X73"/>
      <c r="Y73"/>
      <c r="Z73"/>
    </row>
    <row r="74" spans="1:27" hidden="1" x14ac:dyDescent="0.25">
      <c r="N74"/>
      <c r="O74"/>
      <c r="P74"/>
      <c r="Q74"/>
      <c r="R74"/>
      <c r="S74"/>
      <c r="T74"/>
      <c r="U74"/>
      <c r="V74"/>
      <c r="W74"/>
      <c r="X74"/>
      <c r="Y74"/>
      <c r="Z74"/>
    </row>
    <row r="75" spans="1:27" hidden="1" x14ac:dyDescent="0.25">
      <c r="N75"/>
      <c r="O75"/>
      <c r="P75"/>
      <c r="Q75"/>
      <c r="R75"/>
      <c r="S75"/>
      <c r="T75"/>
      <c r="U75"/>
      <c r="V75"/>
      <c r="W75"/>
      <c r="X75"/>
      <c r="Y75"/>
      <c r="Z75"/>
    </row>
    <row r="76" spans="1:27" hidden="1" x14ac:dyDescent="0.25">
      <c r="N76"/>
      <c r="O76"/>
      <c r="P76"/>
      <c r="Q76"/>
      <c r="R76"/>
      <c r="S76"/>
      <c r="T76"/>
      <c r="U76"/>
      <c r="V76"/>
      <c r="W76"/>
      <c r="X76"/>
      <c r="Y76"/>
      <c r="Z76"/>
    </row>
    <row r="77" spans="1:27" hidden="1" x14ac:dyDescent="0.25">
      <c r="N77"/>
      <c r="O77"/>
      <c r="P77"/>
      <c r="Q77"/>
      <c r="R77"/>
      <c r="S77"/>
      <c r="T77"/>
      <c r="U77"/>
      <c r="V77"/>
      <c r="W77"/>
      <c r="X77"/>
      <c r="Y77"/>
      <c r="Z77"/>
    </row>
    <row r="78" spans="1:27" hidden="1" x14ac:dyDescent="0.25">
      <c r="N78"/>
      <c r="O78"/>
      <c r="P78"/>
      <c r="Q78"/>
      <c r="R78"/>
      <c r="S78"/>
      <c r="T78"/>
      <c r="U78"/>
      <c r="V78"/>
      <c r="W78"/>
      <c r="X78"/>
      <c r="Y78"/>
      <c r="Z78"/>
    </row>
    <row r="79" spans="1:27" hidden="1" x14ac:dyDescent="0.25">
      <c r="N79"/>
      <c r="O79"/>
      <c r="P79"/>
      <c r="Q79"/>
      <c r="R79"/>
      <c r="S79"/>
      <c r="T79"/>
      <c r="U79"/>
      <c r="V79"/>
      <c r="W79"/>
      <c r="X79"/>
      <c r="Y79"/>
      <c r="Z79"/>
    </row>
    <row r="80" spans="1:27" hidden="1" x14ac:dyDescent="0.25">
      <c r="N80"/>
      <c r="O80"/>
      <c r="P80"/>
      <c r="Q80"/>
      <c r="R80"/>
      <c r="S80"/>
      <c r="T80"/>
      <c r="U80"/>
      <c r="V80"/>
      <c r="W80"/>
      <c r="X80"/>
      <c r="Y80"/>
      <c r="Z80"/>
    </row>
    <row r="81" spans="14:26" hidden="1" x14ac:dyDescent="0.25">
      <c r="N81"/>
      <c r="O81"/>
      <c r="P81"/>
      <c r="Q81"/>
      <c r="R81"/>
      <c r="S81"/>
      <c r="T81"/>
      <c r="U81"/>
      <c r="V81"/>
      <c r="W81"/>
      <c r="X81"/>
      <c r="Y81"/>
      <c r="Z81"/>
    </row>
    <row r="82" spans="14:26" hidden="1" x14ac:dyDescent="0.25">
      <c r="N82"/>
      <c r="O82"/>
      <c r="P82"/>
      <c r="Q82"/>
      <c r="R82"/>
      <c r="S82"/>
      <c r="T82"/>
      <c r="U82"/>
      <c r="V82"/>
      <c r="W82"/>
      <c r="X82"/>
      <c r="Y82"/>
      <c r="Z82"/>
    </row>
    <row r="83" spans="14:26" hidden="1" x14ac:dyDescent="0.25">
      <c r="N83"/>
      <c r="O83"/>
      <c r="P83"/>
      <c r="Q83"/>
      <c r="R83"/>
      <c r="S83"/>
      <c r="T83"/>
      <c r="U83"/>
      <c r="V83"/>
      <c r="W83"/>
      <c r="X83"/>
      <c r="Y83"/>
      <c r="Z83"/>
    </row>
    <row r="84" spans="14:26" hidden="1" x14ac:dyDescent="0.25">
      <c r="N84"/>
      <c r="O84"/>
      <c r="P84"/>
      <c r="Q84"/>
      <c r="R84"/>
      <c r="S84"/>
      <c r="T84"/>
      <c r="U84"/>
      <c r="V84"/>
      <c r="W84"/>
      <c r="X84"/>
      <c r="Y84"/>
      <c r="Z84"/>
    </row>
    <row r="85" spans="14:26" hidden="1" x14ac:dyDescent="0.25">
      <c r="N85"/>
      <c r="O85"/>
      <c r="P85"/>
      <c r="Q85"/>
      <c r="R85"/>
      <c r="S85"/>
      <c r="T85"/>
      <c r="U85"/>
      <c r="V85"/>
      <c r="W85"/>
      <c r="X85"/>
      <c r="Y85"/>
      <c r="Z85"/>
    </row>
    <row r="86" spans="14:26" hidden="1" x14ac:dyDescent="0.25">
      <c r="N86"/>
      <c r="O86"/>
      <c r="P86"/>
      <c r="Q86"/>
      <c r="R86"/>
      <c r="S86"/>
      <c r="T86"/>
      <c r="U86"/>
      <c r="V86"/>
      <c r="W86"/>
      <c r="X86"/>
      <c r="Y86"/>
      <c r="Z86"/>
    </row>
    <row r="87" spans="14:26" hidden="1" x14ac:dyDescent="0.25">
      <c r="N87"/>
      <c r="O87"/>
      <c r="P87"/>
      <c r="Q87"/>
      <c r="R87"/>
      <c r="S87"/>
      <c r="T87"/>
      <c r="U87"/>
      <c r="V87"/>
      <c r="W87"/>
      <c r="X87"/>
      <c r="Y87"/>
      <c r="Z87"/>
    </row>
    <row r="88" spans="14:26" hidden="1" x14ac:dyDescent="0.25">
      <c r="N88"/>
      <c r="O88"/>
      <c r="P88"/>
      <c r="Q88"/>
      <c r="R88"/>
      <c r="S88"/>
      <c r="T88"/>
      <c r="U88"/>
      <c r="V88"/>
      <c r="W88"/>
      <c r="X88"/>
      <c r="Y88"/>
      <c r="Z88"/>
    </row>
    <row r="89" spans="14:26" hidden="1" x14ac:dyDescent="0.25">
      <c r="N89"/>
      <c r="O89"/>
      <c r="P89"/>
      <c r="Q89"/>
      <c r="R89"/>
      <c r="S89"/>
      <c r="T89"/>
      <c r="U89"/>
      <c r="V89"/>
      <c r="W89"/>
      <c r="X89"/>
      <c r="Y89"/>
      <c r="Z89"/>
    </row>
    <row r="90" spans="14:26" hidden="1" x14ac:dyDescent="0.25">
      <c r="N90"/>
      <c r="O90"/>
      <c r="P90"/>
      <c r="Q90"/>
      <c r="R90"/>
      <c r="S90"/>
      <c r="T90"/>
      <c r="U90"/>
      <c r="V90"/>
      <c r="W90"/>
      <c r="X90"/>
      <c r="Y90"/>
      <c r="Z90"/>
    </row>
    <row r="91" spans="14:26" hidden="1" x14ac:dyDescent="0.25">
      <c r="N91"/>
      <c r="O91"/>
      <c r="P91"/>
      <c r="Q91"/>
      <c r="R91"/>
      <c r="S91"/>
      <c r="T91"/>
      <c r="U91"/>
      <c r="V91"/>
      <c r="W91"/>
      <c r="X91"/>
      <c r="Y91"/>
      <c r="Z91"/>
    </row>
    <row r="92" spans="14:26" hidden="1" x14ac:dyDescent="0.25">
      <c r="N92"/>
      <c r="O92"/>
      <c r="P92"/>
      <c r="Q92"/>
      <c r="R92"/>
      <c r="S92"/>
      <c r="T92"/>
      <c r="U92"/>
      <c r="V92"/>
      <c r="W92"/>
      <c r="X92"/>
      <c r="Y92"/>
      <c r="Z92"/>
    </row>
    <row r="93" spans="14:26" hidden="1" x14ac:dyDescent="0.25">
      <c r="N93"/>
      <c r="O93"/>
      <c r="P93"/>
      <c r="Q93"/>
      <c r="R93"/>
      <c r="S93"/>
      <c r="T93"/>
      <c r="U93"/>
      <c r="V93"/>
      <c r="W93"/>
      <c r="X93"/>
      <c r="Y93"/>
      <c r="Z93"/>
    </row>
    <row r="94" spans="14:26" hidden="1" x14ac:dyDescent="0.25">
      <c r="N94"/>
      <c r="O94"/>
      <c r="P94"/>
      <c r="Q94"/>
      <c r="R94"/>
      <c r="S94"/>
      <c r="T94"/>
      <c r="U94"/>
      <c r="V94"/>
      <c r="W94"/>
      <c r="X94"/>
      <c r="Y94"/>
      <c r="Z94"/>
    </row>
    <row r="95" spans="14:26" hidden="1" x14ac:dyDescent="0.25">
      <c r="N95"/>
      <c r="O95"/>
      <c r="P95"/>
      <c r="Q95"/>
      <c r="R95"/>
      <c r="S95"/>
      <c r="T95"/>
      <c r="U95"/>
      <c r="V95"/>
      <c r="W95"/>
      <c r="X95"/>
      <c r="Y95"/>
      <c r="Z95"/>
    </row>
    <row r="96" spans="14:26" hidden="1" x14ac:dyDescent="0.25">
      <c r="N96"/>
      <c r="O96"/>
      <c r="P96"/>
      <c r="Q96"/>
      <c r="R96"/>
      <c r="S96"/>
      <c r="T96"/>
      <c r="U96"/>
      <c r="V96"/>
      <c r="W96"/>
      <c r="X96"/>
      <c r="Y96"/>
      <c r="Z96"/>
    </row>
    <row r="97" spans="14:26" hidden="1" x14ac:dyDescent="0.25">
      <c r="N97"/>
      <c r="O97"/>
      <c r="P97"/>
      <c r="Q97"/>
      <c r="R97"/>
      <c r="S97"/>
      <c r="T97"/>
      <c r="U97"/>
      <c r="V97"/>
      <c r="W97"/>
      <c r="X97"/>
      <c r="Y97"/>
      <c r="Z97"/>
    </row>
    <row r="98" spans="14:26" hidden="1" x14ac:dyDescent="0.25">
      <c r="N98"/>
      <c r="O98"/>
      <c r="P98"/>
      <c r="Q98"/>
      <c r="R98"/>
      <c r="S98"/>
      <c r="T98"/>
      <c r="U98"/>
      <c r="V98"/>
      <c r="W98"/>
      <c r="X98"/>
      <c r="Y98"/>
      <c r="Z98"/>
    </row>
    <row r="99" spans="14:26" hidden="1" x14ac:dyDescent="0.25">
      <c r="N99"/>
      <c r="O99"/>
      <c r="P99"/>
      <c r="Q99"/>
      <c r="R99"/>
      <c r="S99"/>
      <c r="T99"/>
      <c r="U99"/>
      <c r="V99"/>
      <c r="W99"/>
      <c r="X99"/>
      <c r="Y99"/>
      <c r="Z99"/>
    </row>
    <row r="100" spans="14:26" hidden="1" x14ac:dyDescent="0.25">
      <c r="N100"/>
      <c r="O100"/>
      <c r="P100"/>
      <c r="Q100"/>
      <c r="R100"/>
      <c r="S100"/>
      <c r="T100"/>
      <c r="U100"/>
      <c r="V100"/>
      <c r="W100"/>
      <c r="X100"/>
      <c r="Y100"/>
      <c r="Z100"/>
    </row>
    <row r="101" spans="14:26" hidden="1" x14ac:dyDescent="0.25">
      <c r="N101"/>
      <c r="O101"/>
      <c r="P101"/>
      <c r="Q101"/>
      <c r="R101"/>
      <c r="S101"/>
      <c r="T101"/>
      <c r="U101"/>
      <c r="V101"/>
      <c r="W101"/>
      <c r="X101"/>
      <c r="Y101"/>
      <c r="Z101"/>
    </row>
    <row r="102" spans="14:26" hidden="1" x14ac:dyDescent="0.25">
      <c r="N102"/>
      <c r="O102"/>
      <c r="P102"/>
      <c r="Q102"/>
      <c r="R102"/>
      <c r="S102"/>
      <c r="T102"/>
      <c r="U102"/>
      <c r="V102"/>
      <c r="W102"/>
      <c r="X102"/>
      <c r="Y102"/>
      <c r="Z102"/>
    </row>
    <row r="103" spans="14:26" hidden="1" x14ac:dyDescent="0.25">
      <c r="N103"/>
      <c r="O103"/>
      <c r="P103"/>
      <c r="Q103"/>
      <c r="R103"/>
      <c r="S103"/>
      <c r="T103"/>
      <c r="U103"/>
      <c r="V103"/>
      <c r="W103"/>
      <c r="X103"/>
      <c r="Y103"/>
      <c r="Z103"/>
    </row>
    <row r="104" spans="14:26" hidden="1" x14ac:dyDescent="0.25">
      <c r="N104"/>
      <c r="O104"/>
      <c r="P104"/>
      <c r="Q104"/>
      <c r="R104"/>
      <c r="S104"/>
      <c r="T104"/>
      <c r="U104"/>
      <c r="V104"/>
      <c r="W104"/>
      <c r="X104"/>
      <c r="Y104"/>
      <c r="Z104"/>
    </row>
    <row r="105" spans="14:26" hidden="1" x14ac:dyDescent="0.25">
      <c r="N105"/>
      <c r="O105"/>
      <c r="P105"/>
      <c r="Q105"/>
      <c r="R105"/>
      <c r="S105"/>
      <c r="T105"/>
      <c r="U105"/>
      <c r="V105"/>
      <c r="W105"/>
      <c r="X105"/>
      <c r="Y105"/>
      <c r="Z105"/>
    </row>
    <row r="106" spans="14:26" hidden="1" x14ac:dyDescent="0.25">
      <c r="N106"/>
      <c r="O106"/>
      <c r="P106"/>
      <c r="Q106"/>
      <c r="R106"/>
      <c r="S106"/>
      <c r="T106"/>
      <c r="U106"/>
      <c r="V106"/>
      <c r="W106"/>
      <c r="X106"/>
      <c r="Y106"/>
      <c r="Z106"/>
    </row>
    <row r="107" spans="14:26" hidden="1" x14ac:dyDescent="0.25">
      <c r="N107"/>
      <c r="O107"/>
      <c r="P107"/>
      <c r="Q107"/>
      <c r="R107"/>
      <c r="S107"/>
      <c r="T107"/>
      <c r="U107"/>
      <c r="V107"/>
      <c r="W107"/>
      <c r="X107"/>
      <c r="Y107"/>
      <c r="Z107"/>
    </row>
    <row r="108" spans="14:26" hidden="1" x14ac:dyDescent="0.25">
      <c r="N108"/>
      <c r="O108"/>
      <c r="P108"/>
      <c r="Q108"/>
      <c r="R108"/>
      <c r="S108"/>
      <c r="T108"/>
      <c r="U108"/>
      <c r="V108"/>
      <c r="W108"/>
      <c r="X108"/>
      <c r="Y108"/>
      <c r="Z108"/>
    </row>
    <row r="109" spans="14:26" hidden="1" x14ac:dyDescent="0.25">
      <c r="N109"/>
      <c r="O109"/>
      <c r="P109"/>
      <c r="Q109"/>
      <c r="R109"/>
      <c r="S109"/>
      <c r="T109"/>
      <c r="U109"/>
      <c r="V109"/>
      <c r="W109"/>
      <c r="X109"/>
      <c r="Y109"/>
      <c r="Z109"/>
    </row>
    <row r="110" spans="14:26" hidden="1" x14ac:dyDescent="0.25">
      <c r="N110"/>
      <c r="O110"/>
      <c r="P110"/>
      <c r="Q110"/>
      <c r="R110"/>
      <c r="S110"/>
      <c r="T110"/>
      <c r="U110"/>
      <c r="V110"/>
      <c r="W110"/>
      <c r="X110"/>
      <c r="Y110"/>
      <c r="Z110"/>
    </row>
    <row r="111" spans="14:26" hidden="1" x14ac:dyDescent="0.25">
      <c r="N111"/>
      <c r="O111"/>
      <c r="P111"/>
      <c r="Q111"/>
      <c r="R111"/>
      <c r="S111"/>
      <c r="T111"/>
      <c r="U111"/>
      <c r="V111"/>
      <c r="W111"/>
      <c r="X111"/>
      <c r="Y111"/>
      <c r="Z111"/>
    </row>
    <row r="112" spans="14:26" hidden="1" x14ac:dyDescent="0.25">
      <c r="N112"/>
      <c r="O112"/>
      <c r="P112"/>
      <c r="Q112"/>
      <c r="R112"/>
      <c r="S112"/>
      <c r="T112"/>
      <c r="U112"/>
      <c r="V112"/>
      <c r="W112"/>
      <c r="X112"/>
      <c r="Y112"/>
      <c r="Z112"/>
    </row>
    <row r="113" spans="14:26" hidden="1" x14ac:dyDescent="0.25">
      <c r="N113"/>
      <c r="O113"/>
      <c r="P113"/>
      <c r="Q113"/>
      <c r="R113"/>
      <c r="S113"/>
      <c r="T113"/>
      <c r="U113"/>
      <c r="V113"/>
      <c r="W113"/>
      <c r="X113"/>
      <c r="Y113"/>
      <c r="Z113"/>
    </row>
    <row r="114" spans="14:26" hidden="1" x14ac:dyDescent="0.25">
      <c r="N114"/>
      <c r="O114"/>
      <c r="P114"/>
      <c r="Q114"/>
      <c r="R114"/>
      <c r="S114"/>
      <c r="T114"/>
      <c r="U114"/>
      <c r="V114"/>
      <c r="W114"/>
      <c r="X114"/>
      <c r="Y114"/>
      <c r="Z114"/>
    </row>
    <row r="115" spans="14:26" hidden="1" x14ac:dyDescent="0.25">
      <c r="N115"/>
      <c r="O115"/>
      <c r="P115"/>
      <c r="Q115"/>
      <c r="R115"/>
      <c r="S115"/>
      <c r="T115"/>
      <c r="U115"/>
      <c r="V115"/>
      <c r="W115"/>
      <c r="X115"/>
      <c r="Y115"/>
      <c r="Z115"/>
    </row>
    <row r="116" spans="14:26" hidden="1" x14ac:dyDescent="0.25">
      <c r="N116"/>
      <c r="O116"/>
      <c r="P116"/>
      <c r="Q116"/>
      <c r="R116"/>
      <c r="S116"/>
      <c r="T116"/>
      <c r="U116"/>
      <c r="V116"/>
      <c r="W116"/>
      <c r="X116"/>
      <c r="Y116"/>
      <c r="Z116"/>
    </row>
    <row r="117" spans="14:26" hidden="1" x14ac:dyDescent="0.25">
      <c r="N117"/>
      <c r="O117"/>
      <c r="P117"/>
      <c r="Q117"/>
      <c r="R117"/>
      <c r="S117"/>
      <c r="T117"/>
      <c r="U117"/>
      <c r="V117"/>
      <c r="W117"/>
      <c r="X117"/>
      <c r="Y117"/>
      <c r="Z117"/>
    </row>
    <row r="118" spans="14:26" hidden="1" x14ac:dyDescent="0.25">
      <c r="N118"/>
      <c r="O118"/>
      <c r="P118"/>
      <c r="Q118"/>
      <c r="R118"/>
      <c r="S118"/>
      <c r="T118"/>
      <c r="U118"/>
      <c r="V118"/>
      <c r="W118"/>
      <c r="X118"/>
      <c r="Y118"/>
      <c r="Z118"/>
    </row>
    <row r="119" spans="14:26" hidden="1" x14ac:dyDescent="0.25">
      <c r="N119"/>
      <c r="O119"/>
      <c r="P119"/>
      <c r="Q119"/>
      <c r="R119"/>
      <c r="S119"/>
      <c r="T119"/>
      <c r="U119"/>
      <c r="V119"/>
      <c r="W119"/>
      <c r="X119"/>
      <c r="Y119"/>
      <c r="Z119"/>
    </row>
    <row r="120" spans="14:26" hidden="1" x14ac:dyDescent="0.25">
      <c r="N120"/>
      <c r="O120"/>
      <c r="P120"/>
      <c r="Q120"/>
      <c r="R120"/>
      <c r="S120"/>
      <c r="T120"/>
      <c r="U120"/>
      <c r="V120"/>
      <c r="W120"/>
      <c r="X120"/>
      <c r="Y120"/>
      <c r="Z120"/>
    </row>
    <row r="121" spans="14:26" hidden="1" x14ac:dyDescent="0.25">
      <c r="N121"/>
      <c r="O121"/>
      <c r="P121"/>
      <c r="Q121"/>
      <c r="R121"/>
      <c r="S121"/>
      <c r="T121"/>
      <c r="U121"/>
      <c r="V121"/>
      <c r="W121"/>
      <c r="X121"/>
      <c r="Y121"/>
      <c r="Z121"/>
    </row>
    <row r="122" spans="14:26" hidden="1" x14ac:dyDescent="0.25">
      <c r="N122"/>
      <c r="O122"/>
      <c r="P122"/>
      <c r="Q122"/>
      <c r="R122"/>
      <c r="S122"/>
      <c r="T122"/>
      <c r="U122"/>
      <c r="V122"/>
      <c r="W122"/>
      <c r="X122"/>
      <c r="Y122"/>
      <c r="Z122"/>
    </row>
    <row r="123" spans="14:26" hidden="1" x14ac:dyDescent="0.25">
      <c r="N123"/>
      <c r="O123"/>
      <c r="P123"/>
      <c r="Q123"/>
      <c r="R123"/>
      <c r="S123"/>
      <c r="T123"/>
      <c r="U123"/>
      <c r="V123"/>
      <c r="W123"/>
      <c r="X123"/>
      <c r="Y123"/>
      <c r="Z123"/>
    </row>
    <row r="124" spans="14:26" hidden="1" x14ac:dyDescent="0.25">
      <c r="N124"/>
      <c r="O124"/>
      <c r="P124"/>
      <c r="Q124"/>
      <c r="R124"/>
      <c r="S124"/>
      <c r="T124"/>
      <c r="U124"/>
      <c r="V124"/>
      <c r="W124"/>
      <c r="X124"/>
      <c r="Y124"/>
      <c r="Z124"/>
    </row>
    <row r="125" spans="14:26" hidden="1" x14ac:dyDescent="0.25">
      <c r="N125"/>
      <c r="O125"/>
      <c r="P125"/>
      <c r="Q125"/>
      <c r="R125"/>
      <c r="S125"/>
      <c r="T125"/>
      <c r="U125"/>
      <c r="V125"/>
      <c r="W125"/>
      <c r="X125"/>
      <c r="Y125"/>
      <c r="Z125"/>
    </row>
    <row r="126" spans="14:26" hidden="1" x14ac:dyDescent="0.25">
      <c r="N126"/>
      <c r="O126"/>
      <c r="P126"/>
      <c r="Q126"/>
      <c r="R126"/>
      <c r="S126"/>
      <c r="T126"/>
      <c r="U126"/>
      <c r="V126"/>
      <c r="W126"/>
      <c r="X126"/>
      <c r="Y126"/>
      <c r="Z126"/>
    </row>
    <row r="127" spans="14:26" hidden="1" x14ac:dyDescent="0.25">
      <c r="N127"/>
      <c r="O127"/>
      <c r="P127"/>
      <c r="Q127"/>
      <c r="R127"/>
      <c r="S127"/>
      <c r="T127"/>
      <c r="U127"/>
      <c r="V127"/>
      <c r="W127"/>
      <c r="X127"/>
      <c r="Y127"/>
      <c r="Z127"/>
    </row>
    <row r="128" spans="14:26" hidden="1" x14ac:dyDescent="0.25">
      <c r="N128"/>
      <c r="O128"/>
      <c r="P128"/>
      <c r="Q128"/>
      <c r="R128"/>
      <c r="S128"/>
      <c r="T128"/>
      <c r="U128"/>
      <c r="V128"/>
      <c r="W128"/>
      <c r="X128"/>
      <c r="Y128"/>
      <c r="Z128"/>
    </row>
    <row r="129" spans="14:26" hidden="1" x14ac:dyDescent="0.25">
      <c r="N129"/>
      <c r="O129"/>
      <c r="P129"/>
      <c r="Q129"/>
      <c r="R129"/>
      <c r="S129"/>
      <c r="T129"/>
      <c r="U129"/>
      <c r="V129"/>
      <c r="W129"/>
      <c r="X129"/>
      <c r="Y129"/>
      <c r="Z129"/>
    </row>
    <row r="130" spans="14:26" hidden="1" x14ac:dyDescent="0.25">
      <c r="N130"/>
      <c r="O130"/>
      <c r="P130"/>
      <c r="Q130"/>
      <c r="R130"/>
      <c r="S130"/>
      <c r="T130"/>
      <c r="U130"/>
      <c r="V130"/>
      <c r="W130"/>
      <c r="X130"/>
      <c r="Y130"/>
      <c r="Z130"/>
    </row>
    <row r="131" spans="14:26" hidden="1" x14ac:dyDescent="0.25">
      <c r="N131"/>
      <c r="O131"/>
      <c r="P131"/>
      <c r="Q131"/>
      <c r="R131"/>
      <c r="S131"/>
      <c r="T131"/>
      <c r="U131"/>
      <c r="V131"/>
      <c r="W131"/>
      <c r="X131"/>
      <c r="Y131"/>
      <c r="Z131"/>
    </row>
    <row r="132" spans="14:26" hidden="1" x14ac:dyDescent="0.25">
      <c r="N132"/>
      <c r="O132"/>
      <c r="P132"/>
      <c r="Q132"/>
      <c r="R132"/>
      <c r="S132"/>
      <c r="T132"/>
      <c r="U132"/>
      <c r="V132"/>
      <c r="W132"/>
      <c r="X132"/>
      <c r="Y132"/>
      <c r="Z132"/>
    </row>
    <row r="133" spans="14:26" hidden="1" x14ac:dyDescent="0.25">
      <c r="N133"/>
      <c r="O133"/>
      <c r="P133"/>
      <c r="Q133"/>
      <c r="R133"/>
      <c r="S133"/>
      <c r="T133"/>
      <c r="U133"/>
      <c r="V133"/>
      <c r="W133"/>
      <c r="X133"/>
      <c r="Y133"/>
      <c r="Z133"/>
    </row>
    <row r="134" spans="14:26" hidden="1" x14ac:dyDescent="0.25">
      <c r="N134"/>
      <c r="O134"/>
      <c r="P134"/>
      <c r="Q134"/>
      <c r="R134"/>
      <c r="S134"/>
      <c r="T134"/>
      <c r="U134"/>
      <c r="V134"/>
      <c r="W134"/>
      <c r="X134"/>
      <c r="Y134"/>
      <c r="Z134"/>
    </row>
    <row r="135" spans="14:26" hidden="1" x14ac:dyDescent="0.25">
      <c r="N135"/>
      <c r="O135"/>
      <c r="P135"/>
      <c r="Q135"/>
      <c r="R135"/>
      <c r="S135"/>
      <c r="T135"/>
      <c r="U135"/>
      <c r="V135"/>
      <c r="W135"/>
      <c r="X135"/>
      <c r="Y135"/>
      <c r="Z135"/>
    </row>
    <row r="136" spans="14:26" hidden="1" x14ac:dyDescent="0.25">
      <c r="N136"/>
      <c r="O136"/>
      <c r="P136"/>
      <c r="Q136"/>
      <c r="R136"/>
      <c r="S136"/>
      <c r="T136"/>
      <c r="U136"/>
      <c r="V136"/>
      <c r="W136"/>
      <c r="X136"/>
      <c r="Y136"/>
      <c r="Z136"/>
    </row>
    <row r="137" spans="14:26" hidden="1" x14ac:dyDescent="0.25">
      <c r="N137"/>
      <c r="O137"/>
      <c r="P137"/>
      <c r="Q137"/>
      <c r="R137"/>
      <c r="S137"/>
      <c r="T137"/>
      <c r="U137"/>
      <c r="V137"/>
      <c r="W137"/>
      <c r="X137"/>
      <c r="Y137"/>
      <c r="Z137"/>
    </row>
    <row r="138" spans="14:26" hidden="1" x14ac:dyDescent="0.25">
      <c r="N138"/>
      <c r="O138"/>
      <c r="P138"/>
      <c r="Q138"/>
      <c r="R138"/>
      <c r="S138"/>
      <c r="T138"/>
      <c r="U138"/>
      <c r="V138"/>
      <c r="W138"/>
      <c r="X138"/>
      <c r="Y138"/>
      <c r="Z138"/>
    </row>
    <row r="139" spans="14:26" hidden="1" x14ac:dyDescent="0.25">
      <c r="N139"/>
      <c r="O139"/>
      <c r="P139"/>
      <c r="Q139"/>
      <c r="R139"/>
      <c r="S139"/>
      <c r="T139"/>
      <c r="U139"/>
      <c r="V139"/>
      <c r="W139"/>
      <c r="X139"/>
      <c r="Y139"/>
      <c r="Z139"/>
    </row>
    <row r="140" spans="14:26" hidden="1" x14ac:dyDescent="0.25">
      <c r="N140"/>
      <c r="O140"/>
      <c r="P140"/>
      <c r="Q140"/>
      <c r="R140"/>
      <c r="S140"/>
      <c r="T140"/>
      <c r="U140"/>
      <c r="V140"/>
      <c r="W140"/>
      <c r="X140"/>
      <c r="Y140"/>
      <c r="Z140"/>
    </row>
    <row r="141" spans="14:26" hidden="1" x14ac:dyDescent="0.25">
      <c r="N141"/>
      <c r="O141"/>
      <c r="P141"/>
      <c r="Q141"/>
      <c r="R141"/>
      <c r="S141"/>
      <c r="T141"/>
      <c r="U141"/>
      <c r="V141"/>
      <c r="W141"/>
      <c r="X141"/>
      <c r="Y141"/>
      <c r="Z141"/>
    </row>
    <row r="142" spans="14:26" hidden="1" x14ac:dyDescent="0.25">
      <c r="N142"/>
      <c r="O142"/>
      <c r="P142"/>
      <c r="Q142"/>
      <c r="R142"/>
      <c r="S142"/>
      <c r="T142"/>
      <c r="U142"/>
      <c r="V142"/>
      <c r="W142"/>
      <c r="X142"/>
      <c r="Y142"/>
      <c r="Z142"/>
    </row>
    <row r="143" spans="14:26" hidden="1" x14ac:dyDescent="0.25">
      <c r="N143"/>
      <c r="O143"/>
      <c r="P143"/>
      <c r="Q143"/>
      <c r="R143"/>
      <c r="S143"/>
      <c r="T143"/>
      <c r="U143"/>
      <c r="V143"/>
      <c r="W143"/>
      <c r="X143"/>
      <c r="Y143"/>
      <c r="Z143"/>
    </row>
    <row r="144" spans="14:26" hidden="1" x14ac:dyDescent="0.25">
      <c r="N144"/>
      <c r="O144"/>
      <c r="P144"/>
      <c r="Q144"/>
      <c r="R144"/>
      <c r="S144"/>
      <c r="T144"/>
      <c r="U144"/>
      <c r="V144"/>
      <c r="W144"/>
      <c r="X144"/>
      <c r="Y144"/>
      <c r="Z144"/>
    </row>
    <row r="145" spans="14:26" hidden="1" x14ac:dyDescent="0.25">
      <c r="N145"/>
      <c r="O145"/>
      <c r="P145"/>
      <c r="Q145"/>
      <c r="R145"/>
      <c r="S145"/>
      <c r="T145"/>
      <c r="U145"/>
      <c r="V145"/>
      <c r="W145"/>
      <c r="X145"/>
      <c r="Y145"/>
      <c r="Z145"/>
    </row>
    <row r="146" spans="14:26" hidden="1" x14ac:dyDescent="0.25">
      <c r="N146"/>
      <c r="O146"/>
      <c r="P146"/>
      <c r="Q146"/>
      <c r="R146"/>
      <c r="S146"/>
      <c r="T146"/>
      <c r="U146"/>
      <c r="V146"/>
      <c r="W146"/>
      <c r="X146"/>
      <c r="Y146"/>
      <c r="Z146"/>
    </row>
    <row r="147" spans="14:26" hidden="1" x14ac:dyDescent="0.25">
      <c r="N147"/>
      <c r="O147"/>
      <c r="P147"/>
      <c r="Q147"/>
      <c r="R147"/>
      <c r="S147"/>
      <c r="T147"/>
      <c r="U147"/>
      <c r="V147"/>
      <c r="W147"/>
      <c r="X147"/>
      <c r="Y147"/>
      <c r="Z147"/>
    </row>
    <row r="148" spans="14:26" hidden="1" x14ac:dyDescent="0.25">
      <c r="N148"/>
      <c r="O148"/>
      <c r="P148"/>
      <c r="Q148"/>
      <c r="R148"/>
      <c r="S148"/>
      <c r="T148"/>
      <c r="U148"/>
      <c r="V148"/>
      <c r="W148"/>
      <c r="X148"/>
      <c r="Y148"/>
      <c r="Z148"/>
    </row>
    <row r="149" spans="14:26" hidden="1" x14ac:dyDescent="0.25">
      <c r="N149"/>
      <c r="O149"/>
      <c r="P149"/>
      <c r="Q149"/>
      <c r="R149"/>
      <c r="S149"/>
      <c r="T149"/>
      <c r="U149"/>
      <c r="V149"/>
      <c r="W149"/>
      <c r="X149"/>
      <c r="Y149"/>
      <c r="Z149"/>
    </row>
    <row r="150" spans="14:26" hidden="1" x14ac:dyDescent="0.25">
      <c r="N150"/>
      <c r="O150"/>
      <c r="P150"/>
      <c r="Q150"/>
      <c r="R150"/>
      <c r="S150"/>
      <c r="T150"/>
      <c r="U150"/>
      <c r="V150"/>
      <c r="W150"/>
      <c r="X150"/>
      <c r="Y150"/>
      <c r="Z150"/>
    </row>
    <row r="151" spans="14:26" hidden="1" x14ac:dyDescent="0.25">
      <c r="N151"/>
      <c r="O151"/>
      <c r="P151"/>
      <c r="Q151"/>
      <c r="R151"/>
      <c r="S151"/>
      <c r="T151"/>
      <c r="U151"/>
      <c r="V151"/>
      <c r="W151"/>
      <c r="X151"/>
      <c r="Y151"/>
      <c r="Z151"/>
    </row>
    <row r="152" spans="14:26" hidden="1" x14ac:dyDescent="0.25">
      <c r="N152"/>
      <c r="O152"/>
      <c r="P152"/>
      <c r="Q152"/>
      <c r="R152"/>
      <c r="S152"/>
      <c r="T152"/>
      <c r="U152"/>
      <c r="V152"/>
      <c r="W152"/>
      <c r="X152"/>
      <c r="Y152"/>
      <c r="Z152"/>
    </row>
    <row r="153" spans="14:26" hidden="1" x14ac:dyDescent="0.25">
      <c r="N153"/>
      <c r="O153"/>
      <c r="P153"/>
      <c r="Q153"/>
      <c r="R153"/>
      <c r="S153"/>
      <c r="T153"/>
      <c r="U153"/>
      <c r="V153"/>
      <c r="W153"/>
      <c r="X153"/>
      <c r="Y153"/>
      <c r="Z153"/>
    </row>
    <row r="154" spans="14:26" hidden="1" x14ac:dyDescent="0.25">
      <c r="N154"/>
      <c r="O154"/>
      <c r="P154"/>
      <c r="Q154"/>
      <c r="R154"/>
      <c r="S154"/>
      <c r="T154"/>
      <c r="U154"/>
      <c r="V154"/>
      <c r="W154"/>
      <c r="X154"/>
      <c r="Y154"/>
      <c r="Z154"/>
    </row>
    <row r="155" spans="14:26" hidden="1" x14ac:dyDescent="0.25">
      <c r="N155"/>
      <c r="O155"/>
      <c r="P155"/>
      <c r="Q155"/>
      <c r="R155"/>
      <c r="S155"/>
      <c r="T155"/>
      <c r="U155"/>
      <c r="V155"/>
      <c r="W155"/>
      <c r="X155"/>
      <c r="Y155"/>
      <c r="Z155"/>
    </row>
    <row r="156" spans="14:26" hidden="1" x14ac:dyDescent="0.25">
      <c r="N156"/>
      <c r="O156"/>
      <c r="P156"/>
      <c r="Q156"/>
      <c r="R156"/>
      <c r="S156"/>
      <c r="T156"/>
      <c r="U156"/>
      <c r="V156"/>
      <c r="W156"/>
      <c r="X156"/>
      <c r="Y156"/>
      <c r="Z156"/>
    </row>
    <row r="157" spans="14:26" hidden="1" x14ac:dyDescent="0.25">
      <c r="N157"/>
      <c r="O157"/>
      <c r="P157"/>
      <c r="Q157"/>
      <c r="R157"/>
      <c r="S157"/>
      <c r="T157"/>
      <c r="U157"/>
      <c r="V157"/>
      <c r="W157"/>
      <c r="X157"/>
      <c r="Y157"/>
      <c r="Z157"/>
    </row>
    <row r="158" spans="14:26" hidden="1" x14ac:dyDescent="0.25">
      <c r="N158"/>
      <c r="O158"/>
      <c r="P158"/>
      <c r="Q158"/>
      <c r="R158"/>
      <c r="S158"/>
      <c r="T158"/>
      <c r="U158"/>
      <c r="V158"/>
      <c r="W158"/>
      <c r="X158"/>
      <c r="Y158"/>
      <c r="Z158"/>
    </row>
    <row r="159" spans="14:26" hidden="1" x14ac:dyDescent="0.25">
      <c r="N159"/>
      <c r="O159"/>
      <c r="P159"/>
      <c r="Q159"/>
      <c r="R159"/>
      <c r="S159"/>
      <c r="T159"/>
      <c r="U159"/>
      <c r="V159"/>
      <c r="W159"/>
      <c r="X159"/>
      <c r="Y159"/>
      <c r="Z159"/>
    </row>
    <row r="160" spans="14:26" hidden="1" x14ac:dyDescent="0.25">
      <c r="N160"/>
      <c r="O160"/>
      <c r="P160"/>
      <c r="Q160"/>
      <c r="R160"/>
      <c r="S160"/>
      <c r="T160"/>
      <c r="U160"/>
      <c r="V160"/>
      <c r="W160"/>
      <c r="X160"/>
      <c r="Y160"/>
      <c r="Z160"/>
    </row>
    <row r="161" spans="14:26" hidden="1" x14ac:dyDescent="0.25">
      <c r="N161"/>
      <c r="O161"/>
      <c r="P161"/>
      <c r="Q161"/>
      <c r="R161"/>
      <c r="S161"/>
      <c r="T161"/>
      <c r="U161"/>
      <c r="V161"/>
      <c r="W161"/>
      <c r="X161"/>
      <c r="Y161"/>
      <c r="Z161"/>
    </row>
    <row r="162" spans="14:26" hidden="1" x14ac:dyDescent="0.25">
      <c r="N162"/>
      <c r="O162"/>
      <c r="P162"/>
      <c r="Q162"/>
      <c r="R162"/>
      <c r="S162"/>
      <c r="T162"/>
      <c r="U162"/>
      <c r="V162"/>
      <c r="W162"/>
      <c r="X162"/>
      <c r="Y162"/>
      <c r="Z162"/>
    </row>
    <row r="163" spans="14:26" hidden="1" x14ac:dyDescent="0.25">
      <c r="N163"/>
      <c r="O163"/>
      <c r="P163"/>
      <c r="Q163"/>
      <c r="R163"/>
      <c r="S163"/>
      <c r="T163"/>
      <c r="U163"/>
      <c r="V163"/>
      <c r="W163"/>
      <c r="X163"/>
      <c r="Y163"/>
      <c r="Z163"/>
    </row>
    <row r="164" spans="14:26" hidden="1" x14ac:dyDescent="0.25">
      <c r="N164"/>
      <c r="O164"/>
      <c r="P164"/>
      <c r="Q164"/>
      <c r="R164"/>
      <c r="S164"/>
      <c r="T164"/>
      <c r="U164"/>
      <c r="V164"/>
      <c r="W164"/>
      <c r="X164"/>
      <c r="Y164"/>
      <c r="Z164"/>
    </row>
    <row r="165" spans="14:26" hidden="1" x14ac:dyDescent="0.25">
      <c r="N165"/>
      <c r="O165"/>
      <c r="P165"/>
      <c r="Q165"/>
      <c r="R165"/>
      <c r="S165"/>
      <c r="T165"/>
      <c r="U165"/>
      <c r="V165"/>
      <c r="W165"/>
      <c r="X165"/>
      <c r="Y165"/>
      <c r="Z165"/>
    </row>
    <row r="166" spans="14:26" hidden="1" x14ac:dyDescent="0.25">
      <c r="N166"/>
      <c r="O166"/>
      <c r="P166"/>
      <c r="Q166"/>
      <c r="R166"/>
      <c r="S166"/>
      <c r="T166"/>
      <c r="U166"/>
      <c r="V166"/>
      <c r="W166"/>
      <c r="X166"/>
      <c r="Y166"/>
      <c r="Z166"/>
    </row>
    <row r="167" spans="14:26" hidden="1" x14ac:dyDescent="0.25">
      <c r="N167"/>
      <c r="O167"/>
      <c r="P167"/>
      <c r="Q167"/>
      <c r="R167"/>
      <c r="S167"/>
      <c r="T167"/>
      <c r="U167"/>
      <c r="V167"/>
      <c r="W167"/>
      <c r="X167"/>
      <c r="Y167"/>
      <c r="Z167"/>
    </row>
    <row r="168" spans="14:26" hidden="1" x14ac:dyDescent="0.25">
      <c r="N168"/>
      <c r="O168"/>
      <c r="P168"/>
      <c r="Q168"/>
      <c r="R168"/>
      <c r="S168"/>
      <c r="T168"/>
      <c r="U168"/>
      <c r="V168"/>
      <c r="W168"/>
      <c r="X168"/>
      <c r="Y168"/>
      <c r="Z168"/>
    </row>
    <row r="169" spans="14:26" hidden="1" x14ac:dyDescent="0.25">
      <c r="N169"/>
      <c r="O169"/>
      <c r="P169"/>
      <c r="Q169"/>
      <c r="R169"/>
      <c r="S169"/>
      <c r="T169"/>
      <c r="U169"/>
      <c r="V169"/>
      <c r="W169"/>
      <c r="X169"/>
      <c r="Y169"/>
      <c r="Z169"/>
    </row>
    <row r="170" spans="14:26" hidden="1" x14ac:dyDescent="0.25">
      <c r="N170"/>
      <c r="O170"/>
      <c r="P170"/>
      <c r="Q170"/>
      <c r="R170"/>
      <c r="S170"/>
      <c r="T170"/>
      <c r="U170"/>
      <c r="V170"/>
      <c r="W170"/>
      <c r="X170"/>
      <c r="Y170"/>
      <c r="Z170"/>
    </row>
    <row r="171" spans="14:26" hidden="1" x14ac:dyDescent="0.25">
      <c r="N171"/>
      <c r="O171"/>
      <c r="P171"/>
      <c r="Q171"/>
      <c r="R171"/>
      <c r="S171"/>
      <c r="T171"/>
      <c r="U171"/>
      <c r="V171"/>
      <c r="W171"/>
      <c r="X171"/>
      <c r="Y171"/>
      <c r="Z171"/>
    </row>
    <row r="172" spans="14:26" hidden="1" x14ac:dyDescent="0.25">
      <c r="N172"/>
      <c r="O172"/>
      <c r="P172"/>
      <c r="Q172"/>
      <c r="R172"/>
      <c r="S172"/>
      <c r="T172"/>
      <c r="U172"/>
      <c r="V172"/>
      <c r="W172"/>
      <c r="X172"/>
      <c r="Y172"/>
      <c r="Z172"/>
    </row>
    <row r="173" spans="14:26" hidden="1" x14ac:dyDescent="0.25">
      <c r="N173"/>
      <c r="O173"/>
      <c r="P173"/>
      <c r="Q173"/>
      <c r="R173"/>
      <c r="S173"/>
      <c r="T173"/>
      <c r="U173"/>
      <c r="V173"/>
      <c r="W173"/>
      <c r="X173"/>
      <c r="Y173"/>
      <c r="Z173"/>
    </row>
    <row r="174" spans="14:26" hidden="1" x14ac:dyDescent="0.25">
      <c r="N174"/>
      <c r="O174"/>
      <c r="P174"/>
      <c r="Q174"/>
      <c r="R174"/>
      <c r="S174"/>
      <c r="T174"/>
      <c r="U174"/>
      <c r="V174"/>
      <c r="W174"/>
      <c r="X174"/>
      <c r="Y174"/>
      <c r="Z174"/>
    </row>
    <row r="175" spans="14:26" hidden="1" x14ac:dyDescent="0.25">
      <c r="N175"/>
      <c r="O175"/>
      <c r="P175"/>
      <c r="Q175"/>
      <c r="R175"/>
      <c r="S175"/>
      <c r="T175"/>
      <c r="U175"/>
      <c r="V175"/>
      <c r="W175"/>
      <c r="X175"/>
      <c r="Y175"/>
      <c r="Z175"/>
    </row>
    <row r="176" spans="14:26" hidden="1" x14ac:dyDescent="0.25">
      <c r="N176"/>
      <c r="O176"/>
      <c r="P176"/>
      <c r="Q176"/>
      <c r="R176"/>
      <c r="S176"/>
      <c r="T176"/>
      <c r="U176"/>
      <c r="V176"/>
      <c r="W176"/>
      <c r="X176"/>
      <c r="Y176"/>
      <c r="Z176"/>
    </row>
    <row r="177" spans="14:26" hidden="1" x14ac:dyDescent="0.25">
      <c r="N177"/>
      <c r="O177"/>
      <c r="P177"/>
      <c r="Q177"/>
      <c r="R177"/>
      <c r="S177"/>
      <c r="T177"/>
      <c r="U177"/>
      <c r="V177"/>
      <c r="W177"/>
      <c r="X177"/>
      <c r="Y177"/>
      <c r="Z177"/>
    </row>
    <row r="178" spans="14:26" hidden="1" x14ac:dyDescent="0.25">
      <c r="N178"/>
      <c r="O178"/>
      <c r="P178"/>
      <c r="Q178"/>
      <c r="R178"/>
      <c r="S178"/>
      <c r="T178"/>
      <c r="U178"/>
      <c r="V178"/>
      <c r="W178"/>
      <c r="X178"/>
      <c r="Y178"/>
      <c r="Z178"/>
    </row>
    <row r="179" spans="14:26" hidden="1" x14ac:dyDescent="0.25">
      <c r="N179"/>
      <c r="O179"/>
      <c r="P179"/>
      <c r="Q179"/>
      <c r="R179"/>
      <c r="S179"/>
      <c r="T179"/>
      <c r="U179"/>
      <c r="V179"/>
      <c r="W179"/>
      <c r="X179"/>
      <c r="Y179"/>
      <c r="Z179"/>
    </row>
    <row r="180" spans="14:26" hidden="1" x14ac:dyDescent="0.25">
      <c r="N180"/>
      <c r="O180"/>
      <c r="P180"/>
      <c r="Q180"/>
      <c r="R180"/>
      <c r="S180"/>
      <c r="T180"/>
      <c r="U180"/>
      <c r="V180"/>
      <c r="W180"/>
      <c r="X180"/>
      <c r="Y180"/>
      <c r="Z180"/>
    </row>
    <row r="181" spans="14:26" hidden="1" x14ac:dyDescent="0.25">
      <c r="N181"/>
      <c r="O181"/>
      <c r="P181"/>
      <c r="Q181"/>
      <c r="R181"/>
      <c r="S181"/>
      <c r="T181"/>
      <c r="U181"/>
      <c r="V181"/>
      <c r="W181"/>
      <c r="X181"/>
      <c r="Y181"/>
      <c r="Z181"/>
    </row>
    <row r="182" spans="14:26" hidden="1" x14ac:dyDescent="0.25">
      <c r="N182"/>
      <c r="O182"/>
      <c r="P182"/>
      <c r="Q182"/>
      <c r="R182"/>
      <c r="S182"/>
      <c r="T182"/>
      <c r="U182"/>
      <c r="V182"/>
      <c r="W182"/>
      <c r="X182"/>
      <c r="Y182"/>
      <c r="Z182"/>
    </row>
    <row r="183" spans="14:26" hidden="1" x14ac:dyDescent="0.25">
      <c r="N183"/>
      <c r="O183"/>
      <c r="P183"/>
      <c r="Q183"/>
      <c r="R183"/>
      <c r="S183"/>
      <c r="T183"/>
      <c r="U183"/>
      <c r="V183"/>
      <c r="W183"/>
      <c r="X183"/>
      <c r="Y183"/>
      <c r="Z183"/>
    </row>
    <row r="184" spans="14:26" hidden="1" x14ac:dyDescent="0.25">
      <c r="N184"/>
      <c r="O184"/>
      <c r="P184"/>
      <c r="Q184"/>
      <c r="R184"/>
      <c r="S184"/>
      <c r="T184"/>
      <c r="U184"/>
      <c r="V184"/>
      <c r="W184"/>
      <c r="X184"/>
      <c r="Y184"/>
      <c r="Z184"/>
    </row>
    <row r="185" spans="14:26" hidden="1" x14ac:dyDescent="0.25">
      <c r="N185"/>
      <c r="O185"/>
      <c r="P185"/>
      <c r="Q185"/>
      <c r="R185"/>
      <c r="S185"/>
      <c r="T185"/>
      <c r="U185"/>
      <c r="V185"/>
      <c r="W185"/>
      <c r="X185"/>
      <c r="Y185"/>
      <c r="Z185"/>
    </row>
    <row r="186" spans="14:26" hidden="1" x14ac:dyDescent="0.25">
      <c r="N186"/>
      <c r="O186"/>
      <c r="P186"/>
      <c r="Q186"/>
      <c r="R186"/>
      <c r="S186"/>
      <c r="T186"/>
      <c r="U186"/>
      <c r="V186"/>
      <c r="W186"/>
      <c r="X186"/>
      <c r="Y186"/>
      <c r="Z186"/>
    </row>
    <row r="187" spans="14:26" hidden="1" x14ac:dyDescent="0.25">
      <c r="N187"/>
      <c r="O187"/>
      <c r="P187"/>
      <c r="Q187"/>
      <c r="R187"/>
      <c r="S187"/>
      <c r="T187"/>
      <c r="U187"/>
      <c r="V187"/>
      <c r="W187"/>
      <c r="X187"/>
      <c r="Y187"/>
      <c r="Z187"/>
    </row>
    <row r="188" spans="14:26" hidden="1" x14ac:dyDescent="0.25">
      <c r="N188"/>
      <c r="O188"/>
      <c r="P188"/>
      <c r="Q188"/>
      <c r="R188"/>
      <c r="S188"/>
      <c r="T188"/>
      <c r="U188"/>
      <c r="V188"/>
      <c r="W188"/>
      <c r="X188"/>
      <c r="Y188"/>
      <c r="Z188"/>
    </row>
    <row r="189" spans="14:26" hidden="1" x14ac:dyDescent="0.25">
      <c r="N189"/>
      <c r="O189"/>
      <c r="P189"/>
      <c r="Q189"/>
      <c r="R189"/>
      <c r="S189"/>
      <c r="T189"/>
      <c r="U189"/>
      <c r="V189"/>
      <c r="W189"/>
      <c r="X189"/>
      <c r="Y189"/>
      <c r="Z189"/>
    </row>
    <row r="190" spans="14:26" hidden="1" x14ac:dyDescent="0.25">
      <c r="N190"/>
      <c r="O190"/>
      <c r="P190"/>
      <c r="Q190"/>
      <c r="R190"/>
      <c r="S190"/>
      <c r="T190"/>
      <c r="U190"/>
      <c r="V190"/>
      <c r="W190"/>
      <c r="X190"/>
      <c r="Y190"/>
      <c r="Z190"/>
    </row>
    <row r="191" spans="14:26" hidden="1" x14ac:dyDescent="0.25">
      <c r="N191"/>
      <c r="O191"/>
      <c r="P191"/>
      <c r="Q191"/>
      <c r="R191"/>
      <c r="S191"/>
      <c r="T191"/>
      <c r="U191"/>
      <c r="V191"/>
      <c r="W191"/>
      <c r="X191"/>
      <c r="Y191"/>
      <c r="Z191"/>
    </row>
    <row r="192" spans="14:26" hidden="1" x14ac:dyDescent="0.25">
      <c r="N192"/>
      <c r="O192"/>
      <c r="P192"/>
      <c r="Q192"/>
      <c r="R192"/>
      <c r="S192"/>
      <c r="T192"/>
      <c r="U192"/>
      <c r="V192"/>
      <c r="W192"/>
      <c r="X192"/>
      <c r="Y192"/>
      <c r="Z192"/>
    </row>
    <row r="193" spans="14:26" hidden="1" x14ac:dyDescent="0.25">
      <c r="N193"/>
      <c r="O193"/>
      <c r="P193"/>
      <c r="Q193"/>
      <c r="R193"/>
      <c r="S193"/>
      <c r="T193"/>
      <c r="U193"/>
      <c r="V193"/>
      <c r="W193"/>
      <c r="X193"/>
      <c r="Y193"/>
      <c r="Z193"/>
    </row>
    <row r="194" spans="14:26" hidden="1" x14ac:dyDescent="0.25">
      <c r="N194"/>
      <c r="O194"/>
      <c r="P194"/>
      <c r="Q194"/>
      <c r="R194"/>
      <c r="S194"/>
      <c r="T194"/>
      <c r="U194"/>
      <c r="V194"/>
      <c r="W194"/>
      <c r="X194"/>
      <c r="Y194"/>
      <c r="Z194"/>
    </row>
    <row r="195" spans="14:26" hidden="1" x14ac:dyDescent="0.25">
      <c r="N195"/>
      <c r="O195"/>
      <c r="P195"/>
      <c r="Q195"/>
      <c r="R195"/>
      <c r="S195"/>
      <c r="T195"/>
      <c r="U195"/>
      <c r="V195"/>
      <c r="W195"/>
      <c r="X195"/>
      <c r="Y195"/>
      <c r="Z195"/>
    </row>
    <row r="196" spans="14:26" hidden="1" x14ac:dyDescent="0.25">
      <c r="N196"/>
      <c r="O196"/>
      <c r="P196"/>
      <c r="Q196"/>
      <c r="R196"/>
      <c r="S196"/>
      <c r="T196"/>
      <c r="U196"/>
      <c r="V196"/>
      <c r="W196"/>
      <c r="X196"/>
      <c r="Y196"/>
      <c r="Z196"/>
    </row>
    <row r="197" spans="14:26" hidden="1" x14ac:dyDescent="0.25">
      <c r="N197"/>
      <c r="O197"/>
      <c r="P197"/>
      <c r="Q197"/>
      <c r="R197"/>
      <c r="S197"/>
      <c r="T197"/>
      <c r="U197"/>
      <c r="V197"/>
      <c r="W197"/>
      <c r="X197"/>
      <c r="Y197"/>
      <c r="Z197"/>
    </row>
    <row r="198" spans="14:26" hidden="1" x14ac:dyDescent="0.25">
      <c r="N198"/>
      <c r="O198"/>
      <c r="P198"/>
      <c r="Q198"/>
      <c r="R198"/>
      <c r="S198"/>
      <c r="T198"/>
      <c r="U198"/>
      <c r="V198"/>
      <c r="W198"/>
      <c r="X198"/>
      <c r="Y198"/>
      <c r="Z198"/>
    </row>
    <row r="199" spans="14:26" hidden="1" x14ac:dyDescent="0.25">
      <c r="N199"/>
      <c r="O199"/>
      <c r="P199"/>
      <c r="Q199"/>
      <c r="R199"/>
      <c r="S199"/>
      <c r="T199"/>
      <c r="U199"/>
      <c r="V199"/>
      <c r="W199"/>
      <c r="X199"/>
      <c r="Y199"/>
      <c r="Z199"/>
    </row>
    <row r="200" spans="14:26" hidden="1" x14ac:dyDescent="0.25">
      <c r="N200"/>
      <c r="O200"/>
      <c r="P200"/>
      <c r="Q200"/>
      <c r="R200"/>
      <c r="S200"/>
      <c r="T200"/>
      <c r="U200"/>
      <c r="V200"/>
      <c r="W200"/>
      <c r="X200"/>
      <c r="Y200"/>
      <c r="Z200"/>
    </row>
    <row r="201" spans="14:26" hidden="1" x14ac:dyDescent="0.25">
      <c r="N201"/>
      <c r="O201"/>
      <c r="P201"/>
      <c r="Q201"/>
      <c r="R201"/>
      <c r="S201"/>
      <c r="T201"/>
      <c r="U201"/>
      <c r="V201"/>
      <c r="W201"/>
      <c r="X201"/>
      <c r="Y201"/>
      <c r="Z201"/>
    </row>
    <row r="202" spans="14:26" hidden="1" x14ac:dyDescent="0.25">
      <c r="N202"/>
      <c r="O202"/>
      <c r="P202"/>
      <c r="Q202"/>
      <c r="R202"/>
      <c r="S202"/>
      <c r="T202"/>
      <c r="U202"/>
      <c r="V202"/>
      <c r="W202"/>
      <c r="X202"/>
      <c r="Y202"/>
      <c r="Z202"/>
    </row>
    <row r="203" spans="14:26" hidden="1" x14ac:dyDescent="0.25">
      <c r="N203"/>
      <c r="O203"/>
      <c r="P203"/>
      <c r="Q203"/>
      <c r="R203"/>
      <c r="S203"/>
      <c r="T203"/>
      <c r="U203"/>
      <c r="V203"/>
      <c r="W203"/>
      <c r="X203"/>
      <c r="Y203"/>
      <c r="Z203"/>
    </row>
    <row r="204" spans="14:26" hidden="1" x14ac:dyDescent="0.25">
      <c r="N204"/>
      <c r="O204"/>
      <c r="P204"/>
      <c r="Q204"/>
      <c r="R204"/>
      <c r="S204"/>
      <c r="T204"/>
      <c r="U204"/>
      <c r="V204"/>
      <c r="W204"/>
      <c r="X204"/>
      <c r="Y204"/>
      <c r="Z204"/>
    </row>
    <row r="205" spans="14:26" hidden="1" x14ac:dyDescent="0.25">
      <c r="N205"/>
      <c r="O205"/>
      <c r="P205"/>
      <c r="Q205"/>
      <c r="R205"/>
      <c r="S205"/>
      <c r="T205"/>
      <c r="U205"/>
      <c r="V205"/>
      <c r="W205"/>
      <c r="X205"/>
      <c r="Y205"/>
      <c r="Z205"/>
    </row>
    <row r="206" spans="14:26" hidden="1" x14ac:dyDescent="0.25">
      <c r="N206"/>
      <c r="O206"/>
      <c r="P206"/>
      <c r="Q206"/>
      <c r="R206"/>
      <c r="S206"/>
      <c r="T206"/>
      <c r="U206"/>
      <c r="V206"/>
      <c r="W206"/>
      <c r="X206"/>
      <c r="Y206"/>
      <c r="Z206"/>
    </row>
    <row r="207" spans="14:26" hidden="1" x14ac:dyDescent="0.25">
      <c r="N207"/>
      <c r="O207"/>
      <c r="P207"/>
      <c r="Q207"/>
      <c r="R207"/>
      <c r="S207"/>
      <c r="T207"/>
      <c r="U207"/>
      <c r="V207"/>
      <c r="W207"/>
      <c r="X207"/>
      <c r="Y207"/>
      <c r="Z207"/>
    </row>
    <row r="208" spans="14:26" hidden="1" x14ac:dyDescent="0.25">
      <c r="N208"/>
      <c r="O208"/>
      <c r="P208"/>
      <c r="Q208"/>
      <c r="R208"/>
      <c r="S208"/>
      <c r="T208"/>
      <c r="U208"/>
      <c r="V208"/>
      <c r="W208"/>
      <c r="X208"/>
      <c r="Y208"/>
      <c r="Z208"/>
    </row>
    <row r="209" spans="14:26" hidden="1" x14ac:dyDescent="0.25">
      <c r="N209"/>
      <c r="O209"/>
      <c r="P209"/>
      <c r="Q209"/>
      <c r="R209"/>
      <c r="S209"/>
      <c r="T209"/>
      <c r="U209"/>
      <c r="V209"/>
      <c r="W209"/>
      <c r="X209"/>
      <c r="Y209"/>
      <c r="Z209"/>
    </row>
    <row r="210" spans="14:26" hidden="1" x14ac:dyDescent="0.25">
      <c r="N210"/>
      <c r="O210"/>
      <c r="P210"/>
      <c r="Q210"/>
      <c r="R210"/>
      <c r="S210"/>
      <c r="T210"/>
      <c r="U210"/>
      <c r="V210"/>
      <c r="W210"/>
      <c r="X210"/>
      <c r="Y210"/>
      <c r="Z210"/>
    </row>
    <row r="211" spans="14:26" hidden="1" x14ac:dyDescent="0.25">
      <c r="N211"/>
      <c r="O211"/>
      <c r="P211"/>
      <c r="Q211"/>
      <c r="R211"/>
      <c r="S211"/>
      <c r="T211"/>
      <c r="U211"/>
      <c r="V211"/>
      <c r="W211"/>
      <c r="X211"/>
      <c r="Y211"/>
      <c r="Z211"/>
    </row>
    <row r="212" spans="14:26" hidden="1" x14ac:dyDescent="0.25">
      <c r="N212"/>
      <c r="O212"/>
      <c r="P212"/>
      <c r="Q212"/>
      <c r="R212"/>
      <c r="S212"/>
      <c r="T212"/>
      <c r="U212"/>
      <c r="V212"/>
      <c r="W212"/>
      <c r="X212"/>
      <c r="Y212"/>
      <c r="Z212"/>
    </row>
    <row r="213" spans="14:26" hidden="1" x14ac:dyDescent="0.25">
      <c r="N213"/>
      <c r="O213"/>
      <c r="P213"/>
      <c r="Q213"/>
      <c r="R213"/>
      <c r="S213"/>
      <c r="T213"/>
      <c r="U213"/>
      <c r="V213"/>
      <c r="W213"/>
      <c r="X213"/>
      <c r="Y213"/>
      <c r="Z213"/>
    </row>
    <row r="214" spans="14:26" hidden="1" x14ac:dyDescent="0.25">
      <c r="N214"/>
      <c r="O214"/>
      <c r="P214"/>
      <c r="Q214"/>
      <c r="R214"/>
      <c r="S214"/>
      <c r="T214"/>
      <c r="U214"/>
      <c r="V214"/>
      <c r="W214"/>
      <c r="X214"/>
      <c r="Y214"/>
      <c r="Z214"/>
    </row>
    <row r="215" spans="14:26" hidden="1" x14ac:dyDescent="0.25">
      <c r="N215"/>
      <c r="O215"/>
      <c r="P215"/>
      <c r="Q215"/>
      <c r="R215"/>
      <c r="S215"/>
      <c r="T215"/>
      <c r="U215"/>
      <c r="V215"/>
      <c r="W215"/>
      <c r="X215"/>
      <c r="Y215"/>
      <c r="Z215"/>
    </row>
    <row r="216" spans="14:26" hidden="1" x14ac:dyDescent="0.25">
      <c r="N216"/>
      <c r="O216"/>
      <c r="P216"/>
      <c r="Q216"/>
      <c r="R216"/>
      <c r="S216"/>
      <c r="T216"/>
      <c r="U216"/>
      <c r="V216"/>
      <c r="W216"/>
      <c r="X216"/>
      <c r="Y216"/>
      <c r="Z216"/>
    </row>
    <row r="217" spans="14:26" hidden="1" x14ac:dyDescent="0.25">
      <c r="N217"/>
      <c r="O217"/>
      <c r="P217"/>
      <c r="Q217"/>
      <c r="R217"/>
      <c r="S217"/>
      <c r="T217"/>
      <c r="U217"/>
      <c r="V217"/>
      <c r="W217"/>
      <c r="X217"/>
      <c r="Y217"/>
      <c r="Z217"/>
    </row>
    <row r="218" spans="14:26" hidden="1" x14ac:dyDescent="0.25">
      <c r="N218"/>
      <c r="O218"/>
      <c r="P218"/>
      <c r="Q218"/>
      <c r="R218"/>
      <c r="S218"/>
      <c r="T218"/>
      <c r="U218"/>
      <c r="V218"/>
      <c r="W218"/>
      <c r="X218"/>
      <c r="Y218"/>
      <c r="Z218"/>
    </row>
    <row r="219" spans="14:26" hidden="1" x14ac:dyDescent="0.25">
      <c r="N219"/>
      <c r="O219"/>
      <c r="P219"/>
      <c r="Q219"/>
      <c r="R219"/>
      <c r="S219"/>
      <c r="T219"/>
      <c r="U219"/>
      <c r="V219"/>
      <c r="W219"/>
      <c r="X219"/>
      <c r="Y219"/>
      <c r="Z219"/>
    </row>
    <row r="220" spans="14:26" hidden="1" x14ac:dyDescent="0.25">
      <c r="N220"/>
      <c r="O220"/>
      <c r="P220"/>
      <c r="Q220"/>
      <c r="R220"/>
      <c r="S220"/>
      <c r="T220"/>
      <c r="U220"/>
      <c r="V220"/>
      <c r="W220"/>
      <c r="X220"/>
      <c r="Y220"/>
      <c r="Z220"/>
    </row>
    <row r="221" spans="14:26" hidden="1" x14ac:dyDescent="0.25">
      <c r="N221"/>
      <c r="O221"/>
      <c r="P221"/>
      <c r="Q221"/>
      <c r="R221"/>
      <c r="S221"/>
      <c r="T221"/>
      <c r="U221"/>
      <c r="V221"/>
      <c r="W221"/>
      <c r="X221"/>
      <c r="Y221"/>
      <c r="Z221"/>
    </row>
    <row r="222" spans="14:26" hidden="1" x14ac:dyDescent="0.25">
      <c r="N222"/>
      <c r="O222"/>
      <c r="P222"/>
      <c r="Q222"/>
      <c r="R222"/>
      <c r="S222"/>
      <c r="T222"/>
      <c r="U222"/>
      <c r="V222"/>
      <c r="W222"/>
      <c r="X222"/>
      <c r="Y222"/>
      <c r="Z222"/>
    </row>
    <row r="223" spans="14:26" hidden="1" x14ac:dyDescent="0.25">
      <c r="N223"/>
      <c r="O223"/>
      <c r="P223"/>
      <c r="Q223"/>
      <c r="R223"/>
      <c r="S223"/>
      <c r="T223"/>
      <c r="U223"/>
      <c r="V223"/>
      <c r="W223"/>
      <c r="X223"/>
      <c r="Y223"/>
      <c r="Z223"/>
    </row>
    <row r="224" spans="14:26" hidden="1" x14ac:dyDescent="0.25">
      <c r="N224"/>
      <c r="O224"/>
      <c r="P224"/>
      <c r="Q224"/>
      <c r="R224"/>
      <c r="S224"/>
      <c r="T224"/>
      <c r="U224"/>
      <c r="V224"/>
      <c r="W224"/>
      <c r="X224"/>
      <c r="Y224"/>
      <c r="Z224"/>
    </row>
    <row r="225" spans="14:26" hidden="1" x14ac:dyDescent="0.25">
      <c r="N225"/>
      <c r="O225"/>
      <c r="P225"/>
      <c r="Q225"/>
      <c r="R225"/>
      <c r="S225"/>
      <c r="T225"/>
      <c r="U225"/>
      <c r="V225"/>
      <c r="W225"/>
      <c r="X225"/>
      <c r="Y225"/>
      <c r="Z225"/>
    </row>
    <row r="226" spans="14:26" hidden="1" x14ac:dyDescent="0.25">
      <c r="N226"/>
      <c r="O226"/>
      <c r="P226"/>
      <c r="Q226"/>
      <c r="R226"/>
      <c r="S226"/>
      <c r="T226"/>
      <c r="U226"/>
      <c r="V226"/>
      <c r="W226"/>
      <c r="X226"/>
      <c r="Y226"/>
      <c r="Z226"/>
    </row>
    <row r="227" spans="14:26" hidden="1" x14ac:dyDescent="0.25">
      <c r="N227"/>
      <c r="O227"/>
      <c r="P227"/>
      <c r="Q227"/>
      <c r="R227"/>
      <c r="S227"/>
      <c r="T227"/>
      <c r="U227"/>
      <c r="V227"/>
      <c r="W227"/>
      <c r="X227"/>
      <c r="Y227"/>
      <c r="Z227"/>
    </row>
    <row r="228" spans="14:26" hidden="1" x14ac:dyDescent="0.25">
      <c r="N228"/>
      <c r="O228"/>
      <c r="P228"/>
      <c r="Q228"/>
      <c r="R228"/>
      <c r="S228"/>
      <c r="T228"/>
      <c r="U228"/>
      <c r="V228"/>
      <c r="W228"/>
      <c r="X228"/>
      <c r="Y228"/>
      <c r="Z228"/>
    </row>
    <row r="229" spans="14:26" hidden="1" x14ac:dyDescent="0.25">
      <c r="N229"/>
      <c r="O229"/>
      <c r="P229"/>
      <c r="Q229"/>
      <c r="R229"/>
      <c r="S229"/>
      <c r="T229"/>
      <c r="U229"/>
      <c r="V229"/>
      <c r="W229"/>
      <c r="X229"/>
      <c r="Y229"/>
      <c r="Z229"/>
    </row>
    <row r="230" spans="14:26" hidden="1" x14ac:dyDescent="0.25">
      <c r="N230"/>
      <c r="O230"/>
      <c r="P230"/>
      <c r="Q230"/>
      <c r="R230"/>
      <c r="S230"/>
      <c r="T230"/>
      <c r="U230"/>
      <c r="V230"/>
      <c r="W230"/>
      <c r="X230"/>
      <c r="Y230"/>
      <c r="Z230"/>
    </row>
    <row r="231" spans="14:26" hidden="1" x14ac:dyDescent="0.25">
      <c r="N231"/>
      <c r="O231"/>
      <c r="P231"/>
      <c r="Q231"/>
      <c r="R231"/>
      <c r="S231"/>
      <c r="T231"/>
      <c r="U231"/>
      <c r="V231"/>
      <c r="W231"/>
      <c r="X231"/>
      <c r="Y231"/>
      <c r="Z231"/>
    </row>
    <row r="232" spans="14:26" hidden="1" x14ac:dyDescent="0.25">
      <c r="N232"/>
      <c r="O232"/>
      <c r="P232"/>
      <c r="Q232"/>
      <c r="R232"/>
      <c r="S232"/>
      <c r="T232"/>
      <c r="U232"/>
      <c r="V232"/>
      <c r="W232"/>
      <c r="X232"/>
      <c r="Y232"/>
      <c r="Z232"/>
    </row>
    <row r="233" spans="14:26" hidden="1" x14ac:dyDescent="0.25">
      <c r="N233"/>
      <c r="O233"/>
      <c r="P233"/>
      <c r="Q233"/>
      <c r="R233"/>
      <c r="S233"/>
      <c r="T233"/>
      <c r="U233"/>
      <c r="V233"/>
      <c r="W233"/>
      <c r="X233"/>
      <c r="Y233"/>
      <c r="Z233"/>
    </row>
    <row r="234" spans="14:26" hidden="1" x14ac:dyDescent="0.25">
      <c r="N234"/>
      <c r="O234"/>
      <c r="P234"/>
      <c r="Q234"/>
      <c r="R234"/>
      <c r="S234"/>
      <c r="T234"/>
      <c r="U234"/>
      <c r="V234"/>
      <c r="W234"/>
      <c r="X234"/>
      <c r="Y234"/>
      <c r="Z234"/>
    </row>
    <row r="235" spans="14:26" hidden="1" x14ac:dyDescent="0.25">
      <c r="N235"/>
      <c r="O235"/>
      <c r="P235"/>
      <c r="Q235"/>
      <c r="R235"/>
      <c r="S235"/>
      <c r="T235"/>
      <c r="U235"/>
      <c r="V235"/>
      <c r="W235"/>
      <c r="X235"/>
      <c r="Y235"/>
      <c r="Z235"/>
    </row>
    <row r="236" spans="14:26" hidden="1" x14ac:dyDescent="0.25">
      <c r="N236"/>
      <c r="O236"/>
      <c r="P236"/>
      <c r="Q236"/>
      <c r="R236"/>
      <c r="S236"/>
      <c r="T236"/>
      <c r="U236"/>
      <c r="V236"/>
      <c r="W236"/>
      <c r="X236"/>
      <c r="Y236"/>
      <c r="Z236"/>
    </row>
    <row r="237" spans="14:26" hidden="1" x14ac:dyDescent="0.25">
      <c r="N237"/>
      <c r="O237"/>
      <c r="P237"/>
      <c r="Q237"/>
      <c r="R237"/>
      <c r="S237"/>
      <c r="T237"/>
      <c r="U237"/>
      <c r="V237"/>
      <c r="W237"/>
      <c r="X237"/>
      <c r="Y237"/>
      <c r="Z237"/>
    </row>
    <row r="238" spans="14:26" hidden="1" x14ac:dyDescent="0.25">
      <c r="N238"/>
      <c r="O238"/>
      <c r="P238"/>
      <c r="Q238"/>
      <c r="R238"/>
      <c r="S238"/>
      <c r="T238"/>
      <c r="U238"/>
      <c r="V238"/>
      <c r="W238"/>
      <c r="X238"/>
      <c r="Y238"/>
      <c r="Z238"/>
    </row>
    <row r="239" spans="14:26" hidden="1" x14ac:dyDescent="0.25">
      <c r="N239"/>
      <c r="O239"/>
      <c r="P239"/>
      <c r="Q239"/>
      <c r="R239"/>
      <c r="S239"/>
      <c r="T239"/>
      <c r="U239"/>
      <c r="V239"/>
      <c r="W239"/>
      <c r="X239"/>
      <c r="Y239"/>
      <c r="Z239"/>
    </row>
    <row r="240" spans="14:26" hidden="1" x14ac:dyDescent="0.25">
      <c r="N240"/>
      <c r="O240"/>
      <c r="P240"/>
      <c r="Q240"/>
      <c r="R240"/>
      <c r="S240"/>
      <c r="T240"/>
      <c r="U240"/>
      <c r="V240"/>
      <c r="W240"/>
      <c r="X240"/>
      <c r="Y240"/>
      <c r="Z240"/>
    </row>
    <row r="241" spans="14:26" hidden="1" x14ac:dyDescent="0.25">
      <c r="N241"/>
      <c r="O241"/>
      <c r="P241"/>
      <c r="Q241"/>
      <c r="R241"/>
      <c r="S241"/>
      <c r="T241"/>
      <c r="U241"/>
      <c r="V241"/>
      <c r="W241"/>
      <c r="X241"/>
      <c r="Y241"/>
      <c r="Z241"/>
    </row>
    <row r="242" spans="14:26" hidden="1" x14ac:dyDescent="0.25">
      <c r="N242"/>
      <c r="O242"/>
      <c r="P242"/>
      <c r="Q242"/>
      <c r="R242"/>
      <c r="S242"/>
      <c r="T242"/>
      <c r="U242"/>
      <c r="V242"/>
      <c r="W242"/>
      <c r="X242"/>
      <c r="Y242"/>
      <c r="Z242"/>
    </row>
    <row r="243" spans="14:26" hidden="1" x14ac:dyDescent="0.25">
      <c r="N243"/>
      <c r="O243"/>
      <c r="P243"/>
      <c r="Q243"/>
      <c r="R243"/>
      <c r="S243"/>
      <c r="T243"/>
      <c r="U243"/>
      <c r="V243"/>
      <c r="W243"/>
      <c r="X243"/>
      <c r="Y243"/>
      <c r="Z243"/>
    </row>
    <row r="244" spans="14:26" hidden="1" x14ac:dyDescent="0.25">
      <c r="N244"/>
      <c r="O244"/>
      <c r="P244"/>
      <c r="Q244"/>
      <c r="R244"/>
      <c r="S244"/>
      <c r="T244"/>
      <c r="U244"/>
      <c r="V244"/>
      <c r="W244"/>
      <c r="X244"/>
      <c r="Y244"/>
      <c r="Z244"/>
    </row>
    <row r="245" spans="14:26" hidden="1" x14ac:dyDescent="0.25">
      <c r="N245"/>
      <c r="O245"/>
      <c r="P245"/>
      <c r="Q245"/>
      <c r="R245"/>
      <c r="S245"/>
      <c r="T245"/>
      <c r="U245"/>
      <c r="V245"/>
      <c r="W245"/>
      <c r="X245"/>
      <c r="Y245"/>
      <c r="Z245"/>
    </row>
    <row r="246" spans="14:26" hidden="1" x14ac:dyDescent="0.25">
      <c r="N246"/>
      <c r="O246"/>
      <c r="P246"/>
      <c r="Q246"/>
      <c r="R246"/>
      <c r="S246"/>
      <c r="T246"/>
      <c r="U246"/>
      <c r="V246"/>
      <c r="W246"/>
      <c r="X246"/>
      <c r="Y246"/>
      <c r="Z246"/>
    </row>
    <row r="247" spans="14:26" hidden="1" x14ac:dyDescent="0.25">
      <c r="N247"/>
      <c r="O247"/>
      <c r="P247"/>
      <c r="Q247"/>
      <c r="R247"/>
      <c r="S247"/>
      <c r="T247"/>
      <c r="U247"/>
      <c r="V247"/>
      <c r="W247"/>
      <c r="X247"/>
      <c r="Y247"/>
      <c r="Z247"/>
    </row>
    <row r="248" spans="14:26" hidden="1" x14ac:dyDescent="0.25">
      <c r="N248"/>
      <c r="O248"/>
      <c r="P248"/>
      <c r="Q248"/>
      <c r="R248"/>
      <c r="S248"/>
      <c r="T248"/>
      <c r="U248"/>
      <c r="V248"/>
      <c r="W248"/>
      <c r="X248"/>
      <c r="Y248"/>
      <c r="Z248"/>
    </row>
    <row r="249" spans="14:26" hidden="1" x14ac:dyDescent="0.25">
      <c r="N249"/>
      <c r="O249"/>
      <c r="P249"/>
      <c r="Q249"/>
      <c r="R249"/>
      <c r="S249"/>
      <c r="T249"/>
      <c r="U249"/>
      <c r="V249"/>
      <c r="W249"/>
      <c r="X249"/>
      <c r="Y249"/>
      <c r="Z249"/>
    </row>
    <row r="250" spans="14:26" hidden="1" x14ac:dyDescent="0.25">
      <c r="N250"/>
      <c r="O250"/>
      <c r="P250"/>
      <c r="Q250"/>
      <c r="R250"/>
      <c r="S250"/>
      <c r="T250"/>
      <c r="U250"/>
      <c r="V250"/>
      <c r="W250"/>
      <c r="X250"/>
      <c r="Y250"/>
      <c r="Z250"/>
    </row>
    <row r="251" spans="14:26" hidden="1" x14ac:dyDescent="0.25">
      <c r="N251"/>
      <c r="O251"/>
      <c r="P251"/>
      <c r="Q251"/>
      <c r="R251"/>
      <c r="S251"/>
      <c r="T251"/>
      <c r="U251"/>
      <c r="V251"/>
      <c r="W251"/>
      <c r="X251"/>
      <c r="Y251"/>
      <c r="Z251"/>
    </row>
    <row r="252" spans="14:26" hidden="1" x14ac:dyDescent="0.25">
      <c r="N252"/>
      <c r="O252"/>
      <c r="P252"/>
      <c r="Q252"/>
      <c r="R252"/>
      <c r="S252"/>
      <c r="T252"/>
      <c r="U252"/>
      <c r="V252"/>
      <c r="W252"/>
      <c r="X252"/>
      <c r="Y252"/>
      <c r="Z252"/>
    </row>
    <row r="253" spans="14:26" hidden="1" x14ac:dyDescent="0.25">
      <c r="N253"/>
      <c r="O253"/>
      <c r="P253"/>
      <c r="Q253"/>
      <c r="R253"/>
      <c r="S253"/>
      <c r="T253"/>
      <c r="U253"/>
      <c r="V253"/>
      <c r="W253"/>
      <c r="X253"/>
      <c r="Y253"/>
      <c r="Z253"/>
    </row>
    <row r="254" spans="14:26" hidden="1" x14ac:dyDescent="0.25">
      <c r="N254"/>
      <c r="O254"/>
      <c r="P254"/>
      <c r="Q254"/>
      <c r="R254"/>
      <c r="S254"/>
      <c r="T254"/>
      <c r="U254"/>
      <c r="V254"/>
      <c r="W254"/>
      <c r="X254"/>
      <c r="Y254"/>
      <c r="Z254"/>
    </row>
    <row r="255" spans="14:26" hidden="1" x14ac:dyDescent="0.25">
      <c r="N255"/>
      <c r="O255"/>
      <c r="P255"/>
      <c r="Q255"/>
      <c r="R255"/>
      <c r="S255"/>
      <c r="T255"/>
      <c r="U255"/>
      <c r="V255"/>
      <c r="W255"/>
      <c r="X255"/>
      <c r="Y255"/>
      <c r="Z255"/>
    </row>
    <row r="256" spans="14:26" hidden="1" x14ac:dyDescent="0.25">
      <c r="N256"/>
      <c r="O256"/>
      <c r="P256"/>
      <c r="Q256"/>
      <c r="R256"/>
      <c r="S256"/>
      <c r="T256"/>
      <c r="U256"/>
      <c r="V256"/>
      <c r="W256"/>
      <c r="X256"/>
      <c r="Y256"/>
      <c r="Z256"/>
    </row>
    <row r="257" spans="14:26" hidden="1" x14ac:dyDescent="0.25">
      <c r="N257"/>
      <c r="O257"/>
      <c r="P257"/>
      <c r="Q257"/>
      <c r="R257"/>
      <c r="S257"/>
      <c r="T257"/>
      <c r="U257"/>
      <c r="V257"/>
      <c r="W257"/>
      <c r="X257"/>
      <c r="Y257"/>
      <c r="Z257"/>
    </row>
    <row r="258" spans="14:26" hidden="1" x14ac:dyDescent="0.25">
      <c r="N258"/>
      <c r="O258"/>
      <c r="P258"/>
      <c r="Q258"/>
      <c r="R258"/>
      <c r="S258"/>
      <c r="T258"/>
      <c r="U258"/>
      <c r="V258"/>
      <c r="W258"/>
      <c r="X258"/>
      <c r="Y258"/>
      <c r="Z258"/>
    </row>
    <row r="259" spans="14:26" hidden="1" x14ac:dyDescent="0.25">
      <c r="N259"/>
      <c r="O259"/>
      <c r="P259"/>
      <c r="Q259"/>
      <c r="R259"/>
      <c r="S259"/>
      <c r="T259"/>
      <c r="U259"/>
      <c r="V259"/>
      <c r="W259"/>
      <c r="X259"/>
      <c r="Y259"/>
      <c r="Z259"/>
    </row>
    <row r="260" spans="14:26" hidden="1" x14ac:dyDescent="0.25">
      <c r="N260"/>
      <c r="O260"/>
      <c r="P260"/>
      <c r="Q260"/>
      <c r="R260"/>
      <c r="S260"/>
      <c r="T260"/>
      <c r="U260"/>
      <c r="V260"/>
      <c r="W260"/>
      <c r="X260"/>
      <c r="Y260"/>
      <c r="Z260"/>
    </row>
    <row r="261" spans="14:26" hidden="1" x14ac:dyDescent="0.25">
      <c r="N261"/>
      <c r="O261"/>
      <c r="P261"/>
      <c r="Q261"/>
      <c r="R261"/>
      <c r="S261"/>
      <c r="T261"/>
      <c r="U261"/>
      <c r="V261"/>
      <c r="W261"/>
      <c r="X261"/>
      <c r="Y261"/>
      <c r="Z261"/>
    </row>
    <row r="262" spans="14:26" hidden="1" x14ac:dyDescent="0.25">
      <c r="N262"/>
      <c r="O262"/>
      <c r="P262"/>
      <c r="Q262"/>
      <c r="R262"/>
      <c r="S262"/>
      <c r="T262"/>
      <c r="U262"/>
      <c r="V262"/>
      <c r="W262"/>
      <c r="X262"/>
      <c r="Y262"/>
      <c r="Z262"/>
    </row>
    <row r="263" spans="14:26" hidden="1" x14ac:dyDescent="0.25">
      <c r="N263"/>
      <c r="O263"/>
      <c r="P263"/>
      <c r="Q263"/>
      <c r="R263"/>
      <c r="S263"/>
      <c r="T263"/>
      <c r="U263"/>
      <c r="V263"/>
      <c r="W263"/>
      <c r="X263"/>
      <c r="Y263"/>
      <c r="Z263"/>
    </row>
    <row r="264" spans="14:26" hidden="1" x14ac:dyDescent="0.25">
      <c r="N264"/>
      <c r="O264"/>
      <c r="P264"/>
      <c r="Q264"/>
      <c r="R264"/>
      <c r="S264"/>
      <c r="T264"/>
      <c r="U264"/>
      <c r="V264"/>
      <c r="W264"/>
      <c r="X264"/>
      <c r="Y264"/>
      <c r="Z264"/>
    </row>
    <row r="265" spans="14:26" hidden="1" x14ac:dyDescent="0.25">
      <c r="N265"/>
      <c r="O265"/>
      <c r="P265"/>
      <c r="Q265"/>
      <c r="R265"/>
      <c r="S265"/>
      <c r="T265"/>
      <c r="U265"/>
      <c r="V265"/>
      <c r="W265"/>
      <c r="X265"/>
      <c r="Y265"/>
      <c r="Z265"/>
    </row>
    <row r="266" spans="14:26" hidden="1" x14ac:dyDescent="0.25">
      <c r="N266"/>
      <c r="O266"/>
      <c r="P266"/>
      <c r="Q266"/>
      <c r="R266"/>
      <c r="S266"/>
      <c r="T266"/>
      <c r="U266"/>
      <c r="V266"/>
      <c r="W266"/>
      <c r="X266"/>
      <c r="Y266"/>
      <c r="Z266"/>
    </row>
    <row r="267" spans="14:26" hidden="1" x14ac:dyDescent="0.25">
      <c r="N267"/>
      <c r="O267"/>
      <c r="P267"/>
      <c r="Q267"/>
      <c r="R267"/>
      <c r="S267"/>
      <c r="T267"/>
      <c r="U267"/>
      <c r="V267"/>
      <c r="W267"/>
      <c r="X267"/>
      <c r="Y267"/>
      <c r="Z267"/>
    </row>
    <row r="268" spans="14:26" hidden="1" x14ac:dyDescent="0.25">
      <c r="N268"/>
      <c r="O268"/>
      <c r="P268"/>
      <c r="Q268"/>
      <c r="R268"/>
      <c r="S268"/>
      <c r="T268"/>
      <c r="U268"/>
      <c r="V268"/>
      <c r="W268"/>
      <c r="X268"/>
      <c r="Y268"/>
      <c r="Z268"/>
    </row>
    <row r="269" spans="14:26" hidden="1" x14ac:dyDescent="0.25">
      <c r="N269"/>
      <c r="O269"/>
      <c r="P269"/>
      <c r="Q269"/>
      <c r="R269"/>
      <c r="S269"/>
      <c r="T269"/>
      <c r="U269"/>
      <c r="V269"/>
      <c r="W269"/>
      <c r="X269"/>
      <c r="Y269"/>
      <c r="Z269"/>
    </row>
    <row r="270" spans="14:26" hidden="1" x14ac:dyDescent="0.25">
      <c r="N270"/>
      <c r="O270"/>
      <c r="P270"/>
      <c r="Q270"/>
      <c r="R270"/>
      <c r="S270"/>
      <c r="T270"/>
      <c r="U270"/>
      <c r="V270"/>
      <c r="W270"/>
      <c r="X270"/>
      <c r="Y270"/>
      <c r="Z270"/>
    </row>
    <row r="271" spans="14:26" hidden="1" x14ac:dyDescent="0.25">
      <c r="N271"/>
      <c r="O271"/>
      <c r="P271"/>
      <c r="Q271"/>
      <c r="R271"/>
      <c r="S271"/>
      <c r="T271"/>
      <c r="U271"/>
      <c r="V271"/>
      <c r="W271"/>
      <c r="X271"/>
      <c r="Y271"/>
      <c r="Z271"/>
    </row>
    <row r="272" spans="14:26" hidden="1" x14ac:dyDescent="0.25">
      <c r="N272"/>
      <c r="O272"/>
      <c r="P272"/>
      <c r="Q272"/>
      <c r="R272"/>
      <c r="S272"/>
      <c r="T272"/>
      <c r="U272"/>
      <c r="V272"/>
      <c r="W272"/>
      <c r="X272"/>
      <c r="Y272"/>
      <c r="Z272"/>
    </row>
    <row r="273" spans="14:26" hidden="1" x14ac:dyDescent="0.25">
      <c r="N273"/>
      <c r="O273"/>
      <c r="P273"/>
      <c r="Q273"/>
      <c r="R273"/>
      <c r="S273"/>
      <c r="T273"/>
      <c r="U273"/>
      <c r="V273"/>
      <c r="W273"/>
      <c r="X273"/>
      <c r="Y273"/>
      <c r="Z273"/>
    </row>
    <row r="274" spans="14:26" hidden="1" x14ac:dyDescent="0.25">
      <c r="N274"/>
      <c r="O274"/>
      <c r="P274"/>
      <c r="Q274"/>
      <c r="R274"/>
      <c r="S274"/>
      <c r="T274"/>
      <c r="U274"/>
      <c r="V274"/>
      <c r="W274"/>
      <c r="X274"/>
      <c r="Y274"/>
      <c r="Z274"/>
    </row>
    <row r="275" spans="14:26" hidden="1" x14ac:dyDescent="0.25">
      <c r="N275"/>
      <c r="O275"/>
      <c r="P275"/>
      <c r="Q275"/>
      <c r="R275"/>
      <c r="S275"/>
      <c r="T275"/>
      <c r="U275"/>
      <c r="V275"/>
      <c r="W275"/>
      <c r="X275"/>
      <c r="Y275"/>
      <c r="Z275"/>
    </row>
    <row r="276" spans="14:26" hidden="1" x14ac:dyDescent="0.25">
      <c r="N276"/>
      <c r="O276"/>
      <c r="P276"/>
      <c r="Q276"/>
      <c r="R276"/>
      <c r="S276"/>
      <c r="T276"/>
      <c r="U276"/>
      <c r="V276"/>
      <c r="W276"/>
      <c r="X276"/>
      <c r="Y276"/>
      <c r="Z276"/>
    </row>
    <row r="277" spans="14:26" hidden="1" x14ac:dyDescent="0.25">
      <c r="N277"/>
      <c r="O277"/>
      <c r="P277"/>
      <c r="Q277"/>
      <c r="R277"/>
      <c r="S277"/>
      <c r="T277"/>
      <c r="U277"/>
      <c r="V277"/>
      <c r="W277"/>
      <c r="X277"/>
      <c r="Y277"/>
      <c r="Z277"/>
    </row>
    <row r="278" spans="14:26" hidden="1" x14ac:dyDescent="0.25">
      <c r="N278"/>
      <c r="O278"/>
      <c r="P278"/>
      <c r="Q278"/>
      <c r="R278"/>
      <c r="S278"/>
      <c r="T278"/>
      <c r="U278"/>
      <c r="V278"/>
      <c r="W278"/>
      <c r="X278"/>
      <c r="Y278"/>
      <c r="Z278"/>
    </row>
    <row r="279" spans="14:26" hidden="1" x14ac:dyDescent="0.25">
      <c r="N279"/>
      <c r="O279"/>
      <c r="P279"/>
      <c r="Q279"/>
      <c r="R279"/>
      <c r="S279"/>
      <c r="T279"/>
      <c r="U279"/>
      <c r="V279"/>
      <c r="W279"/>
      <c r="X279"/>
      <c r="Y279"/>
      <c r="Z279"/>
    </row>
    <row r="280" spans="14:26" hidden="1" x14ac:dyDescent="0.25">
      <c r="N280"/>
      <c r="O280"/>
      <c r="P280"/>
      <c r="Q280"/>
      <c r="R280"/>
      <c r="S280"/>
      <c r="T280"/>
      <c r="U280"/>
      <c r="V280"/>
      <c r="W280"/>
      <c r="X280"/>
      <c r="Y280"/>
      <c r="Z280"/>
    </row>
    <row r="281" spans="14:26" hidden="1" x14ac:dyDescent="0.25">
      <c r="N281"/>
      <c r="O281"/>
      <c r="P281"/>
      <c r="Q281"/>
      <c r="R281"/>
      <c r="S281"/>
      <c r="T281"/>
      <c r="U281"/>
      <c r="V281"/>
      <c r="W281"/>
      <c r="X281"/>
      <c r="Y281"/>
      <c r="Z281"/>
    </row>
    <row r="282" spans="14:26" hidden="1" x14ac:dyDescent="0.25">
      <c r="N282"/>
      <c r="O282"/>
      <c r="P282"/>
      <c r="Q282"/>
      <c r="R282"/>
      <c r="S282"/>
      <c r="T282"/>
      <c r="U282"/>
      <c r="V282"/>
      <c r="W282"/>
      <c r="X282"/>
      <c r="Y282"/>
      <c r="Z282"/>
    </row>
    <row r="283" spans="14:26" hidden="1" x14ac:dyDescent="0.25">
      <c r="N283"/>
      <c r="O283"/>
      <c r="P283"/>
      <c r="Q283"/>
      <c r="R283"/>
      <c r="S283"/>
      <c r="T283"/>
      <c r="U283"/>
      <c r="V283"/>
      <c r="W283"/>
      <c r="X283"/>
      <c r="Y283"/>
      <c r="Z283"/>
    </row>
    <row r="284" spans="14:26" hidden="1" x14ac:dyDescent="0.25">
      <c r="N284"/>
      <c r="O284"/>
      <c r="P284"/>
      <c r="Q284"/>
      <c r="R284"/>
      <c r="S284"/>
      <c r="T284"/>
      <c r="U284"/>
      <c r="V284"/>
      <c r="W284"/>
      <c r="X284"/>
      <c r="Y284"/>
      <c r="Z284"/>
    </row>
    <row r="285" spans="14:26" hidden="1" x14ac:dyDescent="0.25">
      <c r="N285"/>
      <c r="O285"/>
      <c r="P285"/>
      <c r="Q285"/>
      <c r="R285"/>
      <c r="S285"/>
      <c r="T285"/>
      <c r="U285"/>
      <c r="V285"/>
      <c r="W285"/>
      <c r="X285"/>
      <c r="Y285"/>
      <c r="Z285"/>
    </row>
    <row r="286" spans="14:26" hidden="1" x14ac:dyDescent="0.25">
      <c r="N286"/>
      <c r="O286"/>
      <c r="P286"/>
      <c r="Q286"/>
      <c r="R286"/>
      <c r="S286"/>
      <c r="T286"/>
      <c r="U286"/>
      <c r="V286"/>
      <c r="W286"/>
      <c r="X286"/>
      <c r="Y286"/>
      <c r="Z286"/>
    </row>
    <row r="287" spans="14:26" hidden="1" x14ac:dyDescent="0.25">
      <c r="N287"/>
      <c r="O287"/>
      <c r="P287"/>
      <c r="Q287"/>
      <c r="R287"/>
      <c r="S287"/>
      <c r="T287"/>
      <c r="U287"/>
      <c r="V287"/>
      <c r="W287"/>
      <c r="X287"/>
      <c r="Y287"/>
      <c r="Z287"/>
    </row>
    <row r="288" spans="14:26" hidden="1" x14ac:dyDescent="0.25">
      <c r="N288"/>
      <c r="O288"/>
      <c r="P288"/>
      <c r="Q288"/>
      <c r="R288"/>
      <c r="S288"/>
      <c r="T288"/>
      <c r="U288"/>
      <c r="V288"/>
      <c r="W288"/>
      <c r="X288"/>
      <c r="Y288"/>
      <c r="Z288"/>
    </row>
    <row r="289" spans="14:26" hidden="1" x14ac:dyDescent="0.25">
      <c r="N289"/>
      <c r="O289"/>
      <c r="P289"/>
      <c r="Q289"/>
      <c r="R289"/>
      <c r="S289"/>
      <c r="T289"/>
      <c r="U289"/>
      <c r="V289"/>
      <c r="W289"/>
      <c r="X289"/>
      <c r="Y289"/>
      <c r="Z289"/>
    </row>
    <row r="290" spans="14:26" hidden="1" x14ac:dyDescent="0.25">
      <c r="N290"/>
      <c r="O290"/>
      <c r="P290"/>
      <c r="Q290"/>
      <c r="R290"/>
      <c r="S290"/>
      <c r="T290"/>
      <c r="U290"/>
      <c r="V290"/>
      <c r="W290"/>
      <c r="X290"/>
      <c r="Y290"/>
      <c r="Z290"/>
    </row>
    <row r="291" spans="14:26" hidden="1" x14ac:dyDescent="0.25">
      <c r="N291"/>
      <c r="O291"/>
      <c r="P291"/>
      <c r="Q291"/>
      <c r="R291"/>
      <c r="S291"/>
      <c r="T291"/>
      <c r="U291"/>
      <c r="V291"/>
      <c r="W291"/>
      <c r="X291"/>
      <c r="Y291"/>
      <c r="Z291"/>
    </row>
    <row r="292" spans="14:26" hidden="1" x14ac:dyDescent="0.25">
      <c r="N292"/>
      <c r="O292"/>
      <c r="P292"/>
      <c r="Q292"/>
      <c r="R292"/>
      <c r="S292"/>
      <c r="T292"/>
      <c r="U292"/>
      <c r="V292"/>
      <c r="W292"/>
      <c r="X292"/>
      <c r="Y292"/>
      <c r="Z292"/>
    </row>
    <row r="293" spans="14:26" hidden="1" x14ac:dyDescent="0.25">
      <c r="N293"/>
      <c r="O293"/>
      <c r="P293"/>
      <c r="Q293"/>
      <c r="R293"/>
      <c r="S293"/>
      <c r="T293"/>
      <c r="U293"/>
      <c r="V293"/>
      <c r="W293"/>
      <c r="X293"/>
      <c r="Y293"/>
      <c r="Z293"/>
    </row>
    <row r="294" spans="14:26" hidden="1" x14ac:dyDescent="0.25">
      <c r="N294"/>
      <c r="O294"/>
      <c r="P294"/>
      <c r="Q294"/>
      <c r="R294"/>
      <c r="S294"/>
      <c r="T294"/>
      <c r="U294"/>
      <c r="V294"/>
      <c r="W294"/>
      <c r="X294"/>
      <c r="Y294"/>
      <c r="Z294"/>
    </row>
    <row r="295" spans="14:26" hidden="1" x14ac:dyDescent="0.25">
      <c r="N295"/>
      <c r="O295"/>
      <c r="P295"/>
      <c r="Q295"/>
      <c r="R295"/>
      <c r="S295"/>
      <c r="T295"/>
      <c r="U295"/>
      <c r="V295"/>
      <c r="W295"/>
      <c r="X295"/>
      <c r="Y295"/>
      <c r="Z295"/>
    </row>
    <row r="296" spans="14:26" hidden="1" x14ac:dyDescent="0.25">
      <c r="N296"/>
      <c r="O296"/>
      <c r="P296"/>
      <c r="Q296"/>
      <c r="R296"/>
      <c r="S296"/>
      <c r="T296"/>
      <c r="U296"/>
      <c r="V296"/>
      <c r="W296"/>
      <c r="X296"/>
      <c r="Y296"/>
      <c r="Z296"/>
    </row>
    <row r="297" spans="14:26" hidden="1" x14ac:dyDescent="0.25">
      <c r="N297"/>
      <c r="O297"/>
      <c r="P297"/>
      <c r="Q297"/>
      <c r="R297"/>
      <c r="S297"/>
      <c r="T297"/>
      <c r="U297"/>
      <c r="V297"/>
      <c r="W297"/>
      <c r="X297"/>
      <c r="Y297"/>
      <c r="Z297"/>
    </row>
    <row r="298" spans="14:26" hidden="1" x14ac:dyDescent="0.25">
      <c r="N298"/>
      <c r="O298"/>
      <c r="P298"/>
      <c r="Q298"/>
      <c r="R298"/>
      <c r="S298"/>
      <c r="T298"/>
      <c r="U298"/>
      <c r="V298"/>
      <c r="W298"/>
      <c r="X298"/>
      <c r="Y298"/>
      <c r="Z298"/>
    </row>
    <row r="299" spans="14:26" hidden="1" x14ac:dyDescent="0.25">
      <c r="N299"/>
      <c r="O299"/>
      <c r="P299"/>
      <c r="Q299"/>
      <c r="R299"/>
      <c r="S299"/>
      <c r="T299"/>
      <c r="U299"/>
      <c r="V299"/>
      <c r="W299"/>
      <c r="X299"/>
      <c r="Y299"/>
      <c r="Z299"/>
    </row>
    <row r="300" spans="14:26" hidden="1" x14ac:dyDescent="0.25">
      <c r="N300"/>
      <c r="O300"/>
      <c r="P300"/>
      <c r="Q300"/>
      <c r="R300"/>
      <c r="S300"/>
      <c r="T300"/>
      <c r="U300"/>
      <c r="V300"/>
      <c r="W300"/>
      <c r="X300"/>
      <c r="Y300"/>
      <c r="Z300"/>
    </row>
    <row r="301" spans="14:26" hidden="1" x14ac:dyDescent="0.25">
      <c r="N301"/>
      <c r="O301"/>
      <c r="P301"/>
      <c r="Q301"/>
      <c r="R301"/>
      <c r="S301"/>
      <c r="T301"/>
      <c r="U301"/>
      <c r="V301"/>
      <c r="W301"/>
      <c r="X301"/>
      <c r="Y301"/>
      <c r="Z301"/>
    </row>
    <row r="302" spans="14:26" hidden="1" x14ac:dyDescent="0.25">
      <c r="N302"/>
      <c r="O302"/>
      <c r="P302"/>
      <c r="Q302"/>
      <c r="R302"/>
      <c r="S302"/>
      <c r="T302"/>
      <c r="U302"/>
      <c r="V302"/>
      <c r="W302"/>
      <c r="X302"/>
      <c r="Y302"/>
      <c r="Z302"/>
    </row>
    <row r="303" spans="14:26" hidden="1" x14ac:dyDescent="0.25">
      <c r="N303"/>
      <c r="O303"/>
      <c r="P303"/>
      <c r="Q303"/>
      <c r="R303"/>
      <c r="S303"/>
      <c r="T303"/>
      <c r="U303"/>
      <c r="V303"/>
      <c r="W303"/>
      <c r="X303"/>
      <c r="Y303"/>
      <c r="Z303"/>
    </row>
    <row r="304" spans="14:26" hidden="1" x14ac:dyDescent="0.25">
      <c r="N304"/>
      <c r="O304"/>
      <c r="P304"/>
      <c r="Q304"/>
      <c r="R304"/>
      <c r="S304"/>
      <c r="T304"/>
      <c r="U304"/>
      <c r="V304"/>
      <c r="W304"/>
      <c r="X304"/>
      <c r="Y304"/>
      <c r="Z304"/>
    </row>
    <row r="305" spans="14:26" hidden="1" x14ac:dyDescent="0.25">
      <c r="N305"/>
      <c r="O305"/>
      <c r="P305"/>
      <c r="Q305"/>
      <c r="R305"/>
      <c r="S305"/>
      <c r="T305"/>
      <c r="U305"/>
      <c r="V305"/>
      <c r="W305"/>
      <c r="X305"/>
      <c r="Y305"/>
      <c r="Z305"/>
    </row>
    <row r="306" spans="14:26" hidden="1" x14ac:dyDescent="0.25">
      <c r="N306"/>
      <c r="O306"/>
      <c r="P306"/>
      <c r="Q306"/>
      <c r="R306"/>
      <c r="S306"/>
      <c r="T306"/>
      <c r="U306"/>
      <c r="V306"/>
      <c r="W306"/>
      <c r="X306"/>
      <c r="Y306"/>
      <c r="Z306"/>
    </row>
    <row r="307" spans="14:26" hidden="1" x14ac:dyDescent="0.25">
      <c r="N307"/>
      <c r="O307"/>
      <c r="P307"/>
      <c r="Q307"/>
      <c r="R307"/>
      <c r="S307"/>
      <c r="T307"/>
      <c r="U307"/>
      <c r="V307"/>
      <c r="W307"/>
      <c r="X307"/>
      <c r="Y307"/>
      <c r="Z307"/>
    </row>
    <row r="308" spans="14:26" hidden="1" x14ac:dyDescent="0.25">
      <c r="N308"/>
      <c r="O308"/>
      <c r="P308"/>
      <c r="Q308"/>
      <c r="R308"/>
      <c r="S308"/>
      <c r="T308"/>
      <c r="U308"/>
      <c r="V308"/>
      <c r="W308"/>
      <c r="X308"/>
      <c r="Y308"/>
      <c r="Z308"/>
    </row>
    <row r="309" spans="14:26" hidden="1" x14ac:dyDescent="0.25">
      <c r="N309"/>
      <c r="O309"/>
      <c r="P309"/>
      <c r="Q309"/>
      <c r="R309"/>
      <c r="S309"/>
      <c r="T309"/>
      <c r="U309"/>
      <c r="V309"/>
      <c r="W309"/>
      <c r="X309"/>
      <c r="Y309"/>
      <c r="Z309"/>
    </row>
    <row r="310" spans="14:26" hidden="1" x14ac:dyDescent="0.25">
      <c r="N310"/>
      <c r="O310"/>
      <c r="P310"/>
      <c r="Q310"/>
      <c r="R310"/>
      <c r="S310"/>
      <c r="T310"/>
      <c r="U310"/>
      <c r="V310"/>
      <c r="W310"/>
      <c r="X310"/>
      <c r="Y310"/>
      <c r="Z310"/>
    </row>
    <row r="311" spans="14:26" hidden="1" x14ac:dyDescent="0.25">
      <c r="N311"/>
      <c r="O311"/>
      <c r="P311"/>
      <c r="Q311"/>
      <c r="R311"/>
      <c r="S311"/>
      <c r="T311"/>
      <c r="U311"/>
      <c r="V311"/>
      <c r="W311"/>
      <c r="X311"/>
      <c r="Y311"/>
      <c r="Z311"/>
    </row>
    <row r="312" spans="14:26" hidden="1" x14ac:dyDescent="0.25">
      <c r="N312"/>
      <c r="O312"/>
      <c r="P312"/>
      <c r="Q312"/>
      <c r="R312"/>
      <c r="S312"/>
      <c r="T312"/>
      <c r="U312"/>
      <c r="V312"/>
      <c r="W312"/>
      <c r="X312"/>
      <c r="Y312"/>
      <c r="Z312"/>
    </row>
    <row r="313" spans="14:26" hidden="1" x14ac:dyDescent="0.25">
      <c r="N313"/>
      <c r="O313"/>
      <c r="P313"/>
      <c r="Q313"/>
      <c r="R313"/>
      <c r="S313"/>
      <c r="T313"/>
      <c r="U313"/>
      <c r="V313"/>
      <c r="W313"/>
      <c r="X313"/>
      <c r="Y313"/>
      <c r="Z313"/>
    </row>
    <row r="314" spans="14:26" hidden="1" x14ac:dyDescent="0.25">
      <c r="N314"/>
      <c r="O314"/>
      <c r="P314"/>
      <c r="Q314"/>
      <c r="R314"/>
      <c r="S314"/>
      <c r="T314"/>
      <c r="U314"/>
      <c r="V314"/>
      <c r="W314"/>
      <c r="X314"/>
      <c r="Y314"/>
      <c r="Z314"/>
    </row>
    <row r="315" spans="14:26" hidden="1" x14ac:dyDescent="0.25">
      <c r="N315"/>
      <c r="O315"/>
      <c r="P315"/>
      <c r="Q315"/>
      <c r="R315"/>
      <c r="S315"/>
      <c r="T315"/>
      <c r="U315"/>
      <c r="V315"/>
      <c r="W315"/>
      <c r="X315"/>
      <c r="Y315"/>
      <c r="Z315"/>
    </row>
    <row r="316" spans="14:26" hidden="1" x14ac:dyDescent="0.25">
      <c r="N316"/>
      <c r="O316"/>
      <c r="P316"/>
      <c r="Q316"/>
      <c r="R316"/>
      <c r="S316"/>
      <c r="T316"/>
      <c r="U316"/>
      <c r="V316"/>
      <c r="W316"/>
      <c r="X316"/>
      <c r="Y316"/>
      <c r="Z316"/>
    </row>
    <row r="317" spans="14:26" hidden="1" x14ac:dyDescent="0.25">
      <c r="N317"/>
      <c r="O317"/>
      <c r="P317"/>
      <c r="Q317"/>
      <c r="R317"/>
      <c r="S317"/>
      <c r="T317"/>
      <c r="U317"/>
      <c r="V317"/>
      <c r="W317"/>
      <c r="X317"/>
      <c r="Y317"/>
      <c r="Z317"/>
    </row>
    <row r="318" spans="14:26" hidden="1" x14ac:dyDescent="0.25">
      <c r="N318"/>
      <c r="O318"/>
      <c r="P318"/>
      <c r="Q318"/>
      <c r="R318"/>
      <c r="S318"/>
      <c r="T318"/>
      <c r="U318"/>
      <c r="V318"/>
      <c r="W318"/>
      <c r="X318"/>
      <c r="Y318"/>
      <c r="Z318"/>
    </row>
    <row r="319" spans="14:26" hidden="1" x14ac:dyDescent="0.25">
      <c r="N319"/>
      <c r="O319"/>
      <c r="P319"/>
      <c r="Q319"/>
      <c r="R319"/>
      <c r="S319"/>
      <c r="T319"/>
      <c r="U319"/>
      <c r="V319"/>
      <c r="W319"/>
      <c r="X319"/>
      <c r="Y319"/>
      <c r="Z319"/>
    </row>
    <row r="320" spans="14:26" hidden="1" x14ac:dyDescent="0.25">
      <c r="N320"/>
      <c r="O320"/>
      <c r="P320"/>
      <c r="Q320"/>
      <c r="R320"/>
      <c r="S320"/>
      <c r="T320"/>
      <c r="U320"/>
      <c r="V320"/>
      <c r="W320"/>
      <c r="X320"/>
      <c r="Y320"/>
      <c r="Z320"/>
    </row>
    <row r="321" spans="14:26" hidden="1" x14ac:dyDescent="0.25">
      <c r="N321"/>
      <c r="O321"/>
      <c r="P321"/>
      <c r="Q321"/>
      <c r="R321"/>
      <c r="S321"/>
      <c r="T321"/>
      <c r="U321"/>
      <c r="V321"/>
      <c r="W321"/>
      <c r="X321"/>
      <c r="Y321"/>
      <c r="Z321"/>
    </row>
    <row r="322" spans="14:26" hidden="1" x14ac:dyDescent="0.25">
      <c r="N322"/>
      <c r="O322"/>
      <c r="P322"/>
      <c r="Q322"/>
      <c r="R322"/>
      <c r="S322"/>
      <c r="T322"/>
      <c r="U322"/>
      <c r="V322"/>
      <c r="W322"/>
      <c r="X322"/>
      <c r="Y322"/>
      <c r="Z322"/>
    </row>
    <row r="323" spans="14:26" hidden="1" x14ac:dyDescent="0.25">
      <c r="N323"/>
      <c r="O323"/>
      <c r="P323"/>
      <c r="Q323"/>
      <c r="R323"/>
      <c r="S323"/>
      <c r="T323"/>
      <c r="U323"/>
      <c r="V323"/>
      <c r="W323"/>
      <c r="X323"/>
      <c r="Y323"/>
      <c r="Z323"/>
    </row>
    <row r="324" spans="14:26" hidden="1" x14ac:dyDescent="0.25">
      <c r="N324"/>
      <c r="O324"/>
      <c r="P324"/>
      <c r="Q324"/>
      <c r="R324"/>
      <c r="S324"/>
      <c r="T324"/>
      <c r="U324"/>
      <c r="V324"/>
      <c r="W324"/>
      <c r="X324"/>
      <c r="Y324"/>
      <c r="Z324"/>
    </row>
    <row r="325" spans="14:26" hidden="1" x14ac:dyDescent="0.25">
      <c r="N325"/>
      <c r="O325"/>
      <c r="P325"/>
      <c r="Q325"/>
      <c r="R325"/>
      <c r="S325"/>
      <c r="T325"/>
      <c r="U325"/>
      <c r="V325"/>
      <c r="W325"/>
      <c r="X325"/>
      <c r="Y325"/>
      <c r="Z325"/>
    </row>
    <row r="326" spans="14:26" hidden="1" x14ac:dyDescent="0.25">
      <c r="N326"/>
      <c r="O326"/>
      <c r="P326"/>
      <c r="Q326"/>
      <c r="R326"/>
      <c r="S326"/>
      <c r="T326"/>
      <c r="U326"/>
      <c r="V326"/>
      <c r="W326"/>
      <c r="X326"/>
      <c r="Y326"/>
      <c r="Z326"/>
    </row>
    <row r="327" spans="14:26" hidden="1" x14ac:dyDescent="0.25">
      <c r="N327"/>
      <c r="O327"/>
      <c r="P327"/>
      <c r="Q327"/>
      <c r="R327"/>
      <c r="S327"/>
      <c r="T327"/>
      <c r="U327"/>
      <c r="V327"/>
      <c r="W327"/>
      <c r="X327"/>
      <c r="Y327"/>
      <c r="Z327"/>
    </row>
    <row r="328" spans="14:26" hidden="1" x14ac:dyDescent="0.25">
      <c r="N328"/>
      <c r="O328"/>
      <c r="P328"/>
      <c r="Q328"/>
      <c r="R328"/>
      <c r="S328"/>
      <c r="T328"/>
      <c r="U328"/>
      <c r="V328"/>
      <c r="W328"/>
      <c r="X328"/>
      <c r="Y328"/>
      <c r="Z328"/>
    </row>
    <row r="329" spans="14:26" hidden="1" x14ac:dyDescent="0.25">
      <c r="N329"/>
      <c r="O329"/>
      <c r="P329"/>
      <c r="Q329"/>
      <c r="R329"/>
      <c r="S329"/>
      <c r="T329"/>
      <c r="U329"/>
      <c r="V329"/>
      <c r="W329"/>
      <c r="X329"/>
      <c r="Y329"/>
      <c r="Z329"/>
    </row>
    <row r="330" spans="14:26" hidden="1" x14ac:dyDescent="0.25">
      <c r="N330"/>
      <c r="O330"/>
      <c r="P330"/>
      <c r="Q330"/>
      <c r="R330"/>
      <c r="S330"/>
      <c r="T330"/>
      <c r="U330"/>
      <c r="V330"/>
      <c r="W330"/>
      <c r="X330"/>
      <c r="Y330"/>
      <c r="Z330"/>
    </row>
    <row r="331" spans="14:26" hidden="1" x14ac:dyDescent="0.25">
      <c r="N331"/>
      <c r="O331"/>
      <c r="P331"/>
      <c r="Q331"/>
      <c r="R331"/>
      <c r="S331"/>
      <c r="T331"/>
      <c r="U331"/>
      <c r="V331"/>
      <c r="W331"/>
      <c r="X331"/>
      <c r="Y331"/>
      <c r="Z331"/>
    </row>
    <row r="332" spans="14:26" hidden="1" x14ac:dyDescent="0.25">
      <c r="N332"/>
      <c r="O332"/>
      <c r="P332"/>
      <c r="Q332"/>
      <c r="R332"/>
      <c r="S332"/>
      <c r="T332"/>
      <c r="U332"/>
      <c r="V332"/>
      <c r="W332"/>
      <c r="X332"/>
      <c r="Y332"/>
      <c r="Z332"/>
    </row>
    <row r="333" spans="14:26" hidden="1" x14ac:dyDescent="0.25">
      <c r="N333"/>
      <c r="O333"/>
      <c r="P333"/>
      <c r="Q333"/>
      <c r="R333"/>
      <c r="S333"/>
      <c r="T333"/>
      <c r="U333"/>
      <c r="V333"/>
      <c r="W333"/>
      <c r="X333"/>
      <c r="Y333"/>
      <c r="Z333"/>
    </row>
    <row r="334" spans="14:26" hidden="1" x14ac:dyDescent="0.25">
      <c r="N334"/>
      <c r="O334"/>
      <c r="P334"/>
      <c r="Q334"/>
      <c r="R334"/>
      <c r="S334"/>
      <c r="T334"/>
      <c r="U334"/>
      <c r="V334"/>
      <c r="W334"/>
      <c r="X334"/>
      <c r="Y334"/>
      <c r="Z334"/>
    </row>
    <row r="335" spans="14:26" hidden="1" x14ac:dyDescent="0.25">
      <c r="N335"/>
      <c r="O335"/>
      <c r="P335"/>
      <c r="Q335"/>
      <c r="R335"/>
      <c r="S335"/>
      <c r="T335"/>
      <c r="U335"/>
      <c r="V335"/>
      <c r="W335"/>
      <c r="X335"/>
      <c r="Y335"/>
      <c r="Z335"/>
    </row>
    <row r="336" spans="14:26" hidden="1" x14ac:dyDescent="0.25">
      <c r="N336"/>
      <c r="O336"/>
      <c r="P336"/>
      <c r="Q336"/>
      <c r="R336"/>
      <c r="S336"/>
      <c r="T336"/>
      <c r="U336"/>
      <c r="V336"/>
      <c r="W336"/>
      <c r="X336"/>
      <c r="Y336"/>
      <c r="Z336"/>
    </row>
    <row r="337" spans="14:26" hidden="1" x14ac:dyDescent="0.25">
      <c r="N337"/>
      <c r="O337"/>
      <c r="P337"/>
      <c r="Q337"/>
      <c r="R337"/>
      <c r="S337"/>
      <c r="T337"/>
      <c r="U337"/>
      <c r="V337"/>
      <c r="W337"/>
      <c r="X337"/>
      <c r="Y337"/>
      <c r="Z337"/>
    </row>
    <row r="338" spans="14:26" hidden="1" x14ac:dyDescent="0.25">
      <c r="N338"/>
      <c r="O338"/>
      <c r="P338"/>
      <c r="Q338"/>
      <c r="R338"/>
      <c r="S338"/>
      <c r="T338"/>
      <c r="U338"/>
      <c r="V338"/>
      <c r="W338"/>
      <c r="X338"/>
      <c r="Y338"/>
      <c r="Z338"/>
    </row>
    <row r="339" spans="14:26" hidden="1" x14ac:dyDescent="0.25">
      <c r="N339"/>
      <c r="O339"/>
      <c r="P339"/>
      <c r="Q339"/>
      <c r="R339"/>
      <c r="S339"/>
      <c r="T339"/>
      <c r="U339"/>
      <c r="V339"/>
      <c r="W339"/>
      <c r="X339"/>
      <c r="Y339"/>
      <c r="Z339"/>
    </row>
    <row r="340" spans="14:26" hidden="1" x14ac:dyDescent="0.25">
      <c r="N340"/>
      <c r="O340"/>
      <c r="P340"/>
      <c r="Q340"/>
      <c r="R340"/>
      <c r="S340"/>
      <c r="T340"/>
      <c r="U340"/>
      <c r="V340"/>
      <c r="W340"/>
      <c r="X340"/>
      <c r="Y340"/>
      <c r="Z340"/>
    </row>
    <row r="341" spans="14:26" hidden="1" x14ac:dyDescent="0.25">
      <c r="N341"/>
      <c r="O341"/>
      <c r="P341"/>
      <c r="Q341"/>
      <c r="R341"/>
      <c r="S341"/>
      <c r="T341"/>
      <c r="U341"/>
      <c r="V341"/>
      <c r="W341"/>
      <c r="X341"/>
      <c r="Y341"/>
      <c r="Z341"/>
    </row>
    <row r="342" spans="14:26" hidden="1" x14ac:dyDescent="0.25">
      <c r="N342"/>
      <c r="O342"/>
      <c r="P342"/>
      <c r="Q342"/>
      <c r="R342"/>
      <c r="S342"/>
      <c r="T342"/>
      <c r="U342"/>
      <c r="V342"/>
      <c r="W342"/>
      <c r="X342"/>
      <c r="Y342"/>
      <c r="Z342"/>
    </row>
    <row r="343" spans="14:26" hidden="1" x14ac:dyDescent="0.25">
      <c r="N343"/>
      <c r="O343"/>
      <c r="P343"/>
      <c r="Q343"/>
      <c r="R343"/>
      <c r="S343"/>
      <c r="T343"/>
      <c r="U343"/>
      <c r="V343"/>
      <c r="W343"/>
      <c r="X343"/>
      <c r="Y343"/>
      <c r="Z343"/>
    </row>
    <row r="344" spans="14:26" hidden="1" x14ac:dyDescent="0.25">
      <c r="N344"/>
      <c r="O344"/>
      <c r="P344"/>
      <c r="Q344"/>
      <c r="R344"/>
      <c r="S344"/>
      <c r="T344"/>
      <c r="U344"/>
      <c r="V344"/>
      <c r="W344"/>
      <c r="X344"/>
      <c r="Y344"/>
      <c r="Z344"/>
    </row>
    <row r="345" spans="14:26" hidden="1" x14ac:dyDescent="0.25">
      <c r="N345"/>
      <c r="O345"/>
      <c r="P345"/>
      <c r="Q345"/>
      <c r="R345"/>
      <c r="S345"/>
      <c r="T345"/>
      <c r="U345"/>
      <c r="V345"/>
      <c r="W345"/>
      <c r="X345"/>
      <c r="Y345"/>
      <c r="Z345"/>
    </row>
    <row r="346" spans="14:26" hidden="1" x14ac:dyDescent="0.25">
      <c r="N346"/>
      <c r="O346"/>
      <c r="P346"/>
      <c r="Q346"/>
      <c r="R346"/>
      <c r="S346"/>
      <c r="T346"/>
      <c r="U346"/>
      <c r="V346"/>
      <c r="W346"/>
      <c r="X346"/>
      <c r="Y346"/>
      <c r="Z346"/>
    </row>
    <row r="347" spans="14:26" hidden="1" x14ac:dyDescent="0.25">
      <c r="N347"/>
      <c r="O347"/>
      <c r="P347"/>
      <c r="Q347"/>
      <c r="R347"/>
      <c r="S347"/>
      <c r="T347"/>
      <c r="U347"/>
      <c r="V347"/>
      <c r="W347"/>
      <c r="X347"/>
      <c r="Y347"/>
      <c r="Z347"/>
    </row>
    <row r="348" spans="14:26" hidden="1" x14ac:dyDescent="0.25">
      <c r="N348"/>
      <c r="O348"/>
      <c r="P348"/>
      <c r="Q348"/>
      <c r="R348"/>
      <c r="S348"/>
      <c r="T348"/>
      <c r="U348"/>
      <c r="V348"/>
      <c r="W348"/>
      <c r="X348"/>
      <c r="Y348"/>
      <c r="Z348"/>
    </row>
    <row r="349" spans="14:26" hidden="1" x14ac:dyDescent="0.25">
      <c r="N349"/>
      <c r="O349"/>
      <c r="P349"/>
      <c r="Q349"/>
      <c r="R349"/>
      <c r="S349"/>
      <c r="T349"/>
      <c r="U349"/>
      <c r="V349"/>
      <c r="W349"/>
      <c r="X349"/>
      <c r="Y349"/>
      <c r="Z349"/>
    </row>
    <row r="350" spans="14:26" hidden="1" x14ac:dyDescent="0.25">
      <c r="N350"/>
      <c r="O350"/>
      <c r="P350"/>
      <c r="Q350"/>
      <c r="R350"/>
      <c r="S350"/>
      <c r="T350"/>
      <c r="U350"/>
      <c r="V350"/>
      <c r="W350"/>
      <c r="X350"/>
      <c r="Y350"/>
      <c r="Z350"/>
    </row>
    <row r="351" spans="14:26" hidden="1" x14ac:dyDescent="0.25">
      <c r="N351"/>
      <c r="O351"/>
      <c r="P351"/>
      <c r="Q351"/>
      <c r="R351"/>
      <c r="S351"/>
      <c r="T351"/>
      <c r="U351"/>
      <c r="V351"/>
      <c r="W351"/>
      <c r="X351"/>
      <c r="Y351"/>
      <c r="Z351"/>
    </row>
    <row r="352" spans="14:26" hidden="1" x14ac:dyDescent="0.25">
      <c r="N352"/>
      <c r="O352"/>
      <c r="P352"/>
      <c r="Q352"/>
      <c r="R352"/>
      <c r="S352"/>
      <c r="T352"/>
      <c r="U352"/>
      <c r="V352"/>
      <c r="W352"/>
      <c r="X352"/>
      <c r="Y352"/>
      <c r="Z352"/>
    </row>
    <row r="353" spans="14:26" hidden="1" x14ac:dyDescent="0.25">
      <c r="N353"/>
      <c r="O353"/>
      <c r="P353"/>
      <c r="Q353"/>
      <c r="R353"/>
      <c r="S353"/>
      <c r="T353"/>
      <c r="U353"/>
      <c r="V353"/>
      <c r="W353"/>
      <c r="X353"/>
      <c r="Y353"/>
      <c r="Z353"/>
    </row>
    <row r="354" spans="14:26" hidden="1" x14ac:dyDescent="0.25">
      <c r="N354"/>
      <c r="O354"/>
      <c r="P354"/>
      <c r="Q354"/>
      <c r="R354"/>
      <c r="S354"/>
      <c r="T354"/>
      <c r="U354"/>
      <c r="V354"/>
      <c r="W354"/>
      <c r="X354"/>
      <c r="Y354"/>
      <c r="Z354"/>
    </row>
    <row r="355" spans="14:26" hidden="1" x14ac:dyDescent="0.25">
      <c r="N355"/>
      <c r="O355"/>
      <c r="P355"/>
      <c r="Q355"/>
      <c r="R355"/>
      <c r="S355"/>
      <c r="T355"/>
      <c r="U355"/>
      <c r="V355"/>
      <c r="W355"/>
      <c r="X355"/>
      <c r="Y355"/>
      <c r="Z355"/>
    </row>
    <row r="356" spans="14:26" hidden="1" x14ac:dyDescent="0.25">
      <c r="N356"/>
      <c r="O356"/>
      <c r="P356"/>
      <c r="Q356"/>
      <c r="R356"/>
      <c r="S356"/>
      <c r="T356"/>
      <c r="U356"/>
      <c r="V356"/>
      <c r="W356"/>
      <c r="X356"/>
      <c r="Y356"/>
      <c r="Z356"/>
    </row>
    <row r="357" spans="14:26" hidden="1" x14ac:dyDescent="0.25">
      <c r="N357"/>
      <c r="O357"/>
      <c r="P357"/>
      <c r="Q357"/>
      <c r="R357"/>
      <c r="S357"/>
      <c r="T357"/>
      <c r="U357"/>
      <c r="V357"/>
      <c r="W357"/>
      <c r="X357"/>
      <c r="Y357"/>
      <c r="Z357"/>
    </row>
    <row r="358" spans="14:26" hidden="1" x14ac:dyDescent="0.25">
      <c r="N358"/>
      <c r="O358"/>
      <c r="P358"/>
      <c r="Q358"/>
      <c r="R358"/>
      <c r="S358"/>
      <c r="T358"/>
      <c r="U358"/>
      <c r="V358"/>
      <c r="W358"/>
      <c r="X358"/>
      <c r="Y358"/>
      <c r="Z358"/>
    </row>
    <row r="359" spans="14:26" hidden="1" x14ac:dyDescent="0.25">
      <c r="N359"/>
      <c r="O359"/>
      <c r="P359"/>
      <c r="Q359"/>
      <c r="R359"/>
      <c r="S359"/>
      <c r="T359"/>
      <c r="U359"/>
      <c r="V359"/>
      <c r="W359"/>
      <c r="X359"/>
      <c r="Y359"/>
      <c r="Z359"/>
    </row>
    <row r="360" spans="14:26" hidden="1" x14ac:dyDescent="0.25">
      <c r="N360"/>
      <c r="O360"/>
      <c r="P360"/>
      <c r="Q360"/>
      <c r="R360"/>
      <c r="S360"/>
      <c r="T360"/>
      <c r="U360"/>
      <c r="V360"/>
      <c r="W360"/>
      <c r="X360"/>
      <c r="Y360"/>
      <c r="Z360"/>
    </row>
    <row r="361" spans="14:26" hidden="1" x14ac:dyDescent="0.25">
      <c r="N361"/>
      <c r="O361"/>
      <c r="P361"/>
      <c r="Q361"/>
      <c r="R361"/>
      <c r="S361"/>
      <c r="T361"/>
      <c r="U361"/>
      <c r="V361"/>
      <c r="W361"/>
      <c r="X361"/>
      <c r="Y361"/>
      <c r="Z361"/>
    </row>
    <row r="362" spans="14:26" hidden="1" x14ac:dyDescent="0.25">
      <c r="N362"/>
      <c r="O362"/>
      <c r="P362"/>
      <c r="Q362"/>
      <c r="R362"/>
      <c r="S362"/>
      <c r="T362"/>
      <c r="U362"/>
      <c r="V362"/>
      <c r="W362"/>
      <c r="X362"/>
      <c r="Y362"/>
      <c r="Z362"/>
    </row>
    <row r="363" spans="14:26" hidden="1" x14ac:dyDescent="0.25">
      <c r="N363"/>
      <c r="O363"/>
      <c r="P363"/>
      <c r="Q363"/>
      <c r="R363"/>
      <c r="S363"/>
      <c r="T363"/>
      <c r="U363"/>
      <c r="V363"/>
      <c r="W363"/>
      <c r="X363"/>
      <c r="Y363"/>
      <c r="Z363"/>
    </row>
    <row r="364" spans="14:26" hidden="1" x14ac:dyDescent="0.25">
      <c r="N364"/>
      <c r="O364"/>
      <c r="P364"/>
      <c r="Q364"/>
      <c r="R364"/>
      <c r="S364"/>
      <c r="T364"/>
      <c r="U364"/>
      <c r="V364"/>
      <c r="W364"/>
      <c r="X364"/>
      <c r="Y364"/>
      <c r="Z364"/>
    </row>
    <row r="365" spans="14:26" hidden="1" x14ac:dyDescent="0.25">
      <c r="N365"/>
      <c r="O365"/>
      <c r="P365"/>
      <c r="Q365"/>
      <c r="R365"/>
      <c r="S365"/>
      <c r="T365"/>
      <c r="U365"/>
      <c r="V365"/>
      <c r="W365"/>
      <c r="X365"/>
      <c r="Y365"/>
      <c r="Z365"/>
    </row>
    <row r="366" spans="14:26" hidden="1" x14ac:dyDescent="0.25">
      <c r="N366"/>
      <c r="O366"/>
      <c r="P366"/>
      <c r="Q366"/>
      <c r="R366"/>
      <c r="S366"/>
      <c r="T366"/>
      <c r="U366"/>
      <c r="V366"/>
      <c r="W366"/>
      <c r="X366"/>
      <c r="Y366"/>
      <c r="Z366"/>
    </row>
    <row r="367" spans="14:26" hidden="1" x14ac:dyDescent="0.25">
      <c r="N367"/>
      <c r="O367"/>
      <c r="P367"/>
      <c r="Q367"/>
      <c r="R367"/>
      <c r="S367"/>
      <c r="T367"/>
      <c r="U367"/>
      <c r="V367"/>
      <c r="W367"/>
      <c r="X367"/>
      <c r="Y367"/>
      <c r="Z367"/>
    </row>
    <row r="368" spans="14:26" hidden="1" x14ac:dyDescent="0.25">
      <c r="N368"/>
      <c r="O368"/>
      <c r="P368"/>
      <c r="Q368"/>
      <c r="R368"/>
      <c r="S368"/>
      <c r="T368"/>
      <c r="U368"/>
      <c r="V368"/>
      <c r="W368"/>
      <c r="X368"/>
      <c r="Y368"/>
      <c r="Z368"/>
    </row>
    <row r="369" spans="14:26" hidden="1" x14ac:dyDescent="0.25">
      <c r="N369"/>
      <c r="O369"/>
      <c r="P369"/>
      <c r="Q369"/>
      <c r="R369"/>
      <c r="S369"/>
      <c r="T369"/>
      <c r="U369"/>
      <c r="V369"/>
      <c r="W369"/>
      <c r="X369"/>
      <c r="Y369"/>
      <c r="Z369"/>
    </row>
    <row r="370" spans="14:26" hidden="1" x14ac:dyDescent="0.25">
      <c r="N370"/>
      <c r="O370"/>
      <c r="P370"/>
      <c r="Q370"/>
      <c r="R370"/>
      <c r="S370"/>
      <c r="T370"/>
      <c r="U370"/>
      <c r="V370"/>
      <c r="W370"/>
      <c r="X370"/>
      <c r="Y370"/>
      <c r="Z370"/>
    </row>
    <row r="371" spans="14:26" hidden="1" x14ac:dyDescent="0.25">
      <c r="N371"/>
      <c r="O371"/>
      <c r="P371"/>
      <c r="Q371"/>
      <c r="R371"/>
      <c r="S371"/>
      <c r="T371"/>
      <c r="U371"/>
      <c r="V371"/>
      <c r="W371"/>
      <c r="X371"/>
      <c r="Y371"/>
      <c r="Z371"/>
    </row>
    <row r="372" spans="14:26" hidden="1" x14ac:dyDescent="0.25">
      <c r="N372"/>
      <c r="O372"/>
      <c r="P372"/>
      <c r="Q372"/>
      <c r="R372"/>
      <c r="S372"/>
      <c r="T372"/>
      <c r="U372"/>
      <c r="V372"/>
      <c r="W372"/>
      <c r="X372"/>
      <c r="Y372"/>
      <c r="Z372"/>
    </row>
    <row r="373" spans="14:26" hidden="1" x14ac:dyDescent="0.25">
      <c r="N373"/>
      <c r="O373"/>
      <c r="P373"/>
      <c r="Q373"/>
      <c r="R373"/>
      <c r="S373"/>
      <c r="T373"/>
      <c r="U373"/>
      <c r="V373"/>
      <c r="W373"/>
      <c r="X373"/>
      <c r="Y373"/>
      <c r="Z373"/>
    </row>
    <row r="374" spans="14:26" hidden="1" x14ac:dyDescent="0.25">
      <c r="N374"/>
      <c r="O374"/>
      <c r="P374"/>
      <c r="Q374"/>
      <c r="R374"/>
      <c r="S374"/>
      <c r="T374"/>
      <c r="U374"/>
      <c r="V374"/>
      <c r="W374"/>
      <c r="X374"/>
      <c r="Y374"/>
      <c r="Z374"/>
    </row>
    <row r="375" spans="14:26" hidden="1" x14ac:dyDescent="0.25">
      <c r="N375"/>
      <c r="O375"/>
      <c r="P375"/>
      <c r="Q375"/>
      <c r="R375"/>
      <c r="S375"/>
      <c r="T375"/>
      <c r="U375"/>
      <c r="V375"/>
      <c r="W375"/>
      <c r="X375"/>
      <c r="Y375"/>
      <c r="Z375"/>
    </row>
    <row r="376" spans="14:26" hidden="1" x14ac:dyDescent="0.25">
      <c r="N376"/>
      <c r="O376"/>
      <c r="P376"/>
      <c r="Q376"/>
      <c r="R376"/>
      <c r="S376"/>
      <c r="T376"/>
      <c r="U376"/>
      <c r="V376"/>
      <c r="W376"/>
      <c r="X376"/>
      <c r="Y376"/>
      <c r="Z376"/>
    </row>
    <row r="377" spans="14:26" hidden="1" x14ac:dyDescent="0.25">
      <c r="N377"/>
      <c r="O377"/>
      <c r="P377"/>
      <c r="Q377"/>
      <c r="R377"/>
      <c r="S377"/>
      <c r="T377"/>
      <c r="U377"/>
      <c r="V377"/>
      <c r="W377"/>
      <c r="X377"/>
      <c r="Y377"/>
      <c r="Z377"/>
    </row>
    <row r="378" spans="14:26" hidden="1" x14ac:dyDescent="0.25">
      <c r="N378"/>
      <c r="O378"/>
      <c r="P378"/>
      <c r="Q378"/>
      <c r="R378"/>
      <c r="S378"/>
      <c r="T378"/>
      <c r="U378"/>
      <c r="V378"/>
      <c r="W378"/>
      <c r="X378"/>
      <c r="Y378"/>
      <c r="Z378"/>
    </row>
    <row r="379" spans="14:26" hidden="1" x14ac:dyDescent="0.25">
      <c r="N379"/>
      <c r="O379"/>
      <c r="P379"/>
      <c r="Q379"/>
      <c r="R379"/>
      <c r="S379"/>
      <c r="T379"/>
      <c r="U379"/>
      <c r="V379"/>
      <c r="W379"/>
      <c r="X379"/>
      <c r="Y379"/>
      <c r="Z379"/>
    </row>
    <row r="380" spans="14:26" hidden="1" x14ac:dyDescent="0.25">
      <c r="N380"/>
      <c r="O380"/>
      <c r="P380"/>
      <c r="Q380"/>
      <c r="R380"/>
      <c r="S380"/>
      <c r="T380"/>
      <c r="U380"/>
      <c r="V380"/>
      <c r="W380"/>
      <c r="X380"/>
      <c r="Y380"/>
      <c r="Z380"/>
    </row>
    <row r="381" spans="14:26" hidden="1" x14ac:dyDescent="0.25">
      <c r="N381"/>
      <c r="O381"/>
      <c r="P381"/>
      <c r="Q381"/>
      <c r="R381"/>
      <c r="S381"/>
      <c r="T381"/>
      <c r="U381"/>
      <c r="V381"/>
      <c r="W381"/>
      <c r="X381"/>
      <c r="Y381"/>
      <c r="Z381"/>
    </row>
    <row r="382" spans="14:26" hidden="1" x14ac:dyDescent="0.25"/>
    <row r="383" spans="14:26" hidden="1" x14ac:dyDescent="0.25"/>
    <row r="384" spans="14:26" hidden="1" x14ac:dyDescent="0.25"/>
    <row r="385" hidden="1" x14ac:dyDescent="0.25"/>
    <row r="386" hidden="1" x14ac:dyDescent="0.25"/>
    <row r="387" hidden="1" x14ac:dyDescent="0.25"/>
    <row r="388" hidden="1" x14ac:dyDescent="0.25"/>
  </sheetData>
  <sheetProtection algorithmName="SHA-512" hashValue="3iv0V4AKydHBYTFwgJTCv/QYAVpU3l1DMGLtIPbwfhPJQtuHFGb4LZJ1wasOSBb6Wn5zdwMOt6czeRqS6M4Kgg==" saltValue="MhtRSaNRkdQQWSKySBJ7Ig==" spinCount="100000" sheet="1" objects="1" scenarios="1" selectLockedCells="1"/>
  <dataValidations disablePrompts="1" count="2">
    <dataValidation type="list" allowBlank="1" showInputMessage="1" showErrorMessage="1" sqref="R38:R43 S3:S29">
      <formula1>"True,False"</formula1>
    </dataValidation>
    <dataValidation type="list" allowBlank="1" showInputMessage="1" sqref="X3:X29">
      <formula1>"N/A"</formula1>
    </dataValidation>
  </dataValidations>
  <pageMargins left="0.7" right="0.7" top="0.75" bottom="0.75" header="0.3" footer="0.3"/>
  <pageSetup paperSize="9" orientation="portrait" horizontalDpi="1200" verticalDpi="1200" r:id="rId1"/>
  <drawing r:id="rId2"/>
  <tableParts count="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454</vt:i4>
      </vt:variant>
    </vt:vector>
  </HeadingPairs>
  <TitlesOfParts>
    <vt:vector size="464" baseType="lpstr">
      <vt:lpstr>INICIO</vt:lpstr>
      <vt:lpstr>Datos OM</vt:lpstr>
      <vt:lpstr>Datos O2</vt:lpstr>
      <vt:lpstr>Datos VF</vt:lpstr>
      <vt:lpstr>Datos EM</vt:lpstr>
      <vt:lpstr>Datos RC</vt:lpstr>
      <vt:lpstr>Datos PP</vt:lpstr>
      <vt:lpstr>Datos EN</vt:lpstr>
      <vt:lpstr>Datos CL</vt:lpstr>
      <vt:lpstr>DICCIONARIO</vt:lpstr>
      <vt:lpstr>AUTOR</vt:lpstr>
      <vt:lpstr>IDIOMA</vt:lpstr>
      <vt:lpstr>LANGUAGE</vt:lpstr>
      <vt:lpstr>Nom_Archivo_DB</vt:lpstr>
      <vt:lpstr>Version</vt:lpstr>
      <vt:lpstr>Z_BP_00_D</vt:lpstr>
      <vt:lpstr>Z_BP_00_E</vt:lpstr>
      <vt:lpstr>Z_BP_00_F</vt:lpstr>
      <vt:lpstr>Z_BP_00_I</vt:lpstr>
      <vt:lpstr>Z_BP_00_O</vt:lpstr>
      <vt:lpstr>Z_BP_00_P</vt:lpstr>
      <vt:lpstr>Z_BP_00_S</vt:lpstr>
      <vt:lpstr>Z_BP_01_D</vt:lpstr>
      <vt:lpstr>Z_BP_01_E</vt:lpstr>
      <vt:lpstr>Z_BP_01_F</vt:lpstr>
      <vt:lpstr>Z_BP_01_I</vt:lpstr>
      <vt:lpstr>Z_BP_01_O</vt:lpstr>
      <vt:lpstr>Z_BP_01_P</vt:lpstr>
      <vt:lpstr>Z_BP_01_S</vt:lpstr>
      <vt:lpstr>Z_BP_02_D</vt:lpstr>
      <vt:lpstr>Z_BP_02_E</vt:lpstr>
      <vt:lpstr>Z_BP_02_F</vt:lpstr>
      <vt:lpstr>Z_BP_02_I</vt:lpstr>
      <vt:lpstr>Z_BP_02_O</vt:lpstr>
      <vt:lpstr>Z_BP_02_P</vt:lpstr>
      <vt:lpstr>Z_BP_02_S</vt:lpstr>
      <vt:lpstr>Z_BP_03_D</vt:lpstr>
      <vt:lpstr>Z_BP_03_E</vt:lpstr>
      <vt:lpstr>Z_BP_03_F</vt:lpstr>
      <vt:lpstr>Z_BP_03_I</vt:lpstr>
      <vt:lpstr>Z_BP_03_O</vt:lpstr>
      <vt:lpstr>Z_BP_03_P</vt:lpstr>
      <vt:lpstr>Z_BP_03_S</vt:lpstr>
      <vt:lpstr>Z_BP_04_D</vt:lpstr>
      <vt:lpstr>Z_BP_04_E</vt:lpstr>
      <vt:lpstr>Z_BP_04_F</vt:lpstr>
      <vt:lpstr>Z_BP_04_I</vt:lpstr>
      <vt:lpstr>Z_BP_04_O</vt:lpstr>
      <vt:lpstr>Z_BP_04_P</vt:lpstr>
      <vt:lpstr>Z_BP_04_S</vt:lpstr>
      <vt:lpstr>Z_BP_05_D</vt:lpstr>
      <vt:lpstr>Z_BP_05_E</vt:lpstr>
      <vt:lpstr>Z_BP_05_F</vt:lpstr>
      <vt:lpstr>Z_BP_05_I</vt:lpstr>
      <vt:lpstr>Z_BP_05_O</vt:lpstr>
      <vt:lpstr>Z_BP_05_P</vt:lpstr>
      <vt:lpstr>Z_BP_05_S</vt:lpstr>
      <vt:lpstr>Z_BP_06_D</vt:lpstr>
      <vt:lpstr>Z_BP_06_E</vt:lpstr>
      <vt:lpstr>Z_BP_06_F</vt:lpstr>
      <vt:lpstr>Z_BP_06_I</vt:lpstr>
      <vt:lpstr>Z_BP_06_O</vt:lpstr>
      <vt:lpstr>Z_BP_06_P</vt:lpstr>
      <vt:lpstr>Z_BP_06_S</vt:lpstr>
      <vt:lpstr>Z_BP_07_D</vt:lpstr>
      <vt:lpstr>Z_BP_07_E</vt:lpstr>
      <vt:lpstr>Z_BP_07_F</vt:lpstr>
      <vt:lpstr>Z_BP_07_I</vt:lpstr>
      <vt:lpstr>Z_BP_07_O</vt:lpstr>
      <vt:lpstr>Z_BP_07_P</vt:lpstr>
      <vt:lpstr>Z_BP_07_S</vt:lpstr>
      <vt:lpstr>Z_BP_08_D</vt:lpstr>
      <vt:lpstr>Z_BP_08_E</vt:lpstr>
      <vt:lpstr>Z_BP_08_F</vt:lpstr>
      <vt:lpstr>Z_BP_08_I</vt:lpstr>
      <vt:lpstr>Z_BP_08_O</vt:lpstr>
      <vt:lpstr>Z_BP_08_P</vt:lpstr>
      <vt:lpstr>Z_BP_08_S</vt:lpstr>
      <vt:lpstr>Z_BP_09_D</vt:lpstr>
      <vt:lpstr>Z_BP_09_E</vt:lpstr>
      <vt:lpstr>Z_BP_09_F</vt:lpstr>
      <vt:lpstr>Z_BP_09_I</vt:lpstr>
      <vt:lpstr>Z_BP_09_O</vt:lpstr>
      <vt:lpstr>Z_BP_09_P</vt:lpstr>
      <vt:lpstr>Z_BP_09_S</vt:lpstr>
      <vt:lpstr>Z_BP_10_D</vt:lpstr>
      <vt:lpstr>Z_BP_10_E</vt:lpstr>
      <vt:lpstr>Z_BP_10_F</vt:lpstr>
      <vt:lpstr>Z_BP_10_I</vt:lpstr>
      <vt:lpstr>Z_BP_10_O</vt:lpstr>
      <vt:lpstr>Z_BP_10_P</vt:lpstr>
      <vt:lpstr>Z_BP_10_S</vt:lpstr>
      <vt:lpstr>Z_BP_11_D</vt:lpstr>
      <vt:lpstr>Z_BP_11_E</vt:lpstr>
      <vt:lpstr>Z_BP_11_F</vt:lpstr>
      <vt:lpstr>Z_BP_11_I</vt:lpstr>
      <vt:lpstr>Z_BP_11_O</vt:lpstr>
      <vt:lpstr>Z_BP_11_P</vt:lpstr>
      <vt:lpstr>Z_BP_11_S</vt:lpstr>
      <vt:lpstr>Z_BP_12_D</vt:lpstr>
      <vt:lpstr>Z_BP_12_E</vt:lpstr>
      <vt:lpstr>Z_BP_12_F</vt:lpstr>
      <vt:lpstr>Z_BP_12_I</vt:lpstr>
      <vt:lpstr>Z_BP_12_O</vt:lpstr>
      <vt:lpstr>Z_BP_12_P</vt:lpstr>
      <vt:lpstr>Z_BP_12_S</vt:lpstr>
      <vt:lpstr>Z_BP_13_D</vt:lpstr>
      <vt:lpstr>Z_BP_13_E</vt:lpstr>
      <vt:lpstr>Z_BP_13_F</vt:lpstr>
      <vt:lpstr>Z_BP_13_I</vt:lpstr>
      <vt:lpstr>Z_BP_13_O</vt:lpstr>
      <vt:lpstr>Z_BP_13_P</vt:lpstr>
      <vt:lpstr>Z_BP_13_S</vt:lpstr>
      <vt:lpstr>Z_BP_14_D</vt:lpstr>
      <vt:lpstr>Z_BP_14_E</vt:lpstr>
      <vt:lpstr>Z_BP_14_F</vt:lpstr>
      <vt:lpstr>Z_BP_14_I</vt:lpstr>
      <vt:lpstr>Z_BP_14_O</vt:lpstr>
      <vt:lpstr>Z_BP_14_P</vt:lpstr>
      <vt:lpstr>Z_BP_14_S</vt:lpstr>
      <vt:lpstr>Z_BP_15_D</vt:lpstr>
      <vt:lpstr>Z_BP_15_E</vt:lpstr>
      <vt:lpstr>Z_BP_15_F</vt:lpstr>
      <vt:lpstr>Z_BP_15_I</vt:lpstr>
      <vt:lpstr>Z_BP_15_O</vt:lpstr>
      <vt:lpstr>Z_BP_15_P</vt:lpstr>
      <vt:lpstr>Z_BP_15_S</vt:lpstr>
      <vt:lpstr>Z_BP_16_D</vt:lpstr>
      <vt:lpstr>Z_BP_16_E</vt:lpstr>
      <vt:lpstr>Z_BP_16_F</vt:lpstr>
      <vt:lpstr>Z_BP_16_I</vt:lpstr>
      <vt:lpstr>Z_BP_16_O</vt:lpstr>
      <vt:lpstr>Z_BP_16_P</vt:lpstr>
      <vt:lpstr>Z_BP_16_S</vt:lpstr>
      <vt:lpstr>Z_BP_17_D</vt:lpstr>
      <vt:lpstr>Z_BP_17_E</vt:lpstr>
      <vt:lpstr>Z_BP_17_F</vt:lpstr>
      <vt:lpstr>Z_BP_17_I</vt:lpstr>
      <vt:lpstr>Z_BP_17_O</vt:lpstr>
      <vt:lpstr>Z_BP_17_P</vt:lpstr>
      <vt:lpstr>Z_BP_17_S</vt:lpstr>
      <vt:lpstr>Z_BP_18_D</vt:lpstr>
      <vt:lpstr>Z_BP_18_E</vt:lpstr>
      <vt:lpstr>Z_BP_18_F</vt:lpstr>
      <vt:lpstr>Z_BP_18_I</vt:lpstr>
      <vt:lpstr>Z_BP_18_O</vt:lpstr>
      <vt:lpstr>Z_BP_18_P</vt:lpstr>
      <vt:lpstr>Z_BP_18_S</vt:lpstr>
      <vt:lpstr>Z_BP_19_D</vt:lpstr>
      <vt:lpstr>Z_BP_19_E</vt:lpstr>
      <vt:lpstr>Z_BP_19_F</vt:lpstr>
      <vt:lpstr>Z_BP_19_I</vt:lpstr>
      <vt:lpstr>Z_BP_19_O</vt:lpstr>
      <vt:lpstr>Z_BP_19_P</vt:lpstr>
      <vt:lpstr>Z_BP_19_S</vt:lpstr>
      <vt:lpstr>Z_BP_20_D</vt:lpstr>
      <vt:lpstr>Z_BP_20_E</vt:lpstr>
      <vt:lpstr>Z_BP_20_F</vt:lpstr>
      <vt:lpstr>Z_BP_20_I</vt:lpstr>
      <vt:lpstr>Z_BP_20_O</vt:lpstr>
      <vt:lpstr>Z_BP_20_P</vt:lpstr>
      <vt:lpstr>Z_BP_20_S</vt:lpstr>
      <vt:lpstr>Z_BP_21_D</vt:lpstr>
      <vt:lpstr>Z_BP_21_E</vt:lpstr>
      <vt:lpstr>Z_BP_21_F</vt:lpstr>
      <vt:lpstr>Z_BP_21_I</vt:lpstr>
      <vt:lpstr>Z_BP_21_O</vt:lpstr>
      <vt:lpstr>Z_BP_21_P</vt:lpstr>
      <vt:lpstr>Z_BP_21_S</vt:lpstr>
      <vt:lpstr>Z_BP_22_D</vt:lpstr>
      <vt:lpstr>Z_BP_22_E</vt:lpstr>
      <vt:lpstr>Z_BP_22_F</vt:lpstr>
      <vt:lpstr>Z_BP_22_I</vt:lpstr>
      <vt:lpstr>Z_BP_22_O</vt:lpstr>
      <vt:lpstr>Z_BP_22_P</vt:lpstr>
      <vt:lpstr>Z_BP_22_S</vt:lpstr>
      <vt:lpstr>Z_BP_23_D</vt:lpstr>
      <vt:lpstr>Z_BP_23_E</vt:lpstr>
      <vt:lpstr>Z_BP_23_F</vt:lpstr>
      <vt:lpstr>Z_BP_23_I</vt:lpstr>
      <vt:lpstr>Z_BP_23_O</vt:lpstr>
      <vt:lpstr>Z_BP_23_P</vt:lpstr>
      <vt:lpstr>Z_BP_23_S</vt:lpstr>
      <vt:lpstr>Z_BP_24_D</vt:lpstr>
      <vt:lpstr>Z_BP_24_E</vt:lpstr>
      <vt:lpstr>Z_BP_24_F</vt:lpstr>
      <vt:lpstr>Z_BP_24_I</vt:lpstr>
      <vt:lpstr>Z_BP_24_O</vt:lpstr>
      <vt:lpstr>Z_BP_24_P</vt:lpstr>
      <vt:lpstr>Z_BP_24_S</vt:lpstr>
      <vt:lpstr>Z_BP_25_D</vt:lpstr>
      <vt:lpstr>Z_BP_25_E</vt:lpstr>
      <vt:lpstr>Z_BP_25_F</vt:lpstr>
      <vt:lpstr>Z_BP_25_I</vt:lpstr>
      <vt:lpstr>Z_BP_25_O</vt:lpstr>
      <vt:lpstr>Z_BP_25_P</vt:lpstr>
      <vt:lpstr>Z_BP_25_S</vt:lpstr>
      <vt:lpstr>Z_BP_26_D</vt:lpstr>
      <vt:lpstr>Z_BP_26_E</vt:lpstr>
      <vt:lpstr>Z_BP_26_F</vt:lpstr>
      <vt:lpstr>Z_BP_26_I</vt:lpstr>
      <vt:lpstr>Z_BP_26_O</vt:lpstr>
      <vt:lpstr>Z_BP_26_P</vt:lpstr>
      <vt:lpstr>Z_BP_26_S</vt:lpstr>
      <vt:lpstr>Z_BP_27_D</vt:lpstr>
      <vt:lpstr>Z_BP_27_E</vt:lpstr>
      <vt:lpstr>Z_BP_27_F</vt:lpstr>
      <vt:lpstr>Z_BP_27_I</vt:lpstr>
      <vt:lpstr>Z_BP_27_O</vt:lpstr>
      <vt:lpstr>Z_BP_27_P</vt:lpstr>
      <vt:lpstr>Z_BP_27_S</vt:lpstr>
      <vt:lpstr>Z_BP_28_D</vt:lpstr>
      <vt:lpstr>Z_BP_28_E</vt:lpstr>
      <vt:lpstr>Z_BP_28_F</vt:lpstr>
      <vt:lpstr>Z_BP_28_I</vt:lpstr>
      <vt:lpstr>Z_BP_28_O</vt:lpstr>
      <vt:lpstr>Z_BP_28_P</vt:lpstr>
      <vt:lpstr>Z_BP_28_S</vt:lpstr>
      <vt:lpstr>Z_BP_29_D</vt:lpstr>
      <vt:lpstr>Z_BP_29_E</vt:lpstr>
      <vt:lpstr>Z_BP_29_F</vt:lpstr>
      <vt:lpstr>Z_BP_29_I</vt:lpstr>
      <vt:lpstr>Z_BP_29_O</vt:lpstr>
      <vt:lpstr>Z_BP_29_P</vt:lpstr>
      <vt:lpstr>Z_BP_29_S</vt:lpstr>
      <vt:lpstr>Z_BP_30_D</vt:lpstr>
      <vt:lpstr>Z_BP_30_E</vt:lpstr>
      <vt:lpstr>Z_BP_30_F</vt:lpstr>
      <vt:lpstr>Z_BP_30_I</vt:lpstr>
      <vt:lpstr>Z_BP_30_O</vt:lpstr>
      <vt:lpstr>Z_BP_30_P</vt:lpstr>
      <vt:lpstr>Z_BP_30_S</vt:lpstr>
      <vt:lpstr>Z_BP_31_D</vt:lpstr>
      <vt:lpstr>Z_BP_31_E</vt:lpstr>
      <vt:lpstr>Z_BP_31_F</vt:lpstr>
      <vt:lpstr>Z_BP_31_I</vt:lpstr>
      <vt:lpstr>Z_BP_31_O</vt:lpstr>
      <vt:lpstr>Z_BP_31_P</vt:lpstr>
      <vt:lpstr>Z_BP_31_S</vt:lpstr>
      <vt:lpstr>Z_BP_32_D</vt:lpstr>
      <vt:lpstr>Z_BP_32_E</vt:lpstr>
      <vt:lpstr>Z_BP_32_F</vt:lpstr>
      <vt:lpstr>Z_BP_32_I</vt:lpstr>
      <vt:lpstr>Z_BP_32_O</vt:lpstr>
      <vt:lpstr>Z_BP_32_P</vt:lpstr>
      <vt:lpstr>Z_BP_32_S</vt:lpstr>
      <vt:lpstr>Z_IN_00_D</vt:lpstr>
      <vt:lpstr>Z_IN_00_E</vt:lpstr>
      <vt:lpstr>Z_IN_00_F</vt:lpstr>
      <vt:lpstr>Z_IN_00_I</vt:lpstr>
      <vt:lpstr>Z_IN_00_O</vt:lpstr>
      <vt:lpstr>Z_IN_00_P</vt:lpstr>
      <vt:lpstr>Z_IN_00_S</vt:lpstr>
      <vt:lpstr>Z_IN_01_D</vt:lpstr>
      <vt:lpstr>Z_IN_01_E</vt:lpstr>
      <vt:lpstr>Z_IN_01_F</vt:lpstr>
      <vt:lpstr>Z_IN_01_I</vt:lpstr>
      <vt:lpstr>Z_IN_01_O</vt:lpstr>
      <vt:lpstr>Z_IN_01_P</vt:lpstr>
      <vt:lpstr>Z_IN_01_S</vt:lpstr>
      <vt:lpstr>Z_IN_02_D</vt:lpstr>
      <vt:lpstr>Z_IN_02_E</vt:lpstr>
      <vt:lpstr>Z_IN_02_F</vt:lpstr>
      <vt:lpstr>Z_IN_02_I</vt:lpstr>
      <vt:lpstr>Z_IN_02_O</vt:lpstr>
      <vt:lpstr>Z_IN_02_P</vt:lpstr>
      <vt:lpstr>Z_IN_02_S</vt:lpstr>
      <vt:lpstr>Z_IN_03_D</vt:lpstr>
      <vt:lpstr>Z_IN_03_E</vt:lpstr>
      <vt:lpstr>Z_IN_03_F</vt:lpstr>
      <vt:lpstr>Z_IN_03_I</vt:lpstr>
      <vt:lpstr>Z_IN_03_O</vt:lpstr>
      <vt:lpstr>Z_IN_03_P</vt:lpstr>
      <vt:lpstr>Z_IN_03_S</vt:lpstr>
      <vt:lpstr>Z_IN_04_D</vt:lpstr>
      <vt:lpstr>Z_IN_04_E</vt:lpstr>
      <vt:lpstr>Z_IN_04_F</vt:lpstr>
      <vt:lpstr>Z_IN_04_I</vt:lpstr>
      <vt:lpstr>Z_IN_04_O</vt:lpstr>
      <vt:lpstr>Z_IN_04_P</vt:lpstr>
      <vt:lpstr>Z_IN_04_S</vt:lpstr>
      <vt:lpstr>Z_IN_05_D</vt:lpstr>
      <vt:lpstr>Z_IN_05_E</vt:lpstr>
      <vt:lpstr>Z_IN_05_F</vt:lpstr>
      <vt:lpstr>Z_IN_05_I</vt:lpstr>
      <vt:lpstr>Z_IN_05_O</vt:lpstr>
      <vt:lpstr>Z_IN_05_P</vt:lpstr>
      <vt:lpstr>Z_IN_05_S</vt:lpstr>
      <vt:lpstr>Z_IN_06_D</vt:lpstr>
      <vt:lpstr>Z_IN_06_E</vt:lpstr>
      <vt:lpstr>Z_IN_06_F</vt:lpstr>
      <vt:lpstr>Z_IN_06_I</vt:lpstr>
      <vt:lpstr>Z_IN_06_O</vt:lpstr>
      <vt:lpstr>Z_IN_06_P</vt:lpstr>
      <vt:lpstr>Z_IN_06_S</vt:lpstr>
      <vt:lpstr>Z_IN_07_D</vt:lpstr>
      <vt:lpstr>Z_IN_07_E</vt:lpstr>
      <vt:lpstr>Z_IN_07_F</vt:lpstr>
      <vt:lpstr>Z_IN_07_I</vt:lpstr>
      <vt:lpstr>Z_IN_07_O</vt:lpstr>
      <vt:lpstr>Z_IN_07_P</vt:lpstr>
      <vt:lpstr>Z_IN_07_S</vt:lpstr>
      <vt:lpstr>Z_IN_08_D</vt:lpstr>
      <vt:lpstr>Z_IN_08_E</vt:lpstr>
      <vt:lpstr>Z_IN_08_F</vt:lpstr>
      <vt:lpstr>Z_IN_08_I</vt:lpstr>
      <vt:lpstr>Z_IN_08_O</vt:lpstr>
      <vt:lpstr>Z_IN_08_P</vt:lpstr>
      <vt:lpstr>Z_IN_08_S</vt:lpstr>
      <vt:lpstr>Z_IN_09_D</vt:lpstr>
      <vt:lpstr>Z_IN_09_E</vt:lpstr>
      <vt:lpstr>Z_IN_09_F</vt:lpstr>
      <vt:lpstr>Z_IN_09_I</vt:lpstr>
      <vt:lpstr>Z_IN_09_O</vt:lpstr>
      <vt:lpstr>Z_IN_09_P</vt:lpstr>
      <vt:lpstr>Z_IN_09_S</vt:lpstr>
      <vt:lpstr>Z_IN_10_D</vt:lpstr>
      <vt:lpstr>Z_IN_10_E</vt:lpstr>
      <vt:lpstr>Z_IN_10_F</vt:lpstr>
      <vt:lpstr>Z_IN_10_I</vt:lpstr>
      <vt:lpstr>Z_IN_10_O</vt:lpstr>
      <vt:lpstr>Z_IN_10_P</vt:lpstr>
      <vt:lpstr>Z_IN_10_S</vt:lpstr>
      <vt:lpstr>Z_IN_11_D</vt:lpstr>
      <vt:lpstr>Z_IN_11_E</vt:lpstr>
      <vt:lpstr>Z_IN_11_F</vt:lpstr>
      <vt:lpstr>Z_IN_11_I</vt:lpstr>
      <vt:lpstr>Z_IN_11_O</vt:lpstr>
      <vt:lpstr>Z_IN_11_P</vt:lpstr>
      <vt:lpstr>Z_IN_11_S</vt:lpstr>
      <vt:lpstr>Z_IN_12_D</vt:lpstr>
      <vt:lpstr>Z_IN_12_E</vt:lpstr>
      <vt:lpstr>Z_IN_12_F</vt:lpstr>
      <vt:lpstr>Z_IN_12_I</vt:lpstr>
      <vt:lpstr>Z_IN_12_O</vt:lpstr>
      <vt:lpstr>Z_IN_12_P</vt:lpstr>
      <vt:lpstr>Z_IN_12_S</vt:lpstr>
      <vt:lpstr>Z_IN_13_D</vt:lpstr>
      <vt:lpstr>Z_IN_13_E</vt:lpstr>
      <vt:lpstr>Z_IN_13_F</vt:lpstr>
      <vt:lpstr>Z_IN_13_I</vt:lpstr>
      <vt:lpstr>Z_IN_13_O</vt:lpstr>
      <vt:lpstr>Z_IN_13_P</vt:lpstr>
      <vt:lpstr>Z_IN_13_S</vt:lpstr>
      <vt:lpstr>Z_IN_14_D</vt:lpstr>
      <vt:lpstr>Z_IN_14_E</vt:lpstr>
      <vt:lpstr>Z_IN_14_F</vt:lpstr>
      <vt:lpstr>Z_IN_14_I</vt:lpstr>
      <vt:lpstr>Z_IN_14_O</vt:lpstr>
      <vt:lpstr>Z_IN_14_P</vt:lpstr>
      <vt:lpstr>Z_IN_14_S</vt:lpstr>
      <vt:lpstr>Z_IN_15_D</vt:lpstr>
      <vt:lpstr>Z_IN_15_E</vt:lpstr>
      <vt:lpstr>Z_IN_15_F</vt:lpstr>
      <vt:lpstr>Z_IN_15_I</vt:lpstr>
      <vt:lpstr>Z_IN_15_O</vt:lpstr>
      <vt:lpstr>Z_IN_15_P</vt:lpstr>
      <vt:lpstr>Z_IN_15_S</vt:lpstr>
      <vt:lpstr>Z_IN_16_D</vt:lpstr>
      <vt:lpstr>Z_IN_16_E</vt:lpstr>
      <vt:lpstr>Z_IN_16_F</vt:lpstr>
      <vt:lpstr>Z_IN_16_I</vt:lpstr>
      <vt:lpstr>Z_IN_16_O</vt:lpstr>
      <vt:lpstr>Z_IN_16_P</vt:lpstr>
      <vt:lpstr>Z_IN_16_S</vt:lpstr>
      <vt:lpstr>Z_IN_17_D</vt:lpstr>
      <vt:lpstr>Z_IN_17_E</vt:lpstr>
      <vt:lpstr>Z_IN_17_F</vt:lpstr>
      <vt:lpstr>Z_IN_17_I</vt:lpstr>
      <vt:lpstr>Z_IN_17_O</vt:lpstr>
      <vt:lpstr>Z_IN_17_P</vt:lpstr>
      <vt:lpstr>Z_IN_17_S</vt:lpstr>
      <vt:lpstr>Z_TX_00_D</vt:lpstr>
      <vt:lpstr>Z_TX_00_E</vt:lpstr>
      <vt:lpstr>Z_TX_00_F</vt:lpstr>
      <vt:lpstr>Z_TX_00_I</vt:lpstr>
      <vt:lpstr>Z_TX_00_O</vt:lpstr>
      <vt:lpstr>Z_TX_00_P</vt:lpstr>
      <vt:lpstr>Z_TX_00_S</vt:lpstr>
      <vt:lpstr>Z_TX_01_D</vt:lpstr>
      <vt:lpstr>Z_TX_01_E</vt:lpstr>
      <vt:lpstr>Z_TX_01_F</vt:lpstr>
      <vt:lpstr>Z_TX_01_I</vt:lpstr>
      <vt:lpstr>Z_TX_01_O</vt:lpstr>
      <vt:lpstr>Z_TX_01_P</vt:lpstr>
      <vt:lpstr>Z_TX_01_S</vt:lpstr>
      <vt:lpstr>Z_TX_92_1_</vt:lpstr>
      <vt:lpstr>Z_TX_92_1_D</vt:lpstr>
      <vt:lpstr>Z_TX_92_1_E</vt:lpstr>
      <vt:lpstr>Z_TX_92_1_F</vt:lpstr>
      <vt:lpstr>Z_TX_92_1_I</vt:lpstr>
      <vt:lpstr>Z_TX_92_1_O</vt:lpstr>
      <vt:lpstr>Z_TX_92_1_P</vt:lpstr>
      <vt:lpstr>Z_TX_92_1_S</vt:lpstr>
      <vt:lpstr>Z_TX_92_10_D</vt:lpstr>
      <vt:lpstr>Z_TX_92_10_E</vt:lpstr>
      <vt:lpstr>Z_TX_92_10_F</vt:lpstr>
      <vt:lpstr>Z_TX_92_10_I</vt:lpstr>
      <vt:lpstr>Z_TX_92_10_O</vt:lpstr>
      <vt:lpstr>Z_TX_92_10_P</vt:lpstr>
      <vt:lpstr>Z_TX_92_10_S</vt:lpstr>
      <vt:lpstr>Z_TX_92_2_</vt:lpstr>
      <vt:lpstr>Z_TX_92_2_D</vt:lpstr>
      <vt:lpstr>Z_TX_92_2_E</vt:lpstr>
      <vt:lpstr>Z_TX_92_2_F</vt:lpstr>
      <vt:lpstr>Z_TX_92_2_I</vt:lpstr>
      <vt:lpstr>Z_TX_92_2_O</vt:lpstr>
      <vt:lpstr>Z_TX_92_2_P</vt:lpstr>
      <vt:lpstr>Z_TX_92_2_S</vt:lpstr>
      <vt:lpstr>Z_TX_92_3_</vt:lpstr>
      <vt:lpstr>Z_TX_92_3_D</vt:lpstr>
      <vt:lpstr>Z_TX_92_3_E</vt:lpstr>
      <vt:lpstr>Z_TX_92_3_F</vt:lpstr>
      <vt:lpstr>Z_TX_92_3_I</vt:lpstr>
      <vt:lpstr>Z_TX_92_3_O</vt:lpstr>
      <vt:lpstr>Z_TX_92_3_P</vt:lpstr>
      <vt:lpstr>Z_TX_92_3_S</vt:lpstr>
      <vt:lpstr>Z_TX_92_4_</vt:lpstr>
      <vt:lpstr>Z_TX_92_4_D</vt:lpstr>
      <vt:lpstr>Z_TX_92_4_E</vt:lpstr>
      <vt:lpstr>Z_TX_92_4_F</vt:lpstr>
      <vt:lpstr>Z_TX_92_4_I</vt:lpstr>
      <vt:lpstr>Z_TX_92_4_O</vt:lpstr>
      <vt:lpstr>Z_TX_92_4_P</vt:lpstr>
      <vt:lpstr>Z_TX_92_4_S</vt:lpstr>
      <vt:lpstr>Z_TX_92_5_</vt:lpstr>
      <vt:lpstr>Z_TX_92_5_D</vt:lpstr>
      <vt:lpstr>Z_TX_92_5_E</vt:lpstr>
      <vt:lpstr>Z_TX_92_5_F</vt:lpstr>
      <vt:lpstr>Z_TX_92_5_I</vt:lpstr>
      <vt:lpstr>Z_TX_92_5_O</vt:lpstr>
      <vt:lpstr>Z_TX_92_5_P</vt:lpstr>
      <vt:lpstr>Z_TX_92_5_S</vt:lpstr>
      <vt:lpstr>Z_TX_92_6_</vt:lpstr>
      <vt:lpstr>Z_TX_92_6_D</vt:lpstr>
      <vt:lpstr>Z_TX_92_6_E</vt:lpstr>
      <vt:lpstr>Z_TX_92_6_F</vt:lpstr>
      <vt:lpstr>Z_TX_92_6_I</vt:lpstr>
      <vt:lpstr>Z_TX_92_6_O</vt:lpstr>
      <vt:lpstr>Z_TX_92_6_P</vt:lpstr>
      <vt:lpstr>Z_TX_92_6_S</vt:lpstr>
      <vt:lpstr>Z_TX_92_7_</vt:lpstr>
      <vt:lpstr>Z_TX_92_7_D</vt:lpstr>
      <vt:lpstr>Z_TX_92_7_E</vt:lpstr>
      <vt:lpstr>Z_TX_92_7_F</vt:lpstr>
      <vt:lpstr>Z_TX_92_7_I</vt:lpstr>
      <vt:lpstr>Z_TX_92_7_O</vt:lpstr>
      <vt:lpstr>Z_TX_92_7_P</vt:lpstr>
      <vt:lpstr>Z_TX_92_7_S</vt:lpstr>
      <vt:lpstr>Z_TX_92_8_</vt:lpstr>
      <vt:lpstr>Z_TX_92_8_D</vt:lpstr>
      <vt:lpstr>Z_TX_92_8_E</vt:lpstr>
      <vt:lpstr>Z_TX_92_8_F</vt:lpstr>
      <vt:lpstr>Z_TX_92_8_I</vt:lpstr>
      <vt:lpstr>Z_TX_92_8_O</vt:lpstr>
      <vt:lpstr>Z_TX_92_8_P</vt:lpstr>
      <vt:lpstr>Z_TX_92_8_S</vt:lpstr>
      <vt:lpstr>Z_TX_92_9_D</vt:lpstr>
      <vt:lpstr>Z_TX_92_9_E</vt:lpstr>
      <vt:lpstr>Z_TX_92_9_F</vt:lpstr>
      <vt:lpstr>Z_TX_92_9_I</vt:lpstr>
      <vt:lpstr>Z_TX_92_9_O</vt:lpstr>
      <vt:lpstr>Z_TX_92_9_P</vt:lpstr>
      <vt:lpstr>Z_TX_92_9_S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Base de datos de preguntas para MOODLE</dc:title>
  <dc:creator>Milagros Huerta Gómez de Merodio</dc:creator>
  <cp:keywords>MOODLE, DOCENCIA, PREGUNTAS, CUESTIONARIOS</cp:keywords>
  <cp:lastModifiedBy>Milagros Huerta Gómez de Merodio</cp:lastModifiedBy>
  <cp:lastPrinted>2021-05-08T09:25:40Z</cp:lastPrinted>
  <dcterms:created xsi:type="dcterms:W3CDTF">2021-02-15T22:57:22Z</dcterms:created>
  <dcterms:modified xsi:type="dcterms:W3CDTF">2021-12-30T12:50:29Z</dcterms:modified>
  <cp:category>DOCENCIA</cp:category>
</cp:coreProperties>
</file>