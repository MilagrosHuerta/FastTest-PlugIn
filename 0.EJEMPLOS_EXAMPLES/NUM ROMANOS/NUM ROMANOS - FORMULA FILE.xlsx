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2"/>
  <workbookPr codeName="ThisWorkbook"/>
  <mc:AlternateContent xmlns:mc="http://schemas.openxmlformats.org/markup-compatibility/2006">
    <mc:Choice Requires="x15">
      <x15ac:absPath xmlns:x15ac="http://schemas.microsoft.com/office/spreadsheetml/2010/11/ac" url="C:\AHGM\0. GITHUB\FTP_Privado\0.EJEMPLOS_EXAMPLES\NUM ROMANOS\"/>
    </mc:Choice>
  </mc:AlternateContent>
  <xr:revisionPtr revIDLastSave="0" documentId="13_ncr:1_{70A8BF36-FC07-481A-9899-CC57712D6BB7}" xr6:coauthVersionLast="47" xr6:coauthVersionMax="47" xr10:uidLastSave="{00000000-0000-0000-0000-000000000000}"/>
  <bookViews>
    <workbookView xWindow="-93" yWindow="-93" windowWidth="19386" windowHeight="12986" tabRatio="805" xr2:uid="{00000000-000D-0000-FFFF-FFFF00000000}"/>
  </bookViews>
  <sheets>
    <sheet name="Formulas DG" sheetId="9" r:id="rId1"/>
    <sheet name="Formulas OM" sheetId="1" r:id="rId2"/>
    <sheet name="Formulas O2" sheetId="2" r:id="rId3"/>
    <sheet name="Formulas VF" sheetId="7" r:id="rId4"/>
    <sheet name="Formulas EM" sheetId="8" r:id="rId5"/>
    <sheet name="Formulas RC" sheetId="3" r:id="rId6"/>
    <sheet name="Formulas PP" sheetId="4" r:id="rId7"/>
    <sheet name="Formulas EN" sheetId="5" r:id="rId8"/>
    <sheet name="Formulas CL" sheetId="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7" l="1"/>
  <c r="AD3" i="3" l="1"/>
  <c r="AD2" i="3"/>
  <c r="AD1" i="3"/>
  <c r="AD3" i="1"/>
  <c r="AD2" i="1"/>
  <c r="AD1" i="1"/>
  <c r="A37" i="1" l="1"/>
  <c r="A4" i="9" l="1"/>
  <c r="A37" i="6" l="1"/>
  <c r="A37" i="5"/>
  <c r="A37" i="4"/>
  <c r="A37" i="3"/>
  <c r="A37" i="8"/>
  <c r="A37" i="7"/>
  <c r="A37" i="2"/>
  <c r="A4" i="8" l="1"/>
  <c r="A4" i="3"/>
  <c r="A4" i="4"/>
  <c r="A4" i="5"/>
  <c r="A4" i="6"/>
  <c r="A4" i="2"/>
  <c r="A4" i="1" l="1"/>
</calcChain>
</file>

<file path=xl/sharedStrings.xml><?xml version="1.0" encoding="utf-8"?>
<sst xmlns="http://schemas.openxmlformats.org/spreadsheetml/2006/main" count="624" uniqueCount="280">
  <si>
    <t>DATO_01</t>
  </si>
  <si>
    <t>DATO_02</t>
  </si>
  <si>
    <t>DATO_03</t>
  </si>
  <si>
    <t>DATO_04</t>
  </si>
  <si>
    <t>DATO_05</t>
  </si>
  <si>
    <t>DATO_06</t>
  </si>
  <si>
    <t>DATO_07</t>
  </si>
  <si>
    <t>DATO_08</t>
  </si>
  <si>
    <t>DATO_09</t>
  </si>
  <si>
    <t>DATO_10</t>
  </si>
  <si>
    <t>DATO_11</t>
  </si>
  <si>
    <t>DATO_12</t>
  </si>
  <si>
    <t>DATO_13</t>
  </si>
  <si>
    <t>DATO_14</t>
  </si>
  <si>
    <t>DATO_15</t>
  </si>
  <si>
    <t>DATO_16</t>
  </si>
  <si>
    <t>DATO_17</t>
  </si>
  <si>
    <t>DATO_18</t>
  </si>
  <si>
    <t>DATO_19</t>
  </si>
  <si>
    <t>DATO_20</t>
  </si>
  <si>
    <t>DATO_21</t>
  </si>
  <si>
    <t>DATO_22</t>
  </si>
  <si>
    <t>DATO_23</t>
  </si>
  <si>
    <t>DATO_24</t>
  </si>
  <si>
    <t>DATO_25</t>
  </si>
  <si>
    <t>DATO_26</t>
  </si>
  <si>
    <t>DATO_27</t>
  </si>
  <si>
    <t>DATO_28</t>
  </si>
  <si>
    <t>DATO_29</t>
  </si>
  <si>
    <t>DATO_30</t>
  </si>
  <si>
    <t>DATO_31</t>
  </si>
  <si>
    <t>DATO_32</t>
  </si>
  <si>
    <t>DESCRIPCION</t>
  </si>
  <si>
    <t>ENUNCIADO</t>
  </si>
  <si>
    <t>ANCHO</t>
  </si>
  <si>
    <t>PISTA 1</t>
  </si>
  <si>
    <t>PISTA 2</t>
  </si>
  <si>
    <t>PISTA 4</t>
  </si>
  <si>
    <t>IMAGEN</t>
  </si>
  <si>
    <t>FORMULARIO</t>
  </si>
  <si>
    <t>RESPUESTA 1</t>
  </si>
  <si>
    <t>RESPUESTA 2</t>
  </si>
  <si>
    <t>RESPUESTA 3</t>
  </si>
  <si>
    <t>RESPUESTA 4</t>
  </si>
  <si>
    <t>RESPUESTA 5</t>
  </si>
  <si>
    <t>RESPUESTA 6</t>
  </si>
  <si>
    <t>RETROALIM. 1</t>
  </si>
  <si>
    <t>RETROALIM. 2</t>
  </si>
  <si>
    <t>RETROALIM. 3</t>
  </si>
  <si>
    <t>RETROALIM. 4</t>
  </si>
  <si>
    <t>RETROALIM. 5</t>
  </si>
  <si>
    <t>RETROALIM. 6</t>
  </si>
  <si>
    <t>PUNTOS 1</t>
  </si>
  <si>
    <t>PUNTOS 2</t>
  </si>
  <si>
    <t>PUNTOS 3</t>
  </si>
  <si>
    <t>PUNTOS 4</t>
  </si>
  <si>
    <t>PUNTOS 5</t>
  </si>
  <si>
    <t>PUNTOS 6</t>
  </si>
  <si>
    <t>V/F</t>
  </si>
  <si>
    <t>RETROALIM. INC</t>
  </si>
  <si>
    <t>RETROALIM. C</t>
  </si>
  <si>
    <t>P09_1</t>
  </si>
  <si>
    <t>P01_1</t>
  </si>
  <si>
    <t>P01_2</t>
  </si>
  <si>
    <t>P02_1</t>
  </si>
  <si>
    <t>P02_2</t>
  </si>
  <si>
    <t>P03_1</t>
  </si>
  <si>
    <t>P03_2</t>
  </si>
  <si>
    <t>P04_1</t>
  </si>
  <si>
    <t>P04_2</t>
  </si>
  <si>
    <t>P05_1</t>
  </si>
  <si>
    <t>P05_2</t>
  </si>
  <si>
    <t>P06_1</t>
  </si>
  <si>
    <t>P06_2</t>
  </si>
  <si>
    <t>P07_1</t>
  </si>
  <si>
    <t>P07_2</t>
  </si>
  <si>
    <t>P08_1</t>
  </si>
  <si>
    <t>P08_2</t>
  </si>
  <si>
    <t>P09_2</t>
  </si>
  <si>
    <t>P10_1</t>
  </si>
  <si>
    <t>P10_2</t>
  </si>
  <si>
    <t>P11_1</t>
  </si>
  <si>
    <t>P11_2</t>
  </si>
  <si>
    <t>P12_1</t>
  </si>
  <si>
    <t>P12_2</t>
  </si>
  <si>
    <t>Editor HTML</t>
  </si>
  <si>
    <t>TEXTO</t>
  </si>
  <si>
    <t>TAMAÑO CAJA</t>
  </si>
  <si>
    <t>ARCHIVOS</t>
  </si>
  <si>
    <t>ARCHIVOS REQ.</t>
  </si>
  <si>
    <t>PLANTILLA</t>
  </si>
  <si>
    <t>INFORMACION</t>
  </si>
  <si>
    <t>MAYUSCULAS</t>
  </si>
  <si>
    <t>RETROALIM 1</t>
  </si>
  <si>
    <t>RETROALIM 2</t>
  </si>
  <si>
    <t>RETROALIM 3</t>
  </si>
  <si>
    <t>RETROALIM 4</t>
  </si>
  <si>
    <t>RETROALIM 5</t>
  </si>
  <si>
    <t>RETROALIM 6</t>
  </si>
  <si>
    <t>RESPUESTA 7</t>
  </si>
  <si>
    <t>PUNTOS 7</t>
  </si>
  <si>
    <t>RETROALIM 7</t>
  </si>
  <si>
    <t>RESPUESTA 8</t>
  </si>
  <si>
    <t>PUNTOS 8</t>
  </si>
  <si>
    <t>RETROALIM 8</t>
  </si>
  <si>
    <t>OPCION MULTIPLE</t>
  </si>
  <si>
    <t>MULTIPLE CHOICE</t>
  </si>
  <si>
    <t>OPCION MULTIPLE +</t>
  </si>
  <si>
    <t>MULTIPLE CHOICE +</t>
  </si>
  <si>
    <t>VERDADERO / FALSO</t>
  </si>
  <si>
    <t>TRUE / FALSE</t>
  </si>
  <si>
    <t>EMPAREJAR</t>
  </si>
  <si>
    <t>MATCHING</t>
  </si>
  <si>
    <t>RESPUESTA CORTA</t>
  </si>
  <si>
    <t>SHORT ANSWER</t>
  </si>
  <si>
    <t>PALABRA PERDIDA</t>
  </si>
  <si>
    <t>MISSING WORD</t>
  </si>
  <si>
    <t>ENSAYO</t>
  </si>
  <si>
    <t>ESSAY</t>
  </si>
  <si>
    <t>CLOZE</t>
  </si>
  <si>
    <t>ANIDADAS / CLOZE</t>
  </si>
  <si>
    <t>VARIABLES</t>
  </si>
  <si>
    <t>DATOS GENERALES</t>
  </si>
  <si>
    <t>GENERAL DATA</t>
  </si>
  <si>
    <t>Tit. Categoria</t>
  </si>
  <si>
    <t>Desc. Categoría</t>
  </si>
  <si>
    <t>Tit. Subcategoría</t>
  </si>
  <si>
    <t>Desc. Subcategoría</t>
  </si>
  <si>
    <t>Retroalim. General</t>
  </si>
  <si>
    <t>Retroalim. R Correcta</t>
  </si>
  <si>
    <t>Retroalim. R Incorrecta</t>
  </si>
  <si>
    <t>Retroalim. R Parc Correcta</t>
  </si>
  <si>
    <t>Prefijo Preguntas</t>
  </si>
  <si>
    <t>Categ_01</t>
  </si>
  <si>
    <t>Categ_02</t>
  </si>
  <si>
    <t>Categ_03</t>
  </si>
  <si>
    <t>Categ_04</t>
  </si>
  <si>
    <t>Categ_05</t>
  </si>
  <si>
    <t>Categ_06</t>
  </si>
  <si>
    <t>Categ_07</t>
  </si>
  <si>
    <t>Categ_08</t>
  </si>
  <si>
    <t>Categ_09</t>
  </si>
  <si>
    <t>Categ_10</t>
  </si>
  <si>
    <t>Categ_11</t>
  </si>
  <si>
    <t>Categ_12</t>
  </si>
  <si>
    <t>Categ_13</t>
  </si>
  <si>
    <t>Categ_14</t>
  </si>
  <si>
    <t>Categ_15</t>
  </si>
  <si>
    <t>Categ_16</t>
  </si>
  <si>
    <t>Categ_17</t>
  </si>
  <si>
    <t>Categ_18</t>
  </si>
  <si>
    <t>Categ_19</t>
  </si>
  <si>
    <t>Categ_20</t>
  </si>
  <si>
    <t>Mensaje Marcar Texto</t>
  </si>
  <si>
    <t>SubCat_01</t>
  </si>
  <si>
    <t>SubCat_02</t>
  </si>
  <si>
    <t>SubCat_03</t>
  </si>
  <si>
    <t>SubCat_04</t>
  </si>
  <si>
    <t>SubCat_05</t>
  </si>
  <si>
    <t>SubCat_06</t>
  </si>
  <si>
    <t>SubCat_07</t>
  </si>
  <si>
    <t>SubCat_08</t>
  </si>
  <si>
    <t>SubCat_09</t>
  </si>
  <si>
    <t>SubCat_10</t>
  </si>
  <si>
    <t>SubCat_11</t>
  </si>
  <si>
    <t>SubCat_12</t>
  </si>
  <si>
    <t>Debes estudiar más.</t>
  </si>
  <si>
    <t>NUM ROMANOS</t>
  </si>
  <si>
    <t>Numeros Romanos</t>
  </si>
  <si>
    <t>Muy bien</t>
  </si>
  <si>
    <t>Debes estudiar mas…</t>
  </si>
  <si>
    <t>NUM ROMANOS (OM Varias Respuestas)</t>
  </si>
  <si>
    <t>Muy bien.</t>
  </si>
  <si>
    <t>Debes estudiar mas.</t>
  </si>
  <si>
    <t>NUM ROMANOS (V/F)</t>
  </si>
  <si>
    <t>NUM ROMANOS (Emparejar)</t>
  </si>
  <si>
    <t>Empareja:</t>
  </si>
  <si>
    <t>NUM ROMANO (Mayusc y Minus)</t>
  </si>
  <si>
    <t>NUM ROMANO (Palabra Perdida)</t>
  </si>
  <si>
    <t>NUM ROMANOS (Siglo)</t>
  </si>
  <si>
    <t>Requerir al estudiante que introduzca texto</t>
  </si>
  <si>
    <t>Los archivos adjuntos son opcionales</t>
  </si>
  <si>
    <t>Inicios del siglo. Mediados del siglo. Finales del Siglo.</t>
  </si>
  <si>
    <t>Se valora la brevedad y síntesis.</t>
  </si>
  <si>
    <t>NUM ROMANOS (CL)</t>
  </si>
  <si>
    <t>OK</t>
  </si>
  <si>
    <t>=ALEATORIO.ENTRE(1;10)</t>
  </si>
  <si>
    <t>=ALEATORIO.ENTRE(11;20)</t>
  </si>
  <si>
    <t>=ALEATORIO.ENTRE(21;30)</t>
  </si>
  <si>
    <t>=ALEATORIO.ENTRE(31;40)</t>
  </si>
  <si>
    <t>=ALEATORIO.ENTRE(41;50)</t>
  </si>
  <si>
    <t>=ALEATORIO.ENTRE(51;60)</t>
  </si>
  <si>
    <t>=ALEATORIO.ENTRE(61;70)</t>
  </si>
  <si>
    <t>=ALEATORIO.ENTRE(71;80)</t>
  </si>
  <si>
    <t>=ALEATORIO.ENTRE(81;90)</t>
  </si>
  <si>
    <t>=ALEATORIO.ENTRE(91;100)</t>
  </si>
  <si>
    <t>=ALEATORIO.ENTRE(101;110)</t>
  </si>
  <si>
    <t>=ALEATORIO.ENTRE(111;120)</t>
  </si>
  <si>
    <t>=ALEATORIO.ENTRE(1;100)</t>
  </si>
  <si>
    <t>=NUMERO.ROMANO(Dato_01)</t>
  </si>
  <si>
    <t>=NUMERO.ROMANO(Dato_01+ALEATORIO.ENTRE(1;3)*10)</t>
  </si>
  <si>
    <t>=NUMERO.ROMANO(Dato_01+ALEATORIO.ENTRE(4;5))</t>
  </si>
  <si>
    <t>=NUMERO.ROMANO(Dato_01+ALEATORIO.ENTRE(6;8)*10)</t>
  </si>
  <si>
    <t>=NUMERO.ROMANO(Dato_01+ALEATORIO.ENTRE(1;10))</t>
  </si>
  <si>
    <t>=ALEATORIO.ENTRE(2;3)</t>
  </si>
  <si>
    <t>=SI(Dato_04=2;Dato_18;Dato_19)</t>
  </si>
  <si>
    <t>="El Número Romano de "&amp;Dato_01&amp;" es: "&amp;INDIRECTO("Dato_0"&amp;Dato_04)</t>
  </si>
  <si>
    <t>=SI(Dato_20=Dato_18;"VERDADERO";"FALSO")</t>
  </si>
  <si>
    <t>=ALEATORIO.ENTRE(10;100)</t>
  </si>
  <si>
    <t>="Indica los Números Romanos mayores que "&amp;Dato_01&amp;"."</t>
  </si>
  <si>
    <t>=NUMERO.ROMANO(Dato_01+ALEATORIO.ENTRE(1;5))</t>
  </si>
  <si>
    <t>=NUMERO.ROMANO(Dato_01+ALEATORIO.ENTRE(6;15))</t>
  </si>
  <si>
    <t>=NUMERO.ROMANO(Dato_01-ALEATORIO.ENTRE(1;5))</t>
  </si>
  <si>
    <t>=NUMERO.ROMANO(MAX(Dato_01-ALEATORIO.ENTRE(6;10);1))</t>
  </si>
  <si>
    <t>=ALEATORIO.ENTRE(5;100)</t>
  </si>
  <si>
    <t>="Escribe el Número Romano de "&amp;Dato_01&amp;"."</t>
  </si>
  <si>
    <t>=MINUSC(RC_1)</t>
  </si>
  <si>
    <t>=NUMERO.ROMANO(Dato_02)</t>
  </si>
  <si>
    <t>=NUMERO.ROMANO(Dato_03)</t>
  </si>
  <si>
    <t>=NUMERO.ROMANO(Dato_04)</t>
  </si>
  <si>
    <t>=ALEATORIO.ENTRE(1;4)</t>
  </si>
  <si>
    <t>=ALEATORIO.ENTRE(5;8)</t>
  </si>
  <si>
    <t>="El Número Romano de "&amp;INDIRECTO("Dato_0"&amp;Dato_17)&amp;" es [["&amp;Dato_17+4&amp;"]]. El Siguiente Número Romano "&amp;INDIRECTO("Dato_0"&amp;Dato_21)&amp;" es [["&amp;Dato_21-4&amp;"]]."</t>
  </si>
  <si>
    <t>=Dato_01</t>
  </si>
  <si>
    <t>=Dato_02</t>
  </si>
  <si>
    <t>=Dato_03</t>
  </si>
  <si>
    <t>=Dato_04</t>
  </si>
  <si>
    <t>=Dato_05</t>
  </si>
  <si>
    <t>=Dato_06</t>
  </si>
  <si>
    <t>=Dato_07</t>
  </si>
  <si>
    <t>=Dato_08</t>
  </si>
  <si>
    <t>=ALEATORIO.ENTRE(15;21)</t>
  </si>
  <si>
    <t>="Escribe todo lo que sepas del Siglo "&amp;NUMERO.ROMANO(Dato_01)&amp;"."</t>
  </si>
  <si>
    <t>=Dato_01+ALEATORIO.ENTRE(1;5)</t>
  </si>
  <si>
    <t>=Dato_01+ALEATORIO.ENTRE(6;10)</t>
  </si>
  <si>
    <t>=Dato_01+ALEATORIO.ENTRE(20;25)</t>
  </si>
  <si>
    <t>=NUMERO.ROMANO(AB21)</t>
  </si>
  <si>
    <t>=NUMERO.ROMANO(AB22)</t>
  </si>
  <si>
    <t>=NUMERO.ROMANO(AB23)</t>
  </si>
  <si>
    <t>=NUMERO.ROMANO(AB24)</t>
  </si>
  <si>
    <t>="Trabajando con Números Romanos:&lt;br&gt;&lt;br&gt;
1. Selecciona el Número Romano de "&amp;Dato_01&amp;" {1:MC:%100%"&amp;Dato_17&amp;"#Muy Bien~%-50%"&amp;Dato_18&amp;"#Debes estudiar más~%-50%"&amp;Dato_19&amp;"#Debes estudiar más~%-50%"&amp;Dato_20&amp;"#Debes estudiar más}&lt;br&gt;&lt;br&gt;
2. Escribe el Número Romano de "&amp;Dato_04&amp;" {1:SA:%100%"&amp;Dato_20&amp;"#Muy bien~%50%"&amp;MINUSC(Dato_20)&amp;"#Ten cuidado y escribe en Mayúsculas}&lt;br&gt;&lt;br&gt;
3. Escribe el número de "&amp;Dato_19&amp;"{1:NUMERICAL:%100%"&amp;Dato_03&amp;":0#Muy bien~%-50%"&amp;Dato_02&amp;":0#Debes estudiar mas}"</t>
  </si>
  <si>
    <t>=NUMERO.ROMANO(P_01_1)</t>
  </si>
  <si>
    <t>=NUMERO.ROMANO(P_02_1)</t>
  </si>
  <si>
    <t>=NUMERO.ROMANO(P_03_1)</t>
  </si>
  <si>
    <t>=NUMERO.ROMANO(P_04_1)</t>
  </si>
  <si>
    <t>=NUMERO.ROMANO(P_05_1)</t>
  </si>
  <si>
    <t>=NUMERO.ROMANO(P_06_1)</t>
  </si>
  <si>
    <t>=NUMERO.ROMANO(P_07_1)</t>
  </si>
  <si>
    <t>=NUMERO.ROMANO(P_08_1)</t>
  </si>
  <si>
    <t>=NUMERO.ROMANO(P_09_1)</t>
  </si>
  <si>
    <t>=NUMERO.ROMANO(P_10_1)</t>
  </si>
  <si>
    <t>=NUMERO.ROMANO(P_11_1)</t>
  </si>
  <si>
    <t>=NUMERO.ROMANO(P_12_1)</t>
  </si>
  <si>
    <t>P_01_1</t>
  </si>
  <si>
    <t>P_01_2</t>
  </si>
  <si>
    <t>P_02_1</t>
  </si>
  <si>
    <t>P_02_2</t>
  </si>
  <si>
    <t>P_03_1</t>
  </si>
  <si>
    <t>P_03_2</t>
  </si>
  <si>
    <t>P_04_1</t>
  </si>
  <si>
    <t>P_04_2</t>
  </si>
  <si>
    <t>P_05_1</t>
  </si>
  <si>
    <t>P_05_2</t>
  </si>
  <si>
    <t>P_06_1</t>
  </si>
  <si>
    <t>P_06_2</t>
  </si>
  <si>
    <t>P_07_1</t>
  </si>
  <si>
    <t>P_07_2</t>
  </si>
  <si>
    <t>P_08_1</t>
  </si>
  <si>
    <t>P_08_2</t>
  </si>
  <si>
    <t>P_09_1</t>
  </si>
  <si>
    <t>P_09_2</t>
  </si>
  <si>
    <t>P_10_1</t>
  </si>
  <si>
    <t>P_10_2</t>
  </si>
  <si>
    <t>P_11_1</t>
  </si>
  <si>
    <t>P_11_2</t>
  </si>
  <si>
    <t>P_12_1</t>
  </si>
  <si>
    <t>P_12_2</t>
  </si>
  <si>
    <t>V - 8.3</t>
  </si>
  <si>
    <t>ad2</t>
  </si>
  <si>
    <t>="El Numero Romano de "&amp;Dato_01&amp;" es:"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</si>
</sst>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5877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87B00"/>
        <bgColor indexed="64"/>
      </patternFill>
    </fill>
    <fill>
      <patternFill patternType="solid">
        <fgColor rgb="FF005877"/>
        <bgColor indexed="64"/>
      </patternFill>
    </fill>
  </fills>
  <borders count="11">
    <border>
      <left/>
      <right/>
      <top/>
      <bottom/>
      <diagonal/>
    </border>
    <border>
      <left style="medium">
        <color rgb="FF005877"/>
      </left>
      <right style="medium">
        <color rgb="FF005877"/>
      </right>
      <top style="medium">
        <color rgb="FF005877"/>
      </top>
      <bottom/>
      <diagonal/>
    </border>
    <border>
      <left style="medium">
        <color rgb="FF005877"/>
      </left>
      <right/>
      <top style="medium">
        <color rgb="FF005877"/>
      </top>
      <bottom/>
      <diagonal/>
    </border>
    <border>
      <left style="medium">
        <color rgb="FF005877"/>
      </left>
      <right style="medium">
        <color rgb="FF005877"/>
      </right>
      <top/>
      <bottom style="thin">
        <color rgb="FF005877"/>
      </bottom>
      <diagonal/>
    </border>
    <border>
      <left style="medium">
        <color rgb="FF005877"/>
      </left>
      <right style="medium">
        <color rgb="FF005877"/>
      </right>
      <top style="thin">
        <color rgb="FF005877"/>
      </top>
      <bottom style="thin">
        <color rgb="FF005877"/>
      </bottom>
      <diagonal/>
    </border>
    <border>
      <left style="medium">
        <color rgb="FF005877"/>
      </left>
      <right style="medium">
        <color rgb="FF005877"/>
      </right>
      <top style="thin">
        <color rgb="FF005877"/>
      </top>
      <bottom style="medium">
        <color rgb="FF005877"/>
      </bottom>
      <diagonal/>
    </border>
    <border>
      <left style="medium">
        <color rgb="FF005877"/>
      </left>
      <right style="medium">
        <color rgb="FF005877"/>
      </right>
      <top style="thin">
        <color rgb="FF005877"/>
      </top>
      <bottom/>
      <diagonal/>
    </border>
    <border>
      <left style="medium">
        <color rgb="FF005877"/>
      </left>
      <right style="medium">
        <color rgb="FF005877"/>
      </right>
      <top style="medium">
        <color rgb="FF005877"/>
      </top>
      <bottom style="thin">
        <color rgb="FF00587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medium">
        <color rgb="FF005877"/>
      </left>
      <right style="medium">
        <color rgb="FF005877"/>
      </right>
      <top/>
      <bottom style="medium">
        <color rgb="FF005877"/>
      </bottom>
      <diagonal/>
    </border>
    <border>
      <left/>
      <right/>
      <top/>
      <bottom style="medium">
        <color rgb="FF005877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/>
    </xf>
    <xf numFmtId="0" fontId="1" fillId="3" borderId="1" xfId="0" applyFont="1" applyFill="1" applyBorder="1" applyAlignment="1">
      <alignment horizontal="left" vertical="center" shrinkToFit="1"/>
    </xf>
    <xf numFmtId="0" fontId="1" fillId="3" borderId="1" xfId="0" applyFont="1" applyFill="1" applyBorder="1" applyAlignment="1" applyProtection="1">
      <alignment horizontal="left" vertical="center" shrinkToFit="1"/>
      <protection locked="0"/>
    </xf>
    <xf numFmtId="0" fontId="1" fillId="4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left" vertical="center" shrinkToFit="1"/>
    </xf>
    <xf numFmtId="0" fontId="2" fillId="2" borderId="3" xfId="0" applyFont="1" applyFill="1" applyBorder="1" applyAlignment="1">
      <alignment horizontal="left"/>
    </xf>
    <xf numFmtId="0" fontId="2" fillId="2" borderId="3" xfId="0" applyFont="1" applyFill="1" applyBorder="1" applyAlignment="1" applyProtection="1">
      <alignment horizontal="left"/>
      <protection locked="0"/>
    </xf>
    <xf numFmtId="0" fontId="2" fillId="2" borderId="4" xfId="0" applyFont="1" applyFill="1" applyBorder="1" applyAlignment="1">
      <alignment horizontal="left"/>
    </xf>
    <xf numFmtId="0" fontId="2" fillId="2" borderId="4" xfId="0" applyFont="1" applyFill="1" applyBorder="1" applyAlignment="1" applyProtection="1">
      <alignment horizontal="left"/>
      <protection locked="0"/>
    </xf>
    <xf numFmtId="0" fontId="2" fillId="2" borderId="5" xfId="0" applyFont="1" applyFill="1" applyBorder="1" applyAlignment="1">
      <alignment horizontal="left"/>
    </xf>
    <xf numFmtId="0" fontId="2" fillId="2" borderId="5" xfId="0" applyFont="1" applyFill="1" applyBorder="1" applyAlignment="1" applyProtection="1">
      <alignment horizontal="left"/>
      <protection locked="0"/>
    </xf>
    <xf numFmtId="0" fontId="2" fillId="2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2" fillId="2" borderId="7" xfId="0" applyFont="1" applyFill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10" xfId="0" applyBorder="1"/>
    <xf numFmtId="0" fontId="2" fillId="2" borderId="9" xfId="0" applyFont="1" applyFill="1" applyBorder="1" applyAlignment="1">
      <alignment horizontal="left"/>
    </xf>
    <xf numFmtId="0" fontId="2" fillId="2" borderId="9" xfId="0" applyFont="1" applyFill="1" applyBorder="1" applyAlignment="1" applyProtection="1">
      <alignment horizontal="left"/>
      <protection locked="0"/>
    </xf>
    <xf numFmtId="0" fontId="2" fillId="2" borderId="6" xfId="0" applyFont="1" applyFill="1" applyBorder="1" applyAlignment="1" applyProtection="1">
      <alignment horizontal="left"/>
      <protection locked="0"/>
    </xf>
    <xf numFmtId="0" fontId="2" fillId="2" borderId="7" xfId="0" applyFont="1" applyFill="1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1" fillId="3" borderId="2" xfId="0" applyFont="1" applyFill="1" applyBorder="1" applyAlignment="1" applyProtection="1">
      <alignment horizontal="left" vertical="center" shrinkToFit="1"/>
      <protection locked="0"/>
    </xf>
    <xf numFmtId="0" fontId="2" fillId="2" borderId="4" xfId="0" quotePrefix="1" applyFont="1" applyFill="1" applyBorder="1" applyAlignment="1" applyProtection="1">
      <alignment horizontal="left"/>
      <protection locked="0"/>
    </xf>
    <xf numFmtId="0" fontId="2" fillId="2" borderId="6" xfId="0" quotePrefix="1" applyFont="1" applyFill="1" applyBorder="1" applyAlignment="1" applyProtection="1">
      <alignment horizontal="left"/>
      <protection locked="0"/>
    </xf>
    <xf numFmtId="0" fontId="2" fillId="2" borderId="3" xfId="0" quotePrefix="1" applyFont="1" applyFill="1" applyBorder="1" applyAlignment="1" applyProtection="1">
      <alignment horizontal="left"/>
      <protection locked="0"/>
    </xf>
    <xf numFmtId="0" fontId="3" fillId="4" borderId="8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8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9"/>
  <dimension ref="A1:AS49"/>
  <sheetViews>
    <sheetView showGridLines="0" showRowColHeaders="0" tabSelected="1" topLeftCell="A4" zoomScale="85" zoomScaleNormal="85" workbookViewId="0">
      <pane xSplit="29" ySplit="1" topLeftCell="AD5" activePane="bottomRight" state="frozen"/>
      <selection activeCell="A4" sqref="A4"/>
      <selection pane="topRight" activeCell="AD4" sqref="AD4"/>
      <selection pane="bottomLeft" activeCell="A5" sqref="A5"/>
      <selection pane="bottomRight" activeCell="AD4" sqref="AD4"/>
    </sheetView>
  </sheetViews>
  <sheetFormatPr baseColWidth="10" defaultRowHeight="14.35" zeroHeight="1" x14ac:dyDescent="0.5"/>
  <cols>
    <col min="1" max="1" width="6.64453125" customWidth="1"/>
    <col min="2" max="28" width="0" hidden="1" customWidth="1"/>
    <col min="29" max="29" width="25.64453125" style="1" customWidth="1"/>
    <col min="30" max="30" width="30.64453125" style="14" customWidth="1"/>
    <col min="31" max="32" width="0" hidden="1" customWidth="1"/>
    <col min="33" max="33" width="30.64453125" style="14" customWidth="1"/>
    <col min="34" max="35" width="0" hidden="1" customWidth="1"/>
    <col min="36" max="36" width="30.64453125" style="14" customWidth="1"/>
    <col min="37" max="38" width="0" hidden="1" customWidth="1"/>
    <col min="39" max="39" width="30.64453125" style="14" customWidth="1"/>
    <col min="40" max="41" width="0" hidden="1" customWidth="1"/>
    <col min="42" max="42" width="30.64453125" style="14" customWidth="1"/>
    <col min="43" max="44" width="0" hidden="1" customWidth="1"/>
    <col min="45" max="45" width="30.64453125" style="14" customWidth="1"/>
    <col min="46" max="47" width="0" hidden="1" customWidth="1"/>
  </cols>
  <sheetData>
    <row r="1" spans="1:45" ht="15" hidden="1" customHeight="1" x14ac:dyDescent="0.5">
      <c r="AC1"/>
      <c r="AD1"/>
      <c r="AG1"/>
      <c r="AJ1"/>
      <c r="AM1"/>
      <c r="AP1"/>
      <c r="AS1"/>
    </row>
    <row r="2" spans="1:45" ht="15" hidden="1" customHeight="1" x14ac:dyDescent="0.5">
      <c r="AC2"/>
      <c r="AD2"/>
      <c r="AG2"/>
      <c r="AJ2"/>
      <c r="AM2"/>
      <c r="AP2"/>
      <c r="AS2"/>
    </row>
    <row r="3" spans="1:45" ht="15" hidden="1" customHeight="1" thickBot="1" x14ac:dyDescent="0.55000000000000004">
      <c r="AC3"/>
      <c r="AD3"/>
      <c r="AG3"/>
      <c r="AJ3"/>
      <c r="AM3"/>
      <c r="AP3"/>
      <c r="AS3"/>
    </row>
    <row r="4" spans="1:45" ht="19.5" customHeight="1" thickBot="1" x14ac:dyDescent="0.55000000000000004">
      <c r="A4" s="5">
        <f>COUNTA(AC4:XFD4)-1</f>
        <v>0</v>
      </c>
      <c r="AC4" s="3" t="s">
        <v>121</v>
      </c>
      <c r="AD4" s="4"/>
      <c r="AG4" s="4"/>
      <c r="AJ4" s="4"/>
      <c r="AM4" s="4"/>
      <c r="AP4" s="4"/>
      <c r="AS4" s="4"/>
    </row>
    <row r="5" spans="1:45" ht="15" customHeight="1" thickTop="1" thickBot="1" x14ac:dyDescent="0.55000000000000004">
      <c r="A5" s="27" t="s">
        <v>122</v>
      </c>
      <c r="AC5" s="7" t="s">
        <v>133</v>
      </c>
      <c r="AD5" s="8"/>
      <c r="AG5" s="8"/>
      <c r="AJ5" s="8"/>
      <c r="AM5" s="8"/>
      <c r="AP5" s="8"/>
      <c r="AS5" s="8"/>
    </row>
    <row r="6" spans="1:45" ht="15" thickTop="1" thickBot="1" x14ac:dyDescent="0.55000000000000004">
      <c r="A6" s="27"/>
      <c r="AC6" s="9" t="s">
        <v>134</v>
      </c>
      <c r="AD6" s="10"/>
      <c r="AG6" s="10"/>
      <c r="AJ6" s="10"/>
      <c r="AM6" s="10"/>
      <c r="AP6" s="10"/>
      <c r="AS6" s="10"/>
    </row>
    <row r="7" spans="1:45" ht="15" thickTop="1" thickBot="1" x14ac:dyDescent="0.55000000000000004">
      <c r="A7" s="27"/>
      <c r="AC7" s="9" t="s">
        <v>135</v>
      </c>
      <c r="AD7" s="10"/>
      <c r="AG7" s="10"/>
      <c r="AJ7" s="10"/>
      <c r="AM7" s="10"/>
      <c r="AP7" s="10"/>
      <c r="AS7" s="10"/>
    </row>
    <row r="8" spans="1:45" ht="15" thickTop="1" thickBot="1" x14ac:dyDescent="0.55000000000000004">
      <c r="A8" s="27"/>
      <c r="AC8" s="9" t="s">
        <v>136</v>
      </c>
      <c r="AD8" s="10"/>
      <c r="AG8" s="10"/>
      <c r="AJ8" s="10"/>
      <c r="AM8" s="10"/>
      <c r="AP8" s="10"/>
      <c r="AS8" s="10"/>
    </row>
    <row r="9" spans="1:45" ht="15" thickTop="1" thickBot="1" x14ac:dyDescent="0.55000000000000004">
      <c r="A9" s="27"/>
      <c r="AC9" s="9" t="s">
        <v>137</v>
      </c>
      <c r="AD9" s="10"/>
      <c r="AG9" s="10"/>
      <c r="AJ9" s="10"/>
      <c r="AM9" s="10"/>
      <c r="AP9" s="10"/>
      <c r="AS9" s="10"/>
    </row>
    <row r="10" spans="1:45" ht="15" thickTop="1" thickBot="1" x14ac:dyDescent="0.55000000000000004">
      <c r="A10" s="27"/>
      <c r="AC10" s="9" t="s">
        <v>138</v>
      </c>
      <c r="AD10" s="10"/>
      <c r="AG10" s="10"/>
      <c r="AJ10" s="10"/>
      <c r="AM10" s="10"/>
      <c r="AP10" s="10"/>
      <c r="AS10" s="10"/>
    </row>
    <row r="11" spans="1:45" ht="15" thickTop="1" thickBot="1" x14ac:dyDescent="0.55000000000000004">
      <c r="A11" s="27"/>
      <c r="AC11" s="9" t="s">
        <v>139</v>
      </c>
      <c r="AD11" s="10"/>
      <c r="AG11" s="10"/>
      <c r="AJ11" s="10"/>
      <c r="AM11" s="10"/>
      <c r="AP11" s="10"/>
      <c r="AS11" s="10"/>
    </row>
    <row r="12" spans="1:45" ht="15" thickTop="1" thickBot="1" x14ac:dyDescent="0.55000000000000004">
      <c r="A12" s="27"/>
      <c r="AC12" s="9" t="s">
        <v>140</v>
      </c>
      <c r="AD12" s="10"/>
      <c r="AG12" s="10"/>
      <c r="AJ12" s="10"/>
      <c r="AM12" s="10"/>
      <c r="AP12" s="10"/>
      <c r="AS12" s="10"/>
    </row>
    <row r="13" spans="1:45" ht="15.75" customHeight="1" thickTop="1" thickBot="1" x14ac:dyDescent="0.55000000000000004">
      <c r="A13" s="27"/>
      <c r="AC13" s="9" t="s">
        <v>141</v>
      </c>
      <c r="AD13" s="10"/>
      <c r="AG13" s="10"/>
      <c r="AJ13" s="10"/>
      <c r="AM13" s="10"/>
      <c r="AP13" s="10"/>
      <c r="AS13" s="10"/>
    </row>
    <row r="14" spans="1:45" ht="15" thickTop="1" thickBot="1" x14ac:dyDescent="0.55000000000000004">
      <c r="A14" s="27"/>
      <c r="AC14" s="9" t="s">
        <v>142</v>
      </c>
      <c r="AD14" s="10"/>
      <c r="AG14" s="10"/>
      <c r="AJ14" s="10"/>
      <c r="AM14" s="10"/>
      <c r="AP14" s="10"/>
      <c r="AS14" s="10"/>
    </row>
    <row r="15" spans="1:45" ht="15" thickTop="1" thickBot="1" x14ac:dyDescent="0.55000000000000004">
      <c r="A15" s="27"/>
      <c r="AC15" s="9" t="s">
        <v>143</v>
      </c>
      <c r="AD15" s="10"/>
      <c r="AG15" s="10"/>
      <c r="AJ15" s="10"/>
      <c r="AM15" s="10"/>
      <c r="AP15" s="10"/>
      <c r="AS15" s="10"/>
    </row>
    <row r="16" spans="1:45" ht="15" thickTop="1" thickBot="1" x14ac:dyDescent="0.55000000000000004">
      <c r="A16" s="27"/>
      <c r="AC16" s="9" t="s">
        <v>144</v>
      </c>
      <c r="AD16" s="10"/>
      <c r="AG16" s="10"/>
      <c r="AJ16" s="10"/>
      <c r="AM16" s="10"/>
      <c r="AP16" s="10"/>
      <c r="AS16" s="10"/>
    </row>
    <row r="17" spans="1:45" ht="15" thickTop="1" thickBot="1" x14ac:dyDescent="0.55000000000000004">
      <c r="A17" s="27"/>
      <c r="AC17" s="9" t="s">
        <v>145</v>
      </c>
      <c r="AD17" s="10"/>
      <c r="AG17" s="10"/>
      <c r="AJ17" s="10"/>
      <c r="AM17" s="10"/>
      <c r="AP17" s="10"/>
      <c r="AS17" s="10"/>
    </row>
    <row r="18" spans="1:45" ht="15" thickTop="1" thickBot="1" x14ac:dyDescent="0.55000000000000004">
      <c r="A18" s="27"/>
      <c r="AC18" s="9" t="s">
        <v>146</v>
      </c>
      <c r="AD18" s="10"/>
      <c r="AG18" s="10"/>
      <c r="AJ18" s="10"/>
      <c r="AM18" s="10"/>
      <c r="AP18" s="10"/>
      <c r="AS18" s="10"/>
    </row>
    <row r="19" spans="1:45" ht="15" thickTop="1" thickBot="1" x14ac:dyDescent="0.55000000000000004">
      <c r="A19" s="27"/>
      <c r="AC19" s="9" t="s">
        <v>147</v>
      </c>
      <c r="AD19" s="10"/>
      <c r="AG19" s="10"/>
      <c r="AJ19" s="10"/>
      <c r="AM19" s="10"/>
      <c r="AP19" s="10"/>
      <c r="AS19" s="10"/>
    </row>
    <row r="20" spans="1:45" ht="15" thickTop="1" thickBot="1" x14ac:dyDescent="0.55000000000000004">
      <c r="A20" s="27"/>
      <c r="AC20" s="9" t="s">
        <v>148</v>
      </c>
      <c r="AD20" s="10"/>
      <c r="AG20" s="10"/>
      <c r="AJ20" s="10"/>
      <c r="AM20" s="10"/>
      <c r="AP20" s="10"/>
      <c r="AS20" s="10"/>
    </row>
    <row r="21" spans="1:45" ht="15" customHeight="1" thickTop="1" thickBot="1" x14ac:dyDescent="0.55000000000000004">
      <c r="A21" s="27" t="s">
        <v>123</v>
      </c>
      <c r="AC21" s="9" t="s">
        <v>149</v>
      </c>
      <c r="AD21" s="10"/>
      <c r="AG21" s="10"/>
      <c r="AJ21" s="10"/>
      <c r="AM21" s="10"/>
      <c r="AP21" s="10"/>
      <c r="AS21" s="10"/>
    </row>
    <row r="22" spans="1:45" ht="15" thickTop="1" thickBot="1" x14ac:dyDescent="0.55000000000000004">
      <c r="A22" s="27"/>
      <c r="AC22" s="9" t="s">
        <v>150</v>
      </c>
      <c r="AD22" s="10"/>
      <c r="AG22" s="10"/>
      <c r="AJ22" s="10"/>
      <c r="AM22" s="10"/>
      <c r="AP22" s="10"/>
      <c r="AS22" s="10"/>
    </row>
    <row r="23" spans="1:45" ht="15" thickTop="1" thickBot="1" x14ac:dyDescent="0.55000000000000004">
      <c r="A23" s="27"/>
      <c r="AC23" s="9" t="s">
        <v>151</v>
      </c>
      <c r="AD23" s="10"/>
      <c r="AG23" s="10"/>
      <c r="AJ23" s="10"/>
      <c r="AM23" s="10"/>
      <c r="AP23" s="10"/>
      <c r="AS23" s="10"/>
    </row>
    <row r="24" spans="1:45" ht="15" thickTop="1" thickBot="1" x14ac:dyDescent="0.55000000000000004">
      <c r="A24" s="27"/>
      <c r="AC24" s="11" t="s">
        <v>152</v>
      </c>
      <c r="AD24" s="12"/>
      <c r="AG24" s="12"/>
      <c r="AJ24" s="12"/>
      <c r="AM24" s="12"/>
      <c r="AP24" s="12"/>
      <c r="AS24" s="12"/>
    </row>
    <row r="25" spans="1:45" ht="15" thickTop="1" thickBot="1" x14ac:dyDescent="0.55000000000000004">
      <c r="A25" s="27"/>
      <c r="AC25" s="7" t="s">
        <v>154</v>
      </c>
      <c r="AD25" s="8"/>
      <c r="AG25" s="8"/>
      <c r="AJ25" s="8"/>
      <c r="AM25" s="8"/>
      <c r="AP25" s="8"/>
      <c r="AS25" s="8"/>
    </row>
    <row r="26" spans="1:45" ht="15" thickTop="1" thickBot="1" x14ac:dyDescent="0.55000000000000004">
      <c r="A26" s="27"/>
      <c r="AC26" s="9" t="s">
        <v>155</v>
      </c>
      <c r="AD26" s="10"/>
      <c r="AG26" s="10"/>
      <c r="AJ26" s="10"/>
      <c r="AM26" s="10"/>
      <c r="AP26" s="10"/>
      <c r="AS26" s="10"/>
    </row>
    <row r="27" spans="1:45" ht="15" thickTop="1" thickBot="1" x14ac:dyDescent="0.55000000000000004">
      <c r="A27" s="27"/>
      <c r="AC27" s="9" t="s">
        <v>156</v>
      </c>
      <c r="AD27" s="10"/>
      <c r="AG27" s="10"/>
      <c r="AJ27" s="10"/>
      <c r="AM27" s="10"/>
      <c r="AP27" s="10"/>
      <c r="AS27" s="10"/>
    </row>
    <row r="28" spans="1:45" ht="15" thickTop="1" thickBot="1" x14ac:dyDescent="0.55000000000000004">
      <c r="A28" s="27"/>
      <c r="AC28" s="9" t="s">
        <v>157</v>
      </c>
      <c r="AD28" s="10"/>
      <c r="AG28" s="10"/>
      <c r="AJ28" s="10"/>
      <c r="AM28" s="10"/>
      <c r="AP28" s="10"/>
      <c r="AS28" s="10"/>
    </row>
    <row r="29" spans="1:45" ht="15" thickTop="1" thickBot="1" x14ac:dyDescent="0.55000000000000004">
      <c r="A29" s="27"/>
      <c r="AC29" s="9" t="s">
        <v>158</v>
      </c>
      <c r="AD29" s="10"/>
      <c r="AG29" s="10"/>
      <c r="AJ29" s="10"/>
      <c r="AM29" s="10"/>
      <c r="AP29" s="10"/>
      <c r="AS29" s="10"/>
    </row>
    <row r="30" spans="1:45" ht="15" thickTop="1" thickBot="1" x14ac:dyDescent="0.55000000000000004">
      <c r="A30" s="27"/>
      <c r="AC30" s="9" t="s">
        <v>159</v>
      </c>
      <c r="AD30" s="10"/>
      <c r="AG30" s="10"/>
      <c r="AJ30" s="10"/>
      <c r="AM30" s="10"/>
      <c r="AP30" s="10"/>
      <c r="AS30" s="10"/>
    </row>
    <row r="31" spans="1:45" ht="15" thickTop="1" thickBot="1" x14ac:dyDescent="0.55000000000000004">
      <c r="A31" s="27"/>
      <c r="AC31" s="9" t="s">
        <v>160</v>
      </c>
      <c r="AD31" s="10"/>
      <c r="AG31" s="10"/>
      <c r="AJ31" s="10"/>
      <c r="AM31" s="10"/>
      <c r="AP31" s="10"/>
      <c r="AS31" s="10"/>
    </row>
    <row r="32" spans="1:45" ht="15" thickTop="1" thickBot="1" x14ac:dyDescent="0.55000000000000004">
      <c r="A32" s="27"/>
      <c r="AC32" s="9" t="s">
        <v>161</v>
      </c>
      <c r="AD32" s="10"/>
      <c r="AG32" s="10"/>
      <c r="AJ32" s="10"/>
      <c r="AM32" s="10"/>
      <c r="AP32" s="10"/>
      <c r="AS32" s="10"/>
    </row>
    <row r="33" spans="1:45" ht="15" thickTop="1" thickBot="1" x14ac:dyDescent="0.55000000000000004">
      <c r="A33" s="27"/>
      <c r="AC33" s="9" t="s">
        <v>162</v>
      </c>
      <c r="AD33" s="10"/>
      <c r="AG33" s="10"/>
      <c r="AJ33" s="10"/>
      <c r="AM33" s="10"/>
      <c r="AP33" s="10"/>
      <c r="AS33" s="10"/>
    </row>
    <row r="34" spans="1:45" ht="15" thickTop="1" thickBot="1" x14ac:dyDescent="0.55000000000000004">
      <c r="A34" s="27"/>
      <c r="AC34" s="9" t="s">
        <v>163</v>
      </c>
      <c r="AD34" s="10"/>
      <c r="AG34" s="10"/>
      <c r="AJ34" s="10"/>
      <c r="AM34" s="10"/>
      <c r="AP34" s="10"/>
      <c r="AS34" s="10"/>
    </row>
    <row r="35" spans="1:45" ht="15" thickTop="1" thickBot="1" x14ac:dyDescent="0.55000000000000004">
      <c r="A35" s="27"/>
      <c r="AC35" s="9" t="s">
        <v>164</v>
      </c>
      <c r="AD35" s="10"/>
      <c r="AG35" s="10"/>
      <c r="AJ35" s="10"/>
      <c r="AM35" s="10"/>
      <c r="AP35" s="10"/>
      <c r="AS35" s="10"/>
    </row>
    <row r="36" spans="1:45" ht="15" thickTop="1" thickBot="1" x14ac:dyDescent="0.55000000000000004">
      <c r="A36" s="27"/>
      <c r="AC36" s="11" t="s">
        <v>165</v>
      </c>
      <c r="AD36" s="12"/>
      <c r="AG36" s="12"/>
      <c r="AJ36" s="12"/>
      <c r="AM36" s="12"/>
      <c r="AP36" s="12"/>
      <c r="AS36" s="12"/>
    </row>
    <row r="37" spans="1:45" ht="15" customHeight="1" thickTop="1" thickBot="1" x14ac:dyDescent="0.55000000000000004">
      <c r="A37" s="16" t="s">
        <v>277</v>
      </c>
      <c r="AC37" s="2"/>
      <c r="AD37" s="2"/>
      <c r="AG37" s="2"/>
      <c r="AJ37" s="2"/>
      <c r="AM37" s="2"/>
      <c r="AP37" s="2"/>
      <c r="AS37" s="2"/>
    </row>
    <row r="38" spans="1:45" ht="20.100000000000001" customHeight="1" x14ac:dyDescent="0.5">
      <c r="AC38" s="3" t="s">
        <v>39</v>
      </c>
      <c r="AD38" s="4"/>
      <c r="AG38" s="4"/>
      <c r="AJ38" s="4"/>
      <c r="AM38" s="4"/>
      <c r="AP38" s="4"/>
      <c r="AS38" s="4"/>
    </row>
    <row r="39" spans="1:45" x14ac:dyDescent="0.5">
      <c r="AC39" s="7" t="s">
        <v>124</v>
      </c>
      <c r="AD39" s="8"/>
      <c r="AG39" s="8"/>
      <c r="AJ39" s="8"/>
      <c r="AM39" s="8"/>
      <c r="AP39" s="8"/>
      <c r="AS39" s="8"/>
    </row>
    <row r="40" spans="1:45" x14ac:dyDescent="0.5">
      <c r="AC40" s="9" t="s">
        <v>125</v>
      </c>
      <c r="AD40" s="10"/>
      <c r="AG40" s="10"/>
      <c r="AJ40" s="10"/>
      <c r="AM40" s="10"/>
      <c r="AP40" s="10"/>
      <c r="AS40" s="10"/>
    </row>
    <row r="41" spans="1:45" x14ac:dyDescent="0.5">
      <c r="AC41" s="9" t="s">
        <v>126</v>
      </c>
      <c r="AD41" s="10"/>
      <c r="AG41" s="10"/>
      <c r="AJ41" s="10"/>
      <c r="AM41" s="10"/>
      <c r="AP41" s="10"/>
      <c r="AS41" s="10"/>
    </row>
    <row r="42" spans="1:45" x14ac:dyDescent="0.5">
      <c r="AC42" s="9" t="s">
        <v>127</v>
      </c>
      <c r="AD42" s="10"/>
      <c r="AG42" s="10"/>
      <c r="AJ42" s="10"/>
      <c r="AM42" s="10"/>
      <c r="AP42" s="10"/>
      <c r="AS42" s="10"/>
    </row>
    <row r="43" spans="1:45" x14ac:dyDescent="0.5">
      <c r="AC43" s="9" t="s">
        <v>128</v>
      </c>
      <c r="AD43" s="10"/>
      <c r="AG43" s="10"/>
      <c r="AJ43" s="10"/>
      <c r="AM43" s="10"/>
      <c r="AP43" s="10"/>
      <c r="AS43" s="10"/>
    </row>
    <row r="44" spans="1:45" x14ac:dyDescent="0.5">
      <c r="AC44" s="9" t="s">
        <v>129</v>
      </c>
      <c r="AD44" s="10"/>
      <c r="AG44" s="10"/>
      <c r="AJ44" s="10"/>
      <c r="AM44" s="10"/>
      <c r="AP44" s="10"/>
      <c r="AS44" s="10"/>
    </row>
    <row r="45" spans="1:45" x14ac:dyDescent="0.5">
      <c r="AC45" s="9" t="s">
        <v>131</v>
      </c>
      <c r="AD45" s="10"/>
      <c r="AG45" s="10"/>
      <c r="AJ45" s="10"/>
      <c r="AM45" s="10"/>
      <c r="AP45" s="10"/>
      <c r="AS45" s="10"/>
    </row>
    <row r="46" spans="1:45" x14ac:dyDescent="0.5">
      <c r="AC46" s="9" t="s">
        <v>130</v>
      </c>
      <c r="AD46" s="10"/>
      <c r="AG46" s="10"/>
      <c r="AJ46" s="10"/>
      <c r="AM46" s="10"/>
      <c r="AP46" s="10"/>
      <c r="AS46" s="10"/>
    </row>
    <row r="47" spans="1:45" x14ac:dyDescent="0.5">
      <c r="AC47" s="9" t="s">
        <v>132</v>
      </c>
      <c r="AD47" s="10"/>
      <c r="AG47" s="10"/>
      <c r="AJ47" s="10"/>
      <c r="AM47" s="10"/>
      <c r="AP47" s="10"/>
      <c r="AS47" s="10"/>
    </row>
    <row r="48" spans="1:45" ht="14.7" thickBot="1" x14ac:dyDescent="0.55000000000000004">
      <c r="AC48" s="11" t="s">
        <v>153</v>
      </c>
      <c r="AD48" s="12"/>
      <c r="AG48" s="12"/>
      <c r="AJ48" s="12"/>
      <c r="AM48" s="12"/>
      <c r="AP48" s="12"/>
      <c r="AS48" s="12"/>
    </row>
    <row r="49" spans="29:29" customFormat="1" x14ac:dyDescent="0.5">
      <c r="AC49" s="1"/>
    </row>
  </sheetData>
  <sheetProtection algorithmName="SHA-512" hashValue="5ozhgns7FIGVBCLq4ng7yphS+UAvjFOziR5PFpncILZemYXHTd6Ekr4rQ6lI8xOlq6wVcL+z55+TO4hB6boktw==" saltValue="7hP4sB5n0iGwJHNBIPr7Fw==" spinCount="100000" sheet="1" objects="1" scenarios="1" selectLockedCells="1" autoFilter="0"/>
  <mergeCells count="2">
    <mergeCell ref="A5:A20"/>
    <mergeCell ref="A21:A36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A1:AS64"/>
  <sheetViews>
    <sheetView showGridLines="0" showRowColHeaders="0" topLeftCell="A4" zoomScale="85" zoomScaleNormal="85" workbookViewId="0">
      <pane xSplit="29" ySplit="1" topLeftCell="AD5" activePane="bottomRight" state="frozen"/>
      <selection activeCell="AD5" sqref="AD5"/>
      <selection pane="topRight" activeCell="AD5" sqref="AD5"/>
      <selection pane="bottomLeft" activeCell="AD5" sqref="AD5"/>
      <selection pane="bottomRight" activeCell="AD41" sqref="AD41"/>
    </sheetView>
  </sheetViews>
  <sheetFormatPr baseColWidth="10" defaultRowHeight="14.35" zeroHeight="1" x14ac:dyDescent="0.5"/>
  <cols>
    <col min="1" max="1" width="6.64453125" customWidth="1"/>
    <col min="2" max="28" width="0" hidden="1" customWidth="1"/>
    <col min="29" max="29" width="15.64453125" style="1" customWidth="1"/>
    <col min="30" max="30" width="30.64453125" style="1" customWidth="1"/>
    <col min="31" max="32" width="0" hidden="1" customWidth="1"/>
    <col min="33" max="33" width="30.64453125" style="1" customWidth="1"/>
    <col min="34" max="35" width="0" hidden="1" customWidth="1"/>
    <col min="36" max="36" width="30.64453125" style="1" customWidth="1"/>
    <col min="37" max="38" width="0" hidden="1" customWidth="1"/>
    <col min="39" max="39" width="30.64453125" style="1" customWidth="1"/>
    <col min="40" max="41" width="0" hidden="1" customWidth="1"/>
    <col min="42" max="42" width="30.64453125" style="1" customWidth="1"/>
    <col min="43" max="44" width="0" hidden="1" customWidth="1"/>
    <col min="45" max="45" width="30.64453125" style="1" customWidth="1"/>
    <col min="46" max="47" width="0" hidden="1" customWidth="1"/>
  </cols>
  <sheetData>
    <row r="1" spans="1:45" x14ac:dyDescent="0.5">
      <c r="AC1"/>
      <c r="AD1" t="str">
        <f>IFERROR(HLOOKUP(AD4,$AB$4:AC4,1,0),"OK")</f>
        <v>OK</v>
      </c>
      <c r="AG1"/>
      <c r="AJ1"/>
      <c r="AM1"/>
      <c r="AP1"/>
      <c r="AS1"/>
    </row>
    <row r="2" spans="1:45" x14ac:dyDescent="0.5">
      <c r="AC2"/>
      <c r="AD2">
        <f>COUNTA(AD5:AD36)</f>
        <v>1</v>
      </c>
      <c r="AG2"/>
      <c r="AJ2"/>
      <c r="AM2"/>
      <c r="AP2"/>
      <c r="AS2"/>
    </row>
    <row r="3" spans="1:45" ht="14.7" thickBot="1" x14ac:dyDescent="0.55000000000000004">
      <c r="AC3"/>
      <c r="AD3">
        <f>COUNTA(AD39:AD79)</f>
        <v>14</v>
      </c>
      <c r="AG3"/>
      <c r="AJ3"/>
      <c r="AM3"/>
      <c r="AP3"/>
      <c r="AS3"/>
    </row>
    <row r="4" spans="1:45" ht="20.100000000000001" customHeight="1" thickBot="1" x14ac:dyDescent="0.55000000000000004">
      <c r="A4" s="5">
        <f>COUNTA(AC4:XFD4)-1</f>
        <v>1</v>
      </c>
      <c r="AC4" s="3" t="s">
        <v>121</v>
      </c>
      <c r="AD4" s="4" t="s">
        <v>167</v>
      </c>
      <c r="AG4" s="4"/>
      <c r="AJ4" s="4"/>
      <c r="AM4" s="4"/>
      <c r="AP4" s="4"/>
      <c r="AS4" s="4"/>
    </row>
    <row r="5" spans="1:45" ht="15" customHeight="1" thickTop="1" thickBot="1" x14ac:dyDescent="0.55000000000000004">
      <c r="A5" s="27" t="s">
        <v>105</v>
      </c>
      <c r="AC5" s="7" t="s">
        <v>0</v>
      </c>
      <c r="AD5" s="26" t="s">
        <v>198</v>
      </c>
      <c r="AG5" s="8"/>
      <c r="AJ5" s="8"/>
      <c r="AM5" s="8"/>
      <c r="AP5" s="8"/>
      <c r="AS5" s="8"/>
    </row>
    <row r="6" spans="1:45" ht="15" thickTop="1" thickBot="1" x14ac:dyDescent="0.55000000000000004">
      <c r="A6" s="27"/>
      <c r="AC6" s="9" t="s">
        <v>1</v>
      </c>
      <c r="AD6" s="10"/>
      <c r="AG6" s="10"/>
      <c r="AJ6" s="10"/>
      <c r="AM6" s="10"/>
      <c r="AP6" s="10"/>
      <c r="AS6" s="10"/>
    </row>
    <row r="7" spans="1:45" ht="15" thickTop="1" thickBot="1" x14ac:dyDescent="0.55000000000000004">
      <c r="A7" s="27"/>
      <c r="AC7" s="9" t="s">
        <v>2</v>
      </c>
      <c r="AD7" s="10"/>
      <c r="AG7" s="10"/>
      <c r="AJ7" s="10"/>
      <c r="AM7" s="10"/>
      <c r="AP7" s="10"/>
      <c r="AS7" s="10"/>
    </row>
    <row r="8" spans="1:45" ht="15" thickTop="1" thickBot="1" x14ac:dyDescent="0.55000000000000004">
      <c r="A8" s="27"/>
      <c r="AC8" s="9" t="s">
        <v>3</v>
      </c>
      <c r="AD8" s="10"/>
      <c r="AG8" s="10"/>
      <c r="AJ8" s="10"/>
      <c r="AM8" s="10"/>
      <c r="AP8" s="10"/>
      <c r="AS8" s="10"/>
    </row>
    <row r="9" spans="1:45" ht="15" thickTop="1" thickBot="1" x14ac:dyDescent="0.55000000000000004">
      <c r="A9" s="27"/>
      <c r="AC9" s="9" t="s">
        <v>4</v>
      </c>
      <c r="AD9" s="10"/>
      <c r="AG9" s="10"/>
      <c r="AJ9" s="10"/>
      <c r="AM9" s="10"/>
      <c r="AP9" s="10"/>
      <c r="AS9" s="10"/>
    </row>
    <row r="10" spans="1:45" ht="15" thickTop="1" thickBot="1" x14ac:dyDescent="0.55000000000000004">
      <c r="A10" s="27"/>
      <c r="AC10" s="9" t="s">
        <v>5</v>
      </c>
      <c r="AD10" s="10"/>
      <c r="AG10" s="10"/>
      <c r="AJ10" s="10"/>
      <c r="AM10" s="10"/>
      <c r="AP10" s="10"/>
      <c r="AS10" s="10"/>
    </row>
    <row r="11" spans="1:45" ht="15" thickTop="1" thickBot="1" x14ac:dyDescent="0.55000000000000004">
      <c r="A11" s="27"/>
      <c r="AC11" s="9" t="s">
        <v>6</v>
      </c>
      <c r="AD11" s="10"/>
      <c r="AG11" s="10"/>
      <c r="AJ11" s="10"/>
      <c r="AM11" s="10"/>
      <c r="AP11" s="10"/>
      <c r="AS11" s="10"/>
    </row>
    <row r="12" spans="1:45" ht="15" thickTop="1" thickBot="1" x14ac:dyDescent="0.55000000000000004">
      <c r="A12" s="27"/>
      <c r="AC12" s="9" t="s">
        <v>7</v>
      </c>
      <c r="AD12" s="10"/>
      <c r="AG12" s="10"/>
      <c r="AJ12" s="10"/>
      <c r="AM12" s="10"/>
      <c r="AP12" s="10"/>
      <c r="AS12" s="10"/>
    </row>
    <row r="13" spans="1:45" ht="15.75" customHeight="1" thickTop="1" thickBot="1" x14ac:dyDescent="0.55000000000000004">
      <c r="A13" s="27"/>
      <c r="AC13" s="9" t="s">
        <v>8</v>
      </c>
      <c r="AD13" s="10"/>
      <c r="AG13" s="10"/>
      <c r="AJ13" s="10"/>
      <c r="AM13" s="10"/>
      <c r="AP13" s="10"/>
      <c r="AS13" s="10"/>
    </row>
    <row r="14" spans="1:45" ht="15" thickTop="1" thickBot="1" x14ac:dyDescent="0.55000000000000004">
      <c r="A14" s="27"/>
      <c r="AC14" s="9" t="s">
        <v>9</v>
      </c>
      <c r="AD14" s="10"/>
      <c r="AG14" s="10"/>
      <c r="AJ14" s="10"/>
      <c r="AM14" s="10"/>
      <c r="AP14" s="10"/>
      <c r="AS14" s="10"/>
    </row>
    <row r="15" spans="1:45" ht="15" thickTop="1" thickBot="1" x14ac:dyDescent="0.55000000000000004">
      <c r="A15" s="27"/>
      <c r="AC15" s="9" t="s">
        <v>10</v>
      </c>
      <c r="AD15" s="10"/>
      <c r="AG15" s="10"/>
      <c r="AJ15" s="10"/>
      <c r="AM15" s="10"/>
      <c r="AP15" s="10"/>
      <c r="AS15" s="10"/>
    </row>
    <row r="16" spans="1:45" ht="15" thickTop="1" thickBot="1" x14ac:dyDescent="0.55000000000000004">
      <c r="A16" s="27"/>
      <c r="AC16" s="9" t="s">
        <v>11</v>
      </c>
      <c r="AD16" s="10"/>
      <c r="AG16" s="10"/>
      <c r="AJ16" s="10"/>
      <c r="AM16" s="10"/>
      <c r="AP16" s="10"/>
      <c r="AS16" s="10"/>
    </row>
    <row r="17" spans="1:45" ht="15" thickTop="1" thickBot="1" x14ac:dyDescent="0.55000000000000004">
      <c r="A17" s="27"/>
      <c r="AC17" s="9" t="s">
        <v>12</v>
      </c>
      <c r="AD17" s="10"/>
      <c r="AG17" s="10"/>
      <c r="AJ17" s="10"/>
      <c r="AM17" s="10"/>
      <c r="AP17" s="10"/>
      <c r="AS17" s="10"/>
    </row>
    <row r="18" spans="1:45" ht="15" thickTop="1" thickBot="1" x14ac:dyDescent="0.55000000000000004">
      <c r="A18" s="27"/>
      <c r="AC18" s="9" t="s">
        <v>13</v>
      </c>
      <c r="AD18" s="10"/>
      <c r="AG18" s="10"/>
      <c r="AJ18" s="10"/>
      <c r="AM18" s="10"/>
      <c r="AP18" s="10"/>
      <c r="AS18" s="10"/>
    </row>
    <row r="19" spans="1:45" ht="15" thickTop="1" thickBot="1" x14ac:dyDescent="0.55000000000000004">
      <c r="A19" s="27"/>
      <c r="AC19" s="9" t="s">
        <v>14</v>
      </c>
      <c r="AD19" s="10"/>
      <c r="AG19" s="10"/>
      <c r="AJ19" s="10"/>
      <c r="AM19" s="10"/>
      <c r="AP19" s="10"/>
      <c r="AS19" s="10"/>
    </row>
    <row r="20" spans="1:45" ht="15" thickTop="1" thickBot="1" x14ac:dyDescent="0.55000000000000004">
      <c r="A20" s="27"/>
      <c r="AC20" s="9" t="s">
        <v>15</v>
      </c>
      <c r="AD20" s="10"/>
      <c r="AG20" s="10"/>
      <c r="AJ20" s="10"/>
      <c r="AM20" s="10"/>
      <c r="AP20" s="10"/>
      <c r="AS20" s="10"/>
    </row>
    <row r="21" spans="1:45" ht="15" customHeight="1" thickTop="1" thickBot="1" x14ac:dyDescent="0.55000000000000004">
      <c r="A21" s="27" t="s">
        <v>106</v>
      </c>
      <c r="AC21" s="9" t="s">
        <v>16</v>
      </c>
      <c r="AD21" s="10"/>
      <c r="AG21" s="10"/>
      <c r="AJ21" s="10"/>
      <c r="AM21" s="10"/>
      <c r="AP21" s="10"/>
      <c r="AS21" s="10"/>
    </row>
    <row r="22" spans="1:45" ht="15" thickTop="1" thickBot="1" x14ac:dyDescent="0.55000000000000004">
      <c r="A22" s="27"/>
      <c r="AC22" s="9" t="s">
        <v>17</v>
      </c>
      <c r="AD22" s="10"/>
      <c r="AG22" s="10"/>
      <c r="AJ22" s="10"/>
      <c r="AM22" s="10"/>
      <c r="AP22" s="10"/>
      <c r="AS22" s="10"/>
    </row>
    <row r="23" spans="1:45" ht="15" thickTop="1" thickBot="1" x14ac:dyDescent="0.55000000000000004">
      <c r="A23" s="27"/>
      <c r="AC23" s="9" t="s">
        <v>18</v>
      </c>
      <c r="AD23" s="10"/>
      <c r="AG23" s="10"/>
      <c r="AJ23" s="10"/>
      <c r="AM23" s="10"/>
      <c r="AP23" s="10"/>
      <c r="AS23" s="10"/>
    </row>
    <row r="24" spans="1:45" ht="15" thickTop="1" thickBot="1" x14ac:dyDescent="0.55000000000000004">
      <c r="A24" s="27"/>
      <c r="AC24" s="9" t="s">
        <v>19</v>
      </c>
      <c r="AD24" s="10"/>
      <c r="AG24" s="10"/>
      <c r="AJ24" s="10"/>
      <c r="AM24" s="10"/>
      <c r="AP24" s="10"/>
      <c r="AS24" s="10"/>
    </row>
    <row r="25" spans="1:45" ht="15" thickTop="1" thickBot="1" x14ac:dyDescent="0.55000000000000004">
      <c r="A25" s="27"/>
      <c r="AC25" s="9" t="s">
        <v>20</v>
      </c>
      <c r="AD25" s="10"/>
      <c r="AG25" s="10"/>
      <c r="AJ25" s="10"/>
      <c r="AM25" s="10"/>
      <c r="AP25" s="10"/>
      <c r="AS25" s="10"/>
    </row>
    <row r="26" spans="1:45" ht="15" thickTop="1" thickBot="1" x14ac:dyDescent="0.55000000000000004">
      <c r="A26" s="27"/>
      <c r="AC26" s="9" t="s">
        <v>21</v>
      </c>
      <c r="AD26" s="10"/>
      <c r="AG26" s="10"/>
      <c r="AJ26" s="10"/>
      <c r="AM26" s="10"/>
      <c r="AP26" s="10"/>
      <c r="AS26" s="10"/>
    </row>
    <row r="27" spans="1:45" ht="15" thickTop="1" thickBot="1" x14ac:dyDescent="0.55000000000000004">
      <c r="A27" s="27"/>
      <c r="AC27" s="9" t="s">
        <v>22</v>
      </c>
      <c r="AD27" s="10"/>
      <c r="AG27" s="10"/>
      <c r="AJ27" s="10"/>
      <c r="AM27" s="10"/>
      <c r="AP27" s="10"/>
      <c r="AS27" s="10"/>
    </row>
    <row r="28" spans="1:45" ht="15" thickTop="1" thickBot="1" x14ac:dyDescent="0.55000000000000004">
      <c r="A28" s="27"/>
      <c r="AC28" s="9" t="s">
        <v>23</v>
      </c>
      <c r="AD28" s="10"/>
      <c r="AG28" s="10"/>
      <c r="AJ28" s="10"/>
      <c r="AM28" s="10"/>
      <c r="AP28" s="10"/>
      <c r="AS28" s="10"/>
    </row>
    <row r="29" spans="1:45" ht="15" thickTop="1" thickBot="1" x14ac:dyDescent="0.55000000000000004">
      <c r="A29" s="27"/>
      <c r="AC29" s="9" t="s">
        <v>24</v>
      </c>
      <c r="AD29" s="10"/>
      <c r="AG29" s="10"/>
      <c r="AJ29" s="10"/>
      <c r="AM29" s="10"/>
      <c r="AP29" s="10"/>
      <c r="AS29" s="10"/>
    </row>
    <row r="30" spans="1:45" ht="15" thickTop="1" thickBot="1" x14ac:dyDescent="0.55000000000000004">
      <c r="A30" s="27"/>
      <c r="AC30" s="9" t="s">
        <v>25</v>
      </c>
      <c r="AD30" s="10"/>
      <c r="AG30" s="10"/>
      <c r="AJ30" s="10"/>
      <c r="AM30" s="10"/>
      <c r="AP30" s="10"/>
      <c r="AS30" s="10"/>
    </row>
    <row r="31" spans="1:45" ht="15" thickTop="1" thickBot="1" x14ac:dyDescent="0.55000000000000004">
      <c r="A31" s="27"/>
      <c r="AC31" s="9" t="s">
        <v>26</v>
      </c>
      <c r="AD31" s="10"/>
      <c r="AG31" s="10"/>
      <c r="AJ31" s="10"/>
      <c r="AM31" s="10"/>
      <c r="AP31" s="10"/>
      <c r="AS31" s="10"/>
    </row>
    <row r="32" spans="1:45" ht="15" thickTop="1" thickBot="1" x14ac:dyDescent="0.55000000000000004">
      <c r="A32" s="27"/>
      <c r="AC32" s="9" t="s">
        <v>27</v>
      </c>
      <c r="AD32" s="10"/>
      <c r="AG32" s="10"/>
      <c r="AJ32" s="10"/>
      <c r="AM32" s="10"/>
      <c r="AP32" s="10"/>
      <c r="AS32" s="10"/>
    </row>
    <row r="33" spans="1:45" ht="15" thickTop="1" thickBot="1" x14ac:dyDescent="0.55000000000000004">
      <c r="A33" s="27"/>
      <c r="AC33" s="9" t="s">
        <v>28</v>
      </c>
      <c r="AD33" s="10"/>
      <c r="AG33" s="10"/>
      <c r="AJ33" s="10"/>
      <c r="AM33" s="10"/>
      <c r="AP33" s="10"/>
      <c r="AS33" s="10"/>
    </row>
    <row r="34" spans="1:45" ht="15" thickTop="1" thickBot="1" x14ac:dyDescent="0.55000000000000004">
      <c r="A34" s="27"/>
      <c r="AC34" s="9" t="s">
        <v>29</v>
      </c>
      <c r="AD34" s="10"/>
      <c r="AG34" s="10"/>
      <c r="AJ34" s="10"/>
      <c r="AM34" s="10"/>
      <c r="AP34" s="10"/>
      <c r="AS34" s="10"/>
    </row>
    <row r="35" spans="1:45" ht="15" thickTop="1" thickBot="1" x14ac:dyDescent="0.55000000000000004">
      <c r="A35" s="27"/>
      <c r="AC35" s="9" t="s">
        <v>30</v>
      </c>
      <c r="AD35" s="10"/>
      <c r="AG35" s="10"/>
      <c r="AJ35" s="10"/>
      <c r="AM35" s="10"/>
      <c r="AP35" s="10"/>
      <c r="AS35" s="10"/>
    </row>
    <row r="36" spans="1:45" ht="15" thickTop="1" thickBot="1" x14ac:dyDescent="0.55000000000000004">
      <c r="A36" s="27"/>
      <c r="AC36" s="11" t="s">
        <v>31</v>
      </c>
      <c r="AD36" s="12"/>
      <c r="AG36" s="12"/>
      <c r="AJ36" s="12"/>
      <c r="AM36" s="12"/>
      <c r="AP36" s="12"/>
      <c r="AS36" s="12"/>
    </row>
    <row r="37" spans="1:45" ht="15" customHeight="1" thickTop="1" thickBot="1" x14ac:dyDescent="0.55000000000000004">
      <c r="A37" s="16" t="str">
        <f>'Formulas DG'!A37</f>
        <v>V - 8.3</v>
      </c>
      <c r="AC37" s="2"/>
      <c r="AD37" s="2"/>
      <c r="AG37" s="2"/>
      <c r="AJ37" s="2"/>
      <c r="AM37" s="2"/>
      <c r="AP37" s="2"/>
      <c r="AS37" s="2"/>
    </row>
    <row r="38" spans="1:45" ht="20.100000000000001" customHeight="1" x14ac:dyDescent="0.5">
      <c r="AC38" s="3" t="s">
        <v>39</v>
      </c>
      <c r="AD38" s="4"/>
      <c r="AG38" s="4"/>
      <c r="AJ38" s="4"/>
      <c r="AM38" s="4"/>
      <c r="AP38" s="4"/>
      <c r="AS38" s="4"/>
    </row>
    <row r="39" spans="1:45" x14ac:dyDescent="0.5">
      <c r="AC39" s="7" t="s">
        <v>32</v>
      </c>
      <c r="AD39" s="8" t="s">
        <v>168</v>
      </c>
      <c r="AG39" s="8"/>
      <c r="AJ39" s="8"/>
      <c r="AM39" s="8"/>
      <c r="AP39" s="8"/>
      <c r="AS39" s="8"/>
    </row>
    <row r="40" spans="1:45" x14ac:dyDescent="0.5">
      <c r="AC40" s="9" t="s">
        <v>33</v>
      </c>
      <c r="AD40" s="24" t="s">
        <v>279</v>
      </c>
      <c r="AG40" s="10"/>
      <c r="AJ40" s="10"/>
      <c r="AM40" s="10"/>
      <c r="AP40" s="10"/>
      <c r="AS40" s="10"/>
    </row>
    <row r="41" spans="1:45" x14ac:dyDescent="0.5">
      <c r="AC41" s="9" t="s">
        <v>40</v>
      </c>
      <c r="AD41" s="24" t="s">
        <v>199</v>
      </c>
      <c r="AG41" s="10"/>
      <c r="AJ41" s="10"/>
      <c r="AM41" s="10"/>
      <c r="AP41" s="10"/>
      <c r="AS41" s="10"/>
    </row>
    <row r="42" spans="1:45" x14ac:dyDescent="0.5">
      <c r="AC42" s="9" t="s">
        <v>41</v>
      </c>
      <c r="AD42" s="24" t="s">
        <v>200</v>
      </c>
      <c r="AG42" s="10"/>
      <c r="AJ42" s="10"/>
      <c r="AM42" s="10"/>
      <c r="AP42" s="10"/>
      <c r="AS42" s="10"/>
    </row>
    <row r="43" spans="1:45" x14ac:dyDescent="0.5">
      <c r="AC43" s="9" t="s">
        <v>42</v>
      </c>
      <c r="AD43" s="24" t="s">
        <v>201</v>
      </c>
      <c r="AG43" s="10"/>
      <c r="AJ43" s="10"/>
      <c r="AM43" s="10"/>
      <c r="AP43" s="10"/>
      <c r="AS43" s="10"/>
    </row>
    <row r="44" spans="1:45" x14ac:dyDescent="0.5">
      <c r="AC44" s="9" t="s">
        <v>43</v>
      </c>
      <c r="AD44" s="24" t="s">
        <v>202</v>
      </c>
      <c r="AG44" s="10"/>
      <c r="AJ44" s="10"/>
      <c r="AM44" s="10"/>
      <c r="AP44" s="10"/>
      <c r="AS44" s="10"/>
    </row>
    <row r="45" spans="1:45" x14ac:dyDescent="0.5">
      <c r="AC45" s="9" t="s">
        <v>44</v>
      </c>
      <c r="AD45" s="10"/>
      <c r="AG45" s="10"/>
      <c r="AJ45" s="10"/>
      <c r="AM45" s="10"/>
      <c r="AP45" s="10"/>
      <c r="AS45" s="10"/>
    </row>
    <row r="46" spans="1:45" x14ac:dyDescent="0.5">
      <c r="AC46" s="9" t="s">
        <v>45</v>
      </c>
      <c r="AD46" s="10"/>
      <c r="AG46" s="10"/>
      <c r="AJ46" s="10"/>
      <c r="AM46" s="10"/>
      <c r="AP46" s="10"/>
      <c r="AS46" s="10"/>
    </row>
    <row r="47" spans="1:45" x14ac:dyDescent="0.5">
      <c r="AC47" s="9" t="s">
        <v>46</v>
      </c>
      <c r="AD47" s="10" t="s">
        <v>169</v>
      </c>
      <c r="AG47" s="10"/>
      <c r="AJ47" s="10"/>
      <c r="AM47" s="10"/>
      <c r="AP47" s="10"/>
      <c r="AS47" s="10"/>
    </row>
    <row r="48" spans="1:45" x14ac:dyDescent="0.5">
      <c r="AC48" s="9" t="s">
        <v>47</v>
      </c>
      <c r="AD48" s="10" t="s">
        <v>170</v>
      </c>
      <c r="AG48" s="10"/>
      <c r="AJ48" s="10"/>
      <c r="AM48" s="10"/>
      <c r="AP48" s="10"/>
      <c r="AS48" s="10"/>
    </row>
    <row r="49" spans="29:45" x14ac:dyDescent="0.5">
      <c r="AC49" s="9" t="s">
        <v>48</v>
      </c>
      <c r="AD49" s="10" t="s">
        <v>170</v>
      </c>
      <c r="AG49" s="10"/>
      <c r="AJ49" s="10"/>
      <c r="AM49" s="10"/>
      <c r="AP49" s="10"/>
      <c r="AS49" s="10"/>
    </row>
    <row r="50" spans="29:45" x14ac:dyDescent="0.5">
      <c r="AC50" s="9" t="s">
        <v>49</v>
      </c>
      <c r="AD50" s="10" t="s">
        <v>170</v>
      </c>
      <c r="AG50" s="10"/>
      <c r="AJ50" s="10"/>
      <c r="AM50" s="10"/>
      <c r="AP50" s="10"/>
      <c r="AS50" s="10"/>
    </row>
    <row r="51" spans="29:45" x14ac:dyDescent="0.5">
      <c r="AC51" s="9" t="s">
        <v>50</v>
      </c>
      <c r="AD51" s="10"/>
      <c r="AG51" s="10"/>
      <c r="AJ51" s="10"/>
      <c r="AM51" s="10"/>
      <c r="AP51" s="10"/>
      <c r="AS51" s="10"/>
    </row>
    <row r="52" spans="29:45" x14ac:dyDescent="0.5">
      <c r="AC52" s="9" t="s">
        <v>51</v>
      </c>
      <c r="AD52" s="10"/>
      <c r="AG52" s="10"/>
      <c r="AJ52" s="10"/>
      <c r="AM52" s="10"/>
      <c r="AP52" s="10"/>
      <c r="AS52" s="10"/>
    </row>
    <row r="53" spans="29:45" x14ac:dyDescent="0.5">
      <c r="AC53" s="9" t="s">
        <v>52</v>
      </c>
      <c r="AD53" s="10">
        <v>100</v>
      </c>
      <c r="AG53" s="10"/>
      <c r="AJ53" s="10"/>
      <c r="AM53" s="10"/>
      <c r="AP53" s="10"/>
      <c r="AS53" s="10"/>
    </row>
    <row r="54" spans="29:45" x14ac:dyDescent="0.5">
      <c r="AC54" s="9" t="s">
        <v>53</v>
      </c>
      <c r="AD54" s="10">
        <v>0</v>
      </c>
      <c r="AG54" s="10"/>
      <c r="AJ54" s="10"/>
      <c r="AM54" s="10"/>
      <c r="AP54" s="10"/>
      <c r="AS54" s="10"/>
    </row>
    <row r="55" spans="29:45" x14ac:dyDescent="0.5">
      <c r="AC55" s="9" t="s">
        <v>54</v>
      </c>
      <c r="AD55" s="10">
        <v>0</v>
      </c>
      <c r="AG55" s="10"/>
      <c r="AJ55" s="10"/>
      <c r="AM55" s="10"/>
      <c r="AP55" s="10"/>
      <c r="AS55" s="10"/>
    </row>
    <row r="56" spans="29:45" x14ac:dyDescent="0.5">
      <c r="AC56" s="9" t="s">
        <v>55</v>
      </c>
      <c r="AD56" s="10">
        <v>0</v>
      </c>
      <c r="AG56" s="10"/>
      <c r="AJ56" s="10"/>
      <c r="AM56" s="10"/>
      <c r="AP56" s="10"/>
      <c r="AS56" s="10"/>
    </row>
    <row r="57" spans="29:45" x14ac:dyDescent="0.5">
      <c r="AC57" s="9" t="s">
        <v>56</v>
      </c>
      <c r="AD57" s="10"/>
      <c r="AG57" s="10"/>
      <c r="AJ57" s="10"/>
      <c r="AM57" s="10"/>
      <c r="AP57" s="10"/>
      <c r="AS57" s="10"/>
    </row>
    <row r="58" spans="29:45" ht="14.7" thickBot="1" x14ac:dyDescent="0.55000000000000004">
      <c r="AC58" s="13" t="s">
        <v>57</v>
      </c>
      <c r="AD58" s="20"/>
      <c r="AG58" s="20"/>
      <c r="AJ58" s="20"/>
      <c r="AM58" s="20"/>
      <c r="AP58" s="20"/>
      <c r="AS58" s="20"/>
    </row>
    <row r="59" spans="29:45" x14ac:dyDescent="0.5">
      <c r="AC59" s="15" t="s">
        <v>35</v>
      </c>
      <c r="AD59" s="21"/>
      <c r="AG59" s="21"/>
      <c r="AJ59" s="21"/>
      <c r="AM59" s="21"/>
      <c r="AP59" s="21"/>
      <c r="AS59" s="21"/>
    </row>
    <row r="60" spans="29:45" x14ac:dyDescent="0.5">
      <c r="AC60" s="9" t="s">
        <v>36</v>
      </c>
      <c r="AD60" s="10"/>
      <c r="AG60" s="10"/>
      <c r="AJ60" s="10"/>
      <c r="AM60" s="10"/>
      <c r="AP60" s="10"/>
      <c r="AS60" s="10"/>
    </row>
    <row r="61" spans="29:45" x14ac:dyDescent="0.5">
      <c r="AC61" s="9" t="s">
        <v>36</v>
      </c>
      <c r="AD61" s="10"/>
      <c r="AG61" s="10"/>
      <c r="AJ61" s="10"/>
      <c r="AM61" s="10"/>
      <c r="AP61" s="10"/>
      <c r="AS61" s="10"/>
    </row>
    <row r="62" spans="29:45" x14ac:dyDescent="0.5">
      <c r="AC62" s="9" t="s">
        <v>37</v>
      </c>
      <c r="AD62" s="10"/>
      <c r="AG62" s="10"/>
      <c r="AJ62" s="10"/>
      <c r="AM62" s="10"/>
      <c r="AP62" s="10"/>
      <c r="AS62" s="10"/>
    </row>
    <row r="63" spans="29:45" ht="14.7" thickBot="1" x14ac:dyDescent="0.55000000000000004">
      <c r="AC63" s="11" t="s">
        <v>38</v>
      </c>
      <c r="AD63" s="12"/>
      <c r="AG63" s="12"/>
      <c r="AJ63" s="12"/>
      <c r="AM63" s="12"/>
      <c r="AP63" s="12"/>
      <c r="AS63" s="12"/>
    </row>
    <row r="64" spans="29:45" x14ac:dyDescent="0.5"/>
  </sheetData>
  <sheetProtection algorithmName="SHA-512" hashValue="ym7/FGHPU07+k7CR5A2c/7z43zdzx38PSHOWbnd38mNcnE4qrnhAyh2fWUdyzs6hP0EWtyziFygVZ1Li3b87dw==" saltValue="sN/CUjLwYyjYOhyMi+sjLA==" spinCount="100000" sheet="1" selectLockedCells="1" autoFilter="0"/>
  <mergeCells count="2">
    <mergeCell ref="A5:A20"/>
    <mergeCell ref="A21:A36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A1:AS64"/>
  <sheetViews>
    <sheetView showGridLines="0" showRowColHeaders="0" topLeftCell="A4" zoomScale="85" zoomScaleNormal="85" workbookViewId="0">
      <pane xSplit="29" ySplit="1" topLeftCell="AD5" activePane="bottomRight" state="frozen"/>
      <selection activeCell="AD5" sqref="AD5"/>
      <selection pane="topRight" activeCell="AD5" sqref="AD5"/>
      <selection pane="bottomLeft" activeCell="AD5" sqref="AD5"/>
      <selection pane="bottomRight" activeCell="AD5" sqref="AD5"/>
    </sheetView>
  </sheetViews>
  <sheetFormatPr baseColWidth="10" defaultRowHeight="14.35" zeroHeight="1" x14ac:dyDescent="0.5"/>
  <cols>
    <col min="1" max="1" width="6.64453125" customWidth="1"/>
    <col min="2" max="28" width="0" hidden="1" customWidth="1"/>
    <col min="29" max="29" width="15.64453125" style="1" customWidth="1"/>
    <col min="30" max="30" width="30.64453125" style="1" customWidth="1"/>
    <col min="31" max="32" width="0" hidden="1" customWidth="1"/>
    <col min="33" max="33" width="30.64453125" style="1" customWidth="1"/>
    <col min="34" max="35" width="0" hidden="1" customWidth="1"/>
    <col min="36" max="36" width="30.64453125" style="1" customWidth="1"/>
    <col min="37" max="38" width="0" hidden="1" customWidth="1"/>
    <col min="39" max="39" width="30.64453125" style="1" customWidth="1"/>
    <col min="40" max="41" width="0" hidden="1" customWidth="1"/>
    <col min="42" max="42" width="30.64453125" style="1" customWidth="1"/>
    <col min="43" max="44" width="0" hidden="1" customWidth="1"/>
    <col min="45" max="45" width="30.64453125" style="1" customWidth="1"/>
    <col min="46" max="47" width="0" hidden="1" customWidth="1"/>
  </cols>
  <sheetData>
    <row r="1" spans="1:45" x14ac:dyDescent="0.5">
      <c r="AC1"/>
      <c r="AD1" t="s">
        <v>185</v>
      </c>
      <c r="AG1"/>
      <c r="AJ1"/>
      <c r="AM1"/>
      <c r="AP1"/>
      <c r="AS1"/>
    </row>
    <row r="2" spans="1:45" x14ac:dyDescent="0.5">
      <c r="AC2"/>
      <c r="AD2">
        <v>1</v>
      </c>
      <c r="AG2"/>
      <c r="AJ2"/>
      <c r="AM2"/>
      <c r="AP2"/>
      <c r="AS2"/>
    </row>
    <row r="3" spans="1:45" ht="14.7" thickBot="1" x14ac:dyDescent="0.55000000000000004">
      <c r="AC3"/>
      <c r="AD3">
        <v>12</v>
      </c>
      <c r="AG3"/>
      <c r="AJ3"/>
      <c r="AM3"/>
      <c r="AP3"/>
      <c r="AS3"/>
    </row>
    <row r="4" spans="1:45" ht="20.100000000000001" customHeight="1" thickBot="1" x14ac:dyDescent="0.55000000000000004">
      <c r="A4" s="5">
        <f>COUNTA(AC4:XFD4)-1</f>
        <v>1</v>
      </c>
      <c r="AC4" s="3" t="s">
        <v>121</v>
      </c>
      <c r="AD4" s="4" t="s">
        <v>171</v>
      </c>
      <c r="AG4" s="4"/>
      <c r="AJ4" s="4"/>
      <c r="AM4" s="4"/>
      <c r="AP4" s="4"/>
      <c r="AS4" s="4"/>
    </row>
    <row r="5" spans="1:45" ht="15" thickTop="1" thickBot="1" x14ac:dyDescent="0.55000000000000004">
      <c r="A5" s="27" t="s">
        <v>107</v>
      </c>
      <c r="AC5" s="7" t="s">
        <v>0</v>
      </c>
      <c r="AD5" s="26" t="s">
        <v>208</v>
      </c>
      <c r="AG5" s="8"/>
      <c r="AJ5" s="8"/>
      <c r="AM5" s="8"/>
      <c r="AP5" s="8"/>
      <c r="AS5" s="8"/>
    </row>
    <row r="6" spans="1:45" ht="15" thickTop="1" thickBot="1" x14ac:dyDescent="0.55000000000000004">
      <c r="A6" s="27"/>
      <c r="AC6" s="9" t="s">
        <v>1</v>
      </c>
      <c r="AD6" s="10"/>
      <c r="AG6" s="10"/>
      <c r="AJ6" s="10"/>
      <c r="AM6" s="10"/>
      <c r="AP6" s="10"/>
      <c r="AS6" s="10"/>
    </row>
    <row r="7" spans="1:45" ht="15" thickTop="1" thickBot="1" x14ac:dyDescent="0.55000000000000004">
      <c r="A7" s="27"/>
      <c r="AC7" s="9" t="s">
        <v>2</v>
      </c>
      <c r="AD7" s="10"/>
      <c r="AG7" s="10"/>
      <c r="AJ7" s="10"/>
      <c r="AM7" s="10"/>
      <c r="AP7" s="10"/>
      <c r="AS7" s="10"/>
    </row>
    <row r="8" spans="1:45" ht="15" thickTop="1" thickBot="1" x14ac:dyDescent="0.55000000000000004">
      <c r="A8" s="27"/>
      <c r="AC8" s="9" t="s">
        <v>3</v>
      </c>
      <c r="AD8" s="10"/>
      <c r="AG8" s="10"/>
      <c r="AJ8" s="10"/>
      <c r="AM8" s="10"/>
      <c r="AP8" s="10"/>
      <c r="AS8" s="10"/>
    </row>
    <row r="9" spans="1:45" ht="15" thickTop="1" thickBot="1" x14ac:dyDescent="0.55000000000000004">
      <c r="A9" s="27"/>
      <c r="AC9" s="9" t="s">
        <v>4</v>
      </c>
      <c r="AD9" s="10"/>
      <c r="AG9" s="10"/>
      <c r="AJ9" s="10"/>
      <c r="AM9" s="10"/>
      <c r="AP9" s="10"/>
      <c r="AS9" s="10"/>
    </row>
    <row r="10" spans="1:45" ht="15" thickTop="1" thickBot="1" x14ac:dyDescent="0.55000000000000004">
      <c r="A10" s="27"/>
      <c r="AC10" s="9" t="s">
        <v>5</v>
      </c>
      <c r="AD10" s="10"/>
      <c r="AG10" s="10"/>
      <c r="AJ10" s="10"/>
      <c r="AM10" s="10"/>
      <c r="AP10" s="10"/>
      <c r="AS10" s="10"/>
    </row>
    <row r="11" spans="1:45" ht="15" thickTop="1" thickBot="1" x14ac:dyDescent="0.55000000000000004">
      <c r="A11" s="27"/>
      <c r="AC11" s="9" t="s">
        <v>6</v>
      </c>
      <c r="AD11" s="10"/>
      <c r="AG11" s="10"/>
      <c r="AJ11" s="10"/>
      <c r="AM11" s="10"/>
      <c r="AP11" s="10"/>
      <c r="AS11" s="10"/>
    </row>
    <row r="12" spans="1:45" ht="15" thickTop="1" thickBot="1" x14ac:dyDescent="0.55000000000000004">
      <c r="A12" s="27"/>
      <c r="AC12" s="9" t="s">
        <v>7</v>
      </c>
      <c r="AD12" s="10"/>
      <c r="AG12" s="10"/>
      <c r="AJ12" s="10"/>
      <c r="AM12" s="10"/>
      <c r="AP12" s="10"/>
      <c r="AS12" s="10"/>
    </row>
    <row r="13" spans="1:45" ht="15" thickTop="1" thickBot="1" x14ac:dyDescent="0.55000000000000004">
      <c r="A13" s="27"/>
      <c r="AC13" s="9" t="s">
        <v>8</v>
      </c>
      <c r="AD13" s="10"/>
      <c r="AG13" s="10"/>
      <c r="AJ13" s="10"/>
      <c r="AM13" s="10"/>
      <c r="AP13" s="10"/>
      <c r="AS13" s="10"/>
    </row>
    <row r="14" spans="1:45" ht="15" thickTop="1" thickBot="1" x14ac:dyDescent="0.55000000000000004">
      <c r="A14" s="27"/>
      <c r="AC14" s="9" t="s">
        <v>9</v>
      </c>
      <c r="AD14" s="10"/>
      <c r="AG14" s="10"/>
      <c r="AJ14" s="10"/>
      <c r="AM14" s="10"/>
      <c r="AP14" s="10"/>
      <c r="AS14" s="10"/>
    </row>
    <row r="15" spans="1:45" ht="15" thickTop="1" thickBot="1" x14ac:dyDescent="0.55000000000000004">
      <c r="A15" s="27"/>
      <c r="AC15" s="9" t="s">
        <v>10</v>
      </c>
      <c r="AD15" s="10"/>
      <c r="AG15" s="10"/>
      <c r="AJ15" s="10"/>
      <c r="AM15" s="10"/>
      <c r="AP15" s="10"/>
      <c r="AS15" s="10"/>
    </row>
    <row r="16" spans="1:45" ht="15" thickTop="1" thickBot="1" x14ac:dyDescent="0.55000000000000004">
      <c r="A16" s="27"/>
      <c r="AC16" s="9" t="s">
        <v>11</v>
      </c>
      <c r="AD16" s="10"/>
      <c r="AG16" s="10"/>
      <c r="AJ16" s="10"/>
      <c r="AM16" s="10"/>
      <c r="AP16" s="10"/>
      <c r="AS16" s="10"/>
    </row>
    <row r="17" spans="1:45" ht="15" thickTop="1" thickBot="1" x14ac:dyDescent="0.55000000000000004">
      <c r="A17" s="27"/>
      <c r="AC17" s="9" t="s">
        <v>12</v>
      </c>
      <c r="AD17" s="10"/>
      <c r="AG17" s="10"/>
      <c r="AJ17" s="10"/>
      <c r="AM17" s="10"/>
      <c r="AP17" s="10"/>
      <c r="AS17" s="10"/>
    </row>
    <row r="18" spans="1:45" ht="15" thickTop="1" thickBot="1" x14ac:dyDescent="0.55000000000000004">
      <c r="A18" s="27"/>
      <c r="AC18" s="9" t="s">
        <v>13</v>
      </c>
      <c r="AD18" s="10"/>
      <c r="AG18" s="10"/>
      <c r="AJ18" s="10"/>
      <c r="AM18" s="10"/>
      <c r="AP18" s="10"/>
      <c r="AS18" s="10"/>
    </row>
    <row r="19" spans="1:45" ht="15" thickTop="1" thickBot="1" x14ac:dyDescent="0.55000000000000004">
      <c r="A19" s="27"/>
      <c r="AC19" s="9" t="s">
        <v>14</v>
      </c>
      <c r="AD19" s="10"/>
      <c r="AG19" s="10"/>
      <c r="AJ19" s="10"/>
      <c r="AM19" s="10"/>
      <c r="AP19" s="10"/>
      <c r="AS19" s="10"/>
    </row>
    <row r="20" spans="1:45" ht="15" thickTop="1" thickBot="1" x14ac:dyDescent="0.55000000000000004">
      <c r="A20" s="27"/>
      <c r="AC20" s="9" t="s">
        <v>15</v>
      </c>
      <c r="AD20" s="10"/>
      <c r="AG20" s="10"/>
      <c r="AJ20" s="10"/>
      <c r="AM20" s="10"/>
      <c r="AP20" s="10"/>
      <c r="AS20" s="10"/>
    </row>
    <row r="21" spans="1:45" ht="15" thickTop="1" thickBot="1" x14ac:dyDescent="0.55000000000000004">
      <c r="A21" s="27" t="s">
        <v>108</v>
      </c>
      <c r="AC21" s="9" t="s">
        <v>16</v>
      </c>
      <c r="AD21" s="10"/>
      <c r="AG21" s="10"/>
      <c r="AJ21" s="10"/>
      <c r="AM21" s="10"/>
      <c r="AP21" s="10"/>
      <c r="AS21" s="10"/>
    </row>
    <row r="22" spans="1:45" ht="15" thickTop="1" thickBot="1" x14ac:dyDescent="0.55000000000000004">
      <c r="A22" s="27"/>
      <c r="AC22" s="9" t="s">
        <v>17</v>
      </c>
      <c r="AD22" s="10"/>
      <c r="AG22" s="10"/>
      <c r="AJ22" s="10"/>
      <c r="AM22" s="10"/>
      <c r="AP22" s="10"/>
      <c r="AS22" s="10"/>
    </row>
    <row r="23" spans="1:45" ht="15" thickTop="1" thickBot="1" x14ac:dyDescent="0.55000000000000004">
      <c r="A23" s="27"/>
      <c r="AC23" s="9" t="s">
        <v>18</v>
      </c>
      <c r="AD23" s="10"/>
      <c r="AG23" s="10"/>
      <c r="AJ23" s="10"/>
      <c r="AM23" s="10"/>
      <c r="AP23" s="10"/>
      <c r="AS23" s="10"/>
    </row>
    <row r="24" spans="1:45" ht="15" thickTop="1" thickBot="1" x14ac:dyDescent="0.55000000000000004">
      <c r="A24" s="27"/>
      <c r="AC24" s="9" t="s">
        <v>19</v>
      </c>
      <c r="AD24" s="10"/>
      <c r="AG24" s="10"/>
      <c r="AJ24" s="10"/>
      <c r="AM24" s="10"/>
      <c r="AP24" s="10"/>
      <c r="AS24" s="10"/>
    </row>
    <row r="25" spans="1:45" ht="15" thickTop="1" thickBot="1" x14ac:dyDescent="0.55000000000000004">
      <c r="A25" s="27"/>
      <c r="AC25" s="9" t="s">
        <v>20</v>
      </c>
      <c r="AD25" s="10"/>
      <c r="AG25" s="10"/>
      <c r="AJ25" s="10"/>
      <c r="AM25" s="10"/>
      <c r="AP25" s="10"/>
      <c r="AS25" s="10"/>
    </row>
    <row r="26" spans="1:45" ht="15" thickTop="1" thickBot="1" x14ac:dyDescent="0.55000000000000004">
      <c r="A26" s="27"/>
      <c r="AC26" s="9" t="s">
        <v>21</v>
      </c>
      <c r="AD26" s="10"/>
      <c r="AG26" s="10"/>
      <c r="AJ26" s="10"/>
      <c r="AM26" s="10"/>
      <c r="AP26" s="10"/>
      <c r="AS26" s="10"/>
    </row>
    <row r="27" spans="1:45" ht="15" thickTop="1" thickBot="1" x14ac:dyDescent="0.55000000000000004">
      <c r="A27" s="27"/>
      <c r="AC27" s="9" t="s">
        <v>22</v>
      </c>
      <c r="AD27" s="10"/>
      <c r="AG27" s="10"/>
      <c r="AJ27" s="10"/>
      <c r="AM27" s="10"/>
      <c r="AP27" s="10"/>
      <c r="AS27" s="10"/>
    </row>
    <row r="28" spans="1:45" ht="15" thickTop="1" thickBot="1" x14ac:dyDescent="0.55000000000000004">
      <c r="A28" s="27"/>
      <c r="AC28" s="9" t="s">
        <v>23</v>
      </c>
      <c r="AD28" s="10"/>
      <c r="AG28" s="10"/>
      <c r="AJ28" s="10"/>
      <c r="AM28" s="10"/>
      <c r="AP28" s="10"/>
      <c r="AS28" s="10"/>
    </row>
    <row r="29" spans="1:45" ht="15" thickTop="1" thickBot="1" x14ac:dyDescent="0.55000000000000004">
      <c r="A29" s="27"/>
      <c r="AC29" s="9" t="s">
        <v>24</v>
      </c>
      <c r="AD29" s="10"/>
      <c r="AG29" s="10"/>
      <c r="AJ29" s="10"/>
      <c r="AM29" s="10"/>
      <c r="AP29" s="10"/>
      <c r="AS29" s="10"/>
    </row>
    <row r="30" spans="1:45" ht="15" thickTop="1" thickBot="1" x14ac:dyDescent="0.55000000000000004">
      <c r="A30" s="27"/>
      <c r="AC30" s="9" t="s">
        <v>25</v>
      </c>
      <c r="AD30" s="10"/>
      <c r="AG30" s="10"/>
      <c r="AJ30" s="10"/>
      <c r="AM30" s="10"/>
      <c r="AP30" s="10"/>
      <c r="AS30" s="10"/>
    </row>
    <row r="31" spans="1:45" ht="15" thickTop="1" thickBot="1" x14ac:dyDescent="0.55000000000000004">
      <c r="A31" s="27"/>
      <c r="AC31" s="9" t="s">
        <v>26</v>
      </c>
      <c r="AD31" s="10"/>
      <c r="AG31" s="10"/>
      <c r="AJ31" s="10"/>
      <c r="AM31" s="10"/>
      <c r="AP31" s="10"/>
      <c r="AS31" s="10"/>
    </row>
    <row r="32" spans="1:45" ht="15" thickTop="1" thickBot="1" x14ac:dyDescent="0.55000000000000004">
      <c r="A32" s="27"/>
      <c r="AC32" s="9" t="s">
        <v>27</v>
      </c>
      <c r="AD32" s="10"/>
      <c r="AG32" s="10"/>
      <c r="AJ32" s="10"/>
      <c r="AM32" s="10"/>
      <c r="AP32" s="10"/>
      <c r="AS32" s="10"/>
    </row>
    <row r="33" spans="1:45" ht="15" thickTop="1" thickBot="1" x14ac:dyDescent="0.55000000000000004">
      <c r="A33" s="27"/>
      <c r="AC33" s="9" t="s">
        <v>28</v>
      </c>
      <c r="AD33" s="10"/>
      <c r="AG33" s="10"/>
      <c r="AJ33" s="10"/>
      <c r="AM33" s="10"/>
      <c r="AP33" s="10"/>
      <c r="AS33" s="10"/>
    </row>
    <row r="34" spans="1:45" ht="15" thickTop="1" thickBot="1" x14ac:dyDescent="0.55000000000000004">
      <c r="A34" s="27"/>
      <c r="AC34" s="9" t="s">
        <v>29</v>
      </c>
      <c r="AD34" s="10"/>
      <c r="AG34" s="10"/>
      <c r="AJ34" s="10"/>
      <c r="AM34" s="10"/>
      <c r="AP34" s="10"/>
      <c r="AS34" s="10"/>
    </row>
    <row r="35" spans="1:45" ht="15" thickTop="1" thickBot="1" x14ac:dyDescent="0.55000000000000004">
      <c r="A35" s="27"/>
      <c r="AC35" s="9" t="s">
        <v>30</v>
      </c>
      <c r="AD35" s="10"/>
      <c r="AG35" s="10"/>
      <c r="AJ35" s="10"/>
      <c r="AM35" s="10"/>
      <c r="AP35" s="10"/>
      <c r="AS35" s="10"/>
    </row>
    <row r="36" spans="1:45" ht="15" thickTop="1" thickBot="1" x14ac:dyDescent="0.55000000000000004">
      <c r="A36" s="27"/>
      <c r="AC36" s="11" t="s">
        <v>31</v>
      </c>
      <c r="AD36" s="12"/>
      <c r="AG36" s="12"/>
      <c r="AJ36" s="12"/>
      <c r="AM36" s="12"/>
      <c r="AP36" s="12"/>
      <c r="AS36" s="12"/>
    </row>
    <row r="37" spans="1:45" ht="15" customHeight="1" thickTop="1" thickBot="1" x14ac:dyDescent="0.55000000000000004">
      <c r="A37" s="16" t="str">
        <f>'Formulas OM'!A37</f>
        <v>V - 8.3</v>
      </c>
      <c r="AC37" s="2"/>
      <c r="AD37" s="2"/>
      <c r="AG37" s="2"/>
      <c r="AJ37" s="2"/>
      <c r="AM37" s="2"/>
      <c r="AP37" s="2"/>
      <c r="AS37" s="2"/>
    </row>
    <row r="38" spans="1:45" ht="20.100000000000001" customHeight="1" x14ac:dyDescent="0.5">
      <c r="AC38" s="3" t="s">
        <v>39</v>
      </c>
      <c r="AD38" s="4"/>
      <c r="AG38" s="4"/>
      <c r="AJ38" s="4"/>
      <c r="AM38" s="4"/>
      <c r="AP38" s="4"/>
      <c r="AS38" s="4"/>
    </row>
    <row r="39" spans="1:45" x14ac:dyDescent="0.5">
      <c r="AC39" s="7" t="s">
        <v>32</v>
      </c>
      <c r="AD39" s="8" t="s">
        <v>168</v>
      </c>
      <c r="AG39" s="8"/>
      <c r="AJ39" s="8"/>
      <c r="AM39" s="8"/>
      <c r="AP39" s="8"/>
      <c r="AS39" s="8"/>
    </row>
    <row r="40" spans="1:45" x14ac:dyDescent="0.5">
      <c r="AC40" s="9" t="s">
        <v>33</v>
      </c>
      <c r="AD40" s="24" t="s">
        <v>209</v>
      </c>
      <c r="AG40" s="10"/>
      <c r="AJ40" s="10"/>
      <c r="AM40" s="10"/>
      <c r="AP40" s="10"/>
      <c r="AS40" s="10"/>
    </row>
    <row r="41" spans="1:45" x14ac:dyDescent="0.5">
      <c r="AC41" s="9" t="s">
        <v>40</v>
      </c>
      <c r="AD41" s="24" t="s">
        <v>210</v>
      </c>
      <c r="AG41" s="10"/>
      <c r="AJ41" s="10"/>
      <c r="AM41" s="10"/>
      <c r="AP41" s="10"/>
      <c r="AS41" s="10"/>
    </row>
    <row r="42" spans="1:45" x14ac:dyDescent="0.5">
      <c r="AC42" s="9" t="s">
        <v>41</v>
      </c>
      <c r="AD42" s="24" t="s">
        <v>211</v>
      </c>
      <c r="AG42" s="10"/>
      <c r="AJ42" s="10"/>
      <c r="AM42" s="10"/>
      <c r="AP42" s="10"/>
      <c r="AS42" s="10"/>
    </row>
    <row r="43" spans="1:45" x14ac:dyDescent="0.5">
      <c r="AC43" s="9" t="s">
        <v>42</v>
      </c>
      <c r="AD43" s="24" t="s">
        <v>212</v>
      </c>
      <c r="AG43" s="10"/>
      <c r="AJ43" s="10"/>
      <c r="AM43" s="10"/>
      <c r="AP43" s="10"/>
      <c r="AS43" s="10"/>
    </row>
    <row r="44" spans="1:45" x14ac:dyDescent="0.5">
      <c r="AC44" s="9" t="s">
        <v>43</v>
      </c>
      <c r="AD44" s="24" t="s">
        <v>213</v>
      </c>
      <c r="AG44" s="10"/>
      <c r="AJ44" s="10"/>
      <c r="AM44" s="10"/>
      <c r="AP44" s="10"/>
      <c r="AS44" s="10"/>
    </row>
    <row r="45" spans="1:45" x14ac:dyDescent="0.5">
      <c r="AC45" s="9" t="s">
        <v>44</v>
      </c>
      <c r="AD45" s="10"/>
      <c r="AG45" s="10"/>
      <c r="AJ45" s="10"/>
      <c r="AM45" s="10"/>
      <c r="AP45" s="10"/>
      <c r="AS45" s="10"/>
    </row>
    <row r="46" spans="1:45" x14ac:dyDescent="0.5">
      <c r="AC46" s="9" t="s">
        <v>45</v>
      </c>
      <c r="AD46" s="10"/>
      <c r="AG46" s="10"/>
      <c r="AJ46" s="10"/>
      <c r="AM46" s="10"/>
      <c r="AP46" s="10"/>
      <c r="AS46" s="10"/>
    </row>
    <row r="47" spans="1:45" x14ac:dyDescent="0.5">
      <c r="AC47" s="9" t="s">
        <v>46</v>
      </c>
      <c r="AD47" s="10" t="s">
        <v>172</v>
      </c>
      <c r="AG47" s="10"/>
      <c r="AJ47" s="10"/>
      <c r="AM47" s="10"/>
      <c r="AP47" s="10"/>
      <c r="AS47" s="10"/>
    </row>
    <row r="48" spans="1:45" x14ac:dyDescent="0.5">
      <c r="AC48" s="9" t="s">
        <v>47</v>
      </c>
      <c r="AD48" s="10" t="s">
        <v>172</v>
      </c>
      <c r="AG48" s="10"/>
      <c r="AJ48" s="10"/>
      <c r="AM48" s="10"/>
      <c r="AP48" s="10"/>
      <c r="AS48" s="10"/>
    </row>
    <row r="49" spans="29:45" x14ac:dyDescent="0.5">
      <c r="AC49" s="9" t="s">
        <v>48</v>
      </c>
      <c r="AD49" s="10" t="s">
        <v>173</v>
      </c>
      <c r="AG49" s="10"/>
      <c r="AJ49" s="10"/>
      <c r="AM49" s="10"/>
      <c r="AP49" s="10"/>
      <c r="AS49" s="10"/>
    </row>
    <row r="50" spans="29:45" x14ac:dyDescent="0.5">
      <c r="AC50" s="9" t="s">
        <v>49</v>
      </c>
      <c r="AD50" s="10" t="s">
        <v>173</v>
      </c>
      <c r="AG50" s="10"/>
      <c r="AJ50" s="10"/>
      <c r="AM50" s="10"/>
      <c r="AP50" s="10"/>
      <c r="AS50" s="10"/>
    </row>
    <row r="51" spans="29:45" x14ac:dyDescent="0.5">
      <c r="AC51" s="9" t="s">
        <v>50</v>
      </c>
      <c r="AD51" s="10"/>
      <c r="AG51" s="10"/>
      <c r="AJ51" s="10"/>
      <c r="AM51" s="10"/>
      <c r="AP51" s="10"/>
      <c r="AS51" s="10"/>
    </row>
    <row r="52" spans="29:45" x14ac:dyDescent="0.5">
      <c r="AC52" s="9" t="s">
        <v>51</v>
      </c>
      <c r="AD52" s="10"/>
      <c r="AG52" s="10"/>
      <c r="AJ52" s="10"/>
      <c r="AM52" s="10"/>
      <c r="AP52" s="10"/>
      <c r="AS52" s="10"/>
    </row>
    <row r="53" spans="29:45" x14ac:dyDescent="0.5">
      <c r="AC53" s="9" t="s">
        <v>52</v>
      </c>
      <c r="AD53" s="10">
        <v>50</v>
      </c>
      <c r="AG53" s="10"/>
      <c r="AJ53" s="10"/>
      <c r="AM53" s="10"/>
      <c r="AP53" s="10"/>
      <c r="AS53" s="10"/>
    </row>
    <row r="54" spans="29:45" x14ac:dyDescent="0.5">
      <c r="AC54" s="9" t="s">
        <v>53</v>
      </c>
      <c r="AD54" s="10">
        <v>50</v>
      </c>
      <c r="AG54" s="10"/>
      <c r="AJ54" s="10"/>
      <c r="AM54" s="10"/>
      <c r="AP54" s="10"/>
      <c r="AS54" s="10"/>
    </row>
    <row r="55" spans="29:45" x14ac:dyDescent="0.5">
      <c r="AC55" s="9" t="s">
        <v>54</v>
      </c>
      <c r="AD55" s="10"/>
      <c r="AG55" s="10"/>
      <c r="AJ55" s="10"/>
      <c r="AM55" s="10"/>
      <c r="AP55" s="10"/>
      <c r="AS55" s="10"/>
    </row>
    <row r="56" spans="29:45" x14ac:dyDescent="0.5">
      <c r="AC56" s="9" t="s">
        <v>55</v>
      </c>
      <c r="AD56" s="10"/>
      <c r="AG56" s="10"/>
      <c r="AJ56" s="10"/>
      <c r="AM56" s="10"/>
      <c r="AP56" s="10"/>
      <c r="AS56" s="10"/>
    </row>
    <row r="57" spans="29:45" x14ac:dyDescent="0.5">
      <c r="AC57" s="9" t="s">
        <v>56</v>
      </c>
      <c r="AD57" s="10"/>
      <c r="AG57" s="10"/>
      <c r="AJ57" s="10"/>
      <c r="AM57" s="10"/>
      <c r="AP57" s="10"/>
      <c r="AS57" s="10"/>
    </row>
    <row r="58" spans="29:45" ht="14.7" thickBot="1" x14ac:dyDescent="0.55000000000000004">
      <c r="AC58" s="13" t="s">
        <v>57</v>
      </c>
      <c r="AD58" s="20"/>
      <c r="AG58" s="20"/>
      <c r="AJ58" s="20"/>
      <c r="AM58" s="20"/>
      <c r="AP58" s="20"/>
      <c r="AS58" s="20"/>
    </row>
    <row r="59" spans="29:45" x14ac:dyDescent="0.5">
      <c r="AC59" s="15" t="s">
        <v>35</v>
      </c>
      <c r="AD59" s="21"/>
      <c r="AG59" s="21"/>
      <c r="AJ59" s="21"/>
      <c r="AM59" s="21"/>
      <c r="AP59" s="21"/>
      <c r="AS59" s="21"/>
    </row>
    <row r="60" spans="29:45" x14ac:dyDescent="0.5">
      <c r="AC60" s="9" t="s">
        <v>36</v>
      </c>
      <c r="AD60" s="10"/>
      <c r="AG60" s="10"/>
      <c r="AJ60" s="10"/>
      <c r="AM60" s="10"/>
      <c r="AP60" s="10"/>
      <c r="AS60" s="10"/>
    </row>
    <row r="61" spans="29:45" x14ac:dyDescent="0.5">
      <c r="AC61" s="9" t="s">
        <v>36</v>
      </c>
      <c r="AD61" s="10"/>
      <c r="AG61" s="10"/>
      <c r="AJ61" s="10"/>
      <c r="AM61" s="10"/>
      <c r="AP61" s="10"/>
      <c r="AS61" s="10"/>
    </row>
    <row r="62" spans="29:45" x14ac:dyDescent="0.5">
      <c r="AC62" s="9" t="s">
        <v>37</v>
      </c>
      <c r="AD62" s="10"/>
      <c r="AG62" s="10"/>
      <c r="AJ62" s="10"/>
      <c r="AM62" s="10"/>
      <c r="AP62" s="10"/>
      <c r="AS62" s="10"/>
    </row>
    <row r="63" spans="29:45" ht="14.7" thickBot="1" x14ac:dyDescent="0.55000000000000004">
      <c r="AC63" s="11" t="s">
        <v>38</v>
      </c>
      <c r="AD63" s="12"/>
      <c r="AG63" s="12"/>
      <c r="AJ63" s="12"/>
      <c r="AM63" s="12"/>
      <c r="AP63" s="12"/>
      <c r="AS63" s="12"/>
    </row>
    <row r="64" spans="29:45" x14ac:dyDescent="0.5"/>
  </sheetData>
  <sheetProtection algorithmName="SHA-512" hashValue="v7dscvcU/5ShVICnrxe2hqc1G+A41Lw7isMZRNdfVtK2uaqLj1ITbTee/FRoWH2pOCQeWnwwQ9raSc2YZCAxuQ==" saltValue="fJYgLKWl0bIaGH6Tnzceqg==" spinCount="100000" sheet="1" objects="1" scenarios="1" selectLockedCells="1" autoFilter="0"/>
  <mergeCells count="2">
    <mergeCell ref="A5:A20"/>
    <mergeCell ref="A21:A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1:AS49"/>
  <sheetViews>
    <sheetView showGridLines="0" showRowColHeaders="0" topLeftCell="A4" zoomScale="85" zoomScaleNormal="85" workbookViewId="0">
      <pane xSplit="29" ySplit="1" topLeftCell="AD5" activePane="bottomRight" state="frozen"/>
      <selection activeCell="AD5" sqref="AD5"/>
      <selection pane="topRight" activeCell="AD5" sqref="AD5"/>
      <selection pane="bottomLeft" activeCell="AD5" sqref="AD5"/>
      <selection pane="bottomRight" activeCell="AD5" sqref="AD5"/>
    </sheetView>
  </sheetViews>
  <sheetFormatPr baseColWidth="10" defaultRowHeight="14.35" zeroHeight="1" x14ac:dyDescent="0.5"/>
  <cols>
    <col min="1" max="1" width="6.64453125" customWidth="1"/>
    <col min="2" max="28" width="0" hidden="1" customWidth="1"/>
    <col min="29" max="29" width="15.64453125" style="1" customWidth="1"/>
    <col min="30" max="30" width="30.64453125" style="14" customWidth="1"/>
    <col min="31" max="32" width="0" hidden="1" customWidth="1"/>
    <col min="33" max="33" width="30.64453125" style="14" customWidth="1"/>
    <col min="34" max="35" width="0" hidden="1" customWidth="1"/>
    <col min="36" max="36" width="30.64453125" style="14" customWidth="1"/>
    <col min="37" max="38" width="0" hidden="1" customWidth="1"/>
    <col min="39" max="39" width="30.64453125" style="14" customWidth="1"/>
    <col min="40" max="41" width="0" hidden="1" customWidth="1"/>
    <col min="42" max="42" width="30.64453125" style="14" customWidth="1"/>
    <col min="43" max="44" width="0" hidden="1" customWidth="1"/>
    <col min="45" max="45" width="30.64453125" style="14" customWidth="1"/>
    <col min="46" max="47" width="0" hidden="1" customWidth="1"/>
  </cols>
  <sheetData>
    <row r="1" spans="1:45" x14ac:dyDescent="0.5">
      <c r="AC1"/>
      <c r="AD1" t="s">
        <v>185</v>
      </c>
      <c r="AG1"/>
      <c r="AJ1"/>
      <c r="AM1"/>
      <c r="AP1"/>
      <c r="AS1"/>
    </row>
    <row r="2" spans="1:45" x14ac:dyDescent="0.5">
      <c r="AC2"/>
      <c r="AD2">
        <v>7</v>
      </c>
      <c r="AG2"/>
      <c r="AJ2"/>
      <c r="AM2"/>
      <c r="AP2"/>
      <c r="AS2"/>
    </row>
    <row r="3" spans="1:45" ht="14.7" thickBot="1" x14ac:dyDescent="0.55000000000000004">
      <c r="AC3"/>
      <c r="AD3">
        <v>5</v>
      </c>
      <c r="AG3"/>
      <c r="AJ3"/>
      <c r="AM3"/>
      <c r="AP3"/>
      <c r="AS3"/>
    </row>
    <row r="4" spans="1:45" ht="20.100000000000001" customHeight="1" thickBot="1" x14ac:dyDescent="0.55000000000000004">
      <c r="A4" s="5">
        <f>COUNTA(AC4:XFD4)-1</f>
        <v>1</v>
      </c>
      <c r="AC4" s="3" t="s">
        <v>121</v>
      </c>
      <c r="AD4" s="4" t="s">
        <v>174</v>
      </c>
      <c r="AG4" s="4"/>
      <c r="AJ4" s="4"/>
      <c r="AM4" s="4"/>
      <c r="AP4" s="4"/>
      <c r="AS4" s="4"/>
    </row>
    <row r="5" spans="1:45" ht="15" thickTop="1" thickBot="1" x14ac:dyDescent="0.55000000000000004">
      <c r="A5" s="27" t="s">
        <v>109</v>
      </c>
      <c r="AC5" s="7" t="s">
        <v>0</v>
      </c>
      <c r="AD5" s="26" t="s">
        <v>198</v>
      </c>
      <c r="AG5" s="8"/>
      <c r="AJ5" s="8"/>
      <c r="AM5" s="8"/>
      <c r="AP5" s="8"/>
      <c r="AS5" s="8"/>
    </row>
    <row r="6" spans="1:45" ht="15" thickTop="1" thickBot="1" x14ac:dyDescent="0.55000000000000004">
      <c r="A6" s="27"/>
      <c r="AC6" s="9" t="s">
        <v>1</v>
      </c>
      <c r="AD6" s="24" t="s">
        <v>199</v>
      </c>
      <c r="AG6" s="10"/>
      <c r="AJ6" s="10"/>
      <c r="AM6" s="10"/>
      <c r="AP6" s="10"/>
      <c r="AS6" s="10"/>
    </row>
    <row r="7" spans="1:45" ht="15" thickTop="1" thickBot="1" x14ac:dyDescent="0.55000000000000004">
      <c r="A7" s="27"/>
      <c r="AC7" s="9" t="s">
        <v>2</v>
      </c>
      <c r="AD7" s="24" t="s">
        <v>203</v>
      </c>
      <c r="AG7" s="10"/>
      <c r="AJ7" s="10"/>
      <c r="AM7" s="10"/>
      <c r="AP7" s="10"/>
      <c r="AS7" s="10"/>
    </row>
    <row r="8" spans="1:45" ht="15" thickTop="1" thickBot="1" x14ac:dyDescent="0.55000000000000004">
      <c r="A8" s="27"/>
      <c r="AC8" s="9" t="s">
        <v>3</v>
      </c>
      <c r="AD8" s="24" t="s">
        <v>204</v>
      </c>
      <c r="AG8" s="10"/>
      <c r="AJ8" s="10"/>
      <c r="AM8" s="10"/>
      <c r="AP8" s="10"/>
      <c r="AS8" s="10"/>
    </row>
    <row r="9" spans="1:45" ht="15" thickTop="1" thickBot="1" x14ac:dyDescent="0.55000000000000004">
      <c r="A9" s="27"/>
      <c r="AC9" s="9" t="s">
        <v>4</v>
      </c>
      <c r="AD9" s="10"/>
      <c r="AG9" s="10"/>
      <c r="AJ9" s="10"/>
      <c r="AM9" s="10"/>
      <c r="AP9" s="10"/>
      <c r="AS9" s="10"/>
    </row>
    <row r="10" spans="1:45" ht="15" thickTop="1" thickBot="1" x14ac:dyDescent="0.55000000000000004">
      <c r="A10" s="27"/>
      <c r="AC10" s="9" t="s">
        <v>5</v>
      </c>
      <c r="AD10" s="10"/>
      <c r="AG10" s="10"/>
      <c r="AJ10" s="10"/>
      <c r="AM10" s="10"/>
      <c r="AP10" s="10"/>
      <c r="AS10" s="10"/>
    </row>
    <row r="11" spans="1:45" ht="15" thickTop="1" thickBot="1" x14ac:dyDescent="0.55000000000000004">
      <c r="A11" s="27"/>
      <c r="AC11" s="9" t="s">
        <v>6</v>
      </c>
      <c r="AD11" s="10"/>
      <c r="AG11" s="10"/>
      <c r="AJ11" s="10"/>
      <c r="AM11" s="10"/>
      <c r="AP11" s="10"/>
      <c r="AS11" s="10"/>
    </row>
    <row r="12" spans="1:45" ht="15" thickTop="1" thickBot="1" x14ac:dyDescent="0.55000000000000004">
      <c r="A12" s="27"/>
      <c r="AC12" s="9" t="s">
        <v>7</v>
      </c>
      <c r="AD12" s="10"/>
      <c r="AG12" s="10"/>
      <c r="AJ12" s="10"/>
      <c r="AM12" s="10"/>
      <c r="AP12" s="10"/>
      <c r="AS12" s="10"/>
    </row>
    <row r="13" spans="1:45" ht="15" thickTop="1" thickBot="1" x14ac:dyDescent="0.55000000000000004">
      <c r="A13" s="27"/>
      <c r="AC13" s="9" t="s">
        <v>8</v>
      </c>
      <c r="AD13" s="10"/>
      <c r="AG13" s="10"/>
      <c r="AJ13" s="10"/>
      <c r="AM13" s="10"/>
      <c r="AP13" s="10"/>
      <c r="AS13" s="10"/>
    </row>
    <row r="14" spans="1:45" ht="15" thickTop="1" thickBot="1" x14ac:dyDescent="0.55000000000000004">
      <c r="A14" s="27"/>
      <c r="AC14" s="9" t="s">
        <v>9</v>
      </c>
      <c r="AD14" s="10"/>
      <c r="AG14" s="10"/>
      <c r="AJ14" s="10"/>
      <c r="AM14" s="10"/>
      <c r="AP14" s="10"/>
      <c r="AS14" s="10"/>
    </row>
    <row r="15" spans="1:45" ht="15" thickTop="1" thickBot="1" x14ac:dyDescent="0.55000000000000004">
      <c r="A15" s="27"/>
      <c r="AC15" s="9" t="s">
        <v>10</v>
      </c>
      <c r="AD15" s="10"/>
      <c r="AG15" s="10"/>
      <c r="AJ15" s="10"/>
      <c r="AM15" s="10"/>
      <c r="AP15" s="10"/>
      <c r="AS15" s="10"/>
    </row>
    <row r="16" spans="1:45" ht="15" thickTop="1" thickBot="1" x14ac:dyDescent="0.55000000000000004">
      <c r="A16" s="27"/>
      <c r="AC16" s="9" t="s">
        <v>11</v>
      </c>
      <c r="AD16" s="10"/>
      <c r="AG16" s="10"/>
      <c r="AJ16" s="10"/>
      <c r="AM16" s="10"/>
      <c r="AP16" s="10"/>
      <c r="AS16" s="10"/>
    </row>
    <row r="17" spans="1:45" ht="15" thickTop="1" thickBot="1" x14ac:dyDescent="0.55000000000000004">
      <c r="A17" s="27"/>
      <c r="AC17" s="9" t="s">
        <v>12</v>
      </c>
      <c r="AD17" s="10"/>
      <c r="AG17" s="10"/>
      <c r="AJ17" s="10"/>
      <c r="AM17" s="10"/>
      <c r="AP17" s="10"/>
      <c r="AS17" s="10"/>
    </row>
    <row r="18" spans="1:45" ht="15" thickTop="1" thickBot="1" x14ac:dyDescent="0.55000000000000004">
      <c r="A18" s="27"/>
      <c r="AC18" s="9" t="s">
        <v>13</v>
      </c>
      <c r="AD18" s="10"/>
      <c r="AG18" s="10"/>
      <c r="AJ18" s="10"/>
      <c r="AM18" s="10"/>
      <c r="AP18" s="10"/>
      <c r="AS18" s="10"/>
    </row>
    <row r="19" spans="1:45" ht="15" thickTop="1" thickBot="1" x14ac:dyDescent="0.55000000000000004">
      <c r="A19" s="27"/>
      <c r="AC19" s="9" t="s">
        <v>14</v>
      </c>
      <c r="AD19" s="10"/>
      <c r="AG19" s="10"/>
      <c r="AJ19" s="10"/>
      <c r="AM19" s="10"/>
      <c r="AP19" s="10"/>
      <c r="AS19" s="10"/>
    </row>
    <row r="20" spans="1:45" ht="15" thickTop="1" thickBot="1" x14ac:dyDescent="0.55000000000000004">
      <c r="A20" s="27"/>
      <c r="AC20" s="9" t="s">
        <v>15</v>
      </c>
      <c r="AD20" s="10"/>
      <c r="AG20" s="10"/>
      <c r="AJ20" s="10"/>
      <c r="AM20" s="10"/>
      <c r="AP20" s="10"/>
      <c r="AS20" s="10"/>
    </row>
    <row r="21" spans="1:45" ht="15" thickTop="1" thickBot="1" x14ac:dyDescent="0.55000000000000004">
      <c r="A21" s="27" t="s">
        <v>110</v>
      </c>
      <c r="AC21" s="9" t="s">
        <v>16</v>
      </c>
      <c r="AD21" s="10"/>
      <c r="AG21" s="10"/>
      <c r="AJ21" s="10"/>
      <c r="AM21" s="10"/>
      <c r="AP21" s="10"/>
      <c r="AS21" s="10"/>
    </row>
    <row r="22" spans="1:45" ht="15" thickTop="1" thickBot="1" x14ac:dyDescent="0.55000000000000004">
      <c r="A22" s="27"/>
      <c r="AC22" s="9" t="s">
        <v>17</v>
      </c>
      <c r="AD22" s="10" t="b">
        <v>1</v>
      </c>
      <c r="AG22" s="10"/>
      <c r="AJ22" s="10"/>
      <c r="AM22" s="10"/>
      <c r="AP22" s="10"/>
      <c r="AS22" s="10"/>
    </row>
    <row r="23" spans="1:45" ht="15" thickTop="1" thickBot="1" x14ac:dyDescent="0.55000000000000004">
      <c r="A23" s="27"/>
      <c r="AC23" s="9" t="s">
        <v>18</v>
      </c>
      <c r="AD23" s="10" t="b">
        <v>0</v>
      </c>
      <c r="AG23" s="10"/>
      <c r="AJ23" s="10"/>
      <c r="AM23" s="10"/>
      <c r="AP23" s="10"/>
      <c r="AS23" s="10"/>
    </row>
    <row r="24" spans="1:45" ht="15" thickTop="1" thickBot="1" x14ac:dyDescent="0.55000000000000004">
      <c r="A24" s="27"/>
      <c r="AC24" s="9" t="s">
        <v>19</v>
      </c>
      <c r="AD24" s="24" t="s">
        <v>205</v>
      </c>
      <c r="AG24" s="10"/>
      <c r="AJ24" s="10"/>
      <c r="AM24" s="10"/>
      <c r="AP24" s="10"/>
      <c r="AS24" s="10"/>
    </row>
    <row r="25" spans="1:45" ht="15" thickTop="1" thickBot="1" x14ac:dyDescent="0.55000000000000004">
      <c r="A25" s="27"/>
      <c r="AC25" s="9" t="s">
        <v>20</v>
      </c>
      <c r="AD25" s="10"/>
      <c r="AG25" s="10"/>
      <c r="AJ25" s="10"/>
      <c r="AM25" s="10"/>
      <c r="AP25" s="10"/>
      <c r="AS25" s="10"/>
    </row>
    <row r="26" spans="1:45" ht="15" thickTop="1" thickBot="1" x14ac:dyDescent="0.55000000000000004">
      <c r="A26" s="27"/>
      <c r="AC26" s="9" t="s">
        <v>21</v>
      </c>
      <c r="AD26" s="10"/>
      <c r="AG26" s="10"/>
      <c r="AJ26" s="10"/>
      <c r="AM26" s="10"/>
      <c r="AP26" s="10"/>
      <c r="AS26" s="10"/>
    </row>
    <row r="27" spans="1:45" ht="15" thickTop="1" thickBot="1" x14ac:dyDescent="0.55000000000000004">
      <c r="A27" s="27"/>
      <c r="AC27" s="9" t="s">
        <v>22</v>
      </c>
      <c r="AD27" s="10"/>
      <c r="AG27" s="10"/>
      <c r="AJ27" s="10"/>
      <c r="AM27" s="10"/>
      <c r="AP27" s="10"/>
      <c r="AS27" s="10"/>
    </row>
    <row r="28" spans="1:45" ht="15" thickTop="1" thickBot="1" x14ac:dyDescent="0.55000000000000004">
      <c r="A28" s="27"/>
      <c r="AC28" s="9" t="s">
        <v>23</v>
      </c>
      <c r="AD28" s="10"/>
      <c r="AG28" s="10"/>
      <c r="AJ28" s="10"/>
      <c r="AM28" s="10"/>
      <c r="AP28" s="10"/>
      <c r="AS28" s="10"/>
    </row>
    <row r="29" spans="1:45" ht="15" thickTop="1" thickBot="1" x14ac:dyDescent="0.55000000000000004">
      <c r="A29" s="27"/>
      <c r="AC29" s="9" t="s">
        <v>24</v>
      </c>
      <c r="AD29" s="10"/>
      <c r="AG29" s="10"/>
      <c r="AJ29" s="10"/>
      <c r="AM29" s="10"/>
      <c r="AP29" s="10"/>
      <c r="AS29" s="10"/>
    </row>
    <row r="30" spans="1:45" ht="15" thickTop="1" thickBot="1" x14ac:dyDescent="0.55000000000000004">
      <c r="A30" s="27"/>
      <c r="AC30" s="9" t="s">
        <v>25</v>
      </c>
      <c r="AD30" s="10"/>
      <c r="AG30" s="10"/>
      <c r="AJ30" s="10"/>
      <c r="AM30" s="10"/>
      <c r="AP30" s="10"/>
      <c r="AS30" s="10"/>
    </row>
    <row r="31" spans="1:45" ht="15" thickTop="1" thickBot="1" x14ac:dyDescent="0.55000000000000004">
      <c r="A31" s="27"/>
      <c r="AC31" s="9" t="s">
        <v>26</v>
      </c>
      <c r="AD31" s="10"/>
      <c r="AG31" s="10"/>
      <c r="AJ31" s="10"/>
      <c r="AM31" s="10"/>
      <c r="AP31" s="10"/>
      <c r="AS31" s="10"/>
    </row>
    <row r="32" spans="1:45" ht="15" thickTop="1" thickBot="1" x14ac:dyDescent="0.55000000000000004">
      <c r="A32" s="27"/>
      <c r="AC32" s="9" t="s">
        <v>27</v>
      </c>
      <c r="AD32" s="10"/>
      <c r="AG32" s="10"/>
      <c r="AJ32" s="10"/>
      <c r="AM32" s="10"/>
      <c r="AP32" s="10"/>
      <c r="AS32" s="10"/>
    </row>
    <row r="33" spans="1:45" ht="15" thickTop="1" thickBot="1" x14ac:dyDescent="0.55000000000000004">
      <c r="A33" s="27"/>
      <c r="AC33" s="9" t="s">
        <v>28</v>
      </c>
      <c r="AD33" s="10"/>
      <c r="AG33" s="10"/>
      <c r="AJ33" s="10"/>
      <c r="AM33" s="10"/>
      <c r="AP33" s="10"/>
      <c r="AS33" s="10"/>
    </row>
    <row r="34" spans="1:45" ht="15" thickTop="1" thickBot="1" x14ac:dyDescent="0.55000000000000004">
      <c r="A34" s="27"/>
      <c r="AC34" s="9" t="s">
        <v>29</v>
      </c>
      <c r="AD34" s="10"/>
      <c r="AG34" s="10"/>
      <c r="AJ34" s="10"/>
      <c r="AM34" s="10"/>
      <c r="AP34" s="10"/>
      <c r="AS34" s="10"/>
    </row>
    <row r="35" spans="1:45" ht="15" thickTop="1" thickBot="1" x14ac:dyDescent="0.55000000000000004">
      <c r="A35" s="27"/>
      <c r="AC35" s="9" t="s">
        <v>30</v>
      </c>
      <c r="AD35" s="10"/>
      <c r="AG35" s="10"/>
      <c r="AJ35" s="10"/>
      <c r="AM35" s="10"/>
      <c r="AP35" s="10"/>
      <c r="AS35" s="10"/>
    </row>
    <row r="36" spans="1:45" ht="15" thickTop="1" thickBot="1" x14ac:dyDescent="0.55000000000000004">
      <c r="A36" s="27"/>
      <c r="AC36" s="11" t="s">
        <v>31</v>
      </c>
      <c r="AD36" s="12"/>
      <c r="AG36" s="12"/>
      <c r="AJ36" s="12"/>
      <c r="AM36" s="12"/>
      <c r="AP36" s="12"/>
      <c r="AS36" s="12"/>
    </row>
    <row r="37" spans="1:45" ht="15" customHeight="1" thickTop="1" thickBot="1" x14ac:dyDescent="0.55000000000000004">
      <c r="A37" s="16" t="str">
        <f>'Formulas OM'!A37</f>
        <v>V - 8.3</v>
      </c>
      <c r="AC37" s="2"/>
      <c r="AD37" s="2"/>
      <c r="AG37" s="2"/>
      <c r="AJ37" s="2"/>
      <c r="AM37" s="2"/>
      <c r="AP37" s="2"/>
      <c r="AS37" s="2"/>
    </row>
    <row r="38" spans="1:45" ht="20.100000000000001" customHeight="1" x14ac:dyDescent="0.5">
      <c r="AC38" s="3" t="s">
        <v>39</v>
      </c>
      <c r="AD38" s="4"/>
      <c r="AG38" s="4"/>
      <c r="AJ38" s="4"/>
      <c r="AM38" s="4"/>
      <c r="AP38" s="4"/>
      <c r="AS38" s="4"/>
    </row>
    <row r="39" spans="1:45" x14ac:dyDescent="0.5">
      <c r="AC39" s="7" t="s">
        <v>32</v>
      </c>
      <c r="AD39" s="8" t="s">
        <v>168</v>
      </c>
      <c r="AG39" s="8"/>
      <c r="AJ39" s="8"/>
      <c r="AM39" s="8"/>
      <c r="AP39" s="8"/>
      <c r="AS39" s="8"/>
    </row>
    <row r="40" spans="1:45" x14ac:dyDescent="0.5">
      <c r="AC40" s="9" t="s">
        <v>33</v>
      </c>
      <c r="AD40" s="24" t="s">
        <v>206</v>
      </c>
      <c r="AG40" s="10"/>
      <c r="AJ40" s="10"/>
      <c r="AM40" s="10"/>
      <c r="AP40" s="10"/>
      <c r="AS40" s="10"/>
    </row>
    <row r="41" spans="1:45" x14ac:dyDescent="0.5">
      <c r="AC41" s="9" t="s">
        <v>58</v>
      </c>
      <c r="AD41" s="24" t="s">
        <v>207</v>
      </c>
      <c r="AG41" s="10"/>
      <c r="AJ41" s="10"/>
      <c r="AM41" s="10"/>
      <c r="AP41" s="10"/>
      <c r="AS41" s="10"/>
    </row>
    <row r="42" spans="1:45" x14ac:dyDescent="0.5">
      <c r="AC42" s="9" t="s">
        <v>60</v>
      </c>
      <c r="AD42" s="10" t="s">
        <v>172</v>
      </c>
      <c r="AG42" s="10"/>
      <c r="AJ42" s="10"/>
      <c r="AM42" s="10"/>
      <c r="AP42" s="10"/>
      <c r="AS42" s="10"/>
    </row>
    <row r="43" spans="1:45" ht="14.7" thickBot="1" x14ac:dyDescent="0.55000000000000004">
      <c r="AC43" s="11" t="s">
        <v>59</v>
      </c>
      <c r="AD43" s="12" t="s">
        <v>166</v>
      </c>
      <c r="AE43" s="17"/>
      <c r="AF43" s="17"/>
      <c r="AG43" s="12"/>
      <c r="AH43" s="17"/>
      <c r="AI43" s="17"/>
      <c r="AJ43" s="12"/>
      <c r="AK43" s="17"/>
      <c r="AL43" s="17"/>
      <c r="AM43" s="12"/>
      <c r="AN43" s="17"/>
      <c r="AO43" s="17"/>
      <c r="AP43" s="12"/>
      <c r="AQ43" s="17"/>
      <c r="AR43" s="17"/>
      <c r="AS43" s="12"/>
    </row>
    <row r="44" spans="1:45" x14ac:dyDescent="0.5">
      <c r="AC44" s="7" t="s">
        <v>35</v>
      </c>
      <c r="AD44" s="8"/>
      <c r="AG44" s="8"/>
      <c r="AJ44" s="8"/>
      <c r="AM44" s="8"/>
      <c r="AP44" s="8"/>
      <c r="AS44" s="8"/>
    </row>
    <row r="45" spans="1:45" x14ac:dyDescent="0.5">
      <c r="AC45" s="9" t="s">
        <v>36</v>
      </c>
      <c r="AD45" s="10"/>
      <c r="AG45" s="10"/>
      <c r="AJ45" s="10"/>
      <c r="AM45" s="10"/>
      <c r="AP45" s="10"/>
      <c r="AS45" s="10"/>
    </row>
    <row r="46" spans="1:45" x14ac:dyDescent="0.5">
      <c r="AC46" s="9" t="s">
        <v>36</v>
      </c>
      <c r="AD46" s="10"/>
      <c r="AG46" s="10"/>
      <c r="AJ46" s="10"/>
      <c r="AM46" s="10"/>
      <c r="AP46" s="10"/>
      <c r="AS46" s="10"/>
    </row>
    <row r="47" spans="1:45" x14ac:dyDescent="0.5">
      <c r="AC47" s="9" t="s">
        <v>37</v>
      </c>
      <c r="AD47" s="10"/>
      <c r="AG47" s="10"/>
      <c r="AJ47" s="10"/>
      <c r="AM47" s="10"/>
      <c r="AP47" s="10"/>
      <c r="AS47" s="10"/>
    </row>
    <row r="48" spans="1:45" ht="14.7" thickBot="1" x14ac:dyDescent="0.55000000000000004">
      <c r="AC48" s="11" t="s">
        <v>38</v>
      </c>
      <c r="AD48" s="12"/>
      <c r="AG48" s="12"/>
      <c r="AJ48" s="12"/>
      <c r="AM48" s="12"/>
      <c r="AP48" s="12"/>
      <c r="AS48" s="12"/>
    </row>
    <row r="49" spans="29:29" customFormat="1" x14ac:dyDescent="0.5">
      <c r="AC49" s="1"/>
    </row>
  </sheetData>
  <sheetProtection algorithmName="SHA-512" hashValue="M9BVauGm1gx/CR/2Hikmf5+fSTha1vkFc/RtpLLIDxgndgJvgDxk9TYK0R35jMa4lHJ6MZKhtu5zNhVuwePrNw==" saltValue="ovNvm0kICTtc7nPcef5Keg==" spinCount="100000" sheet="1" objects="1" scenarios="1" selectLockedCells="1" autoFilter="0"/>
  <mergeCells count="2">
    <mergeCell ref="A5:A20"/>
    <mergeCell ref="A21:A36"/>
  </mergeCells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AS70"/>
  <sheetViews>
    <sheetView showGridLines="0" showRowColHeaders="0" topLeftCell="A4" zoomScale="85" zoomScaleNormal="85" workbookViewId="0">
      <pane xSplit="29" ySplit="1" topLeftCell="AD5" activePane="bottomRight" state="frozen"/>
      <selection activeCell="AD5" sqref="AD5"/>
      <selection pane="topRight" activeCell="AD5" sqref="AD5"/>
      <selection pane="bottomLeft" activeCell="AD5" sqref="AD5"/>
      <selection pane="bottomRight" activeCell="AD5" sqref="AD5"/>
    </sheetView>
  </sheetViews>
  <sheetFormatPr baseColWidth="10" defaultRowHeight="14.35" zeroHeight="1" x14ac:dyDescent="0.5"/>
  <cols>
    <col min="1" max="1" width="6.64453125" customWidth="1"/>
    <col min="2" max="28" width="0" hidden="1" customWidth="1"/>
    <col min="29" max="29" width="15.64453125" style="1" customWidth="1"/>
    <col min="30" max="30" width="30.64453125" style="1" customWidth="1"/>
    <col min="31" max="32" width="0" hidden="1" customWidth="1"/>
    <col min="33" max="33" width="30.64453125" style="1" customWidth="1"/>
    <col min="34" max="35" width="0" hidden="1" customWidth="1"/>
    <col min="36" max="36" width="30.64453125" style="1" customWidth="1"/>
    <col min="37" max="38" width="0" hidden="1" customWidth="1"/>
    <col min="39" max="39" width="30.64453125" style="1" customWidth="1"/>
    <col min="40" max="41" width="0" hidden="1" customWidth="1"/>
    <col min="42" max="42" width="30.64453125" style="1" customWidth="1"/>
    <col min="43" max="44" width="0" hidden="1" customWidth="1"/>
    <col min="45" max="45" width="30.64453125" style="1" customWidth="1"/>
    <col min="46" max="47" width="0" hidden="1" customWidth="1"/>
  </cols>
  <sheetData>
    <row r="1" spans="1:45" x14ac:dyDescent="0.5">
      <c r="AC1"/>
      <c r="AD1" t="s">
        <v>185</v>
      </c>
      <c r="AG1"/>
      <c r="AJ1"/>
      <c r="AM1"/>
      <c r="AP1"/>
      <c r="AS1"/>
    </row>
    <row r="2" spans="1:45" x14ac:dyDescent="0.5">
      <c r="AC2"/>
      <c r="AD2">
        <v>0</v>
      </c>
      <c r="AG2"/>
      <c r="AJ2"/>
      <c r="AM2"/>
      <c r="AP2"/>
      <c r="AS2"/>
    </row>
    <row r="3" spans="1:45" ht="14.7" thickBot="1" x14ac:dyDescent="0.55000000000000004">
      <c r="AC3"/>
      <c r="AD3">
        <v>26</v>
      </c>
      <c r="AG3"/>
      <c r="AJ3"/>
      <c r="AM3"/>
      <c r="AP3"/>
      <c r="AS3"/>
    </row>
    <row r="4" spans="1:45" ht="20.100000000000001" customHeight="1" thickBot="1" x14ac:dyDescent="0.55000000000000004">
      <c r="A4" s="5">
        <f>COUNTA(AC4:XFD4)-1</f>
        <v>1</v>
      </c>
      <c r="AC4" s="3" t="s">
        <v>121</v>
      </c>
      <c r="AD4" s="4" t="s">
        <v>175</v>
      </c>
      <c r="AG4" s="4"/>
      <c r="AJ4" s="4"/>
      <c r="AM4" s="4"/>
      <c r="AP4" s="4"/>
      <c r="AS4" s="4"/>
    </row>
    <row r="5" spans="1:45" ht="15" thickTop="1" thickBot="1" x14ac:dyDescent="0.55000000000000004">
      <c r="A5" s="27" t="s">
        <v>111</v>
      </c>
      <c r="AC5" s="7" t="s">
        <v>0</v>
      </c>
      <c r="AD5" s="8"/>
      <c r="AG5" s="8"/>
      <c r="AJ5" s="8"/>
      <c r="AM5" s="8"/>
      <c r="AP5" s="8"/>
      <c r="AS5" s="8"/>
    </row>
    <row r="6" spans="1:45" ht="15" thickTop="1" thickBot="1" x14ac:dyDescent="0.55000000000000004">
      <c r="A6" s="27"/>
      <c r="AC6" s="9" t="s">
        <v>1</v>
      </c>
      <c r="AD6" s="10"/>
      <c r="AG6" s="10"/>
      <c r="AJ6" s="10"/>
      <c r="AM6" s="10"/>
      <c r="AP6" s="10"/>
      <c r="AS6" s="10"/>
    </row>
    <row r="7" spans="1:45" ht="15" thickTop="1" thickBot="1" x14ac:dyDescent="0.55000000000000004">
      <c r="A7" s="27"/>
      <c r="AC7" s="9" t="s">
        <v>2</v>
      </c>
      <c r="AD7" s="10"/>
      <c r="AG7" s="10"/>
      <c r="AJ7" s="10"/>
      <c r="AM7" s="10"/>
      <c r="AP7" s="10"/>
      <c r="AS7" s="10"/>
    </row>
    <row r="8" spans="1:45" ht="15" thickTop="1" thickBot="1" x14ac:dyDescent="0.55000000000000004">
      <c r="A8" s="27"/>
      <c r="AC8" s="9" t="s">
        <v>3</v>
      </c>
      <c r="AD8" s="10"/>
      <c r="AG8" s="10"/>
      <c r="AJ8" s="10"/>
      <c r="AM8" s="10"/>
      <c r="AP8" s="10"/>
      <c r="AS8" s="10"/>
    </row>
    <row r="9" spans="1:45" ht="15" thickTop="1" thickBot="1" x14ac:dyDescent="0.55000000000000004">
      <c r="A9" s="27"/>
      <c r="AC9" s="9" t="s">
        <v>4</v>
      </c>
      <c r="AD9" s="10"/>
      <c r="AG9" s="10"/>
      <c r="AJ9" s="10"/>
      <c r="AM9" s="10"/>
      <c r="AP9" s="10"/>
      <c r="AS9" s="10"/>
    </row>
    <row r="10" spans="1:45" ht="15" thickTop="1" thickBot="1" x14ac:dyDescent="0.55000000000000004">
      <c r="A10" s="27"/>
      <c r="AC10" s="9" t="s">
        <v>5</v>
      </c>
      <c r="AD10" s="10"/>
      <c r="AG10" s="10"/>
      <c r="AJ10" s="10"/>
      <c r="AM10" s="10"/>
      <c r="AP10" s="10"/>
      <c r="AS10" s="10"/>
    </row>
    <row r="11" spans="1:45" ht="15" thickTop="1" thickBot="1" x14ac:dyDescent="0.55000000000000004">
      <c r="A11" s="27"/>
      <c r="AC11" s="9" t="s">
        <v>6</v>
      </c>
      <c r="AD11" s="10"/>
      <c r="AG11" s="10"/>
      <c r="AJ11" s="10"/>
      <c r="AM11" s="10"/>
      <c r="AP11" s="10"/>
      <c r="AS11" s="10"/>
    </row>
    <row r="12" spans="1:45" ht="15" thickTop="1" thickBot="1" x14ac:dyDescent="0.55000000000000004">
      <c r="A12" s="27"/>
      <c r="AC12" s="9" t="s">
        <v>7</v>
      </c>
      <c r="AD12" s="10"/>
      <c r="AG12" s="10"/>
      <c r="AJ12" s="10"/>
      <c r="AM12" s="10"/>
      <c r="AP12" s="10"/>
      <c r="AS12" s="10"/>
    </row>
    <row r="13" spans="1:45" ht="15" thickTop="1" thickBot="1" x14ac:dyDescent="0.55000000000000004">
      <c r="A13" s="27"/>
      <c r="AC13" s="9" t="s">
        <v>8</v>
      </c>
      <c r="AD13" s="10"/>
      <c r="AG13" s="10"/>
      <c r="AJ13" s="10"/>
      <c r="AM13" s="10"/>
      <c r="AP13" s="10"/>
      <c r="AS13" s="10"/>
    </row>
    <row r="14" spans="1:45" ht="15" thickTop="1" thickBot="1" x14ac:dyDescent="0.55000000000000004">
      <c r="A14" s="27"/>
      <c r="AC14" s="9" t="s">
        <v>9</v>
      </c>
      <c r="AD14" s="10"/>
      <c r="AG14" s="10"/>
      <c r="AJ14" s="10"/>
      <c r="AM14" s="10"/>
      <c r="AP14" s="10"/>
      <c r="AS14" s="10"/>
    </row>
    <row r="15" spans="1:45" ht="15" thickTop="1" thickBot="1" x14ac:dyDescent="0.55000000000000004">
      <c r="A15" s="27"/>
      <c r="AC15" s="9" t="s">
        <v>10</v>
      </c>
      <c r="AD15" s="10"/>
      <c r="AG15" s="10"/>
      <c r="AJ15" s="10"/>
      <c r="AM15" s="10"/>
      <c r="AP15" s="10"/>
      <c r="AS15" s="10"/>
    </row>
    <row r="16" spans="1:45" ht="15" thickTop="1" thickBot="1" x14ac:dyDescent="0.55000000000000004">
      <c r="A16" s="27"/>
      <c r="AC16" s="9" t="s">
        <v>11</v>
      </c>
      <c r="AD16" s="10"/>
      <c r="AG16" s="10"/>
      <c r="AJ16" s="10"/>
      <c r="AM16" s="10"/>
      <c r="AP16" s="10"/>
      <c r="AS16" s="10"/>
    </row>
    <row r="17" spans="1:45" ht="15" thickTop="1" thickBot="1" x14ac:dyDescent="0.55000000000000004">
      <c r="A17" s="27"/>
      <c r="AC17" s="9" t="s">
        <v>12</v>
      </c>
      <c r="AD17" s="10"/>
      <c r="AG17" s="10"/>
      <c r="AJ17" s="10"/>
      <c r="AM17" s="10"/>
      <c r="AP17" s="10"/>
      <c r="AS17" s="10"/>
    </row>
    <row r="18" spans="1:45" ht="15" thickTop="1" thickBot="1" x14ac:dyDescent="0.55000000000000004">
      <c r="A18" s="27"/>
      <c r="AC18" s="9" t="s">
        <v>13</v>
      </c>
      <c r="AD18" s="10"/>
      <c r="AG18" s="10"/>
      <c r="AJ18" s="10"/>
      <c r="AM18" s="10"/>
      <c r="AP18" s="10"/>
      <c r="AS18" s="10"/>
    </row>
    <row r="19" spans="1:45" ht="15" thickTop="1" thickBot="1" x14ac:dyDescent="0.55000000000000004">
      <c r="A19" s="27"/>
      <c r="AC19" s="9" t="s">
        <v>14</v>
      </c>
      <c r="AD19" s="10"/>
      <c r="AG19" s="10"/>
      <c r="AJ19" s="10"/>
      <c r="AM19" s="10"/>
      <c r="AP19" s="10"/>
      <c r="AS19" s="10"/>
    </row>
    <row r="20" spans="1:45" ht="15" thickTop="1" thickBot="1" x14ac:dyDescent="0.55000000000000004">
      <c r="A20" s="27"/>
      <c r="AC20" s="9" t="s">
        <v>15</v>
      </c>
      <c r="AD20" s="10"/>
      <c r="AG20" s="10"/>
      <c r="AJ20" s="10"/>
      <c r="AM20" s="10"/>
      <c r="AP20" s="10"/>
      <c r="AS20" s="10"/>
    </row>
    <row r="21" spans="1:45" ht="15" thickTop="1" thickBot="1" x14ac:dyDescent="0.55000000000000004">
      <c r="A21" s="27" t="s">
        <v>112</v>
      </c>
      <c r="AC21" s="9" t="s">
        <v>16</v>
      </c>
      <c r="AD21" s="10"/>
      <c r="AG21" s="10"/>
      <c r="AJ21" s="10"/>
      <c r="AM21" s="10"/>
      <c r="AP21" s="10"/>
      <c r="AS21" s="10"/>
    </row>
    <row r="22" spans="1:45" ht="15" thickTop="1" thickBot="1" x14ac:dyDescent="0.55000000000000004">
      <c r="A22" s="27"/>
      <c r="AC22" s="9" t="s">
        <v>17</v>
      </c>
      <c r="AD22" s="10"/>
      <c r="AG22" s="10"/>
      <c r="AJ22" s="10"/>
      <c r="AM22" s="10"/>
      <c r="AP22" s="10"/>
      <c r="AS22" s="10"/>
    </row>
    <row r="23" spans="1:45" ht="15" thickTop="1" thickBot="1" x14ac:dyDescent="0.55000000000000004">
      <c r="A23" s="27"/>
      <c r="AC23" s="9" t="s">
        <v>18</v>
      </c>
      <c r="AD23" s="10"/>
      <c r="AG23" s="10"/>
      <c r="AJ23" s="10"/>
      <c r="AM23" s="10"/>
      <c r="AP23" s="10"/>
      <c r="AS23" s="10"/>
    </row>
    <row r="24" spans="1:45" ht="15" thickTop="1" thickBot="1" x14ac:dyDescent="0.55000000000000004">
      <c r="A24" s="27"/>
      <c r="AC24" s="9" t="s">
        <v>19</v>
      </c>
      <c r="AD24" s="10"/>
      <c r="AG24" s="10"/>
      <c r="AJ24" s="10"/>
      <c r="AM24" s="10"/>
      <c r="AP24" s="10"/>
      <c r="AS24" s="10"/>
    </row>
    <row r="25" spans="1:45" ht="15" thickTop="1" thickBot="1" x14ac:dyDescent="0.55000000000000004">
      <c r="A25" s="27"/>
      <c r="AC25" s="9" t="s">
        <v>20</v>
      </c>
      <c r="AD25" s="10"/>
      <c r="AG25" s="10"/>
      <c r="AJ25" s="10"/>
      <c r="AM25" s="10"/>
      <c r="AP25" s="10"/>
      <c r="AS25" s="10"/>
    </row>
    <row r="26" spans="1:45" ht="15" thickTop="1" thickBot="1" x14ac:dyDescent="0.55000000000000004">
      <c r="A26" s="27"/>
      <c r="AC26" s="9" t="s">
        <v>21</v>
      </c>
      <c r="AD26" s="10"/>
      <c r="AG26" s="10"/>
      <c r="AJ26" s="10"/>
      <c r="AM26" s="10"/>
      <c r="AP26" s="10"/>
      <c r="AS26" s="10"/>
    </row>
    <row r="27" spans="1:45" ht="15" thickTop="1" thickBot="1" x14ac:dyDescent="0.55000000000000004">
      <c r="A27" s="27"/>
      <c r="AC27" s="9" t="s">
        <v>22</v>
      </c>
      <c r="AD27" s="10"/>
      <c r="AG27" s="10"/>
      <c r="AJ27" s="10"/>
      <c r="AM27" s="10"/>
      <c r="AP27" s="10"/>
      <c r="AS27" s="10"/>
    </row>
    <row r="28" spans="1:45" ht="15" thickTop="1" thickBot="1" x14ac:dyDescent="0.55000000000000004">
      <c r="A28" s="27"/>
      <c r="AC28" s="9" t="s">
        <v>23</v>
      </c>
      <c r="AD28" s="10"/>
      <c r="AG28" s="10"/>
      <c r="AJ28" s="10"/>
      <c r="AM28" s="10"/>
      <c r="AP28" s="10"/>
      <c r="AS28" s="10"/>
    </row>
    <row r="29" spans="1:45" ht="15" thickTop="1" thickBot="1" x14ac:dyDescent="0.55000000000000004">
      <c r="A29" s="27"/>
      <c r="AC29" s="9" t="s">
        <v>24</v>
      </c>
      <c r="AD29" s="10"/>
      <c r="AG29" s="10"/>
      <c r="AJ29" s="10"/>
      <c r="AM29" s="10"/>
      <c r="AP29" s="10"/>
      <c r="AS29" s="10"/>
    </row>
    <row r="30" spans="1:45" ht="15" thickTop="1" thickBot="1" x14ac:dyDescent="0.55000000000000004">
      <c r="A30" s="27"/>
      <c r="AC30" s="9" t="s">
        <v>25</v>
      </c>
      <c r="AD30" s="10"/>
      <c r="AG30" s="10"/>
      <c r="AJ30" s="10"/>
      <c r="AM30" s="10"/>
      <c r="AP30" s="10"/>
      <c r="AS30" s="10"/>
    </row>
    <row r="31" spans="1:45" ht="15" thickTop="1" thickBot="1" x14ac:dyDescent="0.55000000000000004">
      <c r="A31" s="27"/>
      <c r="AC31" s="9" t="s">
        <v>26</v>
      </c>
      <c r="AD31" s="10"/>
      <c r="AG31" s="10"/>
      <c r="AJ31" s="10"/>
      <c r="AM31" s="10"/>
      <c r="AP31" s="10"/>
      <c r="AS31" s="10"/>
    </row>
    <row r="32" spans="1:45" ht="15" thickTop="1" thickBot="1" x14ac:dyDescent="0.55000000000000004">
      <c r="A32" s="27"/>
      <c r="AC32" s="9" t="s">
        <v>27</v>
      </c>
      <c r="AD32" s="10"/>
      <c r="AG32" s="10"/>
      <c r="AJ32" s="10"/>
      <c r="AM32" s="10"/>
      <c r="AP32" s="10"/>
      <c r="AS32" s="10"/>
    </row>
    <row r="33" spans="1:45" ht="15" thickTop="1" thickBot="1" x14ac:dyDescent="0.55000000000000004">
      <c r="A33" s="27"/>
      <c r="AC33" s="9" t="s">
        <v>28</v>
      </c>
      <c r="AD33" s="10"/>
      <c r="AG33" s="10"/>
      <c r="AJ33" s="10"/>
      <c r="AM33" s="10"/>
      <c r="AP33" s="10"/>
      <c r="AS33" s="10"/>
    </row>
    <row r="34" spans="1:45" ht="15" thickTop="1" thickBot="1" x14ac:dyDescent="0.55000000000000004">
      <c r="A34" s="27"/>
      <c r="AC34" s="9" t="s">
        <v>29</v>
      </c>
      <c r="AD34" s="10"/>
      <c r="AG34" s="10"/>
      <c r="AJ34" s="10"/>
      <c r="AM34" s="10"/>
      <c r="AP34" s="10"/>
      <c r="AS34" s="10"/>
    </row>
    <row r="35" spans="1:45" ht="15" thickTop="1" thickBot="1" x14ac:dyDescent="0.55000000000000004">
      <c r="A35" s="27"/>
      <c r="AC35" s="9" t="s">
        <v>30</v>
      </c>
      <c r="AD35" s="10"/>
      <c r="AG35" s="10"/>
      <c r="AJ35" s="10"/>
      <c r="AM35" s="10"/>
      <c r="AP35" s="10"/>
      <c r="AS35" s="10"/>
    </row>
    <row r="36" spans="1:45" ht="15" thickTop="1" thickBot="1" x14ac:dyDescent="0.55000000000000004">
      <c r="A36" s="27"/>
      <c r="AC36" s="11" t="s">
        <v>31</v>
      </c>
      <c r="AD36" s="12"/>
      <c r="AG36" s="12"/>
      <c r="AJ36" s="12"/>
      <c r="AM36" s="12"/>
      <c r="AP36" s="12"/>
      <c r="AS36" s="12"/>
    </row>
    <row r="37" spans="1:45" ht="15" customHeight="1" thickTop="1" thickBot="1" x14ac:dyDescent="0.55000000000000004">
      <c r="A37" s="16" t="str">
        <f>'Formulas OM'!A37</f>
        <v>V - 8.3</v>
      </c>
      <c r="AC37" s="2"/>
      <c r="AD37" s="2"/>
      <c r="AG37" s="2"/>
      <c r="AJ37" s="2"/>
      <c r="AM37" s="2"/>
      <c r="AP37" s="2"/>
      <c r="AS37" s="2"/>
    </row>
    <row r="38" spans="1:45" ht="20.100000000000001" customHeight="1" x14ac:dyDescent="0.5">
      <c r="AC38" s="3" t="s">
        <v>39</v>
      </c>
      <c r="AD38" s="4"/>
      <c r="AG38" s="4"/>
      <c r="AJ38" s="4"/>
      <c r="AM38" s="4"/>
      <c r="AP38" s="4"/>
      <c r="AS38" s="4"/>
    </row>
    <row r="39" spans="1:45" x14ac:dyDescent="0.5">
      <c r="AC39" s="7" t="s">
        <v>32</v>
      </c>
      <c r="AD39" s="8" t="s">
        <v>168</v>
      </c>
      <c r="AG39" s="8"/>
      <c r="AJ39" s="8"/>
      <c r="AM39" s="8"/>
      <c r="AP39" s="8"/>
      <c r="AS39" s="8"/>
    </row>
    <row r="40" spans="1:45" x14ac:dyDescent="0.5">
      <c r="AC40" s="9" t="s">
        <v>33</v>
      </c>
      <c r="AD40" s="10" t="s">
        <v>176</v>
      </c>
      <c r="AG40" s="10"/>
      <c r="AJ40" s="10"/>
      <c r="AM40" s="10"/>
      <c r="AP40" s="10"/>
      <c r="AS40" s="10"/>
    </row>
    <row r="41" spans="1:45" x14ac:dyDescent="0.5">
      <c r="AC41" s="9" t="s">
        <v>253</v>
      </c>
      <c r="AD41" s="24" t="s">
        <v>186</v>
      </c>
      <c r="AG41" s="10"/>
      <c r="AJ41" s="10"/>
      <c r="AM41" s="10"/>
      <c r="AP41" s="10"/>
      <c r="AS41" s="10"/>
    </row>
    <row r="42" spans="1:45" x14ac:dyDescent="0.5">
      <c r="AC42" s="9" t="s">
        <v>254</v>
      </c>
      <c r="AD42" s="24" t="s">
        <v>241</v>
      </c>
      <c r="AG42" s="10"/>
      <c r="AJ42" s="10"/>
      <c r="AM42" s="10"/>
      <c r="AP42" s="10"/>
      <c r="AS42" s="10"/>
    </row>
    <row r="43" spans="1:45" x14ac:dyDescent="0.5">
      <c r="AC43" s="9" t="s">
        <v>255</v>
      </c>
      <c r="AD43" s="24" t="s">
        <v>187</v>
      </c>
      <c r="AG43" s="10"/>
      <c r="AJ43" s="10"/>
      <c r="AM43" s="10"/>
      <c r="AP43" s="10"/>
      <c r="AS43" s="10"/>
    </row>
    <row r="44" spans="1:45" x14ac:dyDescent="0.5">
      <c r="AC44" s="9" t="s">
        <v>256</v>
      </c>
      <c r="AD44" s="24" t="s">
        <v>242</v>
      </c>
      <c r="AG44" s="10"/>
      <c r="AJ44" s="10"/>
      <c r="AM44" s="10"/>
      <c r="AP44" s="10"/>
      <c r="AS44" s="10"/>
    </row>
    <row r="45" spans="1:45" x14ac:dyDescent="0.5">
      <c r="AC45" s="9" t="s">
        <v>257</v>
      </c>
      <c r="AD45" s="24" t="s">
        <v>188</v>
      </c>
      <c r="AG45" s="10"/>
      <c r="AJ45" s="10"/>
      <c r="AM45" s="10"/>
      <c r="AP45" s="10"/>
      <c r="AS45" s="10"/>
    </row>
    <row r="46" spans="1:45" x14ac:dyDescent="0.5">
      <c r="AC46" s="9" t="s">
        <v>258</v>
      </c>
      <c r="AD46" s="24" t="s">
        <v>243</v>
      </c>
      <c r="AG46" s="10"/>
      <c r="AJ46" s="10"/>
      <c r="AM46" s="10"/>
      <c r="AP46" s="10"/>
      <c r="AS46" s="10"/>
    </row>
    <row r="47" spans="1:45" x14ac:dyDescent="0.5">
      <c r="AC47" s="9" t="s">
        <v>259</v>
      </c>
      <c r="AD47" s="24" t="s">
        <v>189</v>
      </c>
      <c r="AG47" s="10"/>
      <c r="AJ47" s="10"/>
      <c r="AM47" s="10"/>
      <c r="AP47" s="10"/>
      <c r="AS47" s="10"/>
    </row>
    <row r="48" spans="1:45" x14ac:dyDescent="0.5">
      <c r="AC48" s="9" t="s">
        <v>260</v>
      </c>
      <c r="AD48" s="24" t="s">
        <v>244</v>
      </c>
      <c r="AG48" s="10"/>
      <c r="AJ48" s="10"/>
      <c r="AM48" s="10"/>
      <c r="AP48" s="10"/>
      <c r="AS48" s="10"/>
    </row>
    <row r="49" spans="29:45" x14ac:dyDescent="0.5">
      <c r="AC49" s="9" t="s">
        <v>261</v>
      </c>
      <c r="AD49" s="24" t="s">
        <v>190</v>
      </c>
      <c r="AG49" s="10"/>
      <c r="AJ49" s="10"/>
      <c r="AM49" s="10"/>
      <c r="AP49" s="10"/>
      <c r="AS49" s="10"/>
    </row>
    <row r="50" spans="29:45" x14ac:dyDescent="0.5">
      <c r="AC50" s="9" t="s">
        <v>262</v>
      </c>
      <c r="AD50" s="24" t="s">
        <v>245</v>
      </c>
      <c r="AG50" s="10"/>
      <c r="AJ50" s="10"/>
      <c r="AM50" s="10"/>
      <c r="AP50" s="10"/>
      <c r="AS50" s="10"/>
    </row>
    <row r="51" spans="29:45" x14ac:dyDescent="0.5">
      <c r="AC51" s="9" t="s">
        <v>263</v>
      </c>
      <c r="AD51" s="24" t="s">
        <v>191</v>
      </c>
      <c r="AG51" s="10"/>
      <c r="AJ51" s="10"/>
      <c r="AM51" s="10"/>
      <c r="AP51" s="10"/>
      <c r="AS51" s="10"/>
    </row>
    <row r="52" spans="29:45" x14ac:dyDescent="0.5">
      <c r="AC52" s="9" t="s">
        <v>264</v>
      </c>
      <c r="AD52" s="24" t="s">
        <v>246</v>
      </c>
      <c r="AG52" s="10"/>
      <c r="AJ52" s="10"/>
      <c r="AM52" s="10"/>
      <c r="AP52" s="10"/>
      <c r="AS52" s="10"/>
    </row>
    <row r="53" spans="29:45" x14ac:dyDescent="0.5">
      <c r="AC53" s="9" t="s">
        <v>265</v>
      </c>
      <c r="AD53" s="24" t="s">
        <v>192</v>
      </c>
      <c r="AG53" s="10"/>
      <c r="AJ53" s="10"/>
      <c r="AM53" s="10"/>
      <c r="AP53" s="10"/>
      <c r="AS53" s="10"/>
    </row>
    <row r="54" spans="29:45" x14ac:dyDescent="0.5">
      <c r="AC54" s="9" t="s">
        <v>266</v>
      </c>
      <c r="AD54" s="24" t="s">
        <v>247</v>
      </c>
      <c r="AG54" s="10"/>
      <c r="AJ54" s="10"/>
      <c r="AM54" s="10"/>
      <c r="AP54" s="10"/>
      <c r="AS54" s="10"/>
    </row>
    <row r="55" spans="29:45" x14ac:dyDescent="0.5">
      <c r="AC55" s="9" t="s">
        <v>267</v>
      </c>
      <c r="AD55" s="24" t="s">
        <v>193</v>
      </c>
      <c r="AG55" s="10"/>
      <c r="AJ55" s="10"/>
      <c r="AM55" s="10"/>
      <c r="AP55" s="10"/>
      <c r="AS55" s="10"/>
    </row>
    <row r="56" spans="29:45" x14ac:dyDescent="0.5">
      <c r="AC56" s="9" t="s">
        <v>268</v>
      </c>
      <c r="AD56" s="24" t="s">
        <v>248</v>
      </c>
      <c r="AG56" s="10"/>
      <c r="AJ56" s="10"/>
      <c r="AM56" s="10"/>
      <c r="AP56" s="10"/>
      <c r="AS56" s="10"/>
    </row>
    <row r="57" spans="29:45" x14ac:dyDescent="0.5">
      <c r="AC57" s="9" t="s">
        <v>269</v>
      </c>
      <c r="AD57" s="24" t="s">
        <v>194</v>
      </c>
      <c r="AG57" s="10"/>
      <c r="AJ57" s="10"/>
      <c r="AM57" s="10"/>
      <c r="AP57" s="10"/>
      <c r="AS57" s="10"/>
    </row>
    <row r="58" spans="29:45" x14ac:dyDescent="0.5">
      <c r="AC58" s="9" t="s">
        <v>270</v>
      </c>
      <c r="AD58" s="24" t="s">
        <v>249</v>
      </c>
      <c r="AG58" s="10"/>
      <c r="AJ58" s="10"/>
      <c r="AM58" s="10"/>
      <c r="AP58" s="10"/>
      <c r="AS58" s="10"/>
    </row>
    <row r="59" spans="29:45" x14ac:dyDescent="0.5">
      <c r="AC59" s="9" t="s">
        <v>271</v>
      </c>
      <c r="AD59" s="24" t="s">
        <v>195</v>
      </c>
      <c r="AG59" s="10"/>
      <c r="AJ59" s="10"/>
      <c r="AM59" s="10"/>
      <c r="AP59" s="10"/>
      <c r="AS59" s="10"/>
    </row>
    <row r="60" spans="29:45" x14ac:dyDescent="0.5">
      <c r="AC60" s="9" t="s">
        <v>272</v>
      </c>
      <c r="AD60" s="24" t="s">
        <v>250</v>
      </c>
      <c r="AG60" s="10"/>
      <c r="AJ60" s="10"/>
      <c r="AM60" s="10"/>
      <c r="AP60" s="10"/>
      <c r="AS60" s="10"/>
    </row>
    <row r="61" spans="29:45" x14ac:dyDescent="0.5">
      <c r="AC61" s="9" t="s">
        <v>273</v>
      </c>
      <c r="AD61" s="24" t="s">
        <v>196</v>
      </c>
      <c r="AG61" s="10"/>
      <c r="AJ61" s="10"/>
      <c r="AM61" s="10"/>
      <c r="AP61" s="10"/>
      <c r="AS61" s="10"/>
    </row>
    <row r="62" spans="29:45" x14ac:dyDescent="0.5">
      <c r="AC62" s="9" t="s">
        <v>274</v>
      </c>
      <c r="AD62" s="24" t="s">
        <v>251</v>
      </c>
      <c r="AG62" s="10"/>
      <c r="AJ62" s="10"/>
      <c r="AM62" s="10"/>
      <c r="AP62" s="10"/>
      <c r="AS62" s="10"/>
    </row>
    <row r="63" spans="29:45" x14ac:dyDescent="0.5">
      <c r="AC63" s="9" t="s">
        <v>275</v>
      </c>
      <c r="AD63" s="24" t="s">
        <v>197</v>
      </c>
      <c r="AG63" s="10"/>
      <c r="AJ63" s="10"/>
      <c r="AM63" s="10"/>
      <c r="AP63" s="10"/>
      <c r="AS63" s="10"/>
    </row>
    <row r="64" spans="29:45" ht="14.7" thickBot="1" x14ac:dyDescent="0.55000000000000004">
      <c r="AC64" s="13" t="s">
        <v>276</v>
      </c>
      <c r="AD64" s="25" t="s">
        <v>252</v>
      </c>
      <c r="AG64" s="20"/>
      <c r="AJ64" s="20"/>
      <c r="AM64" s="20"/>
      <c r="AP64" s="20"/>
      <c r="AS64" s="20"/>
    </row>
    <row r="65" spans="29:45" x14ac:dyDescent="0.5">
      <c r="AC65" s="15" t="s">
        <v>35</v>
      </c>
      <c r="AD65" s="21"/>
      <c r="AG65" s="21"/>
      <c r="AJ65" s="21"/>
      <c r="AM65" s="21"/>
      <c r="AP65" s="21"/>
      <c r="AS65" s="21"/>
    </row>
    <row r="66" spans="29:45" x14ac:dyDescent="0.5">
      <c r="AC66" s="9" t="s">
        <v>36</v>
      </c>
      <c r="AD66" s="10"/>
      <c r="AG66" s="10"/>
      <c r="AJ66" s="10"/>
      <c r="AM66" s="10"/>
      <c r="AP66" s="10"/>
      <c r="AS66" s="10"/>
    </row>
    <row r="67" spans="29:45" x14ac:dyDescent="0.5">
      <c r="AC67" s="9" t="s">
        <v>36</v>
      </c>
      <c r="AD67" s="10"/>
      <c r="AG67" s="10"/>
      <c r="AJ67" s="10"/>
      <c r="AM67" s="10"/>
      <c r="AP67" s="10"/>
      <c r="AS67" s="10"/>
    </row>
    <row r="68" spans="29:45" x14ac:dyDescent="0.5">
      <c r="AC68" s="9" t="s">
        <v>37</v>
      </c>
      <c r="AD68" s="10"/>
      <c r="AG68" s="10"/>
      <c r="AJ68" s="10"/>
      <c r="AM68" s="10"/>
      <c r="AP68" s="10"/>
      <c r="AS68" s="10"/>
    </row>
    <row r="69" spans="29:45" ht="14.7" thickBot="1" x14ac:dyDescent="0.55000000000000004">
      <c r="AC69" s="11" t="s">
        <v>38</v>
      </c>
      <c r="AD69" s="12"/>
      <c r="AG69" s="12"/>
      <c r="AJ69" s="12"/>
      <c r="AM69" s="12"/>
      <c r="AP69" s="12"/>
      <c r="AS69" s="12"/>
    </row>
    <row r="70" spans="29:45" x14ac:dyDescent="0.5"/>
  </sheetData>
  <sheetProtection algorithmName="SHA-512" hashValue="YakR6Z7xcs5d59Je3QOnCq2ak8tUmNrOQTupW75U5hWAcfnextc4Hr0if0QjK5HNq69M74G8z81rvhqJhTLoOQ==" saltValue="wRGlybiDiRy52iM/6xRYLg==" spinCount="100000" sheet="1" objects="1" scenarios="1" selectLockedCells="1" autoFilter="0"/>
  <mergeCells count="2">
    <mergeCell ref="A5:A20"/>
    <mergeCell ref="A21:A3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AS71"/>
  <sheetViews>
    <sheetView showGridLines="0" showRowColHeaders="0" topLeftCell="A4" zoomScale="85" zoomScaleNormal="85" workbookViewId="0">
      <pane xSplit="29" ySplit="1" topLeftCell="AD5" activePane="bottomRight" state="frozen"/>
      <selection activeCell="AD5" sqref="AD5"/>
      <selection pane="topRight" activeCell="AD5" sqref="AD5"/>
      <selection pane="bottomLeft" activeCell="AD5" sqref="AD5"/>
      <selection pane="bottomRight" activeCell="AD5" sqref="AD5"/>
    </sheetView>
  </sheetViews>
  <sheetFormatPr baseColWidth="10" defaultRowHeight="14.35" zeroHeight="1" x14ac:dyDescent="0.5"/>
  <cols>
    <col min="1" max="1" width="6.64453125" customWidth="1"/>
    <col min="2" max="28" width="0" hidden="1" customWidth="1"/>
    <col min="29" max="29" width="15.64453125" style="1" customWidth="1"/>
    <col min="30" max="30" width="30.64453125" style="1" customWidth="1"/>
    <col min="31" max="32" width="0" hidden="1" customWidth="1"/>
    <col min="33" max="33" width="30.64453125" style="1" customWidth="1"/>
    <col min="34" max="35" width="0" hidden="1" customWidth="1"/>
    <col min="36" max="36" width="30.64453125" style="1" customWidth="1"/>
    <col min="37" max="38" width="0" hidden="1" customWidth="1"/>
    <col min="39" max="39" width="30.64453125" style="1" customWidth="1"/>
    <col min="40" max="41" width="0" hidden="1" customWidth="1"/>
    <col min="42" max="42" width="30.64453125" style="1" customWidth="1"/>
    <col min="43" max="44" width="0" hidden="1" customWidth="1"/>
    <col min="45" max="45" width="30.64453125" style="1" customWidth="1"/>
    <col min="46" max="47" width="0" hidden="1" customWidth="1"/>
  </cols>
  <sheetData>
    <row r="1" spans="1:45" x14ac:dyDescent="0.5">
      <c r="AC1"/>
      <c r="AD1" t="str">
        <f>IFERROR(HLOOKUP(AD4,$AB$4:AC4,1,0),"OK")</f>
        <v>OK</v>
      </c>
      <c r="AG1"/>
      <c r="AJ1"/>
      <c r="AM1"/>
      <c r="AP1"/>
      <c r="AS1"/>
    </row>
    <row r="2" spans="1:45" x14ac:dyDescent="0.5">
      <c r="AC2"/>
      <c r="AD2">
        <f>COUNTA(AD5:AD36)</f>
        <v>1</v>
      </c>
      <c r="AG2"/>
      <c r="AJ2"/>
      <c r="AM2"/>
      <c r="AP2"/>
      <c r="AS2"/>
    </row>
    <row r="3" spans="1:45" ht="14.7" thickBot="1" x14ac:dyDescent="0.55000000000000004">
      <c r="AC3"/>
      <c r="AD3">
        <f>COUNTA(AD39:AD79)</f>
        <v>9</v>
      </c>
      <c r="AG3"/>
      <c r="AJ3"/>
      <c r="AM3"/>
      <c r="AP3"/>
      <c r="AS3"/>
    </row>
    <row r="4" spans="1:45" ht="20.100000000000001" customHeight="1" thickBot="1" x14ac:dyDescent="0.55000000000000004">
      <c r="A4" s="5">
        <f>COUNTA(AC4:XFD4)-1</f>
        <v>1</v>
      </c>
      <c r="AC4" s="3" t="s">
        <v>121</v>
      </c>
      <c r="AD4" s="4" t="s">
        <v>177</v>
      </c>
      <c r="AG4" s="4"/>
      <c r="AJ4" s="4"/>
      <c r="AM4" s="4"/>
      <c r="AP4" s="4"/>
      <c r="AS4" s="4"/>
    </row>
    <row r="5" spans="1:45" ht="15" thickTop="1" thickBot="1" x14ac:dyDescent="0.55000000000000004">
      <c r="A5" s="27" t="s">
        <v>113</v>
      </c>
      <c r="AC5" s="7" t="s">
        <v>0</v>
      </c>
      <c r="AD5" s="26" t="s">
        <v>214</v>
      </c>
      <c r="AG5" s="8"/>
      <c r="AJ5" s="8"/>
      <c r="AM5" s="8"/>
      <c r="AP5" s="8"/>
      <c r="AS5" s="8"/>
    </row>
    <row r="6" spans="1:45" ht="15" thickTop="1" thickBot="1" x14ac:dyDescent="0.55000000000000004">
      <c r="A6" s="27"/>
      <c r="AC6" s="9" t="s">
        <v>1</v>
      </c>
      <c r="AD6" s="10"/>
      <c r="AG6" s="10"/>
      <c r="AJ6" s="10"/>
      <c r="AM6" s="10"/>
      <c r="AP6" s="10"/>
      <c r="AS6" s="10"/>
    </row>
    <row r="7" spans="1:45" ht="15" thickTop="1" thickBot="1" x14ac:dyDescent="0.55000000000000004">
      <c r="A7" s="27"/>
      <c r="AC7" s="9" t="s">
        <v>2</v>
      </c>
      <c r="AD7" s="10"/>
      <c r="AG7" s="10"/>
      <c r="AJ7" s="10"/>
      <c r="AM7" s="10"/>
      <c r="AP7" s="10"/>
      <c r="AS7" s="10"/>
    </row>
    <row r="8" spans="1:45" ht="15" thickTop="1" thickBot="1" x14ac:dyDescent="0.55000000000000004">
      <c r="A8" s="27"/>
      <c r="AC8" s="9" t="s">
        <v>3</v>
      </c>
      <c r="AD8" s="10"/>
      <c r="AG8" s="10"/>
      <c r="AJ8" s="10"/>
      <c r="AM8" s="10"/>
      <c r="AP8" s="10"/>
      <c r="AS8" s="10"/>
    </row>
    <row r="9" spans="1:45" ht="15" thickTop="1" thickBot="1" x14ac:dyDescent="0.55000000000000004">
      <c r="A9" s="27"/>
      <c r="AC9" s="9" t="s">
        <v>4</v>
      </c>
      <c r="AD9" s="10"/>
      <c r="AG9" s="10"/>
      <c r="AJ9" s="10"/>
      <c r="AM9" s="10"/>
      <c r="AP9" s="10"/>
      <c r="AS9" s="10"/>
    </row>
    <row r="10" spans="1:45" ht="15" thickTop="1" thickBot="1" x14ac:dyDescent="0.55000000000000004">
      <c r="A10" s="27"/>
      <c r="AC10" s="9" t="s">
        <v>5</v>
      </c>
      <c r="AD10" s="10"/>
      <c r="AG10" s="10"/>
      <c r="AJ10" s="10"/>
      <c r="AM10" s="10"/>
      <c r="AP10" s="10"/>
      <c r="AS10" s="10"/>
    </row>
    <row r="11" spans="1:45" ht="15" thickTop="1" thickBot="1" x14ac:dyDescent="0.55000000000000004">
      <c r="A11" s="27"/>
      <c r="AC11" s="9" t="s">
        <v>6</v>
      </c>
      <c r="AD11" s="10"/>
      <c r="AG11" s="10"/>
      <c r="AJ11" s="10"/>
      <c r="AM11" s="10"/>
      <c r="AP11" s="10"/>
      <c r="AS11" s="10"/>
    </row>
    <row r="12" spans="1:45" ht="15" thickTop="1" thickBot="1" x14ac:dyDescent="0.55000000000000004">
      <c r="A12" s="27"/>
      <c r="AC12" s="9" t="s">
        <v>7</v>
      </c>
      <c r="AD12" s="10"/>
      <c r="AG12" s="10"/>
      <c r="AJ12" s="10"/>
      <c r="AM12" s="10"/>
      <c r="AP12" s="10"/>
      <c r="AS12" s="10"/>
    </row>
    <row r="13" spans="1:45" ht="15" thickTop="1" thickBot="1" x14ac:dyDescent="0.55000000000000004">
      <c r="A13" s="27"/>
      <c r="AC13" s="9" t="s">
        <v>8</v>
      </c>
      <c r="AD13" s="10"/>
      <c r="AG13" s="10"/>
      <c r="AJ13" s="10"/>
      <c r="AM13" s="10"/>
      <c r="AP13" s="10"/>
      <c r="AS13" s="10"/>
    </row>
    <row r="14" spans="1:45" ht="15" thickTop="1" thickBot="1" x14ac:dyDescent="0.55000000000000004">
      <c r="A14" s="27"/>
      <c r="AC14" s="9" t="s">
        <v>9</v>
      </c>
      <c r="AD14" s="10"/>
      <c r="AG14" s="10"/>
      <c r="AJ14" s="10"/>
      <c r="AM14" s="10"/>
      <c r="AP14" s="10"/>
      <c r="AS14" s="10"/>
    </row>
    <row r="15" spans="1:45" ht="15" thickTop="1" thickBot="1" x14ac:dyDescent="0.55000000000000004">
      <c r="A15" s="27"/>
      <c r="AC15" s="9" t="s">
        <v>10</v>
      </c>
      <c r="AD15" s="10"/>
      <c r="AG15" s="10"/>
      <c r="AJ15" s="10"/>
      <c r="AM15" s="10"/>
      <c r="AP15" s="10"/>
      <c r="AS15" s="10"/>
    </row>
    <row r="16" spans="1:45" ht="15" thickTop="1" thickBot="1" x14ac:dyDescent="0.55000000000000004">
      <c r="A16" s="27"/>
      <c r="AC16" s="9" t="s">
        <v>11</v>
      </c>
      <c r="AD16" s="10"/>
      <c r="AG16" s="10"/>
      <c r="AJ16" s="10"/>
      <c r="AM16" s="10"/>
      <c r="AP16" s="10"/>
      <c r="AS16" s="10"/>
    </row>
    <row r="17" spans="1:45" ht="15" thickTop="1" thickBot="1" x14ac:dyDescent="0.55000000000000004">
      <c r="A17" s="27"/>
      <c r="AC17" s="9" t="s">
        <v>12</v>
      </c>
      <c r="AD17" s="10"/>
      <c r="AG17" s="10"/>
      <c r="AJ17" s="10"/>
      <c r="AM17" s="10"/>
      <c r="AP17" s="10"/>
      <c r="AS17" s="10"/>
    </row>
    <row r="18" spans="1:45" ht="15" thickTop="1" thickBot="1" x14ac:dyDescent="0.55000000000000004">
      <c r="A18" s="27"/>
      <c r="AC18" s="9" t="s">
        <v>13</v>
      </c>
      <c r="AD18" s="10"/>
      <c r="AG18" s="10"/>
      <c r="AJ18" s="10"/>
      <c r="AM18" s="10"/>
      <c r="AP18" s="10"/>
      <c r="AS18" s="10"/>
    </row>
    <row r="19" spans="1:45" ht="15" thickTop="1" thickBot="1" x14ac:dyDescent="0.55000000000000004">
      <c r="A19" s="27"/>
      <c r="AC19" s="9" t="s">
        <v>14</v>
      </c>
      <c r="AD19" s="10"/>
      <c r="AG19" s="10"/>
      <c r="AJ19" s="10"/>
      <c r="AM19" s="10"/>
      <c r="AP19" s="10"/>
      <c r="AS19" s="10"/>
    </row>
    <row r="20" spans="1:45" ht="15" thickTop="1" thickBot="1" x14ac:dyDescent="0.55000000000000004">
      <c r="A20" s="27"/>
      <c r="AC20" s="9" t="s">
        <v>15</v>
      </c>
      <c r="AD20" s="10"/>
      <c r="AG20" s="10"/>
      <c r="AJ20" s="10"/>
      <c r="AM20" s="10"/>
      <c r="AP20" s="10"/>
      <c r="AS20" s="10"/>
    </row>
    <row r="21" spans="1:45" ht="15" thickTop="1" thickBot="1" x14ac:dyDescent="0.55000000000000004">
      <c r="A21" s="27" t="s">
        <v>114</v>
      </c>
      <c r="AC21" s="9" t="s">
        <v>16</v>
      </c>
      <c r="AD21" s="10"/>
      <c r="AG21" s="10"/>
      <c r="AJ21" s="10"/>
      <c r="AM21" s="10"/>
      <c r="AP21" s="10"/>
      <c r="AS21" s="10"/>
    </row>
    <row r="22" spans="1:45" ht="15" thickTop="1" thickBot="1" x14ac:dyDescent="0.55000000000000004">
      <c r="A22" s="27"/>
      <c r="AC22" s="9" t="s">
        <v>17</v>
      </c>
      <c r="AD22" s="10"/>
      <c r="AG22" s="10"/>
      <c r="AJ22" s="10"/>
      <c r="AM22" s="10"/>
      <c r="AP22" s="10"/>
      <c r="AS22" s="10"/>
    </row>
    <row r="23" spans="1:45" ht="15" thickTop="1" thickBot="1" x14ac:dyDescent="0.55000000000000004">
      <c r="A23" s="27"/>
      <c r="AC23" s="9" t="s">
        <v>18</v>
      </c>
      <c r="AD23" s="10"/>
      <c r="AG23" s="10"/>
      <c r="AJ23" s="10"/>
      <c r="AM23" s="10"/>
      <c r="AP23" s="10"/>
      <c r="AS23" s="10"/>
    </row>
    <row r="24" spans="1:45" ht="15" thickTop="1" thickBot="1" x14ac:dyDescent="0.55000000000000004">
      <c r="A24" s="27"/>
      <c r="AC24" s="9" t="s">
        <v>19</v>
      </c>
      <c r="AD24" s="10"/>
      <c r="AG24" s="10"/>
      <c r="AJ24" s="10"/>
      <c r="AM24" s="10"/>
      <c r="AP24" s="10"/>
      <c r="AS24" s="10"/>
    </row>
    <row r="25" spans="1:45" ht="15" thickTop="1" thickBot="1" x14ac:dyDescent="0.55000000000000004">
      <c r="A25" s="27"/>
      <c r="AC25" s="9" t="s">
        <v>20</v>
      </c>
      <c r="AD25" s="10"/>
      <c r="AG25" s="10"/>
      <c r="AJ25" s="10"/>
      <c r="AM25" s="10"/>
      <c r="AP25" s="10"/>
      <c r="AS25" s="10"/>
    </row>
    <row r="26" spans="1:45" ht="15" thickTop="1" thickBot="1" x14ac:dyDescent="0.55000000000000004">
      <c r="A26" s="27"/>
      <c r="AC26" s="9" t="s">
        <v>21</v>
      </c>
      <c r="AD26" s="10"/>
      <c r="AG26" s="10"/>
      <c r="AJ26" s="10"/>
      <c r="AM26" s="10"/>
      <c r="AP26" s="10"/>
      <c r="AS26" s="10"/>
    </row>
    <row r="27" spans="1:45" ht="15" thickTop="1" thickBot="1" x14ac:dyDescent="0.55000000000000004">
      <c r="A27" s="27"/>
      <c r="AC27" s="9" t="s">
        <v>22</v>
      </c>
      <c r="AD27" s="10"/>
      <c r="AG27" s="10"/>
      <c r="AJ27" s="10"/>
      <c r="AM27" s="10"/>
      <c r="AP27" s="10"/>
      <c r="AS27" s="10"/>
    </row>
    <row r="28" spans="1:45" ht="15" thickTop="1" thickBot="1" x14ac:dyDescent="0.55000000000000004">
      <c r="A28" s="27"/>
      <c r="AC28" s="9" t="s">
        <v>23</v>
      </c>
      <c r="AD28" s="10"/>
      <c r="AG28" s="10"/>
      <c r="AJ28" s="10"/>
      <c r="AM28" s="10"/>
      <c r="AP28" s="10"/>
      <c r="AS28" s="10"/>
    </row>
    <row r="29" spans="1:45" ht="15" thickTop="1" thickBot="1" x14ac:dyDescent="0.55000000000000004">
      <c r="A29" s="27"/>
      <c r="AC29" s="9" t="s">
        <v>24</v>
      </c>
      <c r="AD29" s="10"/>
      <c r="AG29" s="10"/>
      <c r="AJ29" s="10"/>
      <c r="AM29" s="10"/>
      <c r="AP29" s="10"/>
      <c r="AS29" s="10"/>
    </row>
    <row r="30" spans="1:45" ht="15" thickTop="1" thickBot="1" x14ac:dyDescent="0.55000000000000004">
      <c r="A30" s="27"/>
      <c r="AC30" s="9" t="s">
        <v>25</v>
      </c>
      <c r="AD30" s="10"/>
      <c r="AG30" s="10"/>
      <c r="AJ30" s="10"/>
      <c r="AM30" s="10"/>
      <c r="AP30" s="10"/>
      <c r="AS30" s="10"/>
    </row>
    <row r="31" spans="1:45" ht="15" thickTop="1" thickBot="1" x14ac:dyDescent="0.55000000000000004">
      <c r="A31" s="27"/>
      <c r="AC31" s="9" t="s">
        <v>26</v>
      </c>
      <c r="AD31" s="10"/>
      <c r="AG31" s="10"/>
      <c r="AJ31" s="10"/>
      <c r="AM31" s="10"/>
      <c r="AP31" s="10"/>
      <c r="AS31" s="10"/>
    </row>
    <row r="32" spans="1:45" ht="15" thickTop="1" thickBot="1" x14ac:dyDescent="0.55000000000000004">
      <c r="A32" s="27"/>
      <c r="AC32" s="9" t="s">
        <v>27</v>
      </c>
      <c r="AD32" s="10"/>
      <c r="AG32" s="10"/>
      <c r="AJ32" s="10"/>
      <c r="AM32" s="10"/>
      <c r="AP32" s="10"/>
      <c r="AS32" s="10"/>
    </row>
    <row r="33" spans="1:45" ht="15" thickTop="1" thickBot="1" x14ac:dyDescent="0.55000000000000004">
      <c r="A33" s="27"/>
      <c r="AC33" s="9" t="s">
        <v>28</v>
      </c>
      <c r="AD33" s="10"/>
      <c r="AG33" s="10"/>
      <c r="AJ33" s="10"/>
      <c r="AM33" s="10"/>
      <c r="AP33" s="10"/>
      <c r="AS33" s="10"/>
    </row>
    <row r="34" spans="1:45" ht="15" thickTop="1" thickBot="1" x14ac:dyDescent="0.55000000000000004">
      <c r="A34" s="27"/>
      <c r="AC34" s="9" t="s">
        <v>29</v>
      </c>
      <c r="AD34" s="10"/>
      <c r="AG34" s="10"/>
      <c r="AJ34" s="10"/>
      <c r="AM34" s="10"/>
      <c r="AP34" s="10"/>
      <c r="AS34" s="10"/>
    </row>
    <row r="35" spans="1:45" ht="15" thickTop="1" thickBot="1" x14ac:dyDescent="0.55000000000000004">
      <c r="A35" s="27"/>
      <c r="AC35" s="9" t="s">
        <v>30</v>
      </c>
      <c r="AD35" s="10"/>
      <c r="AG35" s="10"/>
      <c r="AJ35" s="10"/>
      <c r="AM35" s="10"/>
      <c r="AP35" s="10"/>
      <c r="AS35" s="10"/>
    </row>
    <row r="36" spans="1:45" ht="15" thickTop="1" thickBot="1" x14ac:dyDescent="0.55000000000000004">
      <c r="A36" s="27"/>
      <c r="AC36" s="11" t="s">
        <v>31</v>
      </c>
      <c r="AD36" s="12"/>
      <c r="AG36" s="12"/>
      <c r="AJ36" s="12"/>
      <c r="AM36" s="12"/>
      <c r="AP36" s="12"/>
      <c r="AS36" s="12"/>
    </row>
    <row r="37" spans="1:45" ht="15" customHeight="1" thickTop="1" thickBot="1" x14ac:dyDescent="0.55000000000000004">
      <c r="A37" s="16" t="str">
        <f>'Formulas OM'!A37</f>
        <v>V - 8.3</v>
      </c>
      <c r="AC37" s="2"/>
      <c r="AD37" s="2"/>
      <c r="AG37" s="2"/>
      <c r="AJ37" s="2"/>
      <c r="AM37" s="2"/>
      <c r="AP37" s="2"/>
      <c r="AS37" s="2"/>
    </row>
    <row r="38" spans="1:45" ht="20.100000000000001" customHeight="1" x14ac:dyDescent="0.5">
      <c r="AC38" s="3" t="s">
        <v>39</v>
      </c>
      <c r="AD38" s="4"/>
      <c r="AG38" s="4"/>
      <c r="AJ38" s="4"/>
      <c r="AM38" s="4"/>
      <c r="AP38" s="4"/>
      <c r="AS38" s="4"/>
    </row>
    <row r="39" spans="1:45" x14ac:dyDescent="0.5">
      <c r="AC39" s="7" t="s">
        <v>92</v>
      </c>
      <c r="AD39" s="8">
        <v>0</v>
      </c>
      <c r="AG39" s="8"/>
      <c r="AJ39" s="8"/>
      <c r="AM39" s="8"/>
      <c r="AP39" s="8"/>
      <c r="AS39" s="8"/>
    </row>
    <row r="40" spans="1:45" x14ac:dyDescent="0.5">
      <c r="AC40" s="9" t="s">
        <v>32</v>
      </c>
      <c r="AD40" s="10" t="s">
        <v>168</v>
      </c>
      <c r="AG40" s="10"/>
      <c r="AJ40" s="10"/>
      <c r="AM40" s="10"/>
      <c r="AP40" s="10"/>
      <c r="AS40" s="10"/>
    </row>
    <row r="41" spans="1:45" x14ac:dyDescent="0.5">
      <c r="AC41" s="9" t="s">
        <v>33</v>
      </c>
      <c r="AD41" s="24" t="s">
        <v>215</v>
      </c>
      <c r="AG41" s="10"/>
      <c r="AJ41" s="10"/>
      <c r="AM41" s="10"/>
      <c r="AP41" s="10"/>
      <c r="AS41" s="10"/>
    </row>
    <row r="42" spans="1:45" x14ac:dyDescent="0.5">
      <c r="AC42" s="9" t="s">
        <v>40</v>
      </c>
      <c r="AD42" s="24" t="s">
        <v>199</v>
      </c>
      <c r="AG42" s="10"/>
      <c r="AJ42" s="10"/>
      <c r="AM42" s="10"/>
      <c r="AP42" s="10"/>
      <c r="AS42" s="10"/>
    </row>
    <row r="43" spans="1:45" x14ac:dyDescent="0.5">
      <c r="AC43" s="9" t="s">
        <v>52</v>
      </c>
      <c r="AD43" s="10">
        <v>100</v>
      </c>
      <c r="AG43" s="10"/>
      <c r="AJ43" s="10"/>
      <c r="AM43" s="10"/>
      <c r="AP43" s="10"/>
      <c r="AS43" s="10"/>
    </row>
    <row r="44" spans="1:45" x14ac:dyDescent="0.5">
      <c r="AC44" s="9" t="s">
        <v>93</v>
      </c>
      <c r="AD44" s="10" t="s">
        <v>172</v>
      </c>
      <c r="AG44" s="10"/>
      <c r="AJ44" s="10"/>
      <c r="AM44" s="10"/>
      <c r="AP44" s="10"/>
      <c r="AS44" s="10"/>
    </row>
    <row r="45" spans="1:45" x14ac:dyDescent="0.5">
      <c r="AC45" s="9" t="s">
        <v>41</v>
      </c>
      <c r="AD45" s="24" t="s">
        <v>216</v>
      </c>
      <c r="AG45" s="10"/>
      <c r="AJ45" s="10"/>
      <c r="AM45" s="10"/>
      <c r="AP45" s="10"/>
      <c r="AS45" s="10"/>
    </row>
    <row r="46" spans="1:45" x14ac:dyDescent="0.5">
      <c r="AC46" s="9" t="s">
        <v>53</v>
      </c>
      <c r="AD46" s="10">
        <v>100</v>
      </c>
      <c r="AG46" s="10"/>
      <c r="AJ46" s="10"/>
      <c r="AM46" s="10"/>
      <c r="AP46" s="10"/>
      <c r="AS46" s="10"/>
    </row>
    <row r="47" spans="1:45" x14ac:dyDescent="0.5">
      <c r="AC47" s="9" t="s">
        <v>94</v>
      </c>
      <c r="AD47" s="10" t="s">
        <v>172</v>
      </c>
      <c r="AG47" s="10"/>
      <c r="AJ47" s="10"/>
      <c r="AM47" s="10"/>
      <c r="AP47" s="10"/>
      <c r="AS47" s="10"/>
    </row>
    <row r="48" spans="1:45" x14ac:dyDescent="0.5">
      <c r="AC48" s="9" t="s">
        <v>42</v>
      </c>
      <c r="AD48" s="10"/>
      <c r="AG48" s="10"/>
      <c r="AJ48" s="10"/>
      <c r="AM48" s="10"/>
      <c r="AP48" s="10"/>
      <c r="AS48" s="10"/>
    </row>
    <row r="49" spans="29:45" x14ac:dyDescent="0.5">
      <c r="AC49" s="9" t="s">
        <v>54</v>
      </c>
      <c r="AD49" s="10"/>
      <c r="AG49" s="10"/>
      <c r="AJ49" s="10"/>
      <c r="AM49" s="10"/>
      <c r="AP49" s="10"/>
      <c r="AS49" s="10"/>
    </row>
    <row r="50" spans="29:45" x14ac:dyDescent="0.5">
      <c r="AC50" s="9" t="s">
        <v>95</v>
      </c>
      <c r="AD50" s="10"/>
      <c r="AG50" s="10"/>
      <c r="AJ50" s="10"/>
      <c r="AM50" s="10"/>
      <c r="AP50" s="10"/>
      <c r="AS50" s="10"/>
    </row>
    <row r="51" spans="29:45" x14ac:dyDescent="0.5">
      <c r="AC51" s="9" t="s">
        <v>43</v>
      </c>
      <c r="AD51" s="10"/>
      <c r="AG51" s="10"/>
      <c r="AJ51" s="10"/>
      <c r="AM51" s="10"/>
      <c r="AP51" s="10"/>
      <c r="AS51" s="10"/>
    </row>
    <row r="52" spans="29:45" x14ac:dyDescent="0.5">
      <c r="AC52" s="9" t="s">
        <v>55</v>
      </c>
      <c r="AD52" s="10"/>
      <c r="AG52" s="10"/>
      <c r="AJ52" s="10"/>
      <c r="AM52" s="10"/>
      <c r="AP52" s="10"/>
      <c r="AS52" s="10"/>
    </row>
    <row r="53" spans="29:45" x14ac:dyDescent="0.5">
      <c r="AC53" s="9" t="s">
        <v>96</v>
      </c>
      <c r="AD53" s="10"/>
      <c r="AG53" s="10"/>
      <c r="AJ53" s="10"/>
      <c r="AM53" s="10"/>
      <c r="AP53" s="10"/>
      <c r="AS53" s="10"/>
    </row>
    <row r="54" spans="29:45" x14ac:dyDescent="0.5">
      <c r="AC54" s="9" t="s">
        <v>44</v>
      </c>
      <c r="AD54" s="10"/>
      <c r="AG54" s="10"/>
      <c r="AJ54" s="10"/>
      <c r="AM54" s="10"/>
      <c r="AP54" s="10"/>
      <c r="AS54" s="10"/>
    </row>
    <row r="55" spans="29:45" x14ac:dyDescent="0.5">
      <c r="AC55" s="9" t="s">
        <v>56</v>
      </c>
      <c r="AD55" s="10"/>
      <c r="AG55" s="10"/>
      <c r="AJ55" s="10"/>
      <c r="AM55" s="10"/>
      <c r="AP55" s="10"/>
      <c r="AS55" s="10"/>
    </row>
    <row r="56" spans="29:45" x14ac:dyDescent="0.5">
      <c r="AC56" s="9" t="s">
        <v>97</v>
      </c>
      <c r="AD56" s="10"/>
      <c r="AG56" s="10"/>
      <c r="AJ56" s="10"/>
      <c r="AM56" s="10"/>
      <c r="AP56" s="10"/>
      <c r="AS56" s="10"/>
    </row>
    <row r="57" spans="29:45" x14ac:dyDescent="0.5">
      <c r="AC57" s="9" t="s">
        <v>45</v>
      </c>
      <c r="AD57" s="10"/>
      <c r="AG57" s="10"/>
      <c r="AJ57" s="10"/>
      <c r="AM57" s="10"/>
      <c r="AP57" s="10"/>
      <c r="AS57" s="10"/>
    </row>
    <row r="58" spans="29:45" x14ac:dyDescent="0.5">
      <c r="AC58" s="9" t="s">
        <v>57</v>
      </c>
      <c r="AD58" s="10"/>
      <c r="AG58" s="10"/>
      <c r="AJ58" s="10"/>
      <c r="AM58" s="10"/>
      <c r="AP58" s="10"/>
      <c r="AS58" s="10"/>
    </row>
    <row r="59" spans="29:45" x14ac:dyDescent="0.5">
      <c r="AC59" s="9" t="s">
        <v>98</v>
      </c>
      <c r="AD59" s="10"/>
      <c r="AG59" s="10"/>
      <c r="AJ59" s="10"/>
      <c r="AM59" s="10"/>
      <c r="AP59" s="10"/>
      <c r="AS59" s="10"/>
    </row>
    <row r="60" spans="29:45" x14ac:dyDescent="0.5">
      <c r="AC60" s="9" t="s">
        <v>99</v>
      </c>
      <c r="AD60" s="10"/>
      <c r="AG60" s="10"/>
      <c r="AJ60" s="10"/>
      <c r="AM60" s="10"/>
      <c r="AP60" s="10"/>
      <c r="AS60" s="10"/>
    </row>
    <row r="61" spans="29:45" x14ac:dyDescent="0.5">
      <c r="AC61" s="9" t="s">
        <v>100</v>
      </c>
      <c r="AD61" s="10"/>
      <c r="AG61" s="10"/>
      <c r="AJ61" s="10"/>
      <c r="AM61" s="10"/>
      <c r="AP61" s="10"/>
      <c r="AS61" s="10"/>
    </row>
    <row r="62" spans="29:45" x14ac:dyDescent="0.5">
      <c r="AC62" s="9" t="s">
        <v>101</v>
      </c>
      <c r="AD62" s="10"/>
      <c r="AG62" s="10"/>
      <c r="AJ62" s="10"/>
      <c r="AM62" s="10"/>
      <c r="AP62" s="10"/>
      <c r="AS62" s="10"/>
    </row>
    <row r="63" spans="29:45" x14ac:dyDescent="0.5">
      <c r="AC63" s="9" t="s">
        <v>102</v>
      </c>
      <c r="AD63" s="10"/>
      <c r="AG63" s="10"/>
      <c r="AJ63" s="10"/>
      <c r="AM63" s="10"/>
      <c r="AP63" s="10"/>
      <c r="AS63" s="10"/>
    </row>
    <row r="64" spans="29:45" x14ac:dyDescent="0.5">
      <c r="AC64" s="9" t="s">
        <v>103</v>
      </c>
      <c r="AD64" s="10"/>
      <c r="AG64" s="10"/>
      <c r="AJ64" s="10"/>
      <c r="AM64" s="10"/>
      <c r="AP64" s="10"/>
      <c r="AS64" s="10"/>
    </row>
    <row r="65" spans="29:45" ht="14.7" thickBot="1" x14ac:dyDescent="0.55000000000000004">
      <c r="AC65" s="13" t="s">
        <v>104</v>
      </c>
      <c r="AD65" s="20"/>
      <c r="AG65" s="20"/>
      <c r="AJ65" s="20"/>
      <c r="AM65" s="20"/>
      <c r="AP65" s="20"/>
      <c r="AS65" s="20"/>
    </row>
    <row r="66" spans="29:45" x14ac:dyDescent="0.5">
      <c r="AC66" s="15" t="s">
        <v>35</v>
      </c>
      <c r="AD66" s="21"/>
      <c r="AG66" s="21"/>
      <c r="AJ66" s="21"/>
      <c r="AM66" s="21"/>
      <c r="AP66" s="21"/>
      <c r="AS66" s="21"/>
    </row>
    <row r="67" spans="29:45" x14ac:dyDescent="0.5">
      <c r="AC67" s="9" t="s">
        <v>36</v>
      </c>
      <c r="AD67" s="10"/>
      <c r="AG67" s="10"/>
      <c r="AJ67" s="10"/>
      <c r="AM67" s="10"/>
      <c r="AP67" s="10"/>
      <c r="AS67" s="10"/>
    </row>
    <row r="68" spans="29:45" x14ac:dyDescent="0.5">
      <c r="AC68" s="9" t="s">
        <v>36</v>
      </c>
      <c r="AD68" s="10"/>
      <c r="AG68" s="10"/>
      <c r="AJ68" s="10"/>
      <c r="AM68" s="10"/>
      <c r="AP68" s="10"/>
      <c r="AS68" s="10"/>
    </row>
    <row r="69" spans="29:45" x14ac:dyDescent="0.5">
      <c r="AC69" s="9" t="s">
        <v>37</v>
      </c>
      <c r="AD69" s="10"/>
      <c r="AG69" s="10"/>
      <c r="AJ69" s="10"/>
      <c r="AM69" s="10"/>
      <c r="AP69" s="10"/>
      <c r="AS69" s="10"/>
    </row>
    <row r="70" spans="29:45" ht="14.7" thickBot="1" x14ac:dyDescent="0.55000000000000004">
      <c r="AC70" s="11" t="s">
        <v>38</v>
      </c>
      <c r="AD70" s="12"/>
      <c r="AG70" s="12"/>
      <c r="AJ70" s="12"/>
      <c r="AM70" s="12"/>
      <c r="AP70" s="12"/>
      <c r="AS70" s="12"/>
    </row>
    <row r="71" spans="29:45" x14ac:dyDescent="0.5">
      <c r="AC71"/>
      <c r="AD71"/>
      <c r="AG71"/>
      <c r="AJ71"/>
      <c r="AM71"/>
      <c r="AP71"/>
      <c r="AS71"/>
    </row>
  </sheetData>
  <sheetProtection algorithmName="SHA-512" hashValue="M0BcBiM1VKjs8zx7tfJMuQ3nYpULQAoJOoie650xaSoMiiZWgAZwmn5jKpBbx2FpXuXGu7rY0xDoIq3Q+QSglQ==" saltValue="LAptfBIUM1TnY6MF+N2skQ==" spinCount="100000" sheet="1" objects="1" scenarios="1" selectLockedCells="1" autoFilter="0"/>
  <mergeCells count="2">
    <mergeCell ref="A5:A20"/>
    <mergeCell ref="A21:A3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/>
  <dimension ref="A1:AS70"/>
  <sheetViews>
    <sheetView showGridLines="0" showRowColHeaders="0" topLeftCell="A4" zoomScale="85" zoomScaleNormal="85" workbookViewId="0">
      <pane xSplit="29" ySplit="1" topLeftCell="AD5" activePane="bottomRight" state="frozen"/>
      <selection activeCell="AD5" sqref="AD5"/>
      <selection pane="topRight" activeCell="AD5" sqref="AD5"/>
      <selection pane="bottomLeft" activeCell="AD5" sqref="AD5"/>
      <selection pane="bottomRight" activeCell="AG5" sqref="AG5"/>
    </sheetView>
  </sheetViews>
  <sheetFormatPr baseColWidth="10" defaultRowHeight="14.35" zeroHeight="1" x14ac:dyDescent="0.5"/>
  <cols>
    <col min="1" max="1" width="6.64453125" customWidth="1"/>
    <col min="2" max="28" width="0" hidden="1" customWidth="1"/>
    <col min="29" max="29" width="15.64453125" style="1" customWidth="1"/>
    <col min="30" max="30" width="30.64453125" style="22" customWidth="1"/>
    <col min="31" max="32" width="0" hidden="1" customWidth="1"/>
    <col min="33" max="33" width="30.64453125" style="22" customWidth="1"/>
    <col min="34" max="35" width="0" hidden="1" customWidth="1"/>
    <col min="36" max="36" width="30.64453125" style="22" customWidth="1"/>
    <col min="37" max="38" width="0" hidden="1" customWidth="1"/>
    <col min="39" max="39" width="30.64453125" style="22" customWidth="1"/>
    <col min="40" max="41" width="0" hidden="1" customWidth="1"/>
    <col min="42" max="42" width="30.64453125" style="22" customWidth="1"/>
    <col min="43" max="44" width="0" hidden="1" customWidth="1"/>
    <col min="45" max="45" width="30.64453125" style="22" customWidth="1"/>
    <col min="46" max="47" width="0" hidden="1" customWidth="1"/>
  </cols>
  <sheetData>
    <row r="1" spans="1:45" x14ac:dyDescent="0.5">
      <c r="AC1"/>
      <c r="AD1" s="14" t="s">
        <v>278</v>
      </c>
      <c r="AG1" s="14"/>
      <c r="AJ1" s="14"/>
      <c r="AM1" s="14"/>
      <c r="AP1" s="14"/>
      <c r="AS1" s="14"/>
    </row>
    <row r="2" spans="1:45" x14ac:dyDescent="0.5">
      <c r="AC2"/>
      <c r="AD2" s="14">
        <v>10</v>
      </c>
      <c r="AG2" s="14"/>
      <c r="AJ2" s="14"/>
      <c r="AM2" s="14"/>
      <c r="AP2" s="14"/>
      <c r="AS2" s="14"/>
    </row>
    <row r="3" spans="1:45" ht="14.7" thickBot="1" x14ac:dyDescent="0.55000000000000004">
      <c r="AC3"/>
      <c r="AD3" s="14">
        <v>18</v>
      </c>
      <c r="AG3" s="14"/>
      <c r="AJ3" s="14"/>
      <c r="AM3" s="14"/>
      <c r="AP3" s="14"/>
      <c r="AS3" s="14"/>
    </row>
    <row r="4" spans="1:45" ht="20.100000000000001" customHeight="1" thickBot="1" x14ac:dyDescent="0.55000000000000004">
      <c r="A4" s="5">
        <f>COUNTA(AC4:XFD4)-1</f>
        <v>1</v>
      </c>
      <c r="AC4" s="3" t="s">
        <v>121</v>
      </c>
      <c r="AD4" s="4" t="s">
        <v>178</v>
      </c>
      <c r="AG4" s="4"/>
      <c r="AJ4" s="4"/>
      <c r="AM4" s="4"/>
      <c r="AP4" s="4"/>
      <c r="AS4" s="4"/>
    </row>
    <row r="5" spans="1:45" ht="15" thickTop="1" thickBot="1" x14ac:dyDescent="0.55000000000000004">
      <c r="A5" s="27" t="s">
        <v>115</v>
      </c>
      <c r="AC5" s="7" t="s">
        <v>0</v>
      </c>
      <c r="AD5" s="26" t="s">
        <v>186</v>
      </c>
      <c r="AG5" s="8"/>
      <c r="AJ5" s="8"/>
      <c r="AM5" s="8"/>
      <c r="AP5" s="8"/>
      <c r="AS5" s="8"/>
    </row>
    <row r="6" spans="1:45" ht="15" thickTop="1" thickBot="1" x14ac:dyDescent="0.55000000000000004">
      <c r="A6" s="27"/>
      <c r="AC6" s="9" t="s">
        <v>1</v>
      </c>
      <c r="AD6" s="24" t="s">
        <v>187</v>
      </c>
      <c r="AG6" s="10"/>
      <c r="AJ6" s="10"/>
      <c r="AM6" s="10"/>
      <c r="AP6" s="10"/>
      <c r="AS6" s="10"/>
    </row>
    <row r="7" spans="1:45" ht="15" thickTop="1" thickBot="1" x14ac:dyDescent="0.55000000000000004">
      <c r="A7" s="27"/>
      <c r="AC7" s="9" t="s">
        <v>2</v>
      </c>
      <c r="AD7" s="24" t="s">
        <v>188</v>
      </c>
      <c r="AG7" s="10"/>
      <c r="AJ7" s="10"/>
      <c r="AM7" s="10"/>
      <c r="AP7" s="10"/>
      <c r="AS7" s="10"/>
    </row>
    <row r="8" spans="1:45" ht="15" thickTop="1" thickBot="1" x14ac:dyDescent="0.55000000000000004">
      <c r="A8" s="27"/>
      <c r="AC8" s="9" t="s">
        <v>3</v>
      </c>
      <c r="AD8" s="24" t="s">
        <v>189</v>
      </c>
      <c r="AG8" s="10"/>
      <c r="AJ8" s="10"/>
      <c r="AM8" s="10"/>
      <c r="AP8" s="10"/>
      <c r="AS8" s="10"/>
    </row>
    <row r="9" spans="1:45" ht="15" thickTop="1" thickBot="1" x14ac:dyDescent="0.55000000000000004">
      <c r="A9" s="27"/>
      <c r="AC9" s="9" t="s">
        <v>4</v>
      </c>
      <c r="AD9" s="24" t="s">
        <v>199</v>
      </c>
      <c r="AG9" s="10"/>
      <c r="AJ9" s="10"/>
      <c r="AM9" s="10"/>
      <c r="AP9" s="10"/>
      <c r="AS9" s="10"/>
    </row>
    <row r="10" spans="1:45" ht="15" thickTop="1" thickBot="1" x14ac:dyDescent="0.55000000000000004">
      <c r="A10" s="27"/>
      <c r="AC10" s="9" t="s">
        <v>5</v>
      </c>
      <c r="AD10" s="24" t="s">
        <v>217</v>
      </c>
      <c r="AG10" s="10"/>
      <c r="AJ10" s="10"/>
      <c r="AM10" s="10"/>
      <c r="AP10" s="10"/>
      <c r="AS10" s="10"/>
    </row>
    <row r="11" spans="1:45" ht="15" thickTop="1" thickBot="1" x14ac:dyDescent="0.55000000000000004">
      <c r="A11" s="27"/>
      <c r="AC11" s="9" t="s">
        <v>6</v>
      </c>
      <c r="AD11" s="24" t="s">
        <v>218</v>
      </c>
      <c r="AG11" s="10"/>
      <c r="AJ11" s="10"/>
      <c r="AM11" s="10"/>
      <c r="AP11" s="10"/>
      <c r="AS11" s="10"/>
    </row>
    <row r="12" spans="1:45" ht="15" thickTop="1" thickBot="1" x14ac:dyDescent="0.55000000000000004">
      <c r="A12" s="27"/>
      <c r="AC12" s="9" t="s">
        <v>7</v>
      </c>
      <c r="AD12" s="24" t="s">
        <v>219</v>
      </c>
      <c r="AG12" s="10"/>
      <c r="AJ12" s="10"/>
      <c r="AM12" s="10"/>
      <c r="AP12" s="10"/>
      <c r="AS12" s="10"/>
    </row>
    <row r="13" spans="1:45" ht="15" thickTop="1" thickBot="1" x14ac:dyDescent="0.55000000000000004">
      <c r="A13" s="27"/>
      <c r="AC13" s="9" t="s">
        <v>8</v>
      </c>
      <c r="AD13" s="10"/>
      <c r="AG13" s="10"/>
      <c r="AJ13" s="10"/>
      <c r="AM13" s="10"/>
      <c r="AP13" s="10"/>
      <c r="AS13" s="10"/>
    </row>
    <row r="14" spans="1:45" ht="15" thickTop="1" thickBot="1" x14ac:dyDescent="0.55000000000000004">
      <c r="A14" s="27"/>
      <c r="AC14" s="9" t="s">
        <v>9</v>
      </c>
      <c r="AD14" s="10"/>
      <c r="AG14" s="10"/>
      <c r="AJ14" s="10"/>
      <c r="AM14" s="10"/>
      <c r="AP14" s="10"/>
      <c r="AS14" s="10"/>
    </row>
    <row r="15" spans="1:45" ht="15" thickTop="1" thickBot="1" x14ac:dyDescent="0.55000000000000004">
      <c r="A15" s="27"/>
      <c r="AC15" s="9" t="s">
        <v>10</v>
      </c>
      <c r="AD15" s="10"/>
      <c r="AG15" s="10"/>
      <c r="AJ15" s="10"/>
      <c r="AM15" s="10"/>
      <c r="AP15" s="10"/>
      <c r="AS15" s="10"/>
    </row>
    <row r="16" spans="1:45" ht="15" thickTop="1" thickBot="1" x14ac:dyDescent="0.55000000000000004">
      <c r="A16" s="27"/>
      <c r="AC16" s="9" t="s">
        <v>11</v>
      </c>
      <c r="AD16" s="10"/>
      <c r="AG16" s="10"/>
      <c r="AJ16" s="10"/>
      <c r="AM16" s="10"/>
      <c r="AP16" s="10"/>
      <c r="AS16" s="10"/>
    </row>
    <row r="17" spans="1:45" ht="15" thickTop="1" thickBot="1" x14ac:dyDescent="0.55000000000000004">
      <c r="A17" s="27"/>
      <c r="AC17" s="9" t="s">
        <v>12</v>
      </c>
      <c r="AD17" s="10"/>
      <c r="AG17" s="10"/>
      <c r="AJ17" s="10"/>
      <c r="AM17" s="10"/>
      <c r="AP17" s="10"/>
      <c r="AS17" s="10"/>
    </row>
    <row r="18" spans="1:45" ht="15" thickTop="1" thickBot="1" x14ac:dyDescent="0.55000000000000004">
      <c r="A18" s="27"/>
      <c r="AC18" s="9" t="s">
        <v>13</v>
      </c>
      <c r="AD18" s="10"/>
      <c r="AG18" s="10"/>
      <c r="AJ18" s="10"/>
      <c r="AM18" s="10"/>
      <c r="AP18" s="10"/>
      <c r="AS18" s="10"/>
    </row>
    <row r="19" spans="1:45" ht="15" thickTop="1" thickBot="1" x14ac:dyDescent="0.55000000000000004">
      <c r="A19" s="27"/>
      <c r="AC19" s="9" t="s">
        <v>14</v>
      </c>
      <c r="AD19" s="10"/>
      <c r="AG19" s="10"/>
      <c r="AJ19" s="10"/>
      <c r="AM19" s="10"/>
      <c r="AP19" s="10"/>
      <c r="AS19" s="10"/>
    </row>
    <row r="20" spans="1:45" ht="15" thickTop="1" thickBot="1" x14ac:dyDescent="0.55000000000000004">
      <c r="A20" s="27"/>
      <c r="AC20" s="9" t="s">
        <v>15</v>
      </c>
      <c r="AD20" s="10"/>
      <c r="AG20" s="10"/>
      <c r="AJ20" s="10"/>
      <c r="AM20" s="10"/>
      <c r="AP20" s="10"/>
      <c r="AS20" s="10"/>
    </row>
    <row r="21" spans="1:45" ht="15" thickTop="1" thickBot="1" x14ac:dyDescent="0.55000000000000004">
      <c r="A21" s="27" t="s">
        <v>116</v>
      </c>
      <c r="AC21" s="9" t="s">
        <v>16</v>
      </c>
      <c r="AD21" s="24" t="s">
        <v>220</v>
      </c>
      <c r="AG21" s="10"/>
      <c r="AJ21" s="10"/>
      <c r="AM21" s="10"/>
      <c r="AP21" s="10"/>
      <c r="AS21" s="10"/>
    </row>
    <row r="22" spans="1:45" ht="15" thickTop="1" thickBot="1" x14ac:dyDescent="0.55000000000000004">
      <c r="A22" s="27"/>
      <c r="AC22" s="9" t="s">
        <v>17</v>
      </c>
      <c r="AD22" s="10"/>
      <c r="AG22" s="10"/>
      <c r="AJ22" s="10"/>
      <c r="AM22" s="10"/>
      <c r="AP22" s="10"/>
      <c r="AS22" s="10"/>
    </row>
    <row r="23" spans="1:45" ht="15" thickTop="1" thickBot="1" x14ac:dyDescent="0.55000000000000004">
      <c r="A23" s="27"/>
      <c r="AC23" s="9" t="s">
        <v>18</v>
      </c>
      <c r="AD23" s="10"/>
      <c r="AG23" s="10"/>
      <c r="AJ23" s="10"/>
      <c r="AM23" s="10"/>
      <c r="AP23" s="10"/>
      <c r="AS23" s="10"/>
    </row>
    <row r="24" spans="1:45" ht="15" thickTop="1" thickBot="1" x14ac:dyDescent="0.55000000000000004">
      <c r="A24" s="27"/>
      <c r="AC24" s="9" t="s">
        <v>19</v>
      </c>
      <c r="AD24" s="10"/>
      <c r="AG24" s="10"/>
      <c r="AJ24" s="10"/>
      <c r="AM24" s="10"/>
      <c r="AP24" s="10"/>
      <c r="AS24" s="10"/>
    </row>
    <row r="25" spans="1:45" ht="15" thickTop="1" thickBot="1" x14ac:dyDescent="0.55000000000000004">
      <c r="A25" s="27"/>
      <c r="AC25" s="9" t="s">
        <v>20</v>
      </c>
      <c r="AD25" s="24" t="s">
        <v>221</v>
      </c>
      <c r="AG25" s="10"/>
      <c r="AJ25" s="10"/>
      <c r="AM25" s="10"/>
      <c r="AP25" s="10"/>
      <c r="AS25" s="10"/>
    </row>
    <row r="26" spans="1:45" ht="15" thickTop="1" thickBot="1" x14ac:dyDescent="0.55000000000000004">
      <c r="A26" s="27"/>
      <c r="AC26" s="9" t="s">
        <v>21</v>
      </c>
      <c r="AD26" s="10"/>
      <c r="AG26" s="10"/>
      <c r="AJ26" s="10"/>
      <c r="AM26" s="10"/>
      <c r="AP26" s="10"/>
      <c r="AS26" s="10"/>
    </row>
    <row r="27" spans="1:45" ht="15" thickTop="1" thickBot="1" x14ac:dyDescent="0.55000000000000004">
      <c r="A27" s="27"/>
      <c r="AC27" s="9" t="s">
        <v>22</v>
      </c>
      <c r="AD27" s="10"/>
      <c r="AG27" s="10"/>
      <c r="AJ27" s="10"/>
      <c r="AM27" s="10"/>
      <c r="AP27" s="10"/>
      <c r="AS27" s="10"/>
    </row>
    <row r="28" spans="1:45" ht="15" thickTop="1" thickBot="1" x14ac:dyDescent="0.55000000000000004">
      <c r="A28" s="27"/>
      <c r="AC28" s="9" t="s">
        <v>23</v>
      </c>
      <c r="AD28" s="10"/>
      <c r="AG28" s="10"/>
      <c r="AJ28" s="10"/>
      <c r="AM28" s="10"/>
      <c r="AP28" s="10"/>
      <c r="AS28" s="10"/>
    </row>
    <row r="29" spans="1:45" ht="15" thickTop="1" thickBot="1" x14ac:dyDescent="0.55000000000000004">
      <c r="A29" s="27"/>
      <c r="AC29" s="9" t="s">
        <v>24</v>
      </c>
      <c r="AD29" s="10"/>
      <c r="AG29" s="10"/>
      <c r="AJ29" s="10"/>
      <c r="AM29" s="10"/>
      <c r="AP29" s="10"/>
      <c r="AS29" s="10"/>
    </row>
    <row r="30" spans="1:45" ht="15" thickTop="1" thickBot="1" x14ac:dyDescent="0.55000000000000004">
      <c r="A30" s="27"/>
      <c r="AC30" s="9" t="s">
        <v>25</v>
      </c>
      <c r="AD30" s="10"/>
      <c r="AG30" s="10"/>
      <c r="AJ30" s="10"/>
      <c r="AM30" s="10"/>
      <c r="AP30" s="10"/>
      <c r="AS30" s="10"/>
    </row>
    <row r="31" spans="1:45" ht="15" thickTop="1" thickBot="1" x14ac:dyDescent="0.55000000000000004">
      <c r="A31" s="27"/>
      <c r="AC31" s="9" t="s">
        <v>26</v>
      </c>
      <c r="AD31" s="10"/>
      <c r="AG31" s="10"/>
      <c r="AJ31" s="10"/>
      <c r="AM31" s="10"/>
      <c r="AP31" s="10"/>
      <c r="AS31" s="10"/>
    </row>
    <row r="32" spans="1:45" ht="15" thickTop="1" thickBot="1" x14ac:dyDescent="0.55000000000000004">
      <c r="A32" s="27"/>
      <c r="AC32" s="9" t="s">
        <v>27</v>
      </c>
      <c r="AD32" s="10"/>
      <c r="AG32" s="10"/>
      <c r="AJ32" s="10"/>
      <c r="AM32" s="10"/>
      <c r="AP32" s="10"/>
      <c r="AS32" s="10"/>
    </row>
    <row r="33" spans="1:45" ht="15" thickTop="1" thickBot="1" x14ac:dyDescent="0.55000000000000004">
      <c r="A33" s="27"/>
      <c r="AC33" s="9" t="s">
        <v>28</v>
      </c>
      <c r="AD33" s="10"/>
      <c r="AG33" s="10"/>
      <c r="AJ33" s="10"/>
      <c r="AM33" s="10"/>
      <c r="AP33" s="10"/>
      <c r="AS33" s="10"/>
    </row>
    <row r="34" spans="1:45" ht="15" thickTop="1" thickBot="1" x14ac:dyDescent="0.55000000000000004">
      <c r="A34" s="27"/>
      <c r="AC34" s="9" t="s">
        <v>29</v>
      </c>
      <c r="AD34" s="10"/>
      <c r="AG34" s="10"/>
      <c r="AJ34" s="10"/>
      <c r="AM34" s="10"/>
      <c r="AP34" s="10"/>
      <c r="AS34" s="10"/>
    </row>
    <row r="35" spans="1:45" ht="15" thickTop="1" thickBot="1" x14ac:dyDescent="0.55000000000000004">
      <c r="A35" s="27"/>
      <c r="AC35" s="9" t="s">
        <v>30</v>
      </c>
      <c r="AD35" s="10"/>
      <c r="AG35" s="10"/>
      <c r="AJ35" s="10"/>
      <c r="AM35" s="10"/>
      <c r="AP35" s="10"/>
      <c r="AS35" s="10"/>
    </row>
    <row r="36" spans="1:45" ht="15" thickTop="1" thickBot="1" x14ac:dyDescent="0.55000000000000004">
      <c r="A36" s="27"/>
      <c r="AC36" s="11" t="s">
        <v>31</v>
      </c>
      <c r="AD36" s="12"/>
      <c r="AG36" s="12"/>
      <c r="AJ36" s="12"/>
      <c r="AM36" s="12"/>
      <c r="AP36" s="12"/>
      <c r="AS36" s="12"/>
    </row>
    <row r="37" spans="1:45" ht="15" customHeight="1" thickTop="1" thickBot="1" x14ac:dyDescent="0.55000000000000004">
      <c r="A37" s="16" t="str">
        <f>'Formulas OM'!A37</f>
        <v>V - 8.3</v>
      </c>
      <c r="AC37" s="2"/>
      <c r="AD37" s="2"/>
      <c r="AG37" s="2"/>
      <c r="AJ37" s="2"/>
      <c r="AM37" s="2"/>
      <c r="AP37" s="2"/>
      <c r="AS37" s="2"/>
    </row>
    <row r="38" spans="1:45" ht="20.100000000000001" customHeight="1" x14ac:dyDescent="0.5">
      <c r="AC38" s="3" t="s">
        <v>39</v>
      </c>
      <c r="AD38" s="4"/>
      <c r="AG38" s="4"/>
      <c r="AJ38" s="4"/>
      <c r="AM38" s="4"/>
      <c r="AP38" s="4"/>
      <c r="AS38" s="4"/>
    </row>
    <row r="39" spans="1:45" x14ac:dyDescent="0.5">
      <c r="AC39" s="7" t="s">
        <v>32</v>
      </c>
      <c r="AD39" s="8" t="s">
        <v>168</v>
      </c>
      <c r="AG39" s="8"/>
      <c r="AJ39" s="8"/>
      <c r="AM39" s="8"/>
      <c r="AP39" s="8"/>
      <c r="AS39" s="8"/>
    </row>
    <row r="40" spans="1:45" x14ac:dyDescent="0.5">
      <c r="AC40" s="9" t="s">
        <v>33</v>
      </c>
      <c r="AD40" s="24" t="s">
        <v>222</v>
      </c>
      <c r="AG40" s="10"/>
      <c r="AJ40" s="10"/>
      <c r="AM40" s="10"/>
      <c r="AP40" s="10"/>
      <c r="AS40" s="10"/>
    </row>
    <row r="41" spans="1:45" x14ac:dyDescent="0.5">
      <c r="AC41" s="9" t="s">
        <v>62</v>
      </c>
      <c r="AD41" s="10">
        <v>1</v>
      </c>
      <c r="AG41" s="10"/>
      <c r="AJ41" s="10"/>
      <c r="AM41" s="10"/>
      <c r="AP41" s="10"/>
      <c r="AS41" s="10"/>
    </row>
    <row r="42" spans="1:45" x14ac:dyDescent="0.5">
      <c r="AC42" s="9" t="s">
        <v>63</v>
      </c>
      <c r="AD42" s="24" t="s">
        <v>223</v>
      </c>
      <c r="AG42" s="10"/>
      <c r="AJ42" s="10"/>
      <c r="AM42" s="10"/>
      <c r="AP42" s="10"/>
      <c r="AS42" s="10"/>
    </row>
    <row r="43" spans="1:45" x14ac:dyDescent="0.5">
      <c r="AC43" s="9" t="s">
        <v>64</v>
      </c>
      <c r="AD43" s="10">
        <v>1</v>
      </c>
      <c r="AG43" s="10"/>
      <c r="AJ43" s="10"/>
      <c r="AM43" s="10"/>
      <c r="AP43" s="10"/>
      <c r="AS43" s="10"/>
    </row>
    <row r="44" spans="1:45" x14ac:dyDescent="0.5">
      <c r="AC44" s="9" t="s">
        <v>65</v>
      </c>
      <c r="AD44" s="24" t="s">
        <v>224</v>
      </c>
      <c r="AG44" s="10"/>
      <c r="AJ44" s="10"/>
      <c r="AM44" s="10"/>
      <c r="AP44" s="10"/>
      <c r="AS44" s="10"/>
    </row>
    <row r="45" spans="1:45" x14ac:dyDescent="0.5">
      <c r="AC45" s="9" t="s">
        <v>66</v>
      </c>
      <c r="AD45" s="10">
        <v>1</v>
      </c>
      <c r="AG45" s="10"/>
      <c r="AJ45" s="10"/>
      <c r="AM45" s="10"/>
      <c r="AP45" s="10"/>
      <c r="AS45" s="10"/>
    </row>
    <row r="46" spans="1:45" x14ac:dyDescent="0.5">
      <c r="AC46" s="9" t="s">
        <v>67</v>
      </c>
      <c r="AD46" s="24" t="s">
        <v>225</v>
      </c>
      <c r="AG46" s="10"/>
      <c r="AJ46" s="10"/>
      <c r="AM46" s="10"/>
      <c r="AP46" s="10"/>
      <c r="AS46" s="10"/>
    </row>
    <row r="47" spans="1:45" x14ac:dyDescent="0.5">
      <c r="AC47" s="9" t="s">
        <v>68</v>
      </c>
      <c r="AD47" s="10">
        <v>1</v>
      </c>
      <c r="AG47" s="10"/>
      <c r="AJ47" s="10"/>
      <c r="AM47" s="10"/>
      <c r="AP47" s="10"/>
      <c r="AS47" s="10"/>
    </row>
    <row r="48" spans="1:45" x14ac:dyDescent="0.5">
      <c r="AC48" s="9" t="s">
        <v>69</v>
      </c>
      <c r="AD48" s="24" t="s">
        <v>226</v>
      </c>
      <c r="AG48" s="10"/>
      <c r="AJ48" s="10"/>
      <c r="AM48" s="10"/>
      <c r="AP48" s="10"/>
      <c r="AS48" s="10"/>
    </row>
    <row r="49" spans="29:45" x14ac:dyDescent="0.5">
      <c r="AC49" s="9" t="s">
        <v>70</v>
      </c>
      <c r="AD49" s="10">
        <v>2</v>
      </c>
      <c r="AG49" s="10"/>
      <c r="AJ49" s="10"/>
      <c r="AM49" s="10"/>
      <c r="AP49" s="10"/>
      <c r="AS49" s="10"/>
    </row>
    <row r="50" spans="29:45" x14ac:dyDescent="0.5">
      <c r="AC50" s="9" t="s">
        <v>71</v>
      </c>
      <c r="AD50" s="24" t="s">
        <v>227</v>
      </c>
      <c r="AG50" s="10"/>
      <c r="AJ50" s="10"/>
      <c r="AM50" s="10"/>
      <c r="AP50" s="10"/>
      <c r="AS50" s="10"/>
    </row>
    <row r="51" spans="29:45" x14ac:dyDescent="0.5">
      <c r="AC51" s="9" t="s">
        <v>72</v>
      </c>
      <c r="AD51" s="10">
        <v>2</v>
      </c>
      <c r="AG51" s="10"/>
      <c r="AJ51" s="10"/>
      <c r="AM51" s="10"/>
      <c r="AP51" s="10"/>
      <c r="AS51" s="10"/>
    </row>
    <row r="52" spans="29:45" x14ac:dyDescent="0.5">
      <c r="AC52" s="9" t="s">
        <v>73</v>
      </c>
      <c r="AD52" s="24" t="s">
        <v>228</v>
      </c>
      <c r="AG52" s="10"/>
      <c r="AJ52" s="10"/>
      <c r="AM52" s="10"/>
      <c r="AP52" s="10"/>
      <c r="AS52" s="10"/>
    </row>
    <row r="53" spans="29:45" x14ac:dyDescent="0.5">
      <c r="AC53" s="9" t="s">
        <v>74</v>
      </c>
      <c r="AD53" s="10">
        <v>2</v>
      </c>
      <c r="AG53" s="10"/>
      <c r="AJ53" s="10"/>
      <c r="AM53" s="10"/>
      <c r="AP53" s="10"/>
      <c r="AS53" s="10"/>
    </row>
    <row r="54" spans="29:45" x14ac:dyDescent="0.5">
      <c r="AC54" s="9" t="s">
        <v>75</v>
      </c>
      <c r="AD54" s="24" t="s">
        <v>229</v>
      </c>
      <c r="AG54" s="10"/>
      <c r="AJ54" s="10"/>
      <c r="AM54" s="10"/>
      <c r="AP54" s="10"/>
      <c r="AS54" s="10"/>
    </row>
    <row r="55" spans="29:45" x14ac:dyDescent="0.5">
      <c r="AC55" s="9" t="s">
        <v>76</v>
      </c>
      <c r="AD55" s="10">
        <v>2</v>
      </c>
      <c r="AG55" s="10"/>
      <c r="AJ55" s="10"/>
      <c r="AM55" s="10"/>
      <c r="AP55" s="10"/>
      <c r="AS55" s="10"/>
    </row>
    <row r="56" spans="29:45" x14ac:dyDescent="0.5">
      <c r="AC56" s="9" t="s">
        <v>77</v>
      </c>
      <c r="AD56" s="24" t="s">
        <v>230</v>
      </c>
      <c r="AG56" s="10"/>
      <c r="AJ56" s="10"/>
      <c r="AM56" s="10"/>
      <c r="AP56" s="10"/>
      <c r="AS56" s="10"/>
    </row>
    <row r="57" spans="29:45" x14ac:dyDescent="0.5">
      <c r="AC57" s="9" t="s">
        <v>61</v>
      </c>
      <c r="AD57" s="10"/>
      <c r="AG57" s="10"/>
      <c r="AJ57" s="10"/>
      <c r="AM57" s="10"/>
      <c r="AP57" s="10"/>
      <c r="AS57" s="10"/>
    </row>
    <row r="58" spans="29:45" x14ac:dyDescent="0.5">
      <c r="AC58" s="9" t="s">
        <v>78</v>
      </c>
      <c r="AD58" s="10"/>
      <c r="AG58" s="10"/>
      <c r="AJ58" s="10"/>
      <c r="AM58" s="10"/>
      <c r="AP58" s="10"/>
      <c r="AS58" s="10"/>
    </row>
    <row r="59" spans="29:45" x14ac:dyDescent="0.5">
      <c r="AC59" s="9" t="s">
        <v>79</v>
      </c>
      <c r="AD59" s="10"/>
      <c r="AG59" s="10"/>
      <c r="AJ59" s="10"/>
      <c r="AM59" s="10"/>
      <c r="AP59" s="10"/>
      <c r="AS59" s="10"/>
    </row>
    <row r="60" spans="29:45" x14ac:dyDescent="0.5">
      <c r="AC60" s="9" t="s">
        <v>80</v>
      </c>
      <c r="AD60" s="10"/>
      <c r="AG60" s="10"/>
      <c r="AJ60" s="10"/>
      <c r="AM60" s="10"/>
      <c r="AP60" s="10"/>
      <c r="AS60" s="10"/>
    </row>
    <row r="61" spans="29:45" x14ac:dyDescent="0.5">
      <c r="AC61" s="9" t="s">
        <v>81</v>
      </c>
      <c r="AD61" s="10"/>
      <c r="AG61" s="10"/>
      <c r="AJ61" s="10"/>
      <c r="AM61" s="10"/>
      <c r="AP61" s="10"/>
      <c r="AS61" s="10"/>
    </row>
    <row r="62" spans="29:45" x14ac:dyDescent="0.5">
      <c r="AC62" s="9" t="s">
        <v>82</v>
      </c>
      <c r="AD62" s="10"/>
      <c r="AG62" s="10"/>
      <c r="AJ62" s="10"/>
      <c r="AM62" s="10"/>
      <c r="AP62" s="10"/>
      <c r="AS62" s="10"/>
    </row>
    <row r="63" spans="29:45" x14ac:dyDescent="0.5">
      <c r="AC63" s="9" t="s">
        <v>83</v>
      </c>
      <c r="AD63" s="10"/>
      <c r="AG63" s="10"/>
      <c r="AJ63" s="10"/>
      <c r="AM63" s="10"/>
      <c r="AP63" s="10"/>
      <c r="AS63" s="10"/>
    </row>
    <row r="64" spans="29:45" ht="14.7" thickBot="1" x14ac:dyDescent="0.55000000000000004">
      <c r="AC64" s="13" t="s">
        <v>84</v>
      </c>
      <c r="AD64" s="20"/>
      <c r="AG64" s="20"/>
      <c r="AJ64" s="20"/>
      <c r="AM64" s="20"/>
      <c r="AP64" s="20"/>
      <c r="AS64" s="20"/>
    </row>
    <row r="65" spans="29:45" x14ac:dyDescent="0.5">
      <c r="AC65" s="15" t="s">
        <v>35</v>
      </c>
      <c r="AD65" s="21"/>
      <c r="AG65" s="21"/>
      <c r="AJ65" s="21"/>
      <c r="AM65" s="21"/>
      <c r="AP65" s="21"/>
      <c r="AS65" s="21"/>
    </row>
    <row r="66" spans="29:45" x14ac:dyDescent="0.5">
      <c r="AC66" s="9" t="s">
        <v>36</v>
      </c>
      <c r="AD66" s="10"/>
      <c r="AG66" s="10"/>
      <c r="AJ66" s="10"/>
      <c r="AM66" s="10"/>
      <c r="AP66" s="10"/>
      <c r="AS66" s="10"/>
    </row>
    <row r="67" spans="29:45" x14ac:dyDescent="0.5">
      <c r="AC67" s="9" t="s">
        <v>36</v>
      </c>
      <c r="AD67" s="10"/>
      <c r="AG67" s="10"/>
      <c r="AJ67" s="10"/>
      <c r="AM67" s="10"/>
      <c r="AP67" s="10"/>
      <c r="AS67" s="10"/>
    </row>
    <row r="68" spans="29:45" x14ac:dyDescent="0.5">
      <c r="AC68" s="9" t="s">
        <v>37</v>
      </c>
      <c r="AD68" s="10"/>
      <c r="AG68" s="10"/>
      <c r="AJ68" s="10"/>
      <c r="AM68" s="10"/>
      <c r="AP68" s="10"/>
      <c r="AS68" s="10"/>
    </row>
    <row r="69" spans="29:45" ht="14.7" thickBot="1" x14ac:dyDescent="0.55000000000000004">
      <c r="AC69" s="11" t="s">
        <v>38</v>
      </c>
      <c r="AD69" s="12"/>
      <c r="AG69" s="12"/>
      <c r="AJ69" s="12"/>
      <c r="AM69" s="12"/>
      <c r="AP69" s="12"/>
      <c r="AS69" s="12"/>
    </row>
    <row r="70" spans="29:45" x14ac:dyDescent="0.5">
      <c r="AD70" s="1"/>
      <c r="AG70" s="1"/>
      <c r="AJ70" s="1"/>
      <c r="AM70" s="1"/>
      <c r="AP70" s="1"/>
      <c r="AS70" s="1"/>
    </row>
  </sheetData>
  <sheetProtection algorithmName="SHA-512" hashValue="OF4WqCHYXFZUcb7qWRyVZs2RDw5xe4dlOXd7pS9/5pkvwmzvlp2mqgiFylKXKXRwFKyT28cUbvdmJXx925Hd5Q==" saltValue="dd1y8E98Dtg/K3/Hlf85yQ==" spinCount="100000" sheet="1" objects="1" scenarios="1" selectLockedCells="1" autoFilter="0"/>
  <mergeCells count="2">
    <mergeCell ref="A5:A20"/>
    <mergeCell ref="A21:A3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/>
  <dimension ref="A1:AS49"/>
  <sheetViews>
    <sheetView showGridLines="0" showRowColHeaders="0" zoomScale="85" zoomScaleNormal="85" workbookViewId="0">
      <pane xSplit="29" ySplit="4" topLeftCell="AD5" activePane="bottomRight" state="frozen"/>
      <selection activeCell="AD5" sqref="AD5"/>
      <selection pane="topRight" activeCell="AD5" sqref="AD5"/>
      <selection pane="bottomLeft" activeCell="AD5" sqref="AD5"/>
      <selection pane="bottomRight" activeCell="AD5" sqref="AD5"/>
    </sheetView>
  </sheetViews>
  <sheetFormatPr baseColWidth="10" defaultRowHeight="14.35" zeroHeight="1" x14ac:dyDescent="0.5"/>
  <cols>
    <col min="1" max="1" width="6.64453125" customWidth="1"/>
    <col min="2" max="28" width="0" hidden="1" customWidth="1"/>
    <col min="29" max="29" width="15.64453125" style="1" customWidth="1"/>
    <col min="30" max="30" width="30.64453125" style="14" customWidth="1"/>
    <col min="31" max="32" width="0" hidden="1" customWidth="1"/>
    <col min="33" max="33" width="30.64453125" style="14" customWidth="1"/>
    <col min="34" max="35" width="0" hidden="1" customWidth="1"/>
    <col min="36" max="36" width="30.64453125" style="14" customWidth="1"/>
    <col min="37" max="38" width="0" hidden="1" customWidth="1"/>
    <col min="39" max="39" width="30.64453125" style="14" customWidth="1"/>
    <col min="40" max="41" width="0" hidden="1" customWidth="1"/>
    <col min="42" max="42" width="30.64453125" style="14" customWidth="1"/>
    <col min="43" max="44" width="0" hidden="1" customWidth="1"/>
    <col min="45" max="45" width="30.64453125" style="14" customWidth="1"/>
    <col min="46" max="47" width="0" hidden="1" customWidth="1"/>
  </cols>
  <sheetData>
    <row r="1" spans="1:45" hidden="1" x14ac:dyDescent="0.5">
      <c r="AC1"/>
      <c r="AD1" t="s">
        <v>185</v>
      </c>
      <c r="AG1"/>
      <c r="AJ1"/>
      <c r="AM1"/>
      <c r="AP1"/>
      <c r="AS1"/>
    </row>
    <row r="2" spans="1:45" hidden="1" x14ac:dyDescent="0.5">
      <c r="AC2"/>
      <c r="AD2">
        <v>1</v>
      </c>
      <c r="AG2"/>
      <c r="AJ2"/>
      <c r="AM2"/>
      <c r="AP2"/>
      <c r="AS2"/>
    </row>
    <row r="3" spans="1:45" ht="14.7" hidden="1" thickBot="1" x14ac:dyDescent="0.55000000000000004">
      <c r="AC3"/>
      <c r="AD3">
        <v>9</v>
      </c>
      <c r="AG3"/>
      <c r="AJ3"/>
      <c r="AM3"/>
      <c r="AP3"/>
      <c r="AS3"/>
    </row>
    <row r="4" spans="1:45" ht="20.100000000000001" customHeight="1" thickBot="1" x14ac:dyDescent="0.55000000000000004">
      <c r="A4" s="5">
        <f>COUNTA(AC4:XFD4)-1</f>
        <v>1</v>
      </c>
      <c r="AC4" s="3" t="s">
        <v>121</v>
      </c>
      <c r="AD4" s="4" t="s">
        <v>179</v>
      </c>
      <c r="AG4" s="4"/>
      <c r="AJ4" s="4"/>
      <c r="AM4" s="4"/>
      <c r="AP4" s="4"/>
      <c r="AS4" s="4"/>
    </row>
    <row r="5" spans="1:45" ht="15" thickTop="1" thickBot="1" x14ac:dyDescent="0.55000000000000004">
      <c r="A5" s="27" t="s">
        <v>117</v>
      </c>
      <c r="AC5" s="7" t="s">
        <v>0</v>
      </c>
      <c r="AD5" s="26" t="s">
        <v>231</v>
      </c>
      <c r="AG5" s="8"/>
      <c r="AJ5" s="8"/>
      <c r="AM5" s="8"/>
      <c r="AP5" s="8"/>
      <c r="AS5" s="8"/>
    </row>
    <row r="6" spans="1:45" ht="15" thickTop="1" thickBot="1" x14ac:dyDescent="0.55000000000000004">
      <c r="A6" s="27"/>
      <c r="AC6" s="9" t="s">
        <v>1</v>
      </c>
      <c r="AD6" s="10"/>
      <c r="AG6" s="10"/>
      <c r="AJ6" s="10"/>
      <c r="AM6" s="10"/>
      <c r="AP6" s="10"/>
      <c r="AS6" s="10"/>
    </row>
    <row r="7" spans="1:45" ht="15" thickTop="1" thickBot="1" x14ac:dyDescent="0.55000000000000004">
      <c r="A7" s="27"/>
      <c r="AC7" s="9" t="s">
        <v>2</v>
      </c>
      <c r="AD7" s="10"/>
      <c r="AG7" s="10"/>
      <c r="AJ7" s="10"/>
      <c r="AM7" s="10"/>
      <c r="AP7" s="10"/>
      <c r="AS7" s="10"/>
    </row>
    <row r="8" spans="1:45" ht="15" thickTop="1" thickBot="1" x14ac:dyDescent="0.55000000000000004">
      <c r="A8" s="27"/>
      <c r="AC8" s="9" t="s">
        <v>3</v>
      </c>
      <c r="AD8" s="10"/>
      <c r="AG8" s="10"/>
      <c r="AJ8" s="10"/>
      <c r="AM8" s="10"/>
      <c r="AP8" s="10"/>
      <c r="AS8" s="10"/>
    </row>
    <row r="9" spans="1:45" ht="15" thickTop="1" thickBot="1" x14ac:dyDescent="0.55000000000000004">
      <c r="A9" s="27"/>
      <c r="AC9" s="9" t="s">
        <v>4</v>
      </c>
      <c r="AD9" s="10"/>
      <c r="AG9" s="10"/>
      <c r="AJ9" s="10"/>
      <c r="AM9" s="10"/>
      <c r="AP9" s="10"/>
      <c r="AS9" s="10"/>
    </row>
    <row r="10" spans="1:45" ht="15" thickTop="1" thickBot="1" x14ac:dyDescent="0.55000000000000004">
      <c r="A10" s="27"/>
      <c r="AC10" s="9" t="s">
        <v>5</v>
      </c>
      <c r="AD10" s="10"/>
      <c r="AG10" s="10"/>
      <c r="AJ10" s="10"/>
      <c r="AM10" s="10"/>
      <c r="AP10" s="10"/>
      <c r="AS10" s="10"/>
    </row>
    <row r="11" spans="1:45" ht="15" thickTop="1" thickBot="1" x14ac:dyDescent="0.55000000000000004">
      <c r="A11" s="27"/>
      <c r="AC11" s="9" t="s">
        <v>6</v>
      </c>
      <c r="AD11" s="10"/>
      <c r="AG11" s="10"/>
      <c r="AJ11" s="10"/>
      <c r="AM11" s="10"/>
      <c r="AP11" s="10"/>
      <c r="AS11" s="10"/>
    </row>
    <row r="12" spans="1:45" ht="15" thickTop="1" thickBot="1" x14ac:dyDescent="0.55000000000000004">
      <c r="A12" s="27"/>
      <c r="AC12" s="9" t="s">
        <v>7</v>
      </c>
      <c r="AD12" s="10"/>
      <c r="AG12" s="10"/>
      <c r="AJ12" s="10"/>
      <c r="AM12" s="10"/>
      <c r="AP12" s="10"/>
      <c r="AS12" s="10"/>
    </row>
    <row r="13" spans="1:45" ht="15" thickTop="1" thickBot="1" x14ac:dyDescent="0.55000000000000004">
      <c r="A13" s="27"/>
      <c r="AC13" s="9" t="s">
        <v>8</v>
      </c>
      <c r="AD13" s="10"/>
      <c r="AG13" s="10"/>
      <c r="AJ13" s="10"/>
      <c r="AM13" s="10"/>
      <c r="AP13" s="10"/>
      <c r="AS13" s="10"/>
    </row>
    <row r="14" spans="1:45" ht="15" thickTop="1" thickBot="1" x14ac:dyDescent="0.55000000000000004">
      <c r="A14" s="27"/>
      <c r="AC14" s="9" t="s">
        <v>9</v>
      </c>
      <c r="AD14" s="10"/>
      <c r="AG14" s="10"/>
      <c r="AJ14" s="10"/>
      <c r="AM14" s="10"/>
      <c r="AP14" s="10"/>
      <c r="AS14" s="10"/>
    </row>
    <row r="15" spans="1:45" ht="15" thickTop="1" thickBot="1" x14ac:dyDescent="0.55000000000000004">
      <c r="A15" s="27"/>
      <c r="AC15" s="9" t="s">
        <v>10</v>
      </c>
      <c r="AD15" s="10"/>
      <c r="AG15" s="10"/>
      <c r="AJ15" s="10"/>
      <c r="AM15" s="10"/>
      <c r="AP15" s="10"/>
      <c r="AS15" s="10"/>
    </row>
    <row r="16" spans="1:45" ht="15" thickTop="1" thickBot="1" x14ac:dyDescent="0.55000000000000004">
      <c r="A16" s="27"/>
      <c r="AC16" s="9" t="s">
        <v>11</v>
      </c>
      <c r="AD16" s="10"/>
      <c r="AG16" s="10"/>
      <c r="AJ16" s="10"/>
      <c r="AM16" s="10"/>
      <c r="AP16" s="10"/>
      <c r="AS16" s="10"/>
    </row>
    <row r="17" spans="1:45" ht="15" thickTop="1" thickBot="1" x14ac:dyDescent="0.55000000000000004">
      <c r="A17" s="27"/>
      <c r="AC17" s="9" t="s">
        <v>12</v>
      </c>
      <c r="AD17" s="10"/>
      <c r="AG17" s="10"/>
      <c r="AJ17" s="10"/>
      <c r="AM17" s="10"/>
      <c r="AP17" s="10"/>
      <c r="AS17" s="10"/>
    </row>
    <row r="18" spans="1:45" ht="15" thickTop="1" thickBot="1" x14ac:dyDescent="0.55000000000000004">
      <c r="A18" s="27"/>
      <c r="AC18" s="9" t="s">
        <v>13</v>
      </c>
      <c r="AD18" s="10"/>
      <c r="AG18" s="10"/>
      <c r="AJ18" s="10"/>
      <c r="AM18" s="10"/>
      <c r="AP18" s="10"/>
      <c r="AS18" s="10"/>
    </row>
    <row r="19" spans="1:45" ht="15" thickTop="1" thickBot="1" x14ac:dyDescent="0.55000000000000004">
      <c r="A19" s="27"/>
      <c r="AC19" s="9" t="s">
        <v>14</v>
      </c>
      <c r="AD19" s="10"/>
      <c r="AG19" s="10"/>
      <c r="AJ19" s="10"/>
      <c r="AM19" s="10"/>
      <c r="AP19" s="10"/>
      <c r="AS19" s="10"/>
    </row>
    <row r="20" spans="1:45" ht="15" thickTop="1" thickBot="1" x14ac:dyDescent="0.55000000000000004">
      <c r="A20" s="27"/>
      <c r="AC20" s="9" t="s">
        <v>15</v>
      </c>
      <c r="AD20" s="10"/>
      <c r="AG20" s="10"/>
      <c r="AJ20" s="10"/>
      <c r="AM20" s="10"/>
      <c r="AP20" s="10"/>
      <c r="AS20" s="10"/>
    </row>
    <row r="21" spans="1:45" ht="15" thickTop="1" thickBot="1" x14ac:dyDescent="0.55000000000000004">
      <c r="A21" s="27" t="s">
        <v>118</v>
      </c>
      <c r="AC21" s="9" t="s">
        <v>16</v>
      </c>
      <c r="AD21" s="10"/>
      <c r="AG21" s="10"/>
      <c r="AJ21" s="10"/>
      <c r="AM21" s="10"/>
      <c r="AP21" s="10"/>
      <c r="AS21" s="10"/>
    </row>
    <row r="22" spans="1:45" ht="15" thickTop="1" thickBot="1" x14ac:dyDescent="0.55000000000000004">
      <c r="A22" s="27"/>
      <c r="AC22" s="9" t="s">
        <v>17</v>
      </c>
      <c r="AD22" s="10"/>
      <c r="AG22" s="10"/>
      <c r="AJ22" s="10"/>
      <c r="AM22" s="10"/>
      <c r="AP22" s="10"/>
      <c r="AS22" s="10"/>
    </row>
    <row r="23" spans="1:45" ht="15" thickTop="1" thickBot="1" x14ac:dyDescent="0.55000000000000004">
      <c r="A23" s="27"/>
      <c r="AC23" s="9" t="s">
        <v>18</v>
      </c>
      <c r="AD23" s="10"/>
      <c r="AG23" s="10"/>
      <c r="AJ23" s="10"/>
      <c r="AM23" s="10"/>
      <c r="AP23" s="10"/>
      <c r="AS23" s="10"/>
    </row>
    <row r="24" spans="1:45" ht="15" thickTop="1" thickBot="1" x14ac:dyDescent="0.55000000000000004">
      <c r="A24" s="27"/>
      <c r="AC24" s="9" t="s">
        <v>18</v>
      </c>
      <c r="AD24" s="10"/>
      <c r="AG24" s="10"/>
      <c r="AJ24" s="10"/>
      <c r="AM24" s="10"/>
      <c r="AP24" s="10"/>
      <c r="AS24" s="10"/>
    </row>
    <row r="25" spans="1:45" ht="15" thickTop="1" thickBot="1" x14ac:dyDescent="0.55000000000000004">
      <c r="A25" s="27"/>
      <c r="AC25" s="9" t="s">
        <v>18</v>
      </c>
      <c r="AD25" s="10"/>
      <c r="AG25" s="10"/>
      <c r="AJ25" s="10"/>
      <c r="AM25" s="10"/>
      <c r="AP25" s="10"/>
      <c r="AS25" s="10"/>
    </row>
    <row r="26" spans="1:45" ht="15" thickTop="1" thickBot="1" x14ac:dyDescent="0.55000000000000004">
      <c r="A26" s="27"/>
      <c r="AC26" s="9" t="s">
        <v>21</v>
      </c>
      <c r="AD26" s="10"/>
      <c r="AG26" s="10"/>
      <c r="AJ26" s="10"/>
      <c r="AM26" s="10"/>
      <c r="AP26" s="10"/>
      <c r="AS26" s="10"/>
    </row>
    <row r="27" spans="1:45" ht="15" thickTop="1" thickBot="1" x14ac:dyDescent="0.55000000000000004">
      <c r="A27" s="27"/>
      <c r="AC27" s="9" t="s">
        <v>22</v>
      </c>
      <c r="AD27" s="10"/>
      <c r="AG27" s="10"/>
      <c r="AJ27" s="10"/>
      <c r="AM27" s="10"/>
      <c r="AP27" s="10"/>
      <c r="AS27" s="10"/>
    </row>
    <row r="28" spans="1:45" ht="15" thickTop="1" thickBot="1" x14ac:dyDescent="0.55000000000000004">
      <c r="A28" s="27"/>
      <c r="AC28" s="9" t="s">
        <v>23</v>
      </c>
      <c r="AD28" s="10"/>
      <c r="AG28" s="10"/>
      <c r="AJ28" s="10"/>
      <c r="AM28" s="10"/>
      <c r="AP28" s="10"/>
      <c r="AS28" s="10"/>
    </row>
    <row r="29" spans="1:45" ht="15" thickTop="1" thickBot="1" x14ac:dyDescent="0.55000000000000004">
      <c r="A29" s="27"/>
      <c r="AC29" s="9" t="s">
        <v>24</v>
      </c>
      <c r="AD29" s="10"/>
      <c r="AG29" s="10"/>
      <c r="AJ29" s="10"/>
      <c r="AM29" s="10"/>
      <c r="AP29" s="10"/>
      <c r="AS29" s="10"/>
    </row>
    <row r="30" spans="1:45" ht="15" thickTop="1" thickBot="1" x14ac:dyDescent="0.55000000000000004">
      <c r="A30" s="27"/>
      <c r="AC30" s="9" t="s">
        <v>25</v>
      </c>
      <c r="AD30" s="10"/>
      <c r="AG30" s="10"/>
      <c r="AJ30" s="10"/>
      <c r="AM30" s="10"/>
      <c r="AP30" s="10"/>
      <c r="AS30" s="10"/>
    </row>
    <row r="31" spans="1:45" ht="15" thickTop="1" thickBot="1" x14ac:dyDescent="0.55000000000000004">
      <c r="A31" s="27"/>
      <c r="AC31" s="9" t="s">
        <v>26</v>
      </c>
      <c r="AD31" s="10"/>
      <c r="AG31" s="10"/>
      <c r="AJ31" s="10"/>
      <c r="AM31" s="10"/>
      <c r="AP31" s="10"/>
      <c r="AS31" s="10"/>
    </row>
    <row r="32" spans="1:45" ht="15" thickTop="1" thickBot="1" x14ac:dyDescent="0.55000000000000004">
      <c r="A32" s="27"/>
      <c r="AC32" s="9" t="s">
        <v>27</v>
      </c>
      <c r="AD32" s="10"/>
      <c r="AG32" s="10"/>
      <c r="AJ32" s="10"/>
      <c r="AM32" s="10"/>
      <c r="AP32" s="10"/>
      <c r="AS32" s="10"/>
    </row>
    <row r="33" spans="1:45" ht="15" thickTop="1" thickBot="1" x14ac:dyDescent="0.55000000000000004">
      <c r="A33" s="27"/>
      <c r="AC33" s="9" t="s">
        <v>28</v>
      </c>
      <c r="AD33" s="10"/>
      <c r="AG33" s="10"/>
      <c r="AJ33" s="10"/>
      <c r="AM33" s="10"/>
      <c r="AP33" s="10"/>
      <c r="AS33" s="10"/>
    </row>
    <row r="34" spans="1:45" ht="15" thickTop="1" thickBot="1" x14ac:dyDescent="0.55000000000000004">
      <c r="A34" s="27"/>
      <c r="AC34" s="9" t="s">
        <v>29</v>
      </c>
      <c r="AD34" s="10"/>
      <c r="AG34" s="10"/>
      <c r="AJ34" s="10"/>
      <c r="AM34" s="10"/>
      <c r="AP34" s="10"/>
      <c r="AS34" s="10"/>
    </row>
    <row r="35" spans="1:45" ht="15" thickTop="1" thickBot="1" x14ac:dyDescent="0.55000000000000004">
      <c r="A35" s="27"/>
      <c r="AC35" s="9" t="s">
        <v>30</v>
      </c>
      <c r="AD35" s="10"/>
      <c r="AG35" s="10"/>
      <c r="AJ35" s="10"/>
      <c r="AM35" s="10"/>
      <c r="AP35" s="10"/>
      <c r="AS35" s="10"/>
    </row>
    <row r="36" spans="1:45" ht="15" thickTop="1" thickBot="1" x14ac:dyDescent="0.55000000000000004">
      <c r="A36" s="27"/>
      <c r="AC36" s="11" t="s">
        <v>31</v>
      </c>
      <c r="AD36" s="12"/>
      <c r="AG36" s="12"/>
      <c r="AJ36" s="12"/>
      <c r="AM36" s="12"/>
      <c r="AP36" s="12"/>
      <c r="AS36" s="12"/>
    </row>
    <row r="37" spans="1:45" ht="15" customHeight="1" thickTop="1" thickBot="1" x14ac:dyDescent="0.55000000000000004">
      <c r="A37" s="16" t="str">
        <f>'Formulas OM'!A37</f>
        <v>V - 8.3</v>
      </c>
      <c r="AC37" s="2"/>
      <c r="AD37" s="2"/>
      <c r="AG37" s="2"/>
      <c r="AJ37" s="2"/>
      <c r="AM37" s="2"/>
      <c r="AP37" s="2"/>
      <c r="AS37" s="2"/>
    </row>
    <row r="38" spans="1:45" ht="20.100000000000001" customHeight="1" x14ac:dyDescent="0.5">
      <c r="AC38" s="3" t="s">
        <v>39</v>
      </c>
      <c r="AD38" s="4"/>
      <c r="AG38" s="4"/>
      <c r="AJ38" s="4"/>
      <c r="AM38" s="4"/>
      <c r="AP38" s="4"/>
      <c r="AS38" s="4"/>
    </row>
    <row r="39" spans="1:45" x14ac:dyDescent="0.5">
      <c r="AC39" s="7" t="s">
        <v>32</v>
      </c>
      <c r="AD39" s="8" t="s">
        <v>168</v>
      </c>
      <c r="AG39" s="8"/>
      <c r="AJ39" s="8"/>
      <c r="AM39" s="8"/>
      <c r="AP39" s="8"/>
      <c r="AS39" s="8"/>
    </row>
    <row r="40" spans="1:45" x14ac:dyDescent="0.5">
      <c r="AC40" s="9" t="s">
        <v>33</v>
      </c>
      <c r="AD40" s="24" t="s">
        <v>232</v>
      </c>
      <c r="AG40" s="10"/>
      <c r="AJ40" s="10"/>
      <c r="AM40" s="10"/>
      <c r="AP40" s="10"/>
      <c r="AS40" s="10"/>
    </row>
    <row r="41" spans="1:45" x14ac:dyDescent="0.5">
      <c r="AC41" s="9" t="s">
        <v>85</v>
      </c>
      <c r="AD41" s="10" t="s">
        <v>85</v>
      </c>
      <c r="AG41" s="10"/>
      <c r="AJ41" s="10"/>
      <c r="AM41" s="10"/>
      <c r="AP41" s="10"/>
      <c r="AS41" s="10"/>
    </row>
    <row r="42" spans="1:45" x14ac:dyDescent="0.5">
      <c r="AC42" s="9" t="s">
        <v>86</v>
      </c>
      <c r="AD42" s="10" t="s">
        <v>180</v>
      </c>
      <c r="AG42" s="10"/>
      <c r="AJ42" s="10"/>
      <c r="AM42" s="10"/>
      <c r="AP42" s="10"/>
      <c r="AS42" s="10"/>
    </row>
    <row r="43" spans="1:45" x14ac:dyDescent="0.5">
      <c r="AC43" s="9" t="s">
        <v>87</v>
      </c>
      <c r="AD43" s="10">
        <v>10</v>
      </c>
      <c r="AG43" s="10"/>
      <c r="AJ43" s="10"/>
      <c r="AM43" s="10"/>
      <c r="AP43" s="10"/>
      <c r="AS43" s="10"/>
    </row>
    <row r="44" spans="1:45" x14ac:dyDescent="0.5">
      <c r="AC44" s="9" t="s">
        <v>88</v>
      </c>
      <c r="AD44" s="10">
        <v>2</v>
      </c>
      <c r="AG44" s="10"/>
      <c r="AJ44" s="10"/>
      <c r="AM44" s="10"/>
      <c r="AP44" s="10"/>
      <c r="AS44" s="10"/>
    </row>
    <row r="45" spans="1:45" x14ac:dyDescent="0.5">
      <c r="AC45" s="9" t="s">
        <v>89</v>
      </c>
      <c r="AD45" s="10" t="s">
        <v>181</v>
      </c>
      <c r="AG45" s="10"/>
      <c r="AJ45" s="10"/>
      <c r="AM45" s="10"/>
      <c r="AP45" s="10"/>
      <c r="AS45" s="10"/>
    </row>
    <row r="46" spans="1:45" x14ac:dyDescent="0.5">
      <c r="AC46" s="9" t="s">
        <v>90</v>
      </c>
      <c r="AD46" s="10" t="s">
        <v>182</v>
      </c>
      <c r="AG46" s="10"/>
      <c r="AJ46" s="10"/>
      <c r="AM46" s="10"/>
      <c r="AP46" s="10"/>
      <c r="AS46" s="10"/>
    </row>
    <row r="47" spans="1:45" ht="14.7" thickBot="1" x14ac:dyDescent="0.55000000000000004">
      <c r="AC47" s="11" t="s">
        <v>91</v>
      </c>
      <c r="AD47" s="12" t="s">
        <v>183</v>
      </c>
      <c r="AE47" s="17"/>
      <c r="AF47" s="17"/>
      <c r="AG47" s="12"/>
      <c r="AH47" s="17"/>
      <c r="AI47" s="17"/>
      <c r="AJ47" s="12"/>
      <c r="AK47" s="17"/>
      <c r="AL47" s="17"/>
      <c r="AM47" s="12"/>
      <c r="AN47" s="17"/>
      <c r="AO47" s="17"/>
      <c r="AP47" s="12"/>
      <c r="AQ47" s="17"/>
      <c r="AR47" s="17"/>
      <c r="AS47" s="12"/>
    </row>
    <row r="48" spans="1:45" ht="14.7" thickBot="1" x14ac:dyDescent="0.55000000000000004">
      <c r="AC48" s="18" t="s">
        <v>38</v>
      </c>
      <c r="AD48" s="19"/>
      <c r="AG48" s="19"/>
      <c r="AJ48" s="19"/>
      <c r="AM48" s="19"/>
      <c r="AP48" s="19"/>
      <c r="AS48" s="19"/>
    </row>
    <row r="49" spans="29:29" customFormat="1" x14ac:dyDescent="0.5">
      <c r="AC49" s="1"/>
    </row>
  </sheetData>
  <sheetProtection algorithmName="SHA-512" hashValue="rS/cRcEuPNMBm3uWIFLQjptrQJuz7JhmpBNJpkMU7CnIScysRgLiu5P67GD42S/zBCut9UUiZ7TqKw0semKSww==" saltValue="QeUDD2WjdmveEEze8c/iHQ==" spinCount="100000" sheet="1" objects="1" scenarios="1" selectLockedCells="1" autoFilter="0"/>
  <mergeCells count="2">
    <mergeCell ref="A5:A20"/>
    <mergeCell ref="A21:A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/>
  <dimension ref="A1:AS47"/>
  <sheetViews>
    <sheetView showGridLines="0" showRowColHeaders="0" zoomScale="85" zoomScaleNormal="85" workbookViewId="0">
      <pane xSplit="29" ySplit="4" topLeftCell="AD5" activePane="bottomRight" state="frozen"/>
      <selection activeCell="AD5" sqref="AD5"/>
      <selection pane="topRight" activeCell="AD5" sqref="AD5"/>
      <selection pane="bottomLeft" activeCell="AD5" sqref="AD5"/>
      <selection pane="bottomRight" activeCell="AD5" sqref="AD5"/>
    </sheetView>
  </sheetViews>
  <sheetFormatPr baseColWidth="10" defaultRowHeight="14.35" zeroHeight="1" x14ac:dyDescent="0.5"/>
  <cols>
    <col min="1" max="1" width="6.64453125" customWidth="1"/>
    <col min="2" max="28" width="11.41015625" hidden="1" customWidth="1"/>
    <col min="29" max="29" width="15.64453125" style="1" customWidth="1"/>
    <col min="30" max="30" width="30.64453125" style="1" customWidth="1"/>
    <col min="31" max="32" width="0" hidden="1" customWidth="1"/>
    <col min="33" max="33" width="30.64453125" style="1" customWidth="1"/>
    <col min="34" max="35" width="0" hidden="1" customWidth="1"/>
    <col min="36" max="36" width="30.64453125" style="1" customWidth="1"/>
    <col min="37" max="38" width="0" hidden="1" customWidth="1"/>
    <col min="39" max="39" width="30.64453125" style="1" customWidth="1"/>
    <col min="40" max="41" width="0" hidden="1" customWidth="1"/>
    <col min="42" max="42" width="30.64453125" style="1" customWidth="1"/>
    <col min="43" max="44" width="0" hidden="1" customWidth="1"/>
    <col min="45" max="45" width="30.64453125" style="1" customWidth="1"/>
    <col min="46" max="47" width="0" hidden="1" customWidth="1"/>
  </cols>
  <sheetData>
    <row r="1" spans="1:45" ht="14.7" hidden="1" thickBot="1" x14ac:dyDescent="0.55000000000000004">
      <c r="AC1"/>
      <c r="AD1" t="s">
        <v>185</v>
      </c>
      <c r="AG1"/>
      <c r="AJ1"/>
      <c r="AM1"/>
      <c r="AP1"/>
      <c r="AS1"/>
    </row>
    <row r="2" spans="1:45" ht="14.7" hidden="1" thickBot="1" x14ac:dyDescent="0.55000000000000004">
      <c r="AC2"/>
      <c r="AD2">
        <v>8</v>
      </c>
      <c r="AG2"/>
      <c r="AJ2"/>
      <c r="AM2"/>
      <c r="AP2"/>
      <c r="AS2"/>
    </row>
    <row r="3" spans="1:45" ht="14.7" hidden="1" thickBot="1" x14ac:dyDescent="0.55000000000000004">
      <c r="AC3"/>
      <c r="AD3">
        <v>3</v>
      </c>
      <c r="AG3"/>
      <c r="AJ3"/>
      <c r="AM3"/>
      <c r="AP3"/>
      <c r="AS3"/>
    </row>
    <row r="4" spans="1:45" ht="20.100000000000001" customHeight="1" thickBot="1" x14ac:dyDescent="0.55000000000000004">
      <c r="A4" s="5">
        <f>COUNTA(AC4:XFD4)-1</f>
        <v>1</v>
      </c>
      <c r="AC4" s="3" t="s">
        <v>121</v>
      </c>
      <c r="AD4" s="4" t="s">
        <v>184</v>
      </c>
      <c r="AG4" s="4"/>
      <c r="AJ4" s="4"/>
      <c r="AM4" s="4"/>
      <c r="AP4" s="4"/>
      <c r="AS4" s="4"/>
    </row>
    <row r="5" spans="1:45" ht="15" thickTop="1" thickBot="1" x14ac:dyDescent="0.55000000000000004">
      <c r="A5" s="27" t="s">
        <v>120</v>
      </c>
      <c r="AC5" s="7" t="s">
        <v>0</v>
      </c>
      <c r="AD5" s="26" t="s">
        <v>186</v>
      </c>
      <c r="AG5" s="8"/>
      <c r="AJ5" s="8"/>
      <c r="AM5" s="8"/>
      <c r="AP5" s="8"/>
      <c r="AS5" s="8"/>
    </row>
    <row r="6" spans="1:45" ht="15" thickTop="1" thickBot="1" x14ac:dyDescent="0.55000000000000004">
      <c r="A6" s="27"/>
      <c r="AC6" s="9" t="s">
        <v>1</v>
      </c>
      <c r="AD6" s="24" t="s">
        <v>233</v>
      </c>
      <c r="AG6" s="10"/>
      <c r="AJ6" s="10"/>
      <c r="AM6" s="10"/>
      <c r="AP6" s="10"/>
      <c r="AS6" s="10"/>
    </row>
    <row r="7" spans="1:45" ht="15" thickTop="1" thickBot="1" x14ac:dyDescent="0.55000000000000004">
      <c r="A7" s="27"/>
      <c r="AC7" s="9" t="s">
        <v>2</v>
      </c>
      <c r="AD7" s="24" t="s">
        <v>234</v>
      </c>
      <c r="AG7" s="10"/>
      <c r="AJ7" s="10"/>
      <c r="AM7" s="10"/>
      <c r="AP7" s="10"/>
      <c r="AS7" s="10"/>
    </row>
    <row r="8" spans="1:45" ht="15" thickTop="1" thickBot="1" x14ac:dyDescent="0.55000000000000004">
      <c r="A8" s="27"/>
      <c r="AC8" s="9" t="s">
        <v>3</v>
      </c>
      <c r="AD8" s="24" t="s">
        <v>235</v>
      </c>
      <c r="AG8" s="10"/>
      <c r="AJ8" s="10"/>
      <c r="AM8" s="10"/>
      <c r="AP8" s="10"/>
      <c r="AS8" s="10"/>
    </row>
    <row r="9" spans="1:45" ht="15" thickTop="1" thickBot="1" x14ac:dyDescent="0.55000000000000004">
      <c r="A9" s="27"/>
      <c r="AC9" s="9" t="s">
        <v>4</v>
      </c>
      <c r="AD9" s="10"/>
      <c r="AG9" s="10"/>
      <c r="AJ9" s="10"/>
      <c r="AM9" s="10"/>
      <c r="AP9" s="10"/>
      <c r="AS9" s="10"/>
    </row>
    <row r="10" spans="1:45" ht="15" thickTop="1" thickBot="1" x14ac:dyDescent="0.55000000000000004">
      <c r="A10" s="27"/>
      <c r="AC10" s="9" t="s">
        <v>5</v>
      </c>
      <c r="AD10" s="10"/>
      <c r="AG10" s="10"/>
      <c r="AJ10" s="10"/>
      <c r="AM10" s="10"/>
      <c r="AP10" s="10"/>
      <c r="AS10" s="10"/>
    </row>
    <row r="11" spans="1:45" ht="15" thickTop="1" thickBot="1" x14ac:dyDescent="0.55000000000000004">
      <c r="A11" s="27"/>
      <c r="AC11" s="9" t="s">
        <v>6</v>
      </c>
      <c r="AD11" s="10"/>
      <c r="AG11" s="10"/>
      <c r="AJ11" s="10"/>
      <c r="AM11" s="10"/>
      <c r="AP11" s="10"/>
      <c r="AS11" s="10"/>
    </row>
    <row r="12" spans="1:45" ht="15" thickTop="1" thickBot="1" x14ac:dyDescent="0.55000000000000004">
      <c r="A12" s="27"/>
      <c r="AC12" s="9" t="s">
        <v>7</v>
      </c>
      <c r="AD12" s="10"/>
      <c r="AG12" s="10"/>
      <c r="AJ12" s="10"/>
      <c r="AM12" s="10"/>
      <c r="AP12" s="10"/>
      <c r="AS12" s="10"/>
    </row>
    <row r="13" spans="1:45" ht="15" thickTop="1" thickBot="1" x14ac:dyDescent="0.55000000000000004">
      <c r="A13" s="27"/>
      <c r="AC13" s="9" t="s">
        <v>8</v>
      </c>
      <c r="AD13" s="10"/>
      <c r="AG13" s="10"/>
      <c r="AJ13" s="10"/>
      <c r="AM13" s="10"/>
      <c r="AP13" s="10"/>
      <c r="AS13" s="10"/>
    </row>
    <row r="14" spans="1:45" ht="15" thickTop="1" thickBot="1" x14ac:dyDescent="0.55000000000000004">
      <c r="A14" s="27"/>
      <c r="AC14" s="9" t="s">
        <v>9</v>
      </c>
      <c r="AD14" s="10"/>
      <c r="AG14" s="10"/>
      <c r="AJ14" s="10"/>
      <c r="AM14" s="10"/>
      <c r="AP14" s="10"/>
      <c r="AS14" s="10"/>
    </row>
    <row r="15" spans="1:45" ht="15" thickTop="1" thickBot="1" x14ac:dyDescent="0.55000000000000004">
      <c r="A15" s="27"/>
      <c r="AC15" s="9" t="s">
        <v>10</v>
      </c>
      <c r="AD15" s="10"/>
      <c r="AG15" s="10"/>
      <c r="AJ15" s="10"/>
      <c r="AM15" s="10"/>
      <c r="AP15" s="10"/>
      <c r="AS15" s="10"/>
    </row>
    <row r="16" spans="1:45" ht="15" thickTop="1" thickBot="1" x14ac:dyDescent="0.55000000000000004">
      <c r="A16" s="27"/>
      <c r="AC16" s="9" t="s">
        <v>11</v>
      </c>
      <c r="AD16" s="10"/>
      <c r="AG16" s="10"/>
      <c r="AJ16" s="10"/>
      <c r="AM16" s="10"/>
      <c r="AP16" s="10"/>
      <c r="AS16" s="10"/>
    </row>
    <row r="17" spans="1:45" ht="15" thickTop="1" thickBot="1" x14ac:dyDescent="0.55000000000000004">
      <c r="A17" s="27"/>
      <c r="AC17" s="9" t="s">
        <v>12</v>
      </c>
      <c r="AD17" s="10"/>
      <c r="AG17" s="10"/>
      <c r="AJ17" s="10"/>
      <c r="AM17" s="10"/>
      <c r="AP17" s="10"/>
      <c r="AS17" s="10"/>
    </row>
    <row r="18" spans="1:45" ht="15" thickTop="1" thickBot="1" x14ac:dyDescent="0.55000000000000004">
      <c r="A18" s="27"/>
      <c r="AC18" s="9" t="s">
        <v>13</v>
      </c>
      <c r="AD18" s="10"/>
      <c r="AG18" s="10"/>
      <c r="AJ18" s="10"/>
      <c r="AM18" s="10"/>
      <c r="AP18" s="10"/>
      <c r="AS18" s="10"/>
    </row>
    <row r="19" spans="1:45" ht="15" thickTop="1" thickBot="1" x14ac:dyDescent="0.55000000000000004">
      <c r="A19" s="27"/>
      <c r="AC19" s="9" t="s">
        <v>14</v>
      </c>
      <c r="AD19" s="10"/>
      <c r="AG19" s="10"/>
      <c r="AJ19" s="10"/>
      <c r="AM19" s="10"/>
      <c r="AP19" s="10"/>
      <c r="AS19" s="10"/>
    </row>
    <row r="20" spans="1:45" ht="15" thickTop="1" thickBot="1" x14ac:dyDescent="0.55000000000000004">
      <c r="A20" s="27"/>
      <c r="AC20" s="9" t="s">
        <v>15</v>
      </c>
      <c r="AD20" s="10"/>
      <c r="AG20" s="10"/>
      <c r="AJ20" s="10"/>
      <c r="AM20" s="10"/>
      <c r="AP20" s="10"/>
      <c r="AS20" s="10"/>
    </row>
    <row r="21" spans="1:45" ht="15" thickTop="1" thickBot="1" x14ac:dyDescent="0.55000000000000004">
      <c r="A21" s="27" t="s">
        <v>119</v>
      </c>
      <c r="AC21" s="9" t="s">
        <v>16</v>
      </c>
      <c r="AD21" s="24" t="s">
        <v>236</v>
      </c>
      <c r="AG21" s="10"/>
      <c r="AJ21" s="10"/>
      <c r="AM21" s="10"/>
      <c r="AP21" s="10"/>
      <c r="AS21" s="10"/>
    </row>
    <row r="22" spans="1:45" ht="15" thickTop="1" thickBot="1" x14ac:dyDescent="0.55000000000000004">
      <c r="A22" s="27"/>
      <c r="AC22" s="9" t="s">
        <v>17</v>
      </c>
      <c r="AD22" s="24" t="s">
        <v>237</v>
      </c>
      <c r="AG22" s="10"/>
      <c r="AJ22" s="10"/>
      <c r="AM22" s="10"/>
      <c r="AP22" s="10"/>
      <c r="AS22" s="10"/>
    </row>
    <row r="23" spans="1:45" ht="15" thickTop="1" thickBot="1" x14ac:dyDescent="0.55000000000000004">
      <c r="A23" s="27"/>
      <c r="AC23" s="9" t="s">
        <v>18</v>
      </c>
      <c r="AD23" s="24" t="s">
        <v>238</v>
      </c>
      <c r="AG23" s="10"/>
      <c r="AJ23" s="10"/>
      <c r="AM23" s="10"/>
      <c r="AP23" s="10"/>
      <c r="AS23" s="10"/>
    </row>
    <row r="24" spans="1:45" ht="15" thickTop="1" thickBot="1" x14ac:dyDescent="0.55000000000000004">
      <c r="A24" s="27"/>
      <c r="AC24" s="9" t="s">
        <v>19</v>
      </c>
      <c r="AD24" s="24" t="s">
        <v>239</v>
      </c>
      <c r="AG24" s="10"/>
      <c r="AJ24" s="10"/>
      <c r="AM24" s="10"/>
      <c r="AP24" s="10"/>
      <c r="AS24" s="10"/>
    </row>
    <row r="25" spans="1:45" ht="15" thickTop="1" thickBot="1" x14ac:dyDescent="0.55000000000000004">
      <c r="A25" s="27"/>
      <c r="AC25" s="9" t="s">
        <v>20</v>
      </c>
      <c r="AD25" s="10"/>
      <c r="AG25" s="10"/>
      <c r="AJ25" s="10"/>
      <c r="AM25" s="10"/>
      <c r="AP25" s="10"/>
      <c r="AS25" s="10"/>
    </row>
    <row r="26" spans="1:45" ht="15" thickTop="1" thickBot="1" x14ac:dyDescent="0.55000000000000004">
      <c r="A26" s="27"/>
      <c r="AC26" s="9" t="s">
        <v>21</v>
      </c>
      <c r="AD26" s="10"/>
      <c r="AG26" s="10"/>
      <c r="AJ26" s="10"/>
      <c r="AM26" s="10"/>
      <c r="AP26" s="10"/>
      <c r="AS26" s="10"/>
    </row>
    <row r="27" spans="1:45" ht="15" thickTop="1" thickBot="1" x14ac:dyDescent="0.55000000000000004">
      <c r="A27" s="27"/>
      <c r="AC27" s="9" t="s">
        <v>22</v>
      </c>
      <c r="AD27" s="10"/>
      <c r="AG27" s="10"/>
      <c r="AJ27" s="10"/>
      <c r="AM27" s="10"/>
      <c r="AP27" s="10"/>
      <c r="AS27" s="10"/>
    </row>
    <row r="28" spans="1:45" ht="15" thickTop="1" thickBot="1" x14ac:dyDescent="0.55000000000000004">
      <c r="A28" s="27"/>
      <c r="AC28" s="9" t="s">
        <v>23</v>
      </c>
      <c r="AD28" s="10"/>
      <c r="AG28" s="10"/>
      <c r="AJ28" s="10"/>
      <c r="AM28" s="10"/>
      <c r="AP28" s="10"/>
      <c r="AS28" s="10"/>
    </row>
    <row r="29" spans="1:45" ht="15" thickTop="1" thickBot="1" x14ac:dyDescent="0.55000000000000004">
      <c r="A29" s="27"/>
      <c r="AC29" s="9" t="s">
        <v>24</v>
      </c>
      <c r="AD29" s="10"/>
      <c r="AG29" s="10"/>
      <c r="AJ29" s="10"/>
      <c r="AM29" s="10"/>
      <c r="AP29" s="10"/>
      <c r="AS29" s="10"/>
    </row>
    <row r="30" spans="1:45" ht="15" thickTop="1" thickBot="1" x14ac:dyDescent="0.55000000000000004">
      <c r="A30" s="27"/>
      <c r="AC30" s="9" t="s">
        <v>25</v>
      </c>
      <c r="AD30" s="10"/>
      <c r="AG30" s="10"/>
      <c r="AJ30" s="10"/>
      <c r="AM30" s="10"/>
      <c r="AP30" s="10"/>
      <c r="AS30" s="10"/>
    </row>
    <row r="31" spans="1:45" ht="15" thickTop="1" thickBot="1" x14ac:dyDescent="0.55000000000000004">
      <c r="A31" s="27"/>
      <c r="AC31" s="9" t="s">
        <v>26</v>
      </c>
      <c r="AD31" s="10"/>
      <c r="AG31" s="10"/>
      <c r="AJ31" s="10"/>
      <c r="AM31" s="10"/>
      <c r="AP31" s="10"/>
      <c r="AS31" s="10"/>
    </row>
    <row r="32" spans="1:45" ht="15" thickTop="1" thickBot="1" x14ac:dyDescent="0.55000000000000004">
      <c r="A32" s="27"/>
      <c r="AC32" s="9" t="s">
        <v>27</v>
      </c>
      <c r="AD32" s="10"/>
      <c r="AG32" s="10"/>
      <c r="AJ32" s="10"/>
      <c r="AM32" s="10"/>
      <c r="AP32" s="10"/>
      <c r="AS32" s="10"/>
    </row>
    <row r="33" spans="1:45" ht="15" thickTop="1" thickBot="1" x14ac:dyDescent="0.55000000000000004">
      <c r="A33" s="27"/>
      <c r="AC33" s="9" t="s">
        <v>28</v>
      </c>
      <c r="AD33" s="10"/>
      <c r="AG33" s="10"/>
      <c r="AJ33" s="10"/>
      <c r="AM33" s="10"/>
      <c r="AP33" s="10"/>
      <c r="AS33" s="10"/>
    </row>
    <row r="34" spans="1:45" ht="15" thickTop="1" thickBot="1" x14ac:dyDescent="0.55000000000000004">
      <c r="A34" s="27"/>
      <c r="AC34" s="9" t="s">
        <v>29</v>
      </c>
      <c r="AD34" s="10"/>
      <c r="AG34" s="10"/>
      <c r="AJ34" s="10"/>
      <c r="AM34" s="10"/>
      <c r="AP34" s="10"/>
      <c r="AS34" s="10"/>
    </row>
    <row r="35" spans="1:45" ht="15" thickTop="1" thickBot="1" x14ac:dyDescent="0.55000000000000004">
      <c r="A35" s="27"/>
      <c r="AC35" s="9" t="s">
        <v>30</v>
      </c>
      <c r="AD35" s="10"/>
      <c r="AG35" s="10"/>
      <c r="AJ35" s="10"/>
      <c r="AM35" s="10"/>
      <c r="AP35" s="10"/>
      <c r="AS35" s="10"/>
    </row>
    <row r="36" spans="1:45" ht="15" thickTop="1" thickBot="1" x14ac:dyDescent="0.55000000000000004">
      <c r="A36" s="27"/>
      <c r="AC36" s="11" t="s">
        <v>31</v>
      </c>
      <c r="AD36" s="12"/>
      <c r="AG36" s="12"/>
      <c r="AJ36" s="12"/>
      <c r="AM36" s="12"/>
      <c r="AP36" s="12"/>
      <c r="AS36" s="12"/>
    </row>
    <row r="37" spans="1:45" ht="15" customHeight="1" thickTop="1" thickBot="1" x14ac:dyDescent="0.55000000000000004">
      <c r="A37" s="16" t="str">
        <f>'Formulas OM'!A37</f>
        <v>V - 8.3</v>
      </c>
      <c r="AC37" s="2"/>
      <c r="AD37" s="2"/>
      <c r="AG37" s="2"/>
      <c r="AJ37" s="2"/>
      <c r="AM37" s="2"/>
      <c r="AP37" s="2"/>
      <c r="AS37" s="2"/>
    </row>
    <row r="38" spans="1:45" ht="20.100000000000001" customHeight="1" x14ac:dyDescent="0.5">
      <c r="AC38" s="6" t="s">
        <v>39</v>
      </c>
      <c r="AD38" s="23"/>
      <c r="AG38" s="23"/>
      <c r="AJ38" s="23"/>
      <c r="AM38" s="23"/>
      <c r="AP38" s="23"/>
      <c r="AS38" s="23"/>
    </row>
    <row r="39" spans="1:45" x14ac:dyDescent="0.5">
      <c r="AC39" s="7" t="s">
        <v>32</v>
      </c>
      <c r="AD39" s="8" t="s">
        <v>168</v>
      </c>
      <c r="AG39" s="8"/>
      <c r="AJ39" s="8"/>
      <c r="AM39" s="8"/>
      <c r="AP39" s="8"/>
      <c r="AS39" s="8"/>
    </row>
    <row r="40" spans="1:45" x14ac:dyDescent="0.5">
      <c r="AC40" s="9" t="s">
        <v>33</v>
      </c>
      <c r="AD40" s="24" t="s">
        <v>240</v>
      </c>
      <c r="AG40" s="10"/>
      <c r="AJ40" s="10"/>
      <c r="AM40" s="10"/>
      <c r="AP40" s="10"/>
      <c r="AS40" s="10"/>
    </row>
    <row r="41" spans="1:45" ht="14.7" thickBot="1" x14ac:dyDescent="0.55000000000000004">
      <c r="AC41" s="9" t="s">
        <v>34</v>
      </c>
      <c r="AD41" s="10">
        <v>10</v>
      </c>
      <c r="AG41" s="10"/>
      <c r="AJ41" s="10"/>
      <c r="AM41" s="10"/>
      <c r="AP41" s="10"/>
      <c r="AS41" s="10"/>
    </row>
    <row r="42" spans="1:45" x14ac:dyDescent="0.5">
      <c r="AC42" s="15" t="s">
        <v>35</v>
      </c>
      <c r="AD42" s="21"/>
      <c r="AG42" s="21"/>
      <c r="AJ42" s="21"/>
      <c r="AM42" s="21"/>
      <c r="AP42" s="21"/>
      <c r="AS42" s="21"/>
    </row>
    <row r="43" spans="1:45" x14ac:dyDescent="0.5">
      <c r="AC43" s="9" t="s">
        <v>36</v>
      </c>
      <c r="AD43" s="10"/>
      <c r="AG43" s="10"/>
      <c r="AJ43" s="10"/>
      <c r="AM43" s="10"/>
      <c r="AP43" s="10"/>
      <c r="AS43" s="10"/>
    </row>
    <row r="44" spans="1:45" x14ac:dyDescent="0.5">
      <c r="AC44" s="9" t="s">
        <v>36</v>
      </c>
      <c r="AD44" s="10"/>
      <c r="AG44" s="10"/>
      <c r="AJ44" s="10"/>
      <c r="AM44" s="10"/>
      <c r="AP44" s="10"/>
      <c r="AS44" s="10"/>
    </row>
    <row r="45" spans="1:45" x14ac:dyDescent="0.5">
      <c r="AC45" s="9" t="s">
        <v>37</v>
      </c>
      <c r="AD45" s="10"/>
      <c r="AG45" s="10"/>
      <c r="AJ45" s="10"/>
      <c r="AM45" s="10"/>
      <c r="AP45" s="10"/>
      <c r="AS45" s="10"/>
    </row>
    <row r="46" spans="1:45" ht="14.7" thickBot="1" x14ac:dyDescent="0.55000000000000004">
      <c r="AC46" s="11" t="s">
        <v>38</v>
      </c>
      <c r="AD46" s="12"/>
      <c r="AG46" s="12"/>
      <c r="AJ46" s="12"/>
      <c r="AM46" s="12"/>
      <c r="AP46" s="12"/>
      <c r="AS46" s="12"/>
    </row>
    <row r="47" spans="1:45" x14ac:dyDescent="0.5"/>
  </sheetData>
  <sheetProtection algorithmName="SHA-512" hashValue="9/zybYCIsQJqCrCKv0c82W7EXpYepM+Yq82n606mNsRi5bAuBIPC2Q0Tx6PyM2td+htBB95noj+aHk30UQJOjg==" saltValue="Seg1lQQp0OttR1fYoDsCOw==" spinCount="100000" sheet="1" objects="1" scenarios="1" selectLockedCells="1" autoFilter="0"/>
  <mergeCells count="2">
    <mergeCell ref="A5:A20"/>
    <mergeCell ref="A21:A36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Formulas DG</vt:lpstr>
      <vt:lpstr>Formulas OM</vt:lpstr>
      <vt:lpstr>Formulas O2</vt:lpstr>
      <vt:lpstr>Formulas VF</vt:lpstr>
      <vt:lpstr>Formulas EM</vt:lpstr>
      <vt:lpstr>Formulas RC</vt:lpstr>
      <vt:lpstr>Formulas PP</vt:lpstr>
      <vt:lpstr>Formulas EN</vt:lpstr>
      <vt:lpstr>Formulas 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Milagros Huerta Gómez de Merodio</dc:creator>
  <cp:lastModifiedBy>Alazne Huerta Gómez de Merodio</cp:lastModifiedBy>
  <dcterms:created xsi:type="dcterms:W3CDTF">2021-11-27T14:19:19Z</dcterms:created>
  <dcterms:modified xsi:type="dcterms:W3CDTF">2024-12-28T10:59:11Z</dcterms:modified>
</cp:coreProperties>
</file>