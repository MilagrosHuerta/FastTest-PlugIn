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C:\Users\JMPN\Desktop\FastTest PlugIn\z. V7.4\"/>
    </mc:Choice>
  </mc:AlternateContent>
  <bookViews>
    <workbookView showHorizontalScroll="0" showVertic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functionGroups builtInGroupCount="18"/>
  <externalReferences>
    <externalReference r:id="rId11"/>
  </externalReferences>
  <definedNames>
    <definedName name="_xlnm._FilterDatabase" localSheetId="9" hidden="1">DICCIONARIO!$A$1:$N$67</definedName>
    <definedName name="APP">"FastTest PlugIn"</definedName>
    <definedName name="AUTOR">INICIO!$I$5</definedName>
    <definedName name="IDIOMA">INICIO!$A$37</definedName>
    <definedName name="IDIOMA_Otro">DICCIONARIO!$B$67</definedName>
    <definedName name="LANGUAGE">INICIO!$A$11</definedName>
    <definedName name="Nom_Archivo_DB">INICIO!$P$5</definedName>
    <definedName name="PREGUNTAR_IDIOMA">INICIO!$F$37</definedName>
    <definedName name="Ult_F_Dic">DICCIONARIO!$D$67</definedName>
    <definedName name="Version">INICIO!$P$9</definedName>
    <definedName name="Z_BP_00_CS">DICCIONARIO!$L$21</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CS">DICCIONARIO!$L$22</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CS">DICCIONARIO!$L$23</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CS">DICCIONARIO!$L$24</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CS">DICCIONARIO!$L$25</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CS">DICCIONARIO!$L$26</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CS">DICCIONARIO!$L$27</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CS">DICCIONARIO!$L$28</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CS">DICCIONARIO!$L$29</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CS">DICCIONARIO!$L$30</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CS">DICCIONARIO!$L$31</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CS">DICCIONARIO!$L$32</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CS">DICCIONARIO!$L$33</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CS">DICCIONARIO!$L$34</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CS">DICCIONARIO!$L$35</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CS">DICCIONARIO!$L$36</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CS">DICCIONARIO!$L$37</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CS">DICCIONARIO!$L$38</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CS">DICCIONARIO!$L$39</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CS">DICCIONARIO!$L$40</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CS">DICCIONARIO!$L$41</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CS">DICCIONARIO!$L$42</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CS">DICCIONARIO!$L$43</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CS">DICCIONARIO!$L$44</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CS">DICCIONARIO!$L$45</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CS">DICCIONARIO!$L$46</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CS">DICCIONARIO!$L$47</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CS">DICCIONARIO!$L$48</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CS">DICCIONARIO!$L$49</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CS">DICCIONARIO!$L$50</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CS">DICCIONARIO!$L$51</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CS">DICCIONARIO!$L$52</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CS">DICCIONARIO!$L$53</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BP_33_CS">DICCIONARIO!$L$54</definedName>
    <definedName name="Z_BP_33_D">DICCIONARIO!$K$54</definedName>
    <definedName name="Z_BP_33_E">DICCIONARIO!$G$54</definedName>
    <definedName name="Z_BP_33_F">DICCIONARIO!$H$54</definedName>
    <definedName name="Z_BP_33_I">DICCIONARIO!$J$54</definedName>
    <definedName name="Z_BP_33_P">DICCIONARIO!$I$54</definedName>
    <definedName name="Z_BP_33_S">DICCIONARIO!$F$54</definedName>
    <definedName name="Z_IN_00_CS">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CS">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CS">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CS">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CS">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CS">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CS">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CS">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CS">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CS">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CS">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CS">DICCIONARIO!$L$14</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CS">DICCIONARIO!$L$15</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CS">DICCIONARIO!$L$16</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CS">DICCIONARIO!$L$17</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CS">DICCIONARIO!$L$18</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CS">DICCIONARIO!$L$19</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CS">DICCIONARIO!$L$20</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0_S">INICIO!$G$37</definedName>
    <definedName name="Z_TX_00_CS">DICCIONARIO!$L$55</definedName>
    <definedName name="Z_TX_00_D">DICCIONARIO!$K$55</definedName>
    <definedName name="Z_TX_00_E">DICCIONARIO!$G$55</definedName>
    <definedName name="Z_TX_00_F">DICCIONARIO!$H$55</definedName>
    <definedName name="Z_TX_00_I">DICCIONARIO!$J$55</definedName>
    <definedName name="Z_TX_00_O">DICCIONARIO!$E$55</definedName>
    <definedName name="Z_TX_00_P">DICCIONARIO!$I$55</definedName>
    <definedName name="Z_TX_00_S">DICCIONARIO!$F$55</definedName>
    <definedName name="Z_TX_01_CS">DICCIONARIO!$L$56</definedName>
    <definedName name="Z_TX_01_D">DICCIONARIO!$K$56</definedName>
    <definedName name="Z_TX_01_E">DICCIONARIO!$G$56</definedName>
    <definedName name="Z_TX_01_F">DICCIONARIO!$H$56</definedName>
    <definedName name="Z_TX_01_I">DICCIONARIO!$J$56</definedName>
    <definedName name="Z_TX_01_O">DICCIONARIO!$E$56</definedName>
    <definedName name="Z_TX_01_P">DICCIONARIO!$I$56</definedName>
    <definedName name="Z_TX_01_S">DICCIONARIO!$F$56</definedName>
    <definedName name="Z_TX_92_1_">DICCIONARIO!$N$57</definedName>
    <definedName name="Z_TX_92_1_CS">DICCIONARIO!$L$57</definedName>
    <definedName name="Z_TX_92_1_D">DICCIONARIO!$K$57</definedName>
    <definedName name="Z_TX_92_1_E">DICCIONARIO!$G$57</definedName>
    <definedName name="Z_TX_92_1_F">DICCIONARIO!$H$57</definedName>
    <definedName name="Z_TX_92_1_I">DICCIONARIO!$J$57</definedName>
    <definedName name="Z_TX_92_1_O">DICCIONARIO!$E$57</definedName>
    <definedName name="Z_TX_92_1_P">DICCIONARIO!$I$57</definedName>
    <definedName name="Z_TX_92_1_S">DICCIONARIO!$F$57</definedName>
    <definedName name="Z_TX_92_10_">DICCIONARIO!#REF!</definedName>
    <definedName name="Z_TX_92_10_CS">DICCIONARIO!$L$66</definedName>
    <definedName name="Z_TX_92_10_D">DICCIONARIO!$K$66</definedName>
    <definedName name="Z_TX_92_10_E">DICCIONARIO!$G$66</definedName>
    <definedName name="Z_TX_92_10_F">DICCIONARIO!$H$66</definedName>
    <definedName name="Z_TX_92_10_I">DICCIONARIO!$J$66</definedName>
    <definedName name="Z_TX_92_10_O">DICCIONARIO!$E$66</definedName>
    <definedName name="Z_TX_92_10_P">DICCIONARIO!$I$66</definedName>
    <definedName name="Z_TX_92_10_S">DICCIONARIO!$F$66</definedName>
    <definedName name="Z_TX_92_11_">DICCIONARIO!#REF!</definedName>
    <definedName name="Z_TX_92_11_D">DICCIONARIO!#REF!</definedName>
    <definedName name="Z_TX_92_11_E">DICCIONARIO!#REF!</definedName>
    <definedName name="Z_TX_92_11_F">DICCIONARIO!#REF!</definedName>
    <definedName name="Z_TX_92_11_I">DICCIONARIO!#REF!</definedName>
    <definedName name="Z_TX_92_11_O">DICCIONARIO!#REF!</definedName>
    <definedName name="Z_TX_92_11_P">DICCIONARIO!#REF!</definedName>
    <definedName name="Z_TX_92_11_S">DICCIONARIO!#REF!</definedName>
    <definedName name="Z_TX_92_12_">DICCIONARIO!#REF!</definedName>
    <definedName name="Z_TX_92_12_D">DICCIONARIO!#REF!</definedName>
    <definedName name="Z_TX_92_12_E">DICCIONARIO!#REF!</definedName>
    <definedName name="Z_TX_92_12_F">DICCIONARIO!#REF!</definedName>
    <definedName name="Z_TX_92_12_I">DICCIONARIO!#REF!</definedName>
    <definedName name="Z_TX_92_12_O">DICCIONARIO!#REF!</definedName>
    <definedName name="Z_TX_92_12_P">DICCIONARIO!#REF!</definedName>
    <definedName name="Z_TX_92_12_S">DICCIONARIO!#REF!</definedName>
    <definedName name="Z_TX_92_13_">DICCIONARIO!#REF!</definedName>
    <definedName name="Z_TX_92_13_D">DICCIONARIO!#REF!</definedName>
    <definedName name="Z_TX_92_13_E">DICCIONARIO!#REF!</definedName>
    <definedName name="Z_TX_92_13_F">DICCIONARIO!#REF!</definedName>
    <definedName name="Z_TX_92_13_I">DICCIONARIO!#REF!</definedName>
    <definedName name="Z_TX_92_13_O">DICCIONARIO!#REF!</definedName>
    <definedName name="Z_TX_92_13_P">DICCIONARIO!#REF!</definedName>
    <definedName name="Z_TX_92_13_S">DICCIONARIO!#REF!</definedName>
    <definedName name="Z_TX_92_14_">DICCIONARIO!#REF!</definedName>
    <definedName name="Z_TX_92_14_D">DICCIONARIO!#REF!</definedName>
    <definedName name="Z_TX_92_14_E">DICCIONARIO!#REF!</definedName>
    <definedName name="Z_TX_92_14_F">DICCIONARIO!#REF!</definedName>
    <definedName name="Z_TX_92_14_I">DICCIONARIO!#REF!</definedName>
    <definedName name="Z_TX_92_14_O">DICCIONARIO!#REF!</definedName>
    <definedName name="Z_TX_92_14_P">DICCIONARIO!#REF!</definedName>
    <definedName name="Z_TX_92_14_S">DICCIONARIO!#REF!</definedName>
    <definedName name="Z_TX_92_15_">DICCIONARIO!#REF!</definedName>
    <definedName name="Z_TX_92_15_D">DICCIONARIO!#REF!</definedName>
    <definedName name="Z_TX_92_15_E">DICCIONARIO!#REF!</definedName>
    <definedName name="Z_TX_92_15_F">DICCIONARIO!#REF!</definedName>
    <definedName name="Z_TX_92_15_I">DICCIONARIO!#REF!</definedName>
    <definedName name="Z_TX_92_15_O">DICCIONARIO!#REF!</definedName>
    <definedName name="Z_TX_92_15_P">DICCIONARIO!#REF!</definedName>
    <definedName name="Z_TX_92_15_S">DICCIONARIO!#REF!</definedName>
    <definedName name="Z_TX_92_16_">DICCIONARIO!#REF!</definedName>
    <definedName name="Z_TX_92_16_D">DICCIONARIO!#REF!</definedName>
    <definedName name="Z_TX_92_16_E">DICCIONARIO!#REF!</definedName>
    <definedName name="Z_TX_92_16_F">DICCIONARIO!#REF!</definedName>
    <definedName name="Z_TX_92_16_I">DICCIONARIO!#REF!</definedName>
    <definedName name="Z_TX_92_16_O">DICCIONARIO!#REF!</definedName>
    <definedName name="Z_TX_92_16_P">DICCIONARIO!#REF!</definedName>
    <definedName name="Z_TX_92_16_S">DICCIONARIO!#REF!</definedName>
    <definedName name="Z_TX_92_2_">DICCIONARIO!$N$58</definedName>
    <definedName name="Z_TX_92_2_CS">DICCIONARIO!$L$58</definedName>
    <definedName name="Z_TX_92_2_D">DICCIONARIO!$K$58</definedName>
    <definedName name="Z_TX_92_2_E">DICCIONARIO!$G$58</definedName>
    <definedName name="Z_TX_92_2_F">DICCIONARIO!$H$58</definedName>
    <definedName name="Z_TX_92_2_I">DICCIONARIO!$J$58</definedName>
    <definedName name="Z_TX_92_2_O">DICCIONARIO!$E$58</definedName>
    <definedName name="Z_TX_92_2_P">DICCIONARIO!$I$58</definedName>
    <definedName name="Z_TX_92_2_S">DICCIONARIO!$F$58</definedName>
    <definedName name="Z_TX_92_3_">DICCIONARIO!$N$59</definedName>
    <definedName name="Z_TX_92_3_CS">DICCIONARIO!$L$59</definedName>
    <definedName name="Z_TX_92_3_D">DICCIONARIO!$K$59</definedName>
    <definedName name="Z_TX_92_3_E">DICCIONARIO!$G$59</definedName>
    <definedName name="Z_TX_92_3_F">DICCIONARIO!$H$59</definedName>
    <definedName name="Z_TX_92_3_I">DICCIONARIO!$J$59</definedName>
    <definedName name="Z_TX_92_3_O">DICCIONARIO!$E$59</definedName>
    <definedName name="Z_TX_92_3_P">DICCIONARIO!$I$59</definedName>
    <definedName name="Z_TX_92_3_S">DICCIONARIO!$F$59</definedName>
    <definedName name="Z_TX_92_4_">DICCIONARIO!$N$60</definedName>
    <definedName name="Z_TX_92_4_CS">DICCIONARIO!$L$60</definedName>
    <definedName name="Z_TX_92_4_D">DICCIONARIO!$K$60</definedName>
    <definedName name="Z_TX_92_4_E">DICCIONARIO!$G$60</definedName>
    <definedName name="Z_TX_92_4_F">DICCIONARIO!$H$60</definedName>
    <definedName name="Z_TX_92_4_I">DICCIONARIO!$J$60</definedName>
    <definedName name="Z_TX_92_4_O">DICCIONARIO!$E$60</definedName>
    <definedName name="Z_TX_92_4_P">DICCIONARIO!$I$60</definedName>
    <definedName name="Z_TX_92_4_S">DICCIONARIO!$F$60</definedName>
    <definedName name="Z_TX_92_5_">DICCIONARIO!$N$61</definedName>
    <definedName name="Z_TX_92_5_CS">DICCIONARIO!$L$61</definedName>
    <definedName name="Z_TX_92_5_D">DICCIONARIO!$K$61</definedName>
    <definedName name="Z_TX_92_5_E">DICCIONARIO!$G$61</definedName>
    <definedName name="Z_TX_92_5_F">DICCIONARIO!$H$61</definedName>
    <definedName name="Z_TX_92_5_I">DICCIONARIO!$J$61</definedName>
    <definedName name="Z_TX_92_5_O">DICCIONARIO!$E$61</definedName>
    <definedName name="Z_TX_92_5_P">DICCIONARIO!$I$61</definedName>
    <definedName name="Z_TX_92_5_S">DICCIONARIO!$F$61</definedName>
    <definedName name="Z_TX_92_6_">DICCIONARIO!$N$62</definedName>
    <definedName name="Z_TX_92_6_CS">DICCIONARIO!$L$62</definedName>
    <definedName name="Z_TX_92_6_D">DICCIONARIO!$K$62</definedName>
    <definedName name="Z_TX_92_6_E">DICCIONARIO!$G$62</definedName>
    <definedName name="Z_TX_92_6_F">DICCIONARIO!$H$62</definedName>
    <definedName name="Z_TX_92_6_I">DICCIONARIO!$J$62</definedName>
    <definedName name="Z_TX_92_6_O">DICCIONARIO!$E$62</definedName>
    <definedName name="Z_TX_92_6_P">DICCIONARIO!$I$62</definedName>
    <definedName name="Z_TX_92_6_S">DICCIONARIO!$F$62</definedName>
    <definedName name="Z_TX_92_7_">DICCIONARIO!$N$63</definedName>
    <definedName name="Z_TX_92_7_CS">DICCIONARIO!$L$63</definedName>
    <definedName name="Z_TX_92_7_D">DICCIONARIO!$K$63</definedName>
    <definedName name="Z_TX_92_7_E">DICCIONARIO!$G$63</definedName>
    <definedName name="Z_TX_92_7_F">DICCIONARIO!$H$63</definedName>
    <definedName name="Z_TX_92_7_I">DICCIONARIO!$J$63</definedName>
    <definedName name="Z_TX_92_7_O">DICCIONARIO!$E$63</definedName>
    <definedName name="Z_TX_92_7_P">DICCIONARIO!$I$63</definedName>
    <definedName name="Z_TX_92_7_S">DICCIONARIO!$F$63</definedName>
    <definedName name="Z_TX_92_8_">DICCIONARIO!$N$64</definedName>
    <definedName name="Z_TX_92_8_CS">DICCIONARIO!$L$64</definedName>
    <definedName name="Z_TX_92_8_D">DICCIONARIO!$K$64</definedName>
    <definedName name="Z_TX_92_8_E">DICCIONARIO!$G$64</definedName>
    <definedName name="Z_TX_92_8_F">DICCIONARIO!$H$64</definedName>
    <definedName name="Z_TX_92_8_I">DICCIONARIO!$J$64</definedName>
    <definedName name="Z_TX_92_8_O">DICCIONARIO!$E$64</definedName>
    <definedName name="Z_TX_92_8_P">DICCIONARIO!$I$64</definedName>
    <definedName name="Z_TX_92_8_S">DICCIONARIO!$F$64</definedName>
    <definedName name="Z_TX_92_9_">DICCIONARIO!#REF!</definedName>
    <definedName name="Z_TX_92_9_CS">DICCIONARIO!$L$65</definedName>
    <definedName name="Z_TX_92_9_D">DICCIONARIO!$K$65</definedName>
    <definedName name="Z_TX_92_9_E">DICCIONARIO!$G$65</definedName>
    <definedName name="Z_TX_92_9_F">DICCIONARIO!$H$65</definedName>
    <definedName name="Z_TX_92_9_I">DICCIONARIO!$J$65</definedName>
    <definedName name="Z_TX_92_9_O">DICCIONARIO!$E$65</definedName>
    <definedName name="Z_TX_92_9_P">DICCIONARIO!$I$65</definedName>
    <definedName name="Z_TX_92_9_S">DICCIONARIO!$F$65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7" i="8" l="1"/>
  <c r="C67" i="8"/>
  <c r="O2" i="8" l="1"/>
  <c r="O1" i="8"/>
  <c r="T1" i="8" l="1"/>
  <c r="U1" i="8" s="1"/>
  <c r="V1" i="8" s="1"/>
  <c r="W1" i="8" s="1"/>
  <c r="X1" i="8" s="1"/>
  <c r="Y1" i="8" s="1"/>
  <c r="Z1" i="8" s="1"/>
  <c r="AA1" i="8" s="1"/>
  <c r="AB1" i="8" s="1"/>
  <c r="AC1" i="8" s="1"/>
  <c r="AD1" i="8" s="1"/>
  <c r="AE1" i="8" s="1"/>
  <c r="AF1" i="8" s="1"/>
  <c r="U44" i="8" l="1"/>
  <c r="B57" i="8" l="1"/>
  <c r="B58" i="8" s="1"/>
  <c r="A57" i="8" l="1"/>
  <c r="B59" i="8"/>
  <c r="A58" i="8"/>
  <c r="A5" i="19"/>
  <c r="A5" i="16"/>
  <c r="B60" i="8" l="1"/>
  <c r="A59" i="8"/>
  <c r="A56" i="8"/>
  <c r="A55" i="8"/>
  <c r="B61" i="8" l="1"/>
  <c r="A60" i="8"/>
  <c r="A5" i="20"/>
  <c r="A5" i="18"/>
  <c r="B5" i="16"/>
  <c r="A5" i="15"/>
  <c r="B5" i="15" s="1"/>
  <c r="B62" i="8" l="1"/>
  <c r="A61" i="8"/>
  <c r="G2" i="22"/>
  <c r="G2" i="21"/>
  <c r="G2" i="20"/>
  <c r="G2" i="19"/>
  <c r="G2" i="18"/>
  <c r="G2" i="17"/>
  <c r="G2" i="16"/>
  <c r="G2" i="15"/>
  <c r="B63" i="8" l="1"/>
  <c r="A62" i="8"/>
  <c r="A17" i="6"/>
  <c r="E1" i="8"/>
  <c r="B64" i="8" l="1"/>
  <c r="B65" i="8" s="1"/>
  <c r="A63" i="8"/>
  <c r="A46" i="6"/>
  <c r="A65" i="8" l="1"/>
  <c r="B66" i="8"/>
  <c r="A66" i="8" s="1"/>
  <c r="A64" i="8"/>
  <c r="A37" i="6"/>
  <c r="D2" i="8"/>
  <c r="Y3" i="16"/>
  <c r="AI2" i="8" l="1"/>
  <c r="E2" i="8"/>
  <c r="E67" i="8" s="1"/>
  <c r="AI3" i="22"/>
  <c r="AI3" i="21"/>
  <c r="AI3" i="20"/>
  <c r="AI3" i="19"/>
  <c r="AI3" i="18"/>
  <c r="AI3" i="16"/>
  <c r="AI3" i="17"/>
  <c r="T29" i="8"/>
  <c r="T23" i="8"/>
  <c r="T25" i="8"/>
  <c r="T26" i="8"/>
  <c r="T20" i="8"/>
  <c r="T21" i="8"/>
  <c r="T28" i="8"/>
  <c r="T27" i="8"/>
  <c r="T19" i="8"/>
  <c r="T24" i="8"/>
  <c r="T22" i="8"/>
  <c r="E66" i="8" l="1"/>
  <c r="E54" i="8"/>
  <c r="S29" i="8"/>
  <c r="AC29" i="8"/>
  <c r="S28" i="8"/>
  <c r="AC28" i="8"/>
  <c r="E65" i="8"/>
  <c r="E64" i="8"/>
  <c r="S26" i="8"/>
  <c r="S27" i="8"/>
  <c r="S22" i="8"/>
  <c r="S20" i="8"/>
  <c r="S21" i="8"/>
  <c r="S23" i="8"/>
  <c r="S24" i="8"/>
  <c r="S25" i="8"/>
  <c r="AC25" i="8"/>
  <c r="AE25" i="8" s="1"/>
  <c r="AC27" i="8"/>
  <c r="AE27" i="8" s="1"/>
  <c r="AC21" i="8"/>
  <c r="AC26" i="8"/>
  <c r="AE26" i="8" s="1"/>
  <c r="AC19" i="8"/>
  <c r="AC20" i="8"/>
  <c r="AE20" i="8" s="1"/>
  <c r="AC22" i="8"/>
  <c r="AE22" i="8" s="1"/>
  <c r="AC23" i="8"/>
  <c r="AE23" i="8" s="1"/>
  <c r="AC24" i="8"/>
  <c r="AE24" i="8" s="1"/>
  <c r="E11" i="8"/>
  <c r="E63" i="8"/>
  <c r="E62" i="8"/>
  <c r="E61" i="8"/>
  <c r="E60" i="8"/>
  <c r="E59" i="8"/>
  <c r="E58" i="8"/>
  <c r="E57" i="8"/>
  <c r="E35" i="8"/>
  <c r="E16" i="8"/>
  <c r="E32" i="8"/>
  <c r="E48" i="8"/>
  <c r="E13" i="8"/>
  <c r="E29" i="8"/>
  <c r="E45" i="8"/>
  <c r="E6" i="8"/>
  <c r="E26" i="8"/>
  <c r="E46" i="8"/>
  <c r="E7" i="8"/>
  <c r="E39" i="8"/>
  <c r="E56" i="8"/>
  <c r="E28" i="8"/>
  <c r="E9" i="8"/>
  <c r="E34" i="8"/>
  <c r="E3" i="8"/>
  <c r="E10" i="8"/>
  <c r="E4" i="8"/>
  <c r="E20" i="8"/>
  <c r="E36" i="8"/>
  <c r="E52" i="8"/>
  <c r="E17" i="8"/>
  <c r="E33" i="8"/>
  <c r="E49" i="8"/>
  <c r="E14" i="8"/>
  <c r="E30" i="8"/>
  <c r="E50" i="8"/>
  <c r="E15" i="8"/>
  <c r="E43" i="8"/>
  <c r="E12" i="8"/>
  <c r="E44" i="8"/>
  <c r="E41" i="8"/>
  <c r="E22" i="8"/>
  <c r="E31" i="8"/>
  <c r="E19" i="8"/>
  <c r="E8" i="8"/>
  <c r="E24" i="8"/>
  <c r="E40" i="8"/>
  <c r="E5" i="8"/>
  <c r="E21" i="8"/>
  <c r="E37" i="8"/>
  <c r="E53" i="8"/>
  <c r="E18" i="8"/>
  <c r="E38" i="8"/>
  <c r="E55" i="8"/>
  <c r="E23" i="8"/>
  <c r="E47" i="8"/>
  <c r="E27" i="8"/>
  <c r="E25" i="8"/>
  <c r="E42" i="8"/>
  <c r="E51" i="8"/>
  <c r="B22" i="8"/>
  <c r="A22" i="8" s="1"/>
  <c r="A21" i="8"/>
  <c r="B4" i="8"/>
  <c r="A4" i="8" s="1"/>
  <c r="A3" i="8"/>
  <c r="F2" i="15"/>
  <c r="U22" i="8"/>
  <c r="T15" i="8"/>
  <c r="D1" i="8"/>
  <c r="U21" i="8"/>
  <c r="E3" i="15"/>
  <c r="T17" i="8"/>
  <c r="T10" i="8"/>
  <c r="T11" i="8"/>
  <c r="U27" i="8"/>
  <c r="U25" i="8"/>
  <c r="U28" i="8"/>
  <c r="T5" i="8"/>
  <c r="F1" i="15"/>
  <c r="T4" i="8"/>
  <c r="U29" i="8"/>
  <c r="T16" i="8"/>
  <c r="U26" i="8"/>
  <c r="U19" i="8"/>
  <c r="T9" i="8"/>
  <c r="U9" i="8" s="1"/>
  <c r="T6" i="8"/>
  <c r="U24" i="8"/>
  <c r="T18" i="8"/>
  <c r="T14" i="8"/>
  <c r="T7" i="8"/>
  <c r="T13" i="8"/>
  <c r="T3" i="8"/>
  <c r="U3" i="8" s="1"/>
  <c r="T12" i="8"/>
  <c r="T8" i="8"/>
  <c r="U23" i="8"/>
  <c r="U20" i="8"/>
  <c r="F1" i="22" l="1"/>
  <c r="S18" i="8"/>
  <c r="S19" i="8"/>
  <c r="AC18" i="8"/>
  <c r="AE18" i="8" s="1"/>
  <c r="AC13" i="8"/>
  <c r="AE13" i="8" s="1"/>
  <c r="S13" i="8"/>
  <c r="S8" i="8"/>
  <c r="AC8" i="8"/>
  <c r="AE8" i="8" s="1"/>
  <c r="AC10" i="8"/>
  <c r="AE10" i="8" s="1"/>
  <c r="S10" i="8"/>
  <c r="S9" i="8"/>
  <c r="AC9" i="8"/>
  <c r="AE9" i="8" s="1"/>
  <c r="AC17" i="8"/>
  <c r="AE17" i="8" s="1"/>
  <c r="S17" i="8"/>
  <c r="AC14" i="8"/>
  <c r="AE14" i="8" s="1"/>
  <c r="S14" i="8"/>
  <c r="AC16" i="8"/>
  <c r="AE16" i="8" s="1"/>
  <c r="S16" i="8"/>
  <c r="S15" i="8"/>
  <c r="AC15" i="8"/>
  <c r="AE15" i="8" s="1"/>
  <c r="S11" i="8"/>
  <c r="AC11" i="8"/>
  <c r="AE11" i="8" s="1"/>
  <c r="AC12" i="8"/>
  <c r="AE12" i="8" s="1"/>
  <c r="S12" i="8"/>
  <c r="S3" i="8"/>
  <c r="AC3" i="8"/>
  <c r="AE3" i="8" s="1"/>
  <c r="F2" i="22"/>
  <c r="AC6" i="8"/>
  <c r="AE6" i="8" s="1"/>
  <c r="S6" i="8"/>
  <c r="AC5" i="8"/>
  <c r="AE5" i="8" s="1"/>
  <c r="S5" i="8"/>
  <c r="AC7" i="8"/>
  <c r="AE7" i="8" s="1"/>
  <c r="S7" i="8"/>
  <c r="S4" i="8"/>
  <c r="AC4" i="8"/>
  <c r="AE4" i="8" s="1"/>
  <c r="AE29" i="8"/>
  <c r="AE28" i="8"/>
  <c r="AE19" i="8"/>
  <c r="AE21" i="8"/>
  <c r="B23" i="8"/>
  <c r="B5" i="8"/>
  <c r="U15" i="8"/>
  <c r="K3" i="21"/>
  <c r="A3" i="15"/>
  <c r="I3" i="19"/>
  <c r="U17" i="8"/>
  <c r="E26" i="6"/>
  <c r="AC3" i="19"/>
  <c r="P3" i="16"/>
  <c r="Q23" i="6"/>
  <c r="Q3" i="19"/>
  <c r="U10" i="8"/>
  <c r="O23" i="6"/>
  <c r="A3" i="18"/>
  <c r="U8" i="8"/>
  <c r="W3" i="15"/>
  <c r="U3" i="19"/>
  <c r="E23" i="6"/>
  <c r="K24" i="6"/>
  <c r="M24" i="6"/>
  <c r="AD3" i="19"/>
  <c r="X3" i="15"/>
  <c r="C9" i="6"/>
  <c r="L3" i="19"/>
  <c r="AF3" i="15"/>
  <c r="G23" i="6"/>
  <c r="H3" i="21"/>
  <c r="G1" i="18"/>
  <c r="M26" i="6"/>
  <c r="A3" i="19"/>
  <c r="G1" i="21"/>
  <c r="U5" i="8"/>
  <c r="Q26" i="6"/>
  <c r="G3" i="22"/>
  <c r="AG3" i="15"/>
  <c r="V3" i="16"/>
  <c r="Q3" i="16"/>
  <c r="G1" i="20"/>
  <c r="J3" i="16"/>
  <c r="J3" i="15"/>
  <c r="U12" i="8"/>
  <c r="U3" i="15"/>
  <c r="D27" i="6"/>
  <c r="N3" i="19"/>
  <c r="V3" i="20"/>
  <c r="G26" i="6"/>
  <c r="AE3" i="16"/>
  <c r="X3" i="20"/>
  <c r="O3" i="19"/>
  <c r="B3" i="15"/>
  <c r="AB3" i="20"/>
  <c r="Q24" i="6"/>
  <c r="AD3" i="20"/>
  <c r="W3" i="19"/>
  <c r="S3" i="15"/>
  <c r="S3" i="16"/>
  <c r="L3" i="16"/>
  <c r="K3" i="15"/>
  <c r="U7" i="8"/>
  <c r="P6" i="6"/>
  <c r="G3" i="16"/>
  <c r="J3" i="20"/>
  <c r="I26" i="6"/>
  <c r="W3" i="16"/>
  <c r="O3" i="16"/>
  <c r="G24" i="6"/>
  <c r="O24" i="6"/>
  <c r="N3" i="20"/>
  <c r="D3" i="19"/>
  <c r="AF3" i="16"/>
  <c r="M3" i="16"/>
  <c r="K26" i="6"/>
  <c r="I23" i="6"/>
  <c r="U4" i="8"/>
  <c r="U16" i="8"/>
  <c r="J3" i="21"/>
  <c r="Q3" i="15"/>
  <c r="K3" i="16"/>
  <c r="R3" i="15"/>
  <c r="C23" i="6"/>
  <c r="AH3" i="16"/>
  <c r="V3" i="15"/>
  <c r="AG3" i="16"/>
  <c r="M23" i="6"/>
  <c r="AH3" i="15"/>
  <c r="P3" i="20"/>
  <c r="U18" i="8"/>
  <c r="N3" i="15"/>
  <c r="H3" i="19"/>
  <c r="G3" i="6"/>
  <c r="R3" i="16"/>
  <c r="K23" i="6"/>
  <c r="C24" i="6"/>
  <c r="K3" i="19"/>
  <c r="G1" i="15"/>
  <c r="H3" i="15"/>
  <c r="T3" i="20"/>
  <c r="H3" i="16"/>
  <c r="E3" i="17"/>
  <c r="O3" i="15"/>
  <c r="U14" i="8"/>
  <c r="R3" i="20"/>
  <c r="U11" i="8"/>
  <c r="N3" i="16"/>
  <c r="I24" i="6"/>
  <c r="U3" i="16"/>
  <c r="L3" i="21"/>
  <c r="X3" i="16"/>
  <c r="Z3" i="20"/>
  <c r="I3" i="15"/>
  <c r="A3" i="16"/>
  <c r="AA3" i="19"/>
  <c r="G1" i="16"/>
  <c r="O26" i="6"/>
  <c r="R3" i="19"/>
  <c r="X3" i="19"/>
  <c r="A3" i="20"/>
  <c r="G1" i="17"/>
  <c r="L3" i="15"/>
  <c r="G1" i="22"/>
  <c r="T3" i="19"/>
  <c r="P3" i="15"/>
  <c r="G3" i="15"/>
  <c r="C26" i="6"/>
  <c r="AE3" i="15"/>
  <c r="L3" i="20"/>
  <c r="I3" i="21"/>
  <c r="U13" i="8"/>
  <c r="E24" i="6"/>
  <c r="M3" i="15"/>
  <c r="T3" i="15"/>
  <c r="T3" i="16"/>
  <c r="Z3" i="19"/>
  <c r="U6" i="8"/>
  <c r="E3" i="16"/>
  <c r="I3" i="16"/>
  <c r="M3" i="21"/>
  <c r="B3" i="16"/>
  <c r="H3" i="20"/>
  <c r="D11" i="6"/>
  <c r="G1" i="19"/>
  <c r="I7" i="6"/>
  <c r="I3" i="22" l="1"/>
  <c r="AD12" i="8"/>
  <c r="S30" i="8"/>
  <c r="AD5" i="8"/>
  <c r="AD4" i="8"/>
  <c r="AD14" i="8"/>
  <c r="AD15" i="8"/>
  <c r="AD16" i="8"/>
  <c r="AD13" i="8"/>
  <c r="AD11" i="8"/>
  <c r="AD8" i="8"/>
  <c r="AD18" i="8"/>
  <c r="AD29" i="8"/>
  <c r="AD28" i="8"/>
  <c r="AD3" i="8"/>
  <c r="AD7" i="8"/>
  <c r="AD17" i="8"/>
  <c r="AD10" i="8"/>
  <c r="AD6" i="8"/>
  <c r="AD20" i="8"/>
  <c r="AD24" i="8"/>
  <c r="AD23" i="8"/>
  <c r="AD27" i="8"/>
  <c r="AD9" i="8"/>
  <c r="AD19" i="8"/>
  <c r="AD25" i="8"/>
  <c r="AD21" i="8"/>
  <c r="AD26" i="8"/>
  <c r="AD22" i="8"/>
  <c r="F1" i="2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U3" i="20"/>
  <c r="Y3" i="20"/>
  <c r="W3" i="20"/>
  <c r="I3" i="20"/>
  <c r="Q3" i="20"/>
  <c r="G3" i="20"/>
  <c r="F3" i="20"/>
  <c r="O3" i="20"/>
  <c r="AC3" i="20"/>
  <c r="G3" i="21"/>
  <c r="F3" i="18"/>
  <c r="S3" i="20"/>
  <c r="F3" i="17"/>
  <c r="F3" i="22"/>
  <c r="F3" i="15"/>
  <c r="M3" i="20"/>
  <c r="F3" i="16"/>
  <c r="F3" i="19"/>
  <c r="F3" i="21"/>
  <c r="K3" i="20"/>
  <c r="AA3" i="20"/>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l="1"/>
  <c r="B54" i="8"/>
  <c r="A54" i="8" s="1"/>
</calcChain>
</file>

<file path=xl/sharedStrings.xml><?xml version="1.0" encoding="utf-8"?>
<sst xmlns="http://schemas.openxmlformats.org/spreadsheetml/2006/main" count="1152" uniqueCount="832">
  <si>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</si>
  <si>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</si>
  <si>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</si>
  <si>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</si>
  <si>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</si>
  <si>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</si>
  <si>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</si>
  <si>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</si>
  <si>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</si>
  <si>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</si>
  <si>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</si>
  <si>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</si>
  <si>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</si>
  <si>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</si>
  <si>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</si>
  <si>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</si>
  <si>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</si>
  <si>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</si>
  <si>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</si>
  <si>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</si>
  <si>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</si>
  <si>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</si>
  <si>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</si>
  <si>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</si>
  <si>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</si>
  <si>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</si>
  <si>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</si>
  <si>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</si>
  <si>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</si>
  <si>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</si>
  <si>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</si>
  <si>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</si>
  <si>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</si>
  <si>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</si>
  <si>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</si>
  <si>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</si>
  <si>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</si>
  <si>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</si>
  <si>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</si>
  <si>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</si>
  <si>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</si>
  <si>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</si>
  <si>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</si>
  <si>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</si>
  <si>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</si>
  <si>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</si>
  <si>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</si>
  <si>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</si>
  <si>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</si>
  <si>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</si>
  <si>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</si>
  <si>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</si>
  <si>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</si>
  <si>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</si>
  <si>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</si>
  <si>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</si>
  <si>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</si>
  <si>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</si>
  <si>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</si>
  <si>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</si>
  <si>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</si>
  <si>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</si>
  <si>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</si>
  <si>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</si>
  <si>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</si>
  <si>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</si>
  <si>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</si>
  <si>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</si>
  <si>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</si>
  <si>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</si>
  <si>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</si>
  <si>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</si>
  <si>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</si>
  <si>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</si>
  <si>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</si>
  <si>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</si>
  <si>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</si>
  <si>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</si>
  <si>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</si>
  <si>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</si>
  <si>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</si>
  <si>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</si>
  <si>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</si>
  <si>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</si>
  <si>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</si>
  <si>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</si>
  <si>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</si>
  <si>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</si>
  <si>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</si>
  <si>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</si>
  <si>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</si>
  <si>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</si>
  <si>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</si>
  <si>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</si>
  <si>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</si>
  <si>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</si>
  <si>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</si>
  <si>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</si>
  <si>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</si>
  <si>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</si>
  <si>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</si>
  <si>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</si>
  <si>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</si>
  <si>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</si>
  <si>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</si>
  <si>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</si>
  <si>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</si>
  <si>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</si>
  <si>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</si>
  <si>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</si>
  <si>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</si>
  <si>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</si>
  <si>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</si>
  <si>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</si>
  <si>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</si>
  <si>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</si>
  <si>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</si>
  <si>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</si>
  <si>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</si>
  <si>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</si>
  <si>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</si>
  <si>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</si>
  <si>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</si>
  <si>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</si>
  <si>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</si>
  <si>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</si>
  <si>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</si>
  <si>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</si>
  <si>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</si>
  <si>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</si>
  <si>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</si>
  <si>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</si>
  <si>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</si>
  <si>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</si>
  <si>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</si>
  <si>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</si>
  <si>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</si>
  <si>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</si>
  <si>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</si>
  <si>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</si>
  <si>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</si>
  <si>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</si>
  <si>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</si>
  <si>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</si>
  <si>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</si>
  <si>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</si>
  <si>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</si>
  <si>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</si>
  <si>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</si>
  <si>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</si>
  <si>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</si>
  <si>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</si>
  <si>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</si>
  <si>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</si>
  <si>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</si>
  <si>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</si>
  <si>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</si>
  <si>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</si>
  <si>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</si>
  <si>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</si>
  <si>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</si>
  <si>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</si>
  <si>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</si>
  <si>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</si>
  <si>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</si>
  <si>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</si>
  <si>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</si>
  <si>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</si>
  <si>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</si>
  <si>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</si>
  <si>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</si>
  <si>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</si>
  <si>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</si>
  <si>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</si>
  <si>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</si>
  <si>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</si>
  <si>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</si>
  <si>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</si>
  <si>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</si>
  <si>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</si>
  <si>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</si>
  <si>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</si>
  <si>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</si>
  <si>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</si>
  <si>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</si>
  <si>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</si>
  <si>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</si>
  <si>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</si>
  <si>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</si>
  <si>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</si>
  <si>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</si>
  <si>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</si>
  <si>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</si>
  <si>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</si>
  <si>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</si>
  <si>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</si>
  <si>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</si>
  <si>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</si>
  <si>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</si>
  <si>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</si>
  <si>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</si>
  <si>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</si>
  <si>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</si>
  <si>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</si>
  <si>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</si>
  <si>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</si>
  <si>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</si>
  <si>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</si>
  <si>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</si>
  <si>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</si>
  <si>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</si>
  <si>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</si>
  <si>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</si>
  <si>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</si>
  <si>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</si>
  <si>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</si>
  <si>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</si>
  <si>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</si>
  <si>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</si>
  <si>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</si>
  <si>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</si>
  <si>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</si>
  <si>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</si>
  <si>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</si>
  <si>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</si>
  <si>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</si>
  <si>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</si>
  <si>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</si>
  <si>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</si>
  <si>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</si>
  <si>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</si>
  <si>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</si>
  <si>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</si>
  <si>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</si>
  <si>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</si>
  <si>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</si>
  <si>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</si>
  <si>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</si>
  <si>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</si>
  <si>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</si>
  <si>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</si>
  <si>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</si>
  <si>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</si>
  <si>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</si>
  <si>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</si>
  <si>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</si>
  <si>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</si>
  <si>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</si>
  <si>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</si>
  <si>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</si>
  <si>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</si>
  <si>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</si>
  <si>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</si>
  <si>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</si>
  <si>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</si>
  <si>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</si>
  <si>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</si>
  <si>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</si>
  <si>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</si>
  <si>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</si>
  <si>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</si>
  <si>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</si>
  <si>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</si>
  <si>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</si>
  <si>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</si>
  <si>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</si>
  <si>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</si>
  <si>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</si>
  <si>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</si>
  <si>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</si>
  <si>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</si>
  <si>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</si>
  <si>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</si>
  <si>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</si>
  <si>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</si>
  <si>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</si>
  <si>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</si>
  <si>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</si>
  <si>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</si>
  <si>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</si>
  <si>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</si>
  <si>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</si>
  <si>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</si>
  <si>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</si>
  <si>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</si>
  <si>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</si>
  <si>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</si>
  <si>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</si>
  <si>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</si>
  <si>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</si>
  <si>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</si>
  <si>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</si>
  <si>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</si>
  <si>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</si>
  <si>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</si>
  <si>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</si>
  <si>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</si>
  <si>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</si>
  <si>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</si>
  <si>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</si>
  <si>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</si>
  <si>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</si>
  <si>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</si>
  <si>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</si>
  <si>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</si>
  <si>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</si>
  <si>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</si>
  <si>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</si>
  <si>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</si>
  <si>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</si>
  <si>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</si>
  <si>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</si>
  <si>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</si>
  <si>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</si>
  <si>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</si>
  <si>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</si>
  <si>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</si>
  <si>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</si>
  <si>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</si>
  <si>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</si>
  <si>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</si>
  <si>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</si>
  <si>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</si>
  <si>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</si>
  <si>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</si>
  <si>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</si>
  <si>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</si>
  <si>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</si>
  <si>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</si>
  <si>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</si>
  <si>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</si>
  <si>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</si>
  <si>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</si>
  <si>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</si>
  <si>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</si>
  <si>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</si>
  <si>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</si>
  <si>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</si>
  <si>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</si>
  <si>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</si>
  <si>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</si>
  <si>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</si>
  <si>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</si>
  <si>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</si>
  <si>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</si>
  <si>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</si>
  <si>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</si>
  <si>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</si>
  <si>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</si>
  <si>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</si>
  <si>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</si>
  <si>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</si>
  <si>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</si>
  <si>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</si>
  <si>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</si>
  <si>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</si>
  <si>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</si>
  <si>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</si>
  <si>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</si>
  <si>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</si>
  <si>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</si>
  <si>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</si>
  <si>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</si>
  <si>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</si>
  <si>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</si>
  <si>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</si>
  <si>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</si>
  <si>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</si>
  <si>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</si>
  <si>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</si>
  <si>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</si>
  <si>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</si>
  <si>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</si>
  <si>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</si>
  <si>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</si>
  <si>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</si>
  <si>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</si>
  <si>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</si>
  <si>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</si>
  <si>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</si>
  <si>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</si>
  <si>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</si>
  <si>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</si>
  <si>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</si>
  <si>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</si>
  <si>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</si>
  <si>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</si>
  <si>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</si>
  <si>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</si>
  <si>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</si>
  <si>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</si>
  <si>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</si>
  <si>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</si>
  <si>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</si>
  <si>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</si>
  <si>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</si>
  <si>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</si>
  <si>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</si>
  <si>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</si>
  <si>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</si>
  <si>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</si>
  <si>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</si>
  <si>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</si>
  <si>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</si>
  <si>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</si>
  <si>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</si>
  <si>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</si>
  <si>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</si>
  <si>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</si>
  <si>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</si>
  <si>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</si>
  <si>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</si>
  <si>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</si>
  <si>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</si>
  <si>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</si>
  <si>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</si>
  <si>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</si>
  <si>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</si>
  <si>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</si>
  <si>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</si>
  <si>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</si>
  <si>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</si>
  <si>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</si>
  <si>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</si>
  <si>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</si>
  <si>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</si>
  <si>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</si>
  <si>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</si>
  <si>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</si>
  <si>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</si>
  <si>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</si>
  <si>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</si>
  <si>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</si>
  <si>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</si>
  <si>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</si>
  <si>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</si>
  <si>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</si>
  <si>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</si>
  <si>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</si>
  <si>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</si>
  <si>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</si>
  <si>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</si>
  <si>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</si>
  <si>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</si>
  <si>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</si>
  <si>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</si>
  <si>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</si>
  <si>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</si>
  <si>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</si>
  <si>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</si>
  <si>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</si>
  <si>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</si>
  <si>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</si>
  <si>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</si>
  <si>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</si>
  <si>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</si>
  <si>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</si>
  <si>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</si>
  <si>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</si>
  <si>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</si>
  <si>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</si>
  <si>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</si>
  <si>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</si>
  <si>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</si>
  <si>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</si>
  <si>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</si>
  <si>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</si>
  <si>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</si>
  <si>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</si>
  <si>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</si>
  <si>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</si>
  <si>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</si>
  <si>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</si>
  <si>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</si>
  <si>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</si>
  <si>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</si>
  <si>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</si>
  <si>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</si>
  <si>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</si>
  <si>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N Sub</t>
  </si>
  <si>
    <t>Nivel</t>
  </si>
  <si>
    <t>Nombre</t>
  </si>
  <si>
    <t>On Action</t>
  </si>
  <si>
    <t>Face Id</t>
  </si>
  <si>
    <t>Begin Group</t>
  </si>
  <si>
    <t>N/A</t>
  </si>
  <si>
    <t>HOJAS NO MUESTRA</t>
  </si>
  <si>
    <t>Nivel &amp; Incluir</t>
  </si>
  <si>
    <t>False</t>
  </si>
  <si>
    <t>Graba_Archivo</t>
  </si>
  <si>
    <t>True</t>
  </si>
  <si>
    <t>Z_TX_92_1_</t>
  </si>
  <si>
    <t>Z_TX_92_2_</t>
  </si>
  <si>
    <t>Guardar_Cierra_Archivo</t>
  </si>
  <si>
    <t>Z_TX_92_3_</t>
  </si>
  <si>
    <t>CambiarCtrl_X_Ctrl_C</t>
  </si>
  <si>
    <t>Z_TX_92_5_</t>
  </si>
  <si>
    <t>Cambiar_Ctrl_V</t>
  </si>
  <si>
    <t>Z_TX_92_6_</t>
  </si>
  <si>
    <t>Ir_INICIO</t>
  </si>
  <si>
    <t>Z_TX_92_7_</t>
  </si>
  <si>
    <t>Z_IN_00_</t>
  </si>
  <si>
    <t>IR_DICCIONARIO</t>
  </si>
  <si>
    <t>Z_IN_10_</t>
  </si>
  <si>
    <t>Z_TX_92_8_</t>
  </si>
  <si>
    <t>Z_IN_09_</t>
  </si>
  <si>
    <t>92_1</t>
  </si>
  <si>
    <t>MENÚ GENERAL</t>
  </si>
  <si>
    <t>GENERAL MENU</t>
  </si>
  <si>
    <t>MENU GÉNÉRAL</t>
  </si>
  <si>
    <t>MENU GERAL</t>
  </si>
  <si>
    <t>MEN GENERALE</t>
  </si>
  <si>
    <t>ALLGEMEINES MENÜ</t>
  </si>
  <si>
    <t>92_2</t>
  </si>
  <si>
    <t xml:space="preserve">GUARDAR </t>
  </si>
  <si>
    <t>SAVE</t>
  </si>
  <si>
    <t>SAUVEGARDER</t>
  </si>
  <si>
    <t>SALVE</t>
  </si>
  <si>
    <t>SALVA</t>
  </si>
  <si>
    <t>SPEICHERN</t>
  </si>
  <si>
    <t>92_3</t>
  </si>
  <si>
    <t>CERRAR</t>
  </si>
  <si>
    <t>CLOSE</t>
  </si>
  <si>
    <t>FERMER</t>
  </si>
  <si>
    <t>FECHAR</t>
  </si>
  <si>
    <t>CHIUDERE</t>
  </si>
  <si>
    <t>SCHLIESSEN</t>
  </si>
  <si>
    <t>92_4</t>
  </si>
  <si>
    <t>AYUDA</t>
  </si>
  <si>
    <t>HELP</t>
  </si>
  <si>
    <t>AIDER</t>
  </si>
  <si>
    <t>AJUDA</t>
  </si>
  <si>
    <t>AIUTO</t>
  </si>
  <si>
    <t>HILFE</t>
  </si>
  <si>
    <t>92_5</t>
  </si>
  <si>
    <t>COPIAR</t>
  </si>
  <si>
    <t>COPY</t>
  </si>
  <si>
    <t>COPIER</t>
  </si>
  <si>
    <t>CÓPIA DE</t>
  </si>
  <si>
    <t>COPIA</t>
  </si>
  <si>
    <t>KOPIEREN</t>
  </si>
  <si>
    <t>92_6</t>
  </si>
  <si>
    <t>PEGAR</t>
  </si>
  <si>
    <t>PASTE</t>
  </si>
  <si>
    <t>PÂTE</t>
  </si>
  <si>
    <t>COLAR</t>
  </si>
  <si>
    <t>IMPASTO</t>
  </si>
  <si>
    <t>EINFÜGEN</t>
  </si>
  <si>
    <t>92_7</t>
  </si>
  <si>
    <t>IR A…</t>
  </si>
  <si>
    <t>GO TO …</t>
  </si>
  <si>
    <t>ALLER À…</t>
  </si>
  <si>
    <t>VAMOS PARA…</t>
  </si>
  <si>
    <t>VAI A…</t>
  </si>
  <si>
    <t>GEHE ZU…</t>
  </si>
  <si>
    <t>92_8</t>
  </si>
  <si>
    <t>92_9</t>
  </si>
  <si>
    <t>LINK DICCIONARIO</t>
  </si>
  <si>
    <t>LINK DICTIONARY</t>
  </si>
  <si>
    <t>LINK DICTIONAIRE</t>
  </si>
  <si>
    <t>LINK DICIONÁRIO</t>
  </si>
  <si>
    <t>LINK DIZIONARIO</t>
  </si>
  <si>
    <t>LINK WOERTERBUCH</t>
  </si>
  <si>
    <t>Z_IN_08_</t>
  </si>
  <si>
    <t>Z_IN_11_</t>
  </si>
  <si>
    <t>Z_IN_12_</t>
  </si>
  <si>
    <t>Z_IN_13_</t>
  </si>
  <si>
    <t>Z_IN_14_</t>
  </si>
  <si>
    <t>Z_IN_16_</t>
  </si>
  <si>
    <t>Z_BP_02_</t>
  </si>
  <si>
    <t>IR_OM</t>
  </si>
  <si>
    <t>IR_O2</t>
  </si>
  <si>
    <t>IR_VF</t>
  </si>
  <si>
    <t>IR_RC</t>
  </si>
  <si>
    <t>IR_PP</t>
  </si>
  <si>
    <t>IR_EN</t>
  </si>
  <si>
    <t>IR_CL</t>
  </si>
  <si>
    <t>Enlace_DICCIONARIO</t>
  </si>
  <si>
    <t>Datos OM</t>
  </si>
  <si>
    <t>Datos O2</t>
  </si>
  <si>
    <t>Datos VF</t>
  </si>
  <si>
    <t>Datos EM</t>
  </si>
  <si>
    <t>Datos RC</t>
  </si>
  <si>
    <t>Datos PP</t>
  </si>
  <si>
    <t>Datos EN</t>
  </si>
  <si>
    <t>Datos CL</t>
  </si>
  <si>
    <t xml:space="preserve">INICIO,Datos OM,Datos O2,Datos VF,Datos EM,Datos PP,Datos RC,Datos EN,Datos CL, </t>
  </si>
  <si>
    <t>IR_E</t>
  </si>
  <si>
    <t>CommandBars</t>
  </si>
  <si>
    <t>Cambio</t>
  </si>
  <si>
    <t>Activa/Des</t>
  </si>
  <si>
    <t>Cell</t>
  </si>
  <si>
    <t>Para cada celda</t>
  </si>
  <si>
    <t>Column</t>
  </si>
  <si>
    <t>Para cada Columna</t>
  </si>
  <si>
    <t>Row</t>
  </si>
  <si>
    <t>Para cada Fila</t>
  </si>
  <si>
    <t>Ply</t>
  </si>
  <si>
    <t>Para cada Pestaña</t>
  </si>
  <si>
    <t>Sheet</t>
  </si>
  <si>
    <t>Para cada Hoja</t>
  </si>
  <si>
    <t>Worksheet Menu Bar</t>
  </si>
  <si>
    <t>Para cada Barra Menú</t>
  </si>
  <si>
    <t>Nivel 1</t>
  </si>
  <si>
    <t>Nivel 2</t>
  </si>
  <si>
    <t>Teclas</t>
  </si>
  <si>
    <t>Num N/A</t>
  </si>
  <si>
    <t>[Teclas]</t>
  </si>
  <si>
    <t>%{F4}</t>
  </si>
  <si>
    <t>^+{h}</t>
  </si>
  <si>
    <t>Alt+</t>
  </si>
  <si>
    <t>Ctrl+</t>
  </si>
  <si>
    <t>^{g}</t>
  </si>
  <si>
    <t>^{c}</t>
  </si>
  <si>
    <t>^{v}</t>
  </si>
  <si>
    <t>^+{d}</t>
  </si>
  <si>
    <t>^+{l}</t>
  </si>
  <si>
    <t>Muestra cuadro diálogo MACRO</t>
  </si>
  <si>
    <t>%{F8}</t>
  </si>
  <si>
    <t>Muestra cuadro panel seleccionar OBJETOS</t>
  </si>
  <si>
    <t>%{F10}</t>
  </si>
  <si>
    <t>Activa la barra de Menú</t>
  </si>
  <si>
    <t>{F10}</t>
  </si>
  <si>
    <t>Muestra menú desplegable Click Derecho</t>
  </si>
  <si>
    <t>+{F10}</t>
  </si>
  <si>
    <t>Abre editor VBA</t>
  </si>
  <si>
    <t>%{F11}</t>
  </si>
  <si>
    <t>Inserta hoja de Macros EXCEL</t>
  </si>
  <si>
    <t>^{F11}</t>
  </si>
  <si>
    <t>Muestra cuadro diálogo IMPRIMIR</t>
  </si>
  <si>
    <t>^+{F12}</t>
  </si>
  <si>
    <t>^{x}</t>
  </si>
  <si>
    <t>Escape</t>
  </si>
  <si>
    <t>{Esc}</t>
  </si>
  <si>
    <t>Inserta un gráfico en la hoja actual</t>
  </si>
  <si>
    <t>%{F1}</t>
  </si>
  <si>
    <t>^+{1}</t>
  </si>
  <si>
    <t>^+{2}</t>
  </si>
  <si>
    <t>^+{3}</t>
  </si>
  <si>
    <t>^+{4}</t>
  </si>
  <si>
    <t>^+{5}</t>
  </si>
  <si>
    <t>^+{6}</t>
  </si>
  <si>
    <t>^+{7}</t>
  </si>
  <si>
    <t>^+{8}</t>
  </si>
  <si>
    <t>^+{F10}</t>
  </si>
  <si>
    <t>MENU EXCEL</t>
  </si>
  <si>
    <t>EXCEL MENU</t>
  </si>
  <si>
    <t>MENÜ EXCEL</t>
  </si>
  <si>
    <t>Z_TX_92_9_</t>
  </si>
  <si>
    <t>^{s}</t>
  </si>
  <si>
    <t>Activa_Menu_EXCEL_DB</t>
  </si>
  <si>
    <t>FastTest PlugIn - DataBase.xlsm</t>
  </si>
  <si>
    <t>92_10</t>
  </si>
  <si>
    <t>¿Desea guardar los cambios?</t>
  </si>
  <si>
    <t>Do you want to save your changes?</t>
  </si>
  <si>
    <t>Voulez-vous enregistrer vos modifications?</t>
  </si>
  <si>
    <t>Quer salvar suas mudanças?</t>
  </si>
  <si>
    <t>Vuoi salvare le modifiche?</t>
  </si>
  <si>
    <t>Möchten Sie Ihre Änderungen speichern?</t>
  </si>
  <si>
    <t>家</t>
  </si>
  <si>
    <t>YOUTUBE频道</t>
  </si>
  <si>
    <t>不使用
EXCEL版本
2007年之前
不使用最新的MAC更新</t>
  </si>
  <si>
    <t>仔细阅读</t>
  </si>
  <si>
    <t>该应用程序是在第一个版本中开发的：</t>
  </si>
  <si>
    <t>加迪兹大学</t>
  </si>
  <si>
    <t>1.由于Cádiz大学教学创新部门批准的教学创新项目，该应用程序已开发出来。
2.最终用户是想要使用Moodle平台问卷的老师。任何想要将问题库存储在一个地方并按顺序存储的人也可以使用它。
3.该应用程序有助于为问卷提出一系列问题，最终用户必须检查问题是否正确导入（至少是第一次），以及它们是否适当地填写了数据，就好像一样在Moodle做。
单击您要咨询存储问题的问题类型。</t>
  </si>
  <si>
    <t>该表用于存储问题，并能够在必要时重复使用它们，而无需将它们重新输入以进行新的问题。</t>
  </si>
  <si>
    <t>多项选择1A</t>
  </si>
  <si>
    <t>多项选择 +A</t>
  </si>
  <si>
    <t>真假</t>
  </si>
  <si>
    <t>匹配</t>
  </si>
  <si>
    <t>简短的答案</t>
  </si>
  <si>
    <t>缺少单词</t>
  </si>
  <si>
    <t>披肩</t>
  </si>
  <si>
    <t>问题</t>
  </si>
  <si>
    <t>散文</t>
  </si>
  <si>
    <t>自定义词典</t>
  </si>
  <si>
    <t>问题数据库</t>
  </si>
  <si>
    <t>保存的问题</t>
  </si>
  <si>
    <t>字典</t>
  </si>
  <si>
    <t>问题声明</t>
  </si>
  <si>
    <t>描述</t>
  </si>
  <si>
    <t>正确答案</t>
  </si>
  <si>
    <t>错误的答案</t>
  </si>
  <si>
    <t>反馈</t>
  </si>
  <si>
    <t>暗示</t>
  </si>
  <si>
    <t>点</t>
  </si>
  <si>
    <t>MC +A。</t>
  </si>
  <si>
    <t>嘛</t>
  </si>
  <si>
    <t>一对</t>
  </si>
  <si>
    <t>大写</t>
  </si>
  <si>
    <t>回答</t>
  </si>
  <si>
    <t>单词</t>
  </si>
  <si>
    <t>真的</t>
  </si>
  <si>
    <t>错误的</t>
  </si>
  <si>
    <t>团体</t>
  </si>
  <si>
    <t>响应格式</t>
  </si>
  <si>
    <t>需要文字</t>
  </si>
  <si>
    <t>输入框大小</t>
  </si>
  <si>
    <t>允许附件</t>
  </si>
  <si>
    <t>需要附件</t>
  </si>
  <si>
    <t>响应模板</t>
  </si>
  <si>
    <t>给分级生的信息</t>
  </si>
  <si>
    <t>宽度SA</t>
  </si>
  <si>
    <t>宏消息</t>
  </si>
  <si>
    <t>复制链接（ctrl + c），
和Internet中的粘贴（CTRL + V）。</t>
  </si>
  <si>
    <t>一般菜单</t>
  </si>
  <si>
    <t>节省</t>
  </si>
  <si>
    <t>关</t>
  </si>
  <si>
    <t>帮助</t>
  </si>
  <si>
    <t>复制</t>
  </si>
  <si>
    <t>粘贴</t>
  </si>
  <si>
    <t>去 …</t>
  </si>
  <si>
    <t>链接词典</t>
  </si>
  <si>
    <t>EXCEL菜单</t>
  </si>
  <si>
    <t>您想保存更改吗？</t>
  </si>
  <si>
    <t>中文简体</t>
  </si>
  <si>
    <t>CS</t>
  </si>
  <si>
    <t>Nº max. Respuestas</t>
  </si>
  <si>
    <t>No. max. Answers</t>
  </si>
  <si>
    <t>Nº max. Réponses</t>
  </si>
  <si>
    <t>Nº máx. respostas</t>
  </si>
  <si>
    <t>Anzahl max. Antworten</t>
  </si>
  <si>
    <t>最大数量 答案</t>
  </si>
  <si>
    <t>N° max. risposte</t>
  </si>
  <si>
    <t>FIN</t>
  </si>
  <si>
    <t>END</t>
  </si>
  <si>
    <t>TERMINER</t>
  </si>
  <si>
    <t>FINALIZAR</t>
  </si>
  <si>
    <t>FINIRE</t>
  </si>
  <si>
    <t>FERTIG</t>
  </si>
  <si>
    <t>结束</t>
  </si>
  <si>
    <t>Ancho IM</t>
  </si>
  <si>
    <t>LENGUA</t>
  </si>
  <si>
    <t>INICIALES</t>
  </si>
  <si>
    <t>[01] AFRIKAANS_______</t>
  </si>
  <si>
    <t>af</t>
  </si>
  <si>
    <t>[02] CATALÀ_________</t>
  </si>
  <si>
    <t>ca</t>
  </si>
  <si>
    <t>[03] ČEŠTINA_________</t>
  </si>
  <si>
    <t>cs</t>
  </si>
  <si>
    <t>[04] CYMRAEG________</t>
  </si>
  <si>
    <t>cy</t>
  </si>
  <si>
    <t>[05] DANSK__________</t>
  </si>
  <si>
    <t>da</t>
  </si>
  <si>
    <t>[06] EESTI KEEL_______</t>
  </si>
  <si>
    <t>et</t>
  </si>
  <si>
    <t>[07] EUSQUERA_______</t>
  </si>
  <si>
    <t>eu</t>
  </si>
  <si>
    <t>[08] FILIPINO________</t>
  </si>
  <si>
    <t>tl</t>
  </si>
  <si>
    <t>[09] GALEGO_________</t>
  </si>
  <si>
    <t>gl</t>
  </si>
  <si>
    <t>[10] HRVATSKI________</t>
  </si>
  <si>
    <t>hr</t>
  </si>
  <si>
    <t>[11] ÍSLENSKA________</t>
  </si>
  <si>
    <t>is</t>
  </si>
  <si>
    <t>[12] KISWAHILI_______</t>
  </si>
  <si>
    <t>sw</t>
  </si>
  <si>
    <t>[13] KREYÒL AYISYEN__</t>
  </si>
  <si>
    <t>ht</t>
  </si>
  <si>
    <t>[14] LATVIEŠU________</t>
  </si>
  <si>
    <t>lv</t>
  </si>
  <si>
    <t>[15] LIETUVIŲ KALBA___</t>
  </si>
  <si>
    <t>lt</t>
  </si>
  <si>
    <t>[16] MAGYAR_________</t>
  </si>
  <si>
    <t>hu</t>
  </si>
  <si>
    <t>[17] MALAY__________</t>
  </si>
  <si>
    <t>ms</t>
  </si>
  <si>
    <t>[18] MALTI___________</t>
  </si>
  <si>
    <t>mt</t>
  </si>
  <si>
    <t>[19] NEDERLANDS_____</t>
  </si>
  <si>
    <t>nl</t>
  </si>
  <si>
    <t>[20] NORSK__________</t>
  </si>
  <si>
    <t>no</t>
  </si>
  <si>
    <t>[21] POLSKI___________</t>
  </si>
  <si>
    <t>pl</t>
  </si>
  <si>
    <t>[22] ROMÂNĂ_________</t>
  </si>
  <si>
    <t>ro</t>
  </si>
  <si>
    <t>[23] SHQIP__________</t>
  </si>
  <si>
    <t>sq</t>
  </si>
  <si>
    <t>[24] SLOVENČINA______</t>
  </si>
  <si>
    <t>sk</t>
  </si>
  <si>
    <t>[25] SLOVENSKO______</t>
  </si>
  <si>
    <t>sl</t>
  </si>
  <si>
    <t>[26] SUOMI__________</t>
  </si>
  <si>
    <t>fi</t>
  </si>
  <si>
    <t>[27] SVENSKA_________</t>
  </si>
  <si>
    <t>sv</t>
  </si>
  <si>
    <t>[28] TIẾNG VIỆT______</t>
  </si>
  <si>
    <t>vi</t>
  </si>
  <si>
    <t>[29] TÜRKÇE_________</t>
  </si>
  <si>
    <t>tr</t>
  </si>
  <si>
    <t>[30] ᲥᲐᲠᲗᲣᲚᲘ____</t>
  </si>
  <si>
    <t>ka</t>
  </si>
  <si>
    <t>[31] ΕΛΛΗΝΙΚΆ________</t>
  </si>
  <si>
    <t>el</t>
  </si>
  <si>
    <t>[32] БЕЛАРУСКАЯ_____</t>
  </si>
  <si>
    <t>be</t>
  </si>
  <si>
    <t>[33] БЪЛГАРСКИ_______</t>
  </si>
  <si>
    <t>bg</t>
  </si>
  <si>
    <t>[34] МАКЕДОНСКИ____</t>
  </si>
  <si>
    <t>mk</t>
  </si>
  <si>
    <t>[35] РУССКИЙ________</t>
  </si>
  <si>
    <t>ru</t>
  </si>
  <si>
    <t>[36] СРПСКИ__________</t>
  </si>
  <si>
    <t>sr</t>
  </si>
  <si>
    <t>[37] УКРАЇНСЬКА_____</t>
  </si>
  <si>
    <t>uk</t>
  </si>
  <si>
    <t>[38] ՀԱՅԵՐԷՆ________</t>
  </si>
  <si>
    <t>hy</t>
  </si>
  <si>
    <t>[39] हिन्दी_____________</t>
  </si>
  <si>
    <t>hi</t>
  </si>
  <si>
    <t>[40] ไทย____________</t>
  </si>
  <si>
    <t>th</t>
  </si>
  <si>
    <t>[41] 한국어___________</t>
  </si>
  <si>
    <t>ko</t>
  </si>
  <si>
    <t>[42] 日本語___________</t>
  </si>
  <si>
    <t>ja</t>
  </si>
  <si>
    <t>[43] ייִדיש ___________</t>
  </si>
  <si>
    <t>yi</t>
  </si>
  <si>
    <t>Dch</t>
  </si>
  <si>
    <t>[44] עברית___________</t>
  </si>
  <si>
    <t>iw</t>
  </si>
  <si>
    <t>[45] آذربایجان دیلیייִדיש _</t>
  </si>
  <si>
    <t>az</t>
  </si>
  <si>
    <t>[46] اردو_____________</t>
  </si>
  <si>
    <t>ur</t>
  </si>
  <si>
    <t>[47] عربي____________</t>
  </si>
  <si>
    <t>ar</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</si>
  <si>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</si>
  <si>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V - 7.4  - 15/09/2022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</si>
</sst>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4"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
      <b/>
      <sz val="8"/>
      <color theme="0"/>
      <name val="Calibri"/>
      <family val="2"/>
      <scheme val="minor"/>
    </font>
    <font>
      <b/>
      <sz val="11"/>
      <color rgb="FFE87B00"/>
      <name val="Calibri"/>
      <family val="2"/>
      <scheme val="minor"/>
    </font>
    <font>
      <b/>
      <sz val="6"/>
      <color theme="0"/>
      <name val="Calibri"/>
      <family val="2"/>
      <scheme val="minor"/>
    </font>
    <font>
      <u/>
      <sz val="11"/>
      <color rgb="FF005877"/>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
      <patternFill patternType="solid">
        <fgColor theme="9" tint="0.59999389629810485"/>
        <bgColor indexed="64"/>
      </patternFill>
    </fill>
  </fills>
  <borders count="40">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04">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2" fillId="0" borderId="0" xfId="0" applyFont="1" applyFill="1" applyBorder="1" applyAlignment="1">
      <alignment horizontal="center" vertical="center"/>
    </xf>
    <xf numFmtId="0" fontId="12" fillId="0" borderId="0" xfId="0" applyFont="1" applyFill="1" applyBorder="1" applyAlignment="1">
      <alignment vertical="top"/>
    </xf>
    <xf numFmtId="0" fontId="12" fillId="0" borderId="0" xfId="0" applyNumberFormat="1"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shrinkToFit="1"/>
    </xf>
    <xf numFmtId="0" fontId="12" fillId="0" borderId="0" xfId="0" applyNumberFormat="1" applyFont="1" applyFill="1" applyBorder="1" applyAlignment="1">
      <alignment horizontal="right" vertical="center"/>
    </xf>
    <xf numFmtId="0" fontId="12" fillId="0" borderId="0" xfId="0" applyFont="1" applyFill="1" applyBorder="1" applyAlignment="1">
      <alignment horizontal="right" vertical="center"/>
    </xf>
    <xf numFmtId="0" fontId="31" fillId="0" borderId="0" xfId="0" applyFont="1" applyFill="1" applyBorder="1" applyAlignment="1">
      <alignment horizontal="center" vertical="center"/>
    </xf>
    <xf numFmtId="0" fontId="19" fillId="0" borderId="0" xfId="0" applyFont="1" applyBorder="1" applyAlignment="1" applyProtection="1">
      <alignment horizontal="center" vertical="top" shrinkToFit="1"/>
    </xf>
    <xf numFmtId="0" fontId="12" fillId="19" borderId="0" xfId="0" applyFont="1" applyFill="1" applyBorder="1" applyAlignment="1">
      <alignment horizontal="center" vertical="center"/>
    </xf>
    <xf numFmtId="0" fontId="12" fillId="19" borderId="0" xfId="0" applyFont="1" applyFill="1" applyBorder="1" applyAlignment="1">
      <alignment horizontal="right" vertical="center"/>
    </xf>
    <xf numFmtId="0" fontId="30" fillId="0" borderId="0" xfId="0" applyFont="1" applyFill="1" applyBorder="1" applyAlignment="1">
      <alignment horizontal="center" vertical="center" wrapText="1"/>
    </xf>
    <xf numFmtId="0" fontId="2" fillId="0" borderId="0" xfId="0" applyFont="1" applyFill="1" applyBorder="1" applyAlignment="1">
      <alignment vertical="top"/>
    </xf>
    <xf numFmtId="0" fontId="10" fillId="0" borderId="0" xfId="0" applyFont="1" applyFill="1" applyBorder="1" applyAlignment="1">
      <alignment horizontal="center"/>
    </xf>
    <xf numFmtId="0" fontId="12" fillId="0" borderId="0" xfId="0" applyFont="1" applyFill="1" applyBorder="1" applyAlignment="1">
      <alignment horizontal="right" vertical="top"/>
    </xf>
    <xf numFmtId="0" fontId="10" fillId="0" borderId="0" xfId="0" applyFont="1"/>
    <xf numFmtId="0" fontId="12" fillId="0" borderId="0" xfId="0" applyFont="1" applyFill="1" applyBorder="1" applyAlignment="1">
      <alignment vertical="center"/>
    </xf>
    <xf numFmtId="0" fontId="14" fillId="0" borderId="0" xfId="0" applyFont="1" applyFill="1" applyBorder="1" applyAlignment="1">
      <alignment vertical="center"/>
    </xf>
    <xf numFmtId="0" fontId="12" fillId="0" borderId="0" xfId="0" applyNumberFormat="1" applyFont="1" applyFill="1" applyBorder="1" applyAlignment="1">
      <alignment vertical="center"/>
    </xf>
    <xf numFmtId="0" fontId="5" fillId="0" borderId="0" xfId="0" applyFont="1" applyFill="1" applyBorder="1" applyAlignment="1">
      <alignment horizontal="center" vertical="center" wrapText="1"/>
    </xf>
    <xf numFmtId="0" fontId="32" fillId="0" borderId="0" xfId="0" applyFont="1" applyFill="1" applyBorder="1" applyAlignment="1">
      <alignment horizontal="center" vertical="center" wrapText="1" shrinkToFit="1"/>
    </xf>
    <xf numFmtId="0" fontId="17" fillId="18" borderId="30" xfId="0" applyFont="1" applyFill="1" applyBorder="1" applyAlignment="1">
      <alignment horizontal="center" vertical="center"/>
    </xf>
    <xf numFmtId="0" fontId="12" fillId="0" borderId="0" xfId="0" applyNumberFormat="1" applyFont="1" applyFill="1" applyBorder="1" applyAlignment="1">
      <alignment horizontal="left" vertical="center"/>
    </xf>
    <xf numFmtId="0" fontId="12" fillId="0" borderId="0" xfId="0" quotePrefix="1" applyFont="1" applyFill="1" applyBorder="1" applyAlignment="1">
      <alignment horizontal="left" vertical="center"/>
    </xf>
    <xf numFmtId="0" fontId="25" fillId="0" borderId="0" xfId="0" applyNumberFormat="1" applyFont="1" applyFill="1" applyBorder="1" applyAlignment="1">
      <alignment horizontal="center" vertical="center"/>
    </xf>
    <xf numFmtId="0" fontId="33" fillId="23" borderId="0" xfId="0" applyFont="1" applyFill="1" applyAlignment="1" applyProtection="1">
      <alignment vertical="top" wrapText="1"/>
      <protection locked="0"/>
    </xf>
    <xf numFmtId="0" fontId="14" fillId="24" borderId="0" xfId="0" applyFont="1" applyFill="1" applyBorder="1" applyAlignment="1" applyProtection="1">
      <alignment horizontal="left" vertical="center"/>
      <protection locked="0"/>
    </xf>
    <xf numFmtId="0" fontId="7" fillId="24" borderId="0" xfId="0" applyFont="1" applyFill="1" applyBorder="1" applyAlignment="1" applyProtection="1">
      <alignment horizontal="center" vertical="center" wrapText="1"/>
    </xf>
    <xf numFmtId="0" fontId="8" fillId="3" borderId="0" xfId="0" applyFont="1" applyFill="1" applyBorder="1" applyAlignment="1" applyProtection="1">
      <alignment horizontal="center" vertical="center" textRotation="90" wrapText="1"/>
    </xf>
    <xf numFmtId="0" fontId="12" fillId="3" borderId="0" xfId="0" applyFont="1" applyFill="1" applyBorder="1" applyAlignment="1" applyProtection="1"/>
    <xf numFmtId="0" fontId="7" fillId="3" borderId="0" xfId="0" applyFont="1" applyFill="1" applyBorder="1" applyAlignment="1" applyProtection="1">
      <alignment horizontal="center" vertical="center"/>
    </xf>
    <xf numFmtId="0" fontId="7" fillId="3" borderId="0" xfId="0" applyFont="1" applyFill="1" applyBorder="1" applyAlignment="1" applyProtection="1">
      <alignment horizontal="left" vertical="center"/>
    </xf>
    <xf numFmtId="0" fontId="10" fillId="3" borderId="0" xfId="0" applyFont="1" applyFill="1" applyBorder="1" applyAlignment="1" applyProtection="1">
      <alignment horizontal="left" vertical="center" wrapText="1"/>
    </xf>
    <xf numFmtId="0" fontId="14" fillId="3" borderId="0" xfId="0" applyFont="1" applyFill="1" applyBorder="1" applyAlignment="1" applyProtection="1">
      <alignment horizontal="left" vertical="center" wrapText="1"/>
    </xf>
    <xf numFmtId="0" fontId="14" fillId="3" borderId="0" xfId="0" applyFont="1" applyFill="1" applyBorder="1" applyAlignment="1" applyProtection="1">
      <alignment horizontal="left" vertical="center"/>
    </xf>
    <xf numFmtId="0" fontId="7" fillId="3" borderId="0" xfId="0" applyFont="1" applyFill="1" applyBorder="1" applyAlignment="1" applyProtection="1">
      <alignment horizontal="center" vertical="center" wrapText="1"/>
    </xf>
    <xf numFmtId="0" fontId="14" fillId="3" borderId="0" xfId="0" applyFont="1" applyFill="1" applyBorder="1" applyAlignment="1" applyProtection="1">
      <alignment horizontal="center" vertical="center" wrapText="1"/>
    </xf>
    <xf numFmtId="0" fontId="7" fillId="3" borderId="0" xfId="0" applyFont="1" applyFill="1" applyBorder="1" applyAlignment="1" applyProtection="1">
      <alignment horizontal="center" vertical="center" textRotation="90"/>
    </xf>
    <xf numFmtId="0" fontId="7" fillId="3" borderId="0" xfId="0" applyFont="1" applyFill="1" applyBorder="1" applyAlignment="1" applyProtection="1">
      <alignment vertical="center"/>
    </xf>
    <xf numFmtId="0" fontId="12" fillId="3" borderId="0" xfId="0" applyFont="1" applyFill="1" applyBorder="1" applyAlignment="1">
      <alignment horizontal="center" vertical="center" wrapText="1"/>
    </xf>
    <xf numFmtId="0" fontId="12" fillId="3" borderId="0" xfId="0" applyFont="1" applyFill="1" applyBorder="1" applyAlignment="1">
      <alignment horizontal="center" vertical="center"/>
    </xf>
    <xf numFmtId="0" fontId="19" fillId="3" borderId="0" xfId="0" applyFont="1" applyFill="1" applyBorder="1" applyAlignment="1" applyProtection="1">
      <alignment vertical="center"/>
    </xf>
    <xf numFmtId="0" fontId="12" fillId="3" borderId="0" xfId="0" applyFont="1" applyFill="1" applyBorder="1" applyAlignment="1" applyProtection="1">
      <alignment horizontal="center" vertical="center" wrapText="1"/>
    </xf>
    <xf numFmtId="0" fontId="12" fillId="3" borderId="0" xfId="0" applyFont="1" applyFill="1" applyBorder="1" applyAlignment="1" applyProtection="1">
      <alignment horizontal="center" vertical="center"/>
    </xf>
    <xf numFmtId="0" fontId="10" fillId="3" borderId="0" xfId="0" applyFont="1" applyFill="1" applyBorder="1" applyAlignment="1" applyProtection="1">
      <alignment vertical="center"/>
    </xf>
    <xf numFmtId="0" fontId="14" fillId="3" borderId="0" xfId="0" applyFont="1" applyFill="1" applyBorder="1" applyAlignment="1" applyProtection="1">
      <alignment horizontal="left" vertical="center" textRotation="90" shrinkToFit="1"/>
    </xf>
    <xf numFmtId="0" fontId="12" fillId="3" borderId="0" xfId="0" applyFont="1" applyFill="1" applyBorder="1" applyAlignment="1" applyProtection="1">
      <alignment horizontal="left" vertical="center" wrapText="1"/>
    </xf>
    <xf numFmtId="0" fontId="25" fillId="3" borderId="0" xfId="0" applyFont="1" applyFill="1" applyBorder="1" applyAlignment="1" applyProtection="1">
      <alignment horizontal="center" vertical="center" textRotation="90"/>
    </xf>
    <xf numFmtId="0" fontId="12" fillId="3" borderId="0" xfId="0" applyFont="1" applyFill="1" applyBorder="1" applyAlignment="1" applyProtection="1">
      <alignment vertical="center"/>
    </xf>
    <xf numFmtId="0" fontId="14" fillId="3" borderId="0" xfId="0" applyFont="1" applyFill="1" applyBorder="1" applyAlignment="1" applyProtection="1">
      <alignment vertical="center"/>
    </xf>
    <xf numFmtId="0" fontId="25" fillId="3" borderId="0" xfId="0" applyFont="1" applyFill="1" applyBorder="1" applyAlignment="1" applyProtection="1">
      <alignment vertical="center"/>
    </xf>
    <xf numFmtId="0" fontId="23" fillId="3" borderId="0" xfId="0" applyFont="1" applyFill="1" applyBorder="1" applyAlignment="1" applyProtection="1">
      <alignment horizontal="center" vertical="center" textRotation="90"/>
    </xf>
    <xf numFmtId="0" fontId="14" fillId="3" borderId="0" xfId="0" applyFont="1" applyFill="1" applyBorder="1" applyAlignment="1" applyProtection="1">
      <alignment horizontal="left" vertical="center" wrapText="1" indent="1"/>
    </xf>
    <xf numFmtId="0" fontId="12" fillId="3" borderId="0" xfId="0" applyFont="1" applyFill="1" applyBorder="1" applyAlignment="1" applyProtection="1">
      <alignment horizontal="left" vertical="center" wrapText="1"/>
      <protection locked="0"/>
    </xf>
    <xf numFmtId="0" fontId="12" fillId="3" borderId="0" xfId="0" applyFont="1" applyFill="1" applyBorder="1" applyAlignment="1" applyProtection="1">
      <alignment horizontal="left" vertical="center"/>
      <protection locked="0"/>
    </xf>
    <xf numFmtId="0" fontId="7" fillId="3" borderId="0" xfId="0" applyFont="1" applyFill="1" applyBorder="1" applyAlignment="1" applyProtection="1">
      <alignment horizontal="left" vertical="center" wrapText="1" indent="1"/>
    </xf>
    <xf numFmtId="0" fontId="14" fillId="3" borderId="0" xfId="0" applyFont="1" applyFill="1" applyBorder="1" applyAlignment="1" applyProtection="1">
      <alignment horizontal="left" vertical="center" wrapText="1"/>
      <protection locked="0"/>
    </xf>
    <xf numFmtId="0" fontId="14" fillId="3" borderId="0" xfId="0" applyFont="1" applyFill="1" applyBorder="1" applyAlignment="1" applyProtection="1">
      <alignment horizontal="center" vertical="center"/>
    </xf>
    <xf numFmtId="0" fontId="7" fillId="3" borderId="0" xfId="0" applyFont="1" applyFill="1" applyBorder="1" applyAlignment="1" applyProtection="1">
      <alignment horizontal="left" vertical="center" wrapText="1"/>
    </xf>
    <xf numFmtId="0" fontId="12" fillId="17" borderId="0" xfId="0" applyFont="1" applyFill="1" applyBorder="1" applyAlignment="1">
      <alignment vertical="top"/>
    </xf>
    <xf numFmtId="0" fontId="12" fillId="0" borderId="0" xfId="0" applyFont="1"/>
    <xf numFmtId="0" fontId="17" fillId="4" borderId="32" xfId="0" applyFont="1" applyFill="1" applyBorder="1" applyAlignment="1">
      <alignment vertical="top"/>
    </xf>
    <xf numFmtId="0" fontId="17" fillId="4" borderId="33" xfId="0" applyFont="1" applyFill="1" applyBorder="1" applyAlignment="1">
      <alignment vertical="top"/>
    </xf>
    <xf numFmtId="0" fontId="17" fillId="4" borderId="34" xfId="0" applyFont="1" applyFill="1" applyBorder="1" applyAlignment="1">
      <alignment vertical="top"/>
    </xf>
    <xf numFmtId="0" fontId="12" fillId="17" borderId="35" xfId="0" applyFont="1" applyFill="1" applyBorder="1" applyAlignment="1">
      <alignment vertical="top"/>
    </xf>
    <xf numFmtId="0" fontId="12" fillId="17" borderId="36" xfId="0" applyFont="1" applyFill="1" applyBorder="1" applyAlignment="1">
      <alignment vertical="top"/>
    </xf>
    <xf numFmtId="0" fontId="12" fillId="0" borderId="35" xfId="0" applyFont="1" applyFill="1" applyBorder="1" applyAlignment="1">
      <alignment vertical="top"/>
    </xf>
    <xf numFmtId="0" fontId="12" fillId="0" borderId="36" xfId="0" applyFont="1" applyFill="1" applyBorder="1" applyAlignment="1">
      <alignment vertical="top"/>
    </xf>
    <xf numFmtId="0" fontId="12" fillId="17" borderId="37" xfId="0" applyFont="1" applyFill="1" applyBorder="1" applyAlignment="1">
      <alignment vertical="top"/>
    </xf>
    <xf numFmtId="0" fontId="12" fillId="17" borderId="38" xfId="0" applyFont="1" applyFill="1" applyBorder="1" applyAlignment="1">
      <alignment vertical="top"/>
    </xf>
    <xf numFmtId="0" fontId="12" fillId="17" borderId="39" xfId="0" applyFont="1" applyFill="1" applyBorder="1" applyAlignment="1">
      <alignment vertical="top"/>
    </xf>
    <xf numFmtId="0" fontId="12" fillId="0" borderId="0" xfId="0" applyFont="1" applyAlignment="1">
      <alignment vertical="top"/>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0" fillId="17" borderId="0" xfId="0" applyFill="1" applyBorder="1" applyAlignment="1">
      <alignment horizontal="center"/>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16" fillId="2" borderId="16" xfId="1" applyFont="1" applyFill="1" applyBorder="1" applyAlignment="1">
      <alignment horizontal="center" vertical="center"/>
    </xf>
    <xf numFmtId="0" fontId="16" fillId="2" borderId="18" xfId="1" applyFont="1" applyFill="1" applyBorder="1" applyAlignment="1">
      <alignment horizontal="center" vertical="center"/>
    </xf>
    <xf numFmtId="0" fontId="5" fillId="3" borderId="25"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7" xfId="1" applyFont="1" applyFill="1" applyBorder="1" applyAlignment="1">
      <alignment horizontal="center" vertical="center"/>
    </xf>
    <xf numFmtId="0" fontId="0" fillId="17" borderId="0" xfId="0" applyFill="1" applyBorder="1" applyAlignment="1">
      <alignment horizontal="center" vertical="center"/>
    </xf>
    <xf numFmtId="0" fontId="10" fillId="17" borderId="0" xfId="0" applyFont="1" applyFill="1" applyBorder="1" applyAlignment="1">
      <alignment horizontal="center" vertical="center" shrinkToFit="1"/>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8" fillId="2" borderId="0" xfId="0" applyFont="1" applyFill="1" applyBorder="1" applyAlignment="1" applyProtection="1">
      <alignment horizontal="center" vertical="center" textRotation="90"/>
    </xf>
    <xf numFmtId="0" fontId="0" fillId="0" borderId="0" xfId="0" applyAlignment="1" applyProtection="1">
      <alignment horizontal="center"/>
      <protection locked="0"/>
    </xf>
    <xf numFmtId="0" fontId="0" fillId="0" borderId="0" xfId="0" applyAlignment="1"/>
  </cellXfs>
  <cellStyles count="2">
    <cellStyle name="Hipervínculo" xfId="1" builtinId="8"/>
    <cellStyle name="Normal" xfId="0" builtinId="0"/>
  </cellStyles>
  <dxfs count="348">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1"/>
        <color rgb="FF005877"/>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E87B0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color rgb="FF005877"/>
        <name val="Calibri"/>
        <scheme val="minor"/>
      </font>
      <numFmt numFmtId="0" formatCode="General"/>
      <alignment horizontal="center" vertical="center" textRotation="0" wrapText="0" indent="0" justifyLastLine="0" shrinkToFit="0" readingOrder="0"/>
    </dxf>
    <dxf>
      <border diagonalUp="0" diagonalDown="0">
        <left style="thick">
          <color rgb="FF005877"/>
        </left>
        <right style="thick">
          <color rgb="FF005877"/>
        </right>
        <top style="thick">
          <color rgb="FF005877"/>
        </top>
        <bottom style="thick">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color rgb="FF005877"/>
        <name val="Calibri"/>
        <scheme val="minor"/>
      </font>
      <fill>
        <patternFill>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ont>
        <strike val="0"/>
        <outline val="0"/>
        <shadow val="0"/>
        <u val="none"/>
        <vertAlign val="baseline"/>
        <color rgb="FF005877"/>
        <name val="Calibri"/>
        <scheme val="minor"/>
      </font>
      <fill>
        <patternFill>
          <fgColor indexed="64"/>
          <bgColor rgb="FF005877"/>
        </patternFill>
      </fill>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strike val="0"/>
        <outline val="0"/>
        <shadow val="0"/>
        <u val="none"/>
        <vertAlign val="baseline"/>
        <color rgb="FF005877"/>
        <name val="Calibri"/>
        <scheme val="minor"/>
      </font>
      <fill>
        <patternFill>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strike val="0"/>
        <outline val="0"/>
        <shadow val="0"/>
        <u val="none"/>
        <vertAlign val="baseline"/>
        <color rgb="FF005877"/>
        <name val="Calibri"/>
        <scheme val="minor"/>
      </font>
      <fill>
        <patternFill>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strike val="0"/>
        <outline val="0"/>
        <shadow val="0"/>
        <u val="none"/>
        <vertAlign val="baseline"/>
        <color rgb="FF005877"/>
        <name val="Calibri"/>
        <scheme val="minor"/>
      </font>
      <fill>
        <patternFill>
          <fgColor indexed="64"/>
          <bgColor rgb="FF005877"/>
        </patternFill>
      </fill>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strike val="0"/>
        <outline val="0"/>
        <shadow val="0"/>
        <u val="none"/>
        <vertAlign val="baseline"/>
        <color rgb="FF005877"/>
        <name val="Calibri"/>
        <scheme val="minor"/>
      </font>
      <fill>
        <patternFill>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9"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strike val="0"/>
        <outline val="0"/>
        <shadow val="0"/>
        <u val="none"/>
        <vertAlign val="baseline"/>
        <color rgb="FF005877"/>
        <name val="Calibri"/>
        <scheme val="minor"/>
      </font>
      <fill>
        <patternFill>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strike val="0"/>
        <outline val="0"/>
        <shadow val="0"/>
        <u val="none"/>
        <vertAlign val="baseline"/>
        <color rgb="FF005877"/>
        <name val="Calibri"/>
        <scheme val="minor"/>
      </font>
      <fill>
        <patternFill>
          <fgColor indexed="64"/>
          <bgColor rgb="FF005877"/>
        </patternFill>
      </fill>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s>
  <tableStyles count="1" defaultTableStyle="TableStyleMedium2" defaultPivotStyle="PivotStyleLight16">
    <tableStyle name="Tabla_UCA" pivot="0" count="8">
      <tableStyleElement type="wholeTable" dxfId="347"/>
      <tableStyleElement type="headerRow" dxfId="346"/>
      <tableStyleElement type="totalRow" dxfId="345"/>
      <tableStyleElement type="firstColumn" dxfId="344"/>
      <tableStyleElement type="lastColumn" dxfId="343"/>
      <tableStyleElement type="firstRowStripe" dxfId="342"/>
      <tableStyleElement type="firstColumnStripe" dxfId="341"/>
      <tableStyleElement type="lastTotalCell" dxfId="340"/>
    </tableStyle>
  </tableStyles>
  <colors>
    <mruColors>
      <color rgb="FFE87B00"/>
      <color rgb="FF0058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7" Type="http://schemas.openxmlformats.org/officeDocument/2006/relationships/image" Target="../media/image4.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uca.es" TargetMode="External"/><Relationship Id="rId5" Type="http://schemas.openxmlformats.org/officeDocument/2006/relationships/image" Target="../media/image3.png"/><Relationship Id="rId4" Type="http://schemas.openxmlformats.org/officeDocument/2006/relationships/hyperlink" Target="https://www.gnu.org/licenses/agpl-3.0.en.html"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1958</xdr:colOff>
      <xdr:row>29</xdr:row>
      <xdr:rowOff>1990</xdr:rowOff>
    </xdr:from>
    <xdr:to>
      <xdr:col>17</xdr:col>
      <xdr:colOff>493900</xdr:colOff>
      <xdr:row>33</xdr:row>
      <xdr:rowOff>65439</xdr:rowOff>
    </xdr:to>
    <xdr:pic>
      <xdr:nvPicPr>
        <xdr:cNvPr id="21" name="UCA">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37360" y="0"/>
          <a:ext cx="5037660" cy="657466"/>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37360" y="0"/>
          <a:ext cx="5037660" cy="657466"/>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37360" y="0"/>
          <a:ext cx="5037660" cy="657466"/>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37360" y="0"/>
          <a:ext cx="5037660" cy="657466"/>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37360" y="0"/>
          <a:ext cx="5037660" cy="657466"/>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37360" y="0"/>
          <a:ext cx="5037660" cy="657466"/>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37360" y="0"/>
          <a:ext cx="5037660" cy="657466"/>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40877" y="0"/>
          <a:ext cx="5037660" cy="653187"/>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511230" cy="722557"/>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astTest%20Plug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CIONARIO"/>
      <sheetName val="INICIO"/>
      <sheetName val="GENERAL"/>
      <sheetName val="Formulario OM"/>
      <sheetName val="Datos OM"/>
      <sheetName val="Formulario O2"/>
      <sheetName val="Datos O2"/>
      <sheetName val="Formulario VF"/>
      <sheetName val="Datos VF"/>
      <sheetName val="Formulario EM"/>
      <sheetName val="Datos EM"/>
      <sheetName val="Formulario RC"/>
      <sheetName val="Datos RC"/>
      <sheetName val="Formulario PP"/>
      <sheetName val="Datos PP"/>
      <sheetName val="Formulario EN"/>
      <sheetName val="Datos EN"/>
      <sheetName val="Formulario CL"/>
      <sheetName val="Datos CL"/>
      <sheetName val="XML OM"/>
      <sheetName val="XML O2"/>
      <sheetName val="XML VF"/>
      <sheetName val="XML EM"/>
      <sheetName val="XML RC"/>
      <sheetName val="XML PP"/>
      <sheetName val="XML EN"/>
      <sheetName val="XML CL"/>
      <sheetName val="XML"/>
      <sheetName val="DOC"/>
      <sheetName val="DOC_2"/>
      <sheetName val="DOC_TEMP"/>
      <sheetName val="OC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ables/table1.xml><?xml version="1.0" encoding="utf-8"?>
<table xmlns="http://schemas.openxmlformats.org/spreadsheetml/2006/main" id="9" name="Tabla_ID" displayName="Tabla_ID" ref="A38:B46" totalsRowShown="0" tableBorderDxfId="339">
  <autoFilter ref="A38:B46">
    <filterColumn colId="0" hiddenButton="1"/>
    <filterColumn colId="1" hiddenButton="1"/>
  </autoFilter>
  <tableColumns count="2">
    <tableColumn id="1" name="NOMBRE" dataDxfId="338"/>
    <tableColumn id="2" name="SIGLA" dataDxfId="337"/>
  </tableColumns>
  <tableStyleInfo showFirstColumn="0" showLastColumn="0" showRowStripes="1" showColumnStripes="0"/>
</table>
</file>

<file path=xl/tables/table2.xml><?xml version="1.0" encoding="utf-8"?>
<table xmlns="http://schemas.openxmlformats.org/spreadsheetml/2006/main" id="1" name="Tabla_OM" displayName="Tabla_OM" ref="A4:AI5" totalsRowShown="0" headerRowDxfId="336">
  <autoFilter ref="A4:AI5"/>
  <tableColumns count="35">
    <tableColumn id="1" name="NRC" dataDxfId="335">
      <calculatedColumnFormula>IF(COUNTIF(Tabla_OM[[#This Row],[Puntos 1]:[Puntos 6]],"&gt;0")=0,"",COUNTIF(Tabla_OM[[#This Row],[Puntos 1]:[Puntos 6]],"&gt;0"))</calculatedColumnFormula>
    </tableColumn>
    <tableColumn id="2" name="NRI" dataDxfId="334">
      <calculatedColumnFormula>IF(Tabla_OM[[#This Row],[NRC]]="","",COUNTA(Tabla_OM[[#This Row],[Respuesta 1]:[Respuesta 6]])-Tabla_OM[[#This Row],[NRC]])</calculatedColumnFormula>
    </tableColumn>
    <tableColumn id="3" name="Columna1" dataDxfId="333"/>
    <tableColumn id="4" name="Columna2" dataDxfId="332"/>
    <tableColumn id="5" name="Descripcion" dataDxfId="331"/>
    <tableColumn id="6" name="Enunciado" dataDxfId="330"/>
    <tableColumn id="7" name="Respuesta 1" dataDxfId="329"/>
    <tableColumn id="8" name="Respuesta 2" dataDxfId="328"/>
    <tableColumn id="9" name="Respuesta 3" dataDxfId="327"/>
    <tableColumn id="10" name="Respuesta 4" dataDxfId="326"/>
    <tableColumn id="11" name="Respuesta 5" dataDxfId="325"/>
    <tableColumn id="12" name="Respuesta 6" dataDxfId="324"/>
    <tableColumn id="13" name="Retroalim. 1" dataDxfId="323"/>
    <tableColumn id="14" name="Retroalim. 2" dataDxfId="322"/>
    <tableColumn id="15" name="Retroalim. 3" dataDxfId="321"/>
    <tableColumn id="16" name="Retroalim. 4" dataDxfId="320"/>
    <tableColumn id="17" name="Retroalim. 5" dataDxfId="319"/>
    <tableColumn id="18" name="Retroalim. 6" dataDxfId="318"/>
    <tableColumn id="19" name="Puntos 1" dataDxfId="317"/>
    <tableColumn id="20" name="Puntos 2" dataDxfId="316"/>
    <tableColumn id="21" name="Puntos 3" dataDxfId="315"/>
    <tableColumn id="22" name="Puntos 4" dataDxfId="314"/>
    <tableColumn id="23" name="Puntos 5" dataDxfId="313"/>
    <tableColumn id="24" name="Puntos 6" dataDxfId="312"/>
    <tableColumn id="25" name="Puntos 7" dataDxfId="311"/>
    <tableColumn id="26" name="Puntos 8" dataDxfId="310"/>
    <tableColumn id="27" name="Puntos 9" dataDxfId="309"/>
    <tableColumn id="28" name="Puntos 10" dataDxfId="308"/>
    <tableColumn id="29" name="Puntos 11" dataDxfId="307"/>
    <tableColumn id="30" name="Puntos 12" dataDxfId="306"/>
    <tableColumn id="31" name="Pista 1" dataDxfId="305"/>
    <tableColumn id="32" name="Pista 2" dataDxfId="304"/>
    <tableColumn id="33" name="Pista 3" dataDxfId="303"/>
    <tableColumn id="34" name="Pista 4" dataDxfId="302"/>
    <tableColumn id="35" name="Imagen" dataDxfId="301"/>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5" totalsRowShown="0" headerRowDxfId="300">
  <autoFilter ref="A4:AI5"/>
  <tableColumns count="35">
    <tableColumn id="1" name="NRC" dataDxfId="299">
      <calculatedColumnFormula>IF(COUNTIF(Tabla_O2[[#This Row],[Puntos 1]:[Puntos 6]],"&gt;0")=0,"",COUNTIF(Tabla_O2[[#This Row],[Puntos 1]:[Puntos 6]],"&gt;0"))</calculatedColumnFormula>
    </tableColumn>
    <tableColumn id="2" name="NRI" dataDxfId="298">
      <calculatedColumnFormula>IF(Tabla_O2[[#This Row],[NRC]]="","",COUNTA(Tabla_O2[[#This Row],[Respuesta 1]:[Respuesta 6]])-Tabla_O2[[#This Row],[NRC]])</calculatedColumnFormula>
    </tableColumn>
    <tableColumn id="3" name="Columna1" dataDxfId="297"/>
    <tableColumn id="4" name="Columna2" dataDxfId="296"/>
    <tableColumn id="5" name="Descripcion" dataDxfId="295"/>
    <tableColumn id="6" name="Enunciado" dataDxfId="294"/>
    <tableColumn id="7" name="Respuesta 1" dataDxfId="293"/>
    <tableColumn id="8" name="Respuesta 2" dataDxfId="292"/>
    <tableColumn id="9" name="Respuesta 3" dataDxfId="291"/>
    <tableColumn id="10" name="Respuesta 4" dataDxfId="290"/>
    <tableColumn id="11" name="Respuesta 5" dataDxfId="289"/>
    <tableColumn id="12" name="Respuesta 6" dataDxfId="288"/>
    <tableColumn id="13" name="Retroalim. 1" dataDxfId="287"/>
    <tableColumn id="14" name="Retroalim. 2" dataDxfId="286"/>
    <tableColumn id="15" name="Retroalim. 3" dataDxfId="285"/>
    <tableColumn id="16" name="Retroalim. 4" dataDxfId="284"/>
    <tableColumn id="17" name="Retroalim. 5" dataDxfId="283"/>
    <tableColumn id="18" name="Retroalim. 6" dataDxfId="282"/>
    <tableColumn id="19" name="Puntos 1" dataDxfId="281"/>
    <tableColumn id="20" name="Puntos 2" dataDxfId="280"/>
    <tableColumn id="21" name="Puntos 3" dataDxfId="279"/>
    <tableColumn id="22" name="Puntos 4" dataDxfId="278"/>
    <tableColumn id="23" name="Puntos 5" dataDxfId="277"/>
    <tableColumn id="24" name="Puntos 6" dataDxfId="276"/>
    <tableColumn id="25" name="Nº max. Respuestas" dataDxfId="275"/>
    <tableColumn id="26" name="Puntos 8" dataDxfId="274"/>
    <tableColumn id="27" name="Puntos 9" dataDxfId="273"/>
    <tableColumn id="28" name="Puntos 10" dataDxfId="272"/>
    <tableColumn id="29" name="Puntos 11" dataDxfId="271"/>
    <tableColumn id="30" name="Puntos 12" dataDxfId="270"/>
    <tableColumn id="31" name="Pista 1" dataDxfId="269"/>
    <tableColumn id="32" name="Pista 2" dataDxfId="268"/>
    <tableColumn id="33" name="Pista 3" dataDxfId="267"/>
    <tableColumn id="34" name="Pista 4" dataDxfId="266"/>
    <tableColumn id="35" name="Imagen" dataDxfId="265"/>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5" totalsRowShown="0" headerRowDxfId="264">
  <autoFilter ref="A4:AI5"/>
  <tableColumns count="35">
    <tableColumn id="1" name="C1" dataDxfId="263"/>
    <tableColumn id="2" name="C2" dataDxfId="262"/>
    <tableColumn id="3" name="Columna3" dataDxfId="261"/>
    <tableColumn id="4" name="Columna4" dataDxfId="260"/>
    <tableColumn id="5" name="Descripcion" dataDxfId="259"/>
    <tableColumn id="6" name="Enunciado" dataDxfId="258"/>
    <tableColumn id="7" name="Respuesta 1" dataDxfId="257"/>
    <tableColumn id="8" name="Retroalim. 1" dataDxfId="256"/>
    <tableColumn id="9" name="Retroalim. 2" dataDxfId="255"/>
    <tableColumn id="10" name="Columna5" dataDxfId="254"/>
    <tableColumn id="11" name="Columna6" dataDxfId="253"/>
    <tableColumn id="12" name="Columna7" dataDxfId="252"/>
    <tableColumn id="13" name="Columna8" dataDxfId="251"/>
    <tableColumn id="14" name="Columna9" dataDxfId="250"/>
    <tableColumn id="15" name="Columna10" dataDxfId="249"/>
    <tableColumn id="16" name="Columna11" dataDxfId="248"/>
    <tableColumn id="17" name="Columna12" dataDxfId="247"/>
    <tableColumn id="18" name="Columna13" dataDxfId="246"/>
    <tableColumn id="19" name="Columna14" dataDxfId="245"/>
    <tableColumn id="20" name="Columna15" dataDxfId="244"/>
    <tableColumn id="21" name="Columna16" dataDxfId="243"/>
    <tableColumn id="22" name="Columna17" dataDxfId="242"/>
    <tableColumn id="23" name="Columna18" dataDxfId="241"/>
    <tableColumn id="24" name="Columna19" dataDxfId="240"/>
    <tableColumn id="25" name="Columna20" dataDxfId="239"/>
    <tableColumn id="26" name="Columna21" dataDxfId="238"/>
    <tableColumn id="27" name="Columna22" dataDxfId="237"/>
    <tableColumn id="28" name="Columna23" dataDxfId="236"/>
    <tableColumn id="29" name="Columna24" dataDxfId="235"/>
    <tableColumn id="30" name="Columna25" dataDxfId="234"/>
    <tableColumn id="31" name="Pista 1" dataDxfId="233"/>
    <tableColumn id="32" name="Pista 2" dataDxfId="232"/>
    <tableColumn id="33" name="Pista 3" dataDxfId="231"/>
    <tableColumn id="34" name="Pista 4" dataDxfId="230"/>
    <tableColumn id="35" name="Imagen" dataDxfId="229"/>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5" totalsRowShown="0" headerRowDxfId="228">
  <autoFilter ref="A4:AI5"/>
  <tableColumns count="35">
    <tableColumn id="1" name="Pareja " dataDxfId="227">
      <calculatedColumnFormula>IF(COUNTA(Tabla_EM[[#This Row],[Pareja  01.1]:[Pareja  12.14]])/2=0,"",COUNTA(Tabla_EM[[#This Row],[Pareja  01.1]:[Pareja  12.14]])/2)</calculatedColumnFormula>
    </tableColumn>
    <tableColumn id="2" name="C1" dataDxfId="226"/>
    <tableColumn id="3" name="Columna2" dataDxfId="225"/>
    <tableColumn id="4" name="Columna3" dataDxfId="224"/>
    <tableColumn id="5" name="Descripcion" dataDxfId="223"/>
    <tableColumn id="6" name="Enunciado" dataDxfId="222"/>
    <tableColumn id="7" name="Pareja  01.1" dataDxfId="221"/>
    <tableColumn id="8" name="Pareja  01.2" dataDxfId="220"/>
    <tableColumn id="9" name="Pareja  02.1" dataDxfId="219"/>
    <tableColumn id="10" name="Pareja  02.2" dataDxfId="218"/>
    <tableColumn id="11" name="Pareja  03.1" dataDxfId="217"/>
    <tableColumn id="12" name="Pareja  03.2" dataDxfId="216"/>
    <tableColumn id="13" name="Pareja  04.1" dataDxfId="215"/>
    <tableColumn id="14" name="Pareja  04.2" dataDxfId="214"/>
    <tableColumn id="15" name="Pareja  05.1" dataDxfId="213"/>
    <tableColumn id="16" name="Pareja  05.2" dataDxfId="212"/>
    <tableColumn id="17" name="Pareja  06.1" dataDxfId="211"/>
    <tableColumn id="18" name="Pareja  06.2" dataDxfId="210"/>
    <tableColumn id="19" name="Pareja  07.1" dataDxfId="209"/>
    <tableColumn id="20" name="Pareja  07.2" dataDxfId="208"/>
    <tableColumn id="21" name="Pareja  08.1" dataDxfId="207"/>
    <tableColumn id="22" name="Pareja  08.2" dataDxfId="206"/>
    <tableColumn id="23" name="Pareja  09.1" dataDxfId="205"/>
    <tableColumn id="24" name="Pareja  09.2" dataDxfId="204"/>
    <tableColumn id="25" name="Pareja  10.1" dataDxfId="203"/>
    <tableColumn id="26" name="Pareja  10.2" dataDxfId="202"/>
    <tableColumn id="27" name="Pareja  11.1" dataDxfId="201"/>
    <tableColumn id="28" name="Pareja  11.2" dataDxfId="200"/>
    <tableColumn id="29" name="Pareja  12.1" dataDxfId="199"/>
    <tableColumn id="30" name="Pareja  12.14" dataDxfId="198"/>
    <tableColumn id="31" name="Pista 1" dataDxfId="197"/>
    <tableColumn id="32" name="Pista 2" dataDxfId="196"/>
    <tableColumn id="33" name="Pista 3" dataDxfId="195"/>
    <tableColumn id="34" name="Pista 4" dataDxfId="194"/>
    <tableColumn id="35" name="Imagen" dataDxfId="193"/>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5" totalsRowShown="0" headerRowDxfId="192">
  <autoFilter ref="A4:AI5"/>
  <tableColumns count="35">
    <tableColumn id="1" name="NR" dataDxfId="191">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90"/>
    <tableColumn id="3" name="Columna2" dataDxfId="189"/>
    <tableColumn id="4" name="May" dataDxfId="188"/>
    <tableColumn id="5" name="Descripcion" dataDxfId="187"/>
    <tableColumn id="6" name="Enunciado" dataDxfId="186"/>
    <tableColumn id="7" name="Respuesta 01" dataDxfId="185"/>
    <tableColumn id="8" name="Puntos 01" dataDxfId="184"/>
    <tableColumn id="9" name="Retroalim. 01" dataDxfId="183"/>
    <tableColumn id="10" name="Respuesta 02" dataDxfId="182"/>
    <tableColumn id="11" name="Puntos 02" dataDxfId="181"/>
    <tableColumn id="12" name="Retroalim. 02" dataDxfId="180"/>
    <tableColumn id="13" name="Respuesta 03" dataDxfId="179"/>
    <tableColumn id="14" name="Puntos 03" dataDxfId="178"/>
    <tableColumn id="15" name="Retroalim. 03" dataDxfId="177"/>
    <tableColumn id="16" name="Respuesta 04" dataDxfId="176"/>
    <tableColumn id="17" name="Puntos 04" dataDxfId="175"/>
    <tableColumn id="18" name="Retroalim. 04" dataDxfId="174"/>
    <tableColumn id="19" name="Respuesta 05" dataDxfId="173"/>
    <tableColumn id="20" name="Puntos 05" dataDxfId="172"/>
    <tableColumn id="21" name="Retroalim. 05" dataDxfId="171"/>
    <tableColumn id="22" name="Respuesta 06" dataDxfId="170"/>
    <tableColumn id="23" name="Puntos 06" dataDxfId="169"/>
    <tableColumn id="24" name="Retroalim. 06" dataDxfId="168"/>
    <tableColumn id="25" name="Respuesta 07" dataDxfId="167"/>
    <tableColumn id="26" name="Puntos 07" dataDxfId="166"/>
    <tableColumn id="27" name="Retroalim. 07" dataDxfId="165"/>
    <tableColumn id="28" name="Respuesta 08" dataDxfId="164"/>
    <tableColumn id="29" name="Puntos 08" dataDxfId="163"/>
    <tableColumn id="30" name="Retroalim. 08" dataDxfId="162"/>
    <tableColumn id="31" name="Pista 1" dataDxfId="161"/>
    <tableColumn id="32" name="Pista 2" dataDxfId="160"/>
    <tableColumn id="33" name="Pista 3" dataDxfId="159"/>
    <tableColumn id="34" name="Pista 4" dataDxfId="158"/>
    <tableColumn id="35" name="Imagen" dataDxfId="157"/>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5" totalsRowShown="0" headerRowDxfId="156" dataDxfId="155">
  <autoFilter ref="A4:AI5"/>
  <tableColumns count="35">
    <tableColumn id="1" name="Palabra " dataDxfId="154">
      <calculatedColumnFormula>IF(COUNTA(Tabla_PP[[#This Row],[GP 01]:[P 12]])/2=0,"",COUNTA(Tabla_PP[[#This Row],[GP 01]:[P 12]])/2)</calculatedColumnFormula>
    </tableColumn>
    <tableColumn id="2" name="C1" dataDxfId="153"/>
    <tableColumn id="3" name="Columna2" dataDxfId="152"/>
    <tableColumn id="4" name="Columna3" dataDxfId="151"/>
    <tableColumn id="5" name="Descripcion" dataDxfId="150"/>
    <tableColumn id="6" name="Enunciado" dataDxfId="149"/>
    <tableColumn id="7" name="GP 01" dataDxfId="148"/>
    <tableColumn id="8" name="P 01" dataDxfId="147"/>
    <tableColumn id="9" name="GP 02" dataDxfId="146"/>
    <tableColumn id="10" name="P 02" dataDxfId="145"/>
    <tableColumn id="11" name="GP 03" dataDxfId="144"/>
    <tableColumn id="12" name="P 03" dataDxfId="143"/>
    <tableColumn id="13" name="GP 04" dataDxfId="142"/>
    <tableColumn id="14" name="P 04" dataDxfId="141"/>
    <tableColumn id="15" name="GP 05" dataDxfId="140"/>
    <tableColumn id="16" name="P 05" dataDxfId="139"/>
    <tableColumn id="17" name="GP 06" dataDxfId="138"/>
    <tableColumn id="18" name="P 06" dataDxfId="137"/>
    <tableColumn id="19" name="GP 07" dataDxfId="136"/>
    <tableColumn id="20" name="P 07" dataDxfId="135"/>
    <tableColumn id="21" name="GP 08" dataDxfId="134"/>
    <tableColumn id="22" name="P 08" dataDxfId="133"/>
    <tableColumn id="23" name="GP 09" dataDxfId="132"/>
    <tableColumn id="24" name="P 09" dataDxfId="131"/>
    <tableColumn id="25" name="GP 10" dataDxfId="130"/>
    <tableColumn id="26" name="P 10" dataDxfId="129"/>
    <tableColumn id="27" name="GP 11" dataDxfId="128"/>
    <tableColumn id="28" name="P 11" dataDxfId="127"/>
    <tableColumn id="29" name="GP 12" dataDxfId="126"/>
    <tableColumn id="30" name="P 12" dataDxfId="125"/>
    <tableColumn id="31" name="Pista 1" dataDxfId="124"/>
    <tableColumn id="32" name="Pista 2" dataDxfId="123"/>
    <tableColumn id="33" name="Pista 3" dataDxfId="122"/>
    <tableColumn id="34" name="Pista 4" dataDxfId="121"/>
    <tableColumn id="35" name="Imagen" dataDxfId="120"/>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5" totalsRowShown="0" headerRowDxfId="117" dataDxfId="116">
  <autoFilter ref="A4:AI5"/>
  <tableColumns count="35">
    <tableColumn id="1" name="C1" dataDxfId="115"/>
    <tableColumn id="2" name="C2" dataDxfId="114"/>
    <tableColumn id="3" name="Columna1" dataDxfId="113"/>
    <tableColumn id="4" name="Columna2" dataDxfId="112"/>
    <tableColumn id="5" name="Descripción" dataDxfId="111"/>
    <tableColumn id="6" name="FastTest PlugIn - ENSAYO_x000a__x000a_Enunciado de la pregunta" dataDxfId="110"/>
    <tableColumn id="7" name="Formato de la Respuesta_x000a_Requerir texto" dataDxfId="109"/>
    <tableColumn id="8" name="Requerir texto" dataDxfId="108"/>
    <tableColumn id="9" name="Tamaño de la caja de entrada" dataDxfId="107"/>
    <tableColumn id="10" name="Permitir archivos adjuntos" dataDxfId="106"/>
    <tableColumn id="11" name="Archivos adjuntos requeridos" dataDxfId="105"/>
    <tableColumn id="12" name="Plantilla de Respuesta" dataDxfId="104"/>
    <tableColumn id="13" name="Información para el evaluador" dataDxfId="103"/>
    <tableColumn id="14" name="Columna3" dataDxfId="102"/>
    <tableColumn id="15" name="Columna4" dataDxfId="101"/>
    <tableColumn id="16" name="Columna5" dataDxfId="100"/>
    <tableColumn id="17" name="Columna6" dataDxfId="99"/>
    <tableColumn id="18" name="Columna7" dataDxfId="98"/>
    <tableColumn id="19" name="Columna8" dataDxfId="97"/>
    <tableColumn id="20" name="Columna9" dataDxfId="96"/>
    <tableColumn id="21" name="Columna10" dataDxfId="95"/>
    <tableColumn id="22" name="Columna11" dataDxfId="94"/>
    <tableColumn id="23" name="Columna12" dataDxfId="93"/>
    <tableColumn id="24" name="Columna13" dataDxfId="92"/>
    <tableColumn id="25" name="Columna14" dataDxfId="91"/>
    <tableColumn id="26" name="Columna15" dataDxfId="90"/>
    <tableColumn id="27" name="Columna16" dataDxfId="89"/>
    <tableColumn id="28" name="Columna17" dataDxfId="88"/>
    <tableColumn id="29" name="Columna18" dataDxfId="87"/>
    <tableColumn id="30" name="Columna19" dataDxfId="86"/>
    <tableColumn id="31" name="Columna20" dataDxfId="85"/>
    <tableColumn id="32" name="Columna21" dataDxfId="84"/>
    <tableColumn id="33" name="Columna22" dataDxfId="83"/>
    <tableColumn id="34" name="Columna23" dataDxfId="82"/>
    <tableColumn id="35" name="Imagen" dataDxfId="81"/>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80" dataDxfId="79">
  <autoFilter ref="A4:AI5"/>
  <tableColumns count="35">
    <tableColumn id="1" name="C1" dataDxfId="78"/>
    <tableColumn id="2" name="C2" dataDxfId="77"/>
    <tableColumn id="3" name="Columna1" dataDxfId="76"/>
    <tableColumn id="4" name="Columna2" dataDxfId="75"/>
    <tableColumn id="5" name="Descripcion" dataDxfId="74"/>
    <tableColumn id="6" name="Enunciado" dataDxfId="73"/>
    <tableColumn id="7" name="Ancho RC" dataDxfId="72"/>
    <tableColumn id="8" name="Columna3" dataDxfId="71"/>
    <tableColumn id="9" name="Ancho IM" dataDxfId="70"/>
    <tableColumn id="10" name="Columna5" dataDxfId="69"/>
    <tableColumn id="11" name="Columna6" dataDxfId="68"/>
    <tableColumn id="12" name="Columna7" dataDxfId="67"/>
    <tableColumn id="13" name="Columna8" dataDxfId="66"/>
    <tableColumn id="14" name="Columna9" dataDxfId="65"/>
    <tableColumn id="15" name="Columna10" dataDxfId="64"/>
    <tableColumn id="16" name="Columna11" dataDxfId="63"/>
    <tableColumn id="17" name="Columna12" dataDxfId="62"/>
    <tableColumn id="18" name="Columna13" dataDxfId="61"/>
    <tableColumn id="19" name="Columna14" dataDxfId="60"/>
    <tableColumn id="20" name="Columna15" dataDxfId="59"/>
    <tableColumn id="21" name="Columna16" dataDxfId="58"/>
    <tableColumn id="22" name="Columna17" dataDxfId="57"/>
    <tableColumn id="23" name="Columna18" dataDxfId="56"/>
    <tableColumn id="24" name="Columna19" dataDxfId="55"/>
    <tableColumn id="25" name="Columna20" dataDxfId="54"/>
    <tableColumn id="26" name="Columna21" dataDxfId="53"/>
    <tableColumn id="27" name="Columna22" dataDxfId="52"/>
    <tableColumn id="28" name="Columna23" dataDxfId="51"/>
    <tableColumn id="29" name="Columna24" dataDxfId="50"/>
    <tableColumn id="30" name="Columna25" dataDxfId="49"/>
    <tableColumn id="31" name="Pista 1" dataDxfId="48"/>
    <tableColumn id="32" name="Pista 2" dataDxfId="47"/>
    <tableColumn id="33" name="Pista 3" dataDxfId="46"/>
    <tableColumn id="34" name="Pista 4" dataDxfId="45"/>
    <tableColumn id="35" name="Imagen" dataDxfId="44"/>
  </tableColumns>
  <tableStyleInfo name="TableStyleMedium2" showFirstColumn="0" showLastColumn="0" showRowStripes="1" showColumnStripes="0"/>
</table>
</file>

<file path=xl/tables/table10.xml><?xml version="1.0" encoding="utf-8"?>
<table xmlns="http://schemas.openxmlformats.org/spreadsheetml/2006/main" id="12" name="Tabla_Menu" displayName="Tabla_Menu" ref="S2:AF30" totalsRowCount="1" headerRowDxfId="40" dataDxfId="39" tableBorderDxfId="38">
  <autoFilter ref="S2:AF29"/>
  <tableColumns count="14">
    <tableColumn id="1" name="N Sub" totalsRowFunction="custom" dataDxfId="37" totalsRowDxfId="36">
      <calculatedColumnFormula>IF(Tabla_Menu[[#This Row],[Nivel]]=T2,0,COUNTIF(Tabla_Menu[Nivel],Tabla_Menu[[#This Row],[Nivel]]))</calculatedColumnFormula>
      <totalsRowFormula>COUNTIF(Tabla_Menu[N Sub],"&lt;&gt;0")</totalsRowFormula>
    </tableColumn>
    <tableColumn id="2" name="Nivel" dataDxfId="35" totalsRowDxfId="34">
      <calculatedColumnFormula>IFERROR(INDIRECT(Tabla_Menu[[#This Row],[Nivel 1]]&amp;IDIOMA),"")</calculatedColumnFormula>
    </tableColumn>
    <tableColumn id="3" name="Nombre" dataDxfId="33" totalsRowDxfId="32">
      <calculatedColumnFormula>IFERROR(INDIRECT(Tabla_Menu[[#This Row],[Nivel 2]]&amp;IDIOMA)&amp;IF(Tabla_Menu[[#This Row],[Nivel]]="",""," "&amp;Tabla_Menu[[#This Row],['[Teclas']]]),"")</calculatedColumnFormula>
    </tableColumn>
    <tableColumn id="4" name="On Action" dataDxfId="31" totalsRowDxfId="30"/>
    <tableColumn id="5" name="Face Id" dataDxfId="29" totalsRowDxfId="28"/>
    <tableColumn id="6" name="Begin Group" dataDxfId="27" totalsRowDxfId="26"/>
    <tableColumn id="7" name="Nivel 1" dataDxfId="25" totalsRowDxfId="24"/>
    <tableColumn id="8" name="Nivel 2" dataDxfId="23" totalsRowDxfId="22"/>
    <tableColumn id="11" name="Teclas" dataDxfId="21" totalsRowDxfId="20"/>
    <tableColumn id="15" name="HOJAS NO MUESTRA" dataDxfId="19" totalsRowDxfId="18"/>
    <tableColumn id="10" name="N/A" dataDxfId="17" totalsRowDxfId="16">
      <calculatedColumnFormula>IF(OR(Tabla_Menu[[#This Row],[Nivel]]="",IFERROR(SEARCH(MID(CELL("nombrearchivo"),FIND(".xlsm]",CELL("nombrearchivo"),1)+6,100),Tabla_Menu[[#This Row],[HOJAS NO MUESTRA]],1),0)&gt;0),"N/A","")</calculatedColumnFormula>
    </tableColumn>
    <tableColumn id="14" name="Num N/A" dataDxfId="15" totalsRowDxfId="14">
      <calculatedColumnFormula>IF(Tabla_Menu[[#This Row],[N/A]]="",,COUNTIF(Tabla_Menu[Nivel &amp; Incluir],Tabla_Menu[[#This Row],[Nivel &amp; Incluir]]))</calculatedColumnFormula>
    </tableColumn>
    <tableColumn id="12" name="Nivel &amp; Incluir" dataDxfId="13" totalsRowDxfId="12">
      <calculatedColumnFormula>Tabla_Menu[[#This Row],[Nivel]]&amp;Tabla_Menu[[#This Row],[N/A]]</calculatedColumnFormula>
    </tableColumn>
    <tableColumn id="9" name="[Teclas]" dataDxfId="11" totalsRowDxfId="10"/>
  </tableColumns>
  <tableStyleInfo name="Tabla_UCA" showFirstColumn="0" showLastColumn="0" showRowStripes="1" showColumnStripes="0"/>
</table>
</file>

<file path=xl/tables/table11.xml><?xml version="1.0" encoding="utf-8"?>
<table xmlns="http://schemas.openxmlformats.org/spreadsheetml/2006/main" id="10" name="Tabla_Comandos" displayName="Tabla_Comandos" ref="U37:W44" totalsRowCount="1" headerRowDxfId="9" dataDxfId="8" totalsRowDxfId="6" tableBorderDxfId="7">
  <autoFilter ref="U37:W43">
    <filterColumn colId="0" hiddenButton="1"/>
    <filterColumn colId="1" hiddenButton="1"/>
    <filterColumn colId="2" hiddenButton="1"/>
  </autoFilter>
  <tableColumns count="3">
    <tableColumn id="1" name="CommandBars" totalsRowFunction="custom" dataDxfId="5" totalsRowDxfId="4">
      <totalsRowFormula>COUNTA(Tabla_Comandos[CommandBars])</totalsRowFormula>
    </tableColumn>
    <tableColumn id="2" name="Cambio" dataDxfId="3" totalsRowDxfId="2"/>
    <tableColumn id="3" name="Activa/Des" dataDxfId="1" totalsRowDxfId="0"/>
  </tableColumns>
  <tableStyleInfo name="TableStyleLight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8"/>
  <sheetViews>
    <sheetView showGridLines="0" showRowColHeaders="0" tabSelected="1" zoomScale="139" zoomScaleNormal="139" workbookViewId="0">
      <pane xSplit="26" ySplit="55" topLeftCell="AA56" activePane="bottomRight" state="frozen"/>
      <selection pane="topRight" activeCell="AF1" sqref="AF1"/>
      <selection pane="bottomLeft" activeCell="A56" sqref="A56"/>
      <selection pane="bottomRight" activeCell="A11" sqref="A11:A13"/>
    </sheetView>
  </sheetViews>
  <sheetFormatPr baseColWidth="10" defaultColWidth="0" defaultRowHeight="14.4" zeroHeight="1" x14ac:dyDescent="0.3"/>
  <cols>
    <col min="1" max="1" width="10.6640625" customWidth="1"/>
    <col min="2" max="2" width="2.6640625" customWidth="1"/>
    <col min="3" max="18" width="7.88671875" customWidth="1"/>
    <col min="19" max="19" width="2.6640625" customWidth="1"/>
    <col min="20" max="20" width="10.6640625" customWidth="1"/>
    <col min="21" max="16384" width="11.44140625" hidden="1"/>
  </cols>
  <sheetData>
    <row r="1" spans="1:19" ht="29.4" thickTop="1" x14ac:dyDescent="0.3">
      <c r="A1" s="269" t="s">
        <v>387</v>
      </c>
      <c r="B1" s="288" t="s">
        <v>5</v>
      </c>
      <c r="C1" s="289"/>
      <c r="D1" s="289"/>
      <c r="E1" s="289"/>
      <c r="F1" s="289"/>
      <c r="G1" s="289"/>
      <c r="H1" s="289"/>
      <c r="I1" s="289"/>
      <c r="J1" s="289"/>
      <c r="K1" s="289"/>
      <c r="L1" s="289"/>
      <c r="M1" s="289"/>
      <c r="N1" s="289"/>
      <c r="O1" s="289"/>
      <c r="P1" s="289"/>
      <c r="Q1" s="289"/>
      <c r="R1" s="289"/>
      <c r="S1" s="290"/>
    </row>
    <row r="2" spans="1:19" ht="6" customHeight="1" x14ac:dyDescent="0.3">
      <c r="A2" s="270"/>
      <c r="B2" s="7"/>
      <c r="C2" s="8"/>
      <c r="D2" s="8"/>
      <c r="E2" s="8"/>
      <c r="F2" s="8"/>
      <c r="G2" s="8"/>
      <c r="H2" s="8"/>
      <c r="I2" s="8"/>
      <c r="J2" s="8"/>
      <c r="K2" s="8"/>
      <c r="L2" s="8"/>
      <c r="M2" s="8"/>
      <c r="N2" s="8"/>
      <c r="O2" s="8"/>
      <c r="P2" s="8"/>
      <c r="Q2" s="8"/>
      <c r="R2" s="8"/>
      <c r="S2" s="9"/>
    </row>
    <row r="3" spans="1:19" x14ac:dyDescent="0.3">
      <c r="A3" s="270"/>
      <c r="B3" s="7"/>
      <c r="C3" s="8"/>
      <c r="D3" s="8"/>
      <c r="E3" s="8"/>
      <c r="F3" s="8"/>
      <c r="G3" s="277" t="str">
        <f ca="1">INDIRECT("Z_IN_04_"&amp;IDIOMA)</f>
        <v>Esta Aplicación ha sido desarrollada, en la primera versión, por:</v>
      </c>
      <c r="H3" s="277"/>
      <c r="I3" s="277"/>
      <c r="J3" s="277"/>
      <c r="K3" s="277"/>
      <c r="L3" s="277"/>
      <c r="M3" s="277"/>
      <c r="N3" s="277"/>
      <c r="O3" s="8"/>
      <c r="P3" s="8"/>
      <c r="Q3" s="8"/>
      <c r="R3" s="8"/>
      <c r="S3" s="9"/>
    </row>
    <row r="4" spans="1:19" ht="6" customHeight="1" x14ac:dyDescent="0.3">
      <c r="A4" s="270"/>
      <c r="B4" s="7"/>
      <c r="C4" s="8"/>
      <c r="D4" s="8"/>
      <c r="E4" s="8"/>
      <c r="F4" s="8"/>
      <c r="G4" s="8"/>
      <c r="H4" s="8"/>
      <c r="I4" s="8"/>
      <c r="J4" s="8"/>
      <c r="K4" s="8"/>
      <c r="L4" s="8"/>
      <c r="M4" s="8"/>
      <c r="N4" s="8"/>
      <c r="O4" s="8"/>
      <c r="P4" s="8"/>
      <c r="Q4" s="8"/>
      <c r="R4" s="8"/>
      <c r="S4" s="9"/>
    </row>
    <row r="5" spans="1:19" ht="15.75" customHeight="1" x14ac:dyDescent="0.3">
      <c r="A5" s="270"/>
      <c r="B5" s="7"/>
      <c r="C5" s="8"/>
      <c r="D5" s="8"/>
      <c r="E5" s="8"/>
      <c r="F5" s="294"/>
      <c r="G5" s="294"/>
      <c r="H5" s="150"/>
      <c r="I5" s="278" t="s">
        <v>0</v>
      </c>
      <c r="J5" s="278"/>
      <c r="K5" s="278"/>
      <c r="L5" s="278"/>
      <c r="M5" s="149"/>
      <c r="N5" s="276"/>
      <c r="O5" s="276"/>
      <c r="P5" s="295" t="s">
        <v>651</v>
      </c>
      <c r="Q5" s="295"/>
      <c r="R5" s="295"/>
      <c r="S5" s="9"/>
    </row>
    <row r="6" spans="1:19" ht="6" customHeight="1" x14ac:dyDescent="0.3">
      <c r="A6" s="270"/>
      <c r="B6" s="7"/>
      <c r="C6" s="8"/>
      <c r="D6" s="8"/>
      <c r="E6" s="8"/>
      <c r="F6" s="294"/>
      <c r="G6" s="294"/>
      <c r="H6" s="150"/>
      <c r="I6" s="8"/>
      <c r="J6" s="8"/>
      <c r="K6" s="8"/>
      <c r="L6" s="8"/>
      <c r="M6" s="149"/>
      <c r="N6" s="276"/>
      <c r="O6" s="276"/>
      <c r="P6" s="280" t="str">
        <f ca="1">INDIRECT("Z_IN_01_"&amp;IDIOMA)</f>
        <v>CANAL YOUTUBE</v>
      </c>
      <c r="Q6" s="280"/>
      <c r="R6" s="280"/>
      <c r="S6" s="9"/>
    </row>
    <row r="7" spans="1:19" ht="15" customHeight="1" x14ac:dyDescent="0.3">
      <c r="A7" s="270"/>
      <c r="B7" s="7"/>
      <c r="C7" s="8"/>
      <c r="D7" s="8"/>
      <c r="E7" s="8"/>
      <c r="F7" s="294"/>
      <c r="G7" s="294"/>
      <c r="H7" s="150"/>
      <c r="I7" s="277" t="str">
        <f ca="1">INDIRECT("Z_IN_05_"&amp;IDIOMA)</f>
        <v>Universidad de Cádiz</v>
      </c>
      <c r="J7" s="277"/>
      <c r="K7" s="277"/>
      <c r="L7" s="277"/>
      <c r="M7" s="149"/>
      <c r="N7" s="276"/>
      <c r="O7" s="276"/>
      <c r="P7" s="280"/>
      <c r="Q7" s="280"/>
      <c r="R7" s="280"/>
      <c r="S7" s="9"/>
    </row>
    <row r="8" spans="1:19" ht="6" customHeight="1" x14ac:dyDescent="0.3">
      <c r="A8" s="270"/>
      <c r="B8" s="7"/>
      <c r="C8" s="8"/>
      <c r="D8" s="8"/>
      <c r="E8" s="8"/>
      <c r="F8" s="294"/>
      <c r="G8" s="294"/>
      <c r="H8" s="150"/>
      <c r="I8" s="8"/>
      <c r="J8" s="8"/>
      <c r="K8" s="8"/>
      <c r="L8" s="8"/>
      <c r="M8" s="149"/>
      <c r="N8" s="276"/>
      <c r="O8" s="276"/>
      <c r="P8" s="8"/>
      <c r="Q8" s="8"/>
      <c r="R8" s="8"/>
      <c r="S8" s="9"/>
    </row>
    <row r="9" spans="1:19" ht="15" thickBot="1" x14ac:dyDescent="0.35">
      <c r="A9" s="271"/>
      <c r="B9" s="7"/>
      <c r="C9" s="291" t="str">
        <f ca="1">INDIRECT("Z_IN_03_"&amp;IDIOMA)</f>
        <v>LEER CON ATENCIÓN</v>
      </c>
      <c r="D9" s="291"/>
      <c r="E9" s="8"/>
      <c r="F9" s="294"/>
      <c r="G9" s="294"/>
      <c r="H9" s="150"/>
      <c r="I9" s="279" t="s">
        <v>10</v>
      </c>
      <c r="J9" s="279"/>
      <c r="K9" s="279"/>
      <c r="L9" s="279"/>
      <c r="M9" s="149"/>
      <c r="N9" s="276"/>
      <c r="O9" s="276"/>
      <c r="P9" s="281" t="s">
        <v>831</v>
      </c>
      <c r="Q9" s="281"/>
      <c r="R9" s="281"/>
      <c r="S9" s="9"/>
    </row>
    <row r="10" spans="1:19" ht="6" customHeight="1" x14ac:dyDescent="0.3">
      <c r="B10" s="7"/>
      <c r="C10" s="8"/>
      <c r="D10" s="8"/>
      <c r="E10" s="8"/>
      <c r="F10" s="294"/>
      <c r="G10" s="294"/>
      <c r="H10" s="150"/>
      <c r="I10" s="8"/>
      <c r="J10" s="8"/>
      <c r="K10" s="8"/>
      <c r="L10" s="8"/>
      <c r="M10" s="149"/>
      <c r="N10" s="276"/>
      <c r="O10" s="276"/>
      <c r="P10" s="8"/>
      <c r="Q10" s="8"/>
      <c r="R10" s="8"/>
      <c r="S10" s="9"/>
    </row>
    <row r="11" spans="1:19" ht="15" customHeight="1" x14ac:dyDescent="0.3">
      <c r="A11" s="272" t="s">
        <v>12</v>
      </c>
      <c r="B11" s="7"/>
      <c r="C11" s="8"/>
      <c r="D11" s="292"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292"/>
      <c r="F11" s="292"/>
      <c r="G11" s="292"/>
      <c r="H11" s="292"/>
      <c r="I11" s="292"/>
      <c r="J11" s="292"/>
      <c r="K11" s="292"/>
      <c r="L11" s="292"/>
      <c r="M11" s="292"/>
      <c r="N11" s="292"/>
      <c r="O11" s="292"/>
      <c r="P11" s="292"/>
      <c r="Q11" s="292"/>
      <c r="R11" s="292"/>
      <c r="S11" s="9"/>
    </row>
    <row r="12" spans="1:19" ht="6" customHeight="1" x14ac:dyDescent="0.3">
      <c r="A12" s="272"/>
      <c r="B12" s="7"/>
      <c r="C12" s="8"/>
      <c r="D12" s="292"/>
      <c r="E12" s="292"/>
      <c r="F12" s="292"/>
      <c r="G12" s="292"/>
      <c r="H12" s="292"/>
      <c r="I12" s="292"/>
      <c r="J12" s="292"/>
      <c r="K12" s="292"/>
      <c r="L12" s="292"/>
      <c r="M12" s="292"/>
      <c r="N12" s="292"/>
      <c r="O12" s="292"/>
      <c r="P12" s="292"/>
      <c r="Q12" s="292"/>
      <c r="R12" s="292"/>
      <c r="S12" s="9"/>
    </row>
    <row r="13" spans="1:19" x14ac:dyDescent="0.3">
      <c r="A13" s="272"/>
      <c r="B13" s="7"/>
      <c r="C13" s="8"/>
      <c r="D13" s="292"/>
      <c r="E13" s="292"/>
      <c r="F13" s="292"/>
      <c r="G13" s="292"/>
      <c r="H13" s="292"/>
      <c r="I13" s="292"/>
      <c r="J13" s="292"/>
      <c r="K13" s="292"/>
      <c r="L13" s="292"/>
      <c r="M13" s="292"/>
      <c r="N13" s="292"/>
      <c r="O13" s="292"/>
      <c r="P13" s="292"/>
      <c r="Q13" s="292"/>
      <c r="R13" s="292"/>
      <c r="S13" s="9"/>
    </row>
    <row r="14" spans="1:19" ht="6" customHeight="1" x14ac:dyDescent="0.3">
      <c r="B14" s="7"/>
      <c r="C14" s="8"/>
      <c r="D14" s="292"/>
      <c r="E14" s="292"/>
      <c r="F14" s="292"/>
      <c r="G14" s="292"/>
      <c r="H14" s="292"/>
      <c r="I14" s="292"/>
      <c r="J14" s="292"/>
      <c r="K14" s="292"/>
      <c r="L14" s="292"/>
      <c r="M14" s="292"/>
      <c r="N14" s="292"/>
      <c r="O14" s="292"/>
      <c r="P14" s="292"/>
      <c r="Q14" s="292"/>
      <c r="R14" s="292"/>
      <c r="S14" s="9"/>
    </row>
    <row r="15" spans="1:19" x14ac:dyDescent="0.3">
      <c r="B15" s="7"/>
      <c r="C15" s="8"/>
      <c r="D15" s="292"/>
      <c r="E15" s="292"/>
      <c r="F15" s="292"/>
      <c r="G15" s="292"/>
      <c r="H15" s="292"/>
      <c r="I15" s="292"/>
      <c r="J15" s="292"/>
      <c r="K15" s="292"/>
      <c r="L15" s="292"/>
      <c r="M15" s="292"/>
      <c r="N15" s="292"/>
      <c r="O15" s="292"/>
      <c r="P15" s="292"/>
      <c r="Q15" s="292"/>
      <c r="R15" s="292"/>
      <c r="S15" s="9"/>
    </row>
    <row r="16" spans="1:19" ht="6" customHeight="1" x14ac:dyDescent="0.3">
      <c r="B16" s="7"/>
      <c r="C16" s="8"/>
      <c r="D16" s="292"/>
      <c r="E16" s="292"/>
      <c r="F16" s="292"/>
      <c r="G16" s="292"/>
      <c r="H16" s="292"/>
      <c r="I16" s="292"/>
      <c r="J16" s="292"/>
      <c r="K16" s="292"/>
      <c r="L16" s="292"/>
      <c r="M16" s="292"/>
      <c r="N16" s="292"/>
      <c r="O16" s="292"/>
      <c r="P16" s="292"/>
      <c r="Q16" s="292"/>
      <c r="R16" s="292"/>
      <c r="S16" s="9"/>
    </row>
    <row r="17" spans="1:19" x14ac:dyDescent="0.3">
      <c r="A17" s="273" t="str">
        <f>IFERROR(HLOOKUP(LANGUAGE,DICCIONARIO!F1:K20,20,0),LANGUAGE)</f>
        <v>PERSONALIZAR DICCIONARIO</v>
      </c>
      <c r="B17" s="7"/>
      <c r="C17" s="8"/>
      <c r="D17" s="292"/>
      <c r="E17" s="292"/>
      <c r="F17" s="292"/>
      <c r="G17" s="292"/>
      <c r="H17" s="292"/>
      <c r="I17" s="292"/>
      <c r="J17" s="292"/>
      <c r="K17" s="292"/>
      <c r="L17" s="292"/>
      <c r="M17" s="292"/>
      <c r="N17" s="292"/>
      <c r="O17" s="292"/>
      <c r="P17" s="292"/>
      <c r="Q17" s="292"/>
      <c r="R17" s="292"/>
      <c r="S17" s="9"/>
    </row>
    <row r="18" spans="1:19" ht="6" customHeight="1" x14ac:dyDescent="0.3">
      <c r="A18" s="273"/>
      <c r="B18" s="7"/>
      <c r="C18" s="8"/>
      <c r="D18" s="292"/>
      <c r="E18" s="292"/>
      <c r="F18" s="292"/>
      <c r="G18" s="292"/>
      <c r="H18" s="292"/>
      <c r="I18" s="292"/>
      <c r="J18" s="292"/>
      <c r="K18" s="292"/>
      <c r="L18" s="292"/>
      <c r="M18" s="292"/>
      <c r="N18" s="292"/>
      <c r="O18" s="292"/>
      <c r="P18" s="292"/>
      <c r="Q18" s="292"/>
      <c r="R18" s="292"/>
      <c r="S18" s="9"/>
    </row>
    <row r="19" spans="1:19" x14ac:dyDescent="0.3">
      <c r="A19" s="273"/>
      <c r="B19" s="7"/>
      <c r="C19" s="8"/>
      <c r="D19" s="292"/>
      <c r="E19" s="292"/>
      <c r="F19" s="292"/>
      <c r="G19" s="292"/>
      <c r="H19" s="292"/>
      <c r="I19" s="292"/>
      <c r="J19" s="292"/>
      <c r="K19" s="292"/>
      <c r="L19" s="292"/>
      <c r="M19" s="292"/>
      <c r="N19" s="292"/>
      <c r="O19" s="292"/>
      <c r="P19" s="292"/>
      <c r="Q19" s="292"/>
      <c r="R19" s="292"/>
      <c r="S19" s="9"/>
    </row>
    <row r="20" spans="1:19" ht="6" customHeight="1" x14ac:dyDescent="0.3">
      <c r="B20" s="7"/>
      <c r="C20" s="8"/>
      <c r="D20" s="292"/>
      <c r="E20" s="292"/>
      <c r="F20" s="292"/>
      <c r="G20" s="292"/>
      <c r="H20" s="292"/>
      <c r="I20" s="292"/>
      <c r="J20" s="292"/>
      <c r="K20" s="292"/>
      <c r="L20" s="292"/>
      <c r="M20" s="292"/>
      <c r="N20" s="292"/>
      <c r="O20" s="292"/>
      <c r="P20" s="292"/>
      <c r="Q20" s="292"/>
      <c r="R20" s="292"/>
      <c r="S20" s="9"/>
    </row>
    <row r="21" spans="1:19" x14ac:dyDescent="0.3">
      <c r="B21" s="7"/>
      <c r="C21" s="8"/>
      <c r="D21" s="292"/>
      <c r="E21" s="292"/>
      <c r="F21" s="292"/>
      <c r="G21" s="292"/>
      <c r="H21" s="292"/>
      <c r="I21" s="292"/>
      <c r="J21" s="292"/>
      <c r="K21" s="292"/>
      <c r="L21" s="292"/>
      <c r="M21" s="292"/>
      <c r="N21" s="292"/>
      <c r="O21" s="292"/>
      <c r="P21" s="292"/>
      <c r="Q21" s="292"/>
      <c r="R21" s="292"/>
      <c r="S21" s="9"/>
    </row>
    <row r="22" spans="1:19" ht="5.0999999999999996" customHeight="1" thickBot="1" x14ac:dyDescent="0.35">
      <c r="B22" s="7"/>
      <c r="C22" s="8"/>
      <c r="D22" s="59"/>
      <c r="E22" s="59"/>
      <c r="F22" s="59"/>
      <c r="G22" s="59"/>
      <c r="H22" s="59"/>
      <c r="I22" s="59"/>
      <c r="J22" s="59"/>
      <c r="K22" s="59"/>
      <c r="L22" s="59"/>
      <c r="M22" s="59"/>
      <c r="N22" s="59"/>
      <c r="O22" s="59"/>
      <c r="P22" s="59"/>
      <c r="Q22" s="59"/>
      <c r="R22" s="59"/>
      <c r="S22" s="9"/>
    </row>
    <row r="23" spans="1:19" ht="15" customHeight="1" thickBot="1" x14ac:dyDescent="0.35">
      <c r="B23" s="7"/>
      <c r="C23" s="282" t="str">
        <f ca="1">INDIRECT("Z_BP_10_"&amp;IDIOMA)</f>
        <v>OM 1R</v>
      </c>
      <c r="D23" s="293"/>
      <c r="E23" s="282" t="str">
        <f ca="1">INDIRECT("Z_BP_11_"&amp;IDIOMA)</f>
        <v>OM +R</v>
      </c>
      <c r="F23" s="283"/>
      <c r="G23" s="282" t="str">
        <f ca="1">INDIRECT("Z_BP_12_"&amp;IDIOMA)</f>
        <v>VF</v>
      </c>
      <c r="H23" s="283"/>
      <c r="I23" s="282" t="str">
        <f ca="1">INDIRECT("Z_BP_13_"&amp;IDIOMA)</f>
        <v>EM</v>
      </c>
      <c r="J23" s="293"/>
      <c r="K23" s="282" t="str">
        <f ca="1">INDIRECT("Z_BP_14_"&amp;IDIOMA)</f>
        <v>RC</v>
      </c>
      <c r="L23" s="283"/>
      <c r="M23" s="282" t="str">
        <f ca="1">INDIRECT("Z_BP_15_"&amp;IDIOMA)</f>
        <v>PP</v>
      </c>
      <c r="N23" s="283"/>
      <c r="O23" s="282" t="str">
        <f ca="1">INDIRECT("Z_BP_31_"&amp;IDIOMA)</f>
        <v>EN</v>
      </c>
      <c r="P23" s="283"/>
      <c r="Q23" s="282" t="str">
        <f ca="1">INDIRECT("Z_BP_16_"&amp;IDIOMA)</f>
        <v>CL</v>
      </c>
      <c r="R23" s="283"/>
      <c r="S23" s="9"/>
    </row>
    <row r="24" spans="1:19" ht="14.4" customHeight="1" x14ac:dyDescent="0.3">
      <c r="B24" s="7"/>
      <c r="C24" s="299" t="str">
        <f ca="1">INDIRECT("Z_IN_08_"&amp;IDIOMA)</f>
        <v xml:space="preserve">Opción Múltiple 1R </v>
      </c>
      <c r="D24" s="284"/>
      <c r="E24" s="284" t="str">
        <f ca="1">INDIRECT("Z_IN_09_"&amp;IDIOMA)</f>
        <v xml:space="preserve">Opción Múltiple +R </v>
      </c>
      <c r="F24" s="284"/>
      <c r="G24" s="284" t="str">
        <f ca="1">INDIRECT("Z_IN_10_"&amp;IDIOMA)</f>
        <v>Verdadero/Falso</v>
      </c>
      <c r="H24" s="284"/>
      <c r="I24" s="284" t="str">
        <f ca="1">INDIRECT("Z_IN_11_"&amp;IDIOMA)</f>
        <v>Emparejar</v>
      </c>
      <c r="J24" s="284"/>
      <c r="K24" s="284" t="str">
        <f ca="1">INDIRECT("Z_IN_12_"&amp;IDIOMA)</f>
        <v>Respuesta Corta</v>
      </c>
      <c r="L24" s="284"/>
      <c r="M24" s="284" t="str">
        <f ca="1">INDIRECT("Z_IN_13_"&amp;IDIOMA)</f>
        <v>Palabra Perdida</v>
      </c>
      <c r="N24" s="284"/>
      <c r="O24" s="284" t="str">
        <f ca="1">INDIRECT("Z_IN_16_"&amp;IDIOMA)</f>
        <v>Ensayo</v>
      </c>
      <c r="P24" s="284"/>
      <c r="Q24" s="284" t="str">
        <f ca="1">INDIRECT("Z_IN_14_"&amp;IDIOMA)</f>
        <v>Cloze</v>
      </c>
      <c r="R24" s="286"/>
      <c r="S24" s="9"/>
    </row>
    <row r="25" spans="1:19" ht="6" customHeight="1" thickBot="1" x14ac:dyDescent="0.35">
      <c r="B25" s="7"/>
      <c r="C25" s="300"/>
      <c r="D25" s="285"/>
      <c r="E25" s="285"/>
      <c r="F25" s="285"/>
      <c r="G25" s="285"/>
      <c r="H25" s="285"/>
      <c r="I25" s="285"/>
      <c r="J25" s="285"/>
      <c r="K25" s="285"/>
      <c r="L25" s="285"/>
      <c r="M25" s="285"/>
      <c r="N25" s="285"/>
      <c r="O25" s="285"/>
      <c r="P25" s="285"/>
      <c r="Q25" s="285"/>
      <c r="R25" s="287"/>
      <c r="S25" s="9"/>
    </row>
    <row r="26" spans="1:19" ht="15" customHeight="1" thickBot="1" x14ac:dyDescent="0.35">
      <c r="B26" s="7"/>
      <c r="C26" s="296" t="str">
        <f ca="1">'Datos OM'!G2&amp;" "&amp;INDIRECT("Z_IN_15_"&amp;IDIOMA)</f>
        <v>0 Preguntas</v>
      </c>
      <c r="D26" s="298"/>
      <c r="E26" s="296" t="str">
        <f ca="1">'Datos O2'!G2&amp;" "&amp;INDIRECT("Z_IN_15_"&amp;IDIOMA)</f>
        <v>0 Preguntas</v>
      </c>
      <c r="F26" s="297"/>
      <c r="G26" s="296" t="str">
        <f ca="1">'Datos VF'!G2&amp;" "&amp;INDIRECT("Z_IN_15_"&amp;IDIOMA)</f>
        <v>0 Preguntas</v>
      </c>
      <c r="H26" s="297"/>
      <c r="I26" s="296" t="str">
        <f ca="1">'Datos EM'!G2&amp;" "&amp;INDIRECT("Z_IN_15_"&amp;IDIOMA)</f>
        <v>0 Preguntas</v>
      </c>
      <c r="J26" s="298"/>
      <c r="K26" s="296" t="str">
        <f ca="1">'Datos RC'!G2&amp;" "&amp;INDIRECT("Z_IN_15_"&amp;IDIOMA)</f>
        <v>0 Preguntas</v>
      </c>
      <c r="L26" s="297"/>
      <c r="M26" s="296" t="str">
        <f ca="1">'Datos PP'!G2&amp;" "&amp;INDIRECT("Z_IN_15_"&amp;IDIOMA)</f>
        <v>0 Preguntas</v>
      </c>
      <c r="N26" s="297"/>
      <c r="O26" s="296" t="str">
        <f ca="1">'Datos EN'!G2&amp;" "&amp;INDIRECT("Z_IN_15_"&amp;IDIOMA)</f>
        <v>0 Preguntas</v>
      </c>
      <c r="P26" s="297"/>
      <c r="Q26" s="296" t="str">
        <f ca="1">'Datos CL'!G2&amp;" "&amp;INDIRECT("Z_IN_15_"&amp;IDIOMA)</f>
        <v>0 Preguntas</v>
      </c>
      <c r="R26" s="297"/>
      <c r="S26" s="9"/>
    </row>
    <row r="27" spans="1:19" ht="6" customHeight="1" x14ac:dyDescent="0.3">
      <c r="B27" s="7"/>
      <c r="C27" s="8"/>
      <c r="D27" s="274" t="str">
        <f ca="1">INDIRECT("Z_IN_07_"&amp;IDIOMA)</f>
        <v>Esta HOJA sirve para almacenar las preguntas y poder reutilizarlas cuando sea necesario, sin tener que volver a escribirlas para un nuevo BANCO DE PREGUNTAS.</v>
      </c>
      <c r="E27" s="274"/>
      <c r="F27" s="274"/>
      <c r="G27" s="274"/>
      <c r="H27" s="274"/>
      <c r="I27" s="274"/>
      <c r="J27" s="274"/>
      <c r="K27" s="274"/>
      <c r="L27" s="274"/>
      <c r="M27" s="274"/>
      <c r="N27" s="161"/>
      <c r="O27" s="10"/>
      <c r="P27" s="10"/>
      <c r="Q27" s="10"/>
      <c r="R27" s="10"/>
      <c r="S27" s="9"/>
    </row>
    <row r="28" spans="1:19" ht="15" customHeight="1" x14ac:dyDescent="0.3">
      <c r="B28" s="7"/>
      <c r="C28" s="8"/>
      <c r="D28" s="275"/>
      <c r="E28" s="275"/>
      <c r="F28" s="275"/>
      <c r="G28" s="275"/>
      <c r="H28" s="275"/>
      <c r="I28" s="275"/>
      <c r="J28" s="275"/>
      <c r="K28" s="275"/>
      <c r="L28" s="275"/>
      <c r="M28" s="275"/>
      <c r="N28" s="162"/>
      <c r="O28" s="149"/>
      <c r="P28" s="276"/>
      <c r="Q28" s="276"/>
      <c r="R28" s="276"/>
      <c r="S28" s="159"/>
    </row>
    <row r="29" spans="1:19" ht="6" customHeight="1" x14ac:dyDescent="0.3">
      <c r="B29" s="7"/>
      <c r="C29" s="8"/>
      <c r="D29" s="275"/>
      <c r="E29" s="275"/>
      <c r="F29" s="275"/>
      <c r="G29" s="275"/>
      <c r="H29" s="275"/>
      <c r="I29" s="275"/>
      <c r="J29" s="275"/>
      <c r="K29" s="275"/>
      <c r="L29" s="275"/>
      <c r="M29" s="275"/>
      <c r="N29" s="162"/>
      <c r="O29" s="149"/>
      <c r="P29" s="276"/>
      <c r="Q29" s="276"/>
      <c r="R29" s="276"/>
      <c r="S29" s="159"/>
    </row>
    <row r="30" spans="1:19" x14ac:dyDescent="0.3">
      <c r="B30" s="7"/>
      <c r="C30" s="8"/>
      <c r="D30" s="275"/>
      <c r="E30" s="275"/>
      <c r="F30" s="275"/>
      <c r="G30" s="275"/>
      <c r="H30" s="275"/>
      <c r="I30" s="275"/>
      <c r="J30" s="275"/>
      <c r="K30" s="275"/>
      <c r="L30" s="275"/>
      <c r="M30" s="275"/>
      <c r="N30" s="162"/>
      <c r="O30" s="149"/>
      <c r="P30" s="276"/>
      <c r="Q30" s="276"/>
      <c r="R30" s="276"/>
      <c r="S30" s="159"/>
    </row>
    <row r="31" spans="1:19" ht="6" customHeight="1" x14ac:dyDescent="0.3">
      <c r="B31" s="7"/>
      <c r="C31" s="8"/>
      <c r="D31" s="275"/>
      <c r="E31" s="275"/>
      <c r="F31" s="275"/>
      <c r="G31" s="275"/>
      <c r="H31" s="275"/>
      <c r="I31" s="275"/>
      <c r="J31" s="275"/>
      <c r="K31" s="275"/>
      <c r="L31" s="275"/>
      <c r="M31" s="275"/>
      <c r="N31" s="162"/>
      <c r="O31" s="149"/>
      <c r="P31" s="276"/>
      <c r="Q31" s="276"/>
      <c r="R31" s="276"/>
      <c r="S31" s="159"/>
    </row>
    <row r="32" spans="1:19" x14ac:dyDescent="0.3">
      <c r="B32" s="7"/>
      <c r="C32" s="8"/>
      <c r="D32" s="275"/>
      <c r="E32" s="275"/>
      <c r="F32" s="275"/>
      <c r="G32" s="275"/>
      <c r="H32" s="275"/>
      <c r="I32" s="275"/>
      <c r="J32" s="275"/>
      <c r="K32" s="275"/>
      <c r="L32" s="275"/>
      <c r="M32" s="275"/>
      <c r="N32" s="162"/>
      <c r="O32" s="149"/>
      <c r="P32" s="276"/>
      <c r="Q32" s="276"/>
      <c r="R32" s="276"/>
      <c r="S32" s="159"/>
    </row>
    <row r="33" spans="1:20" ht="6" customHeight="1" x14ac:dyDescent="0.3">
      <c r="B33" s="7"/>
      <c r="C33" s="8"/>
      <c r="D33" s="275"/>
      <c r="E33" s="275"/>
      <c r="F33" s="275"/>
      <c r="G33" s="275"/>
      <c r="H33" s="275"/>
      <c r="I33" s="275"/>
      <c r="J33" s="275"/>
      <c r="K33" s="275"/>
      <c r="L33" s="275"/>
      <c r="M33" s="275"/>
      <c r="N33" s="162"/>
      <c r="O33" s="149"/>
      <c r="P33" s="276"/>
      <c r="Q33" s="276"/>
      <c r="R33" s="276"/>
      <c r="S33" s="159"/>
    </row>
    <row r="34" spans="1:20" x14ac:dyDescent="0.3">
      <c r="B34" s="7"/>
      <c r="C34" s="8"/>
      <c r="D34" s="275"/>
      <c r="E34" s="275"/>
      <c r="F34" s="275"/>
      <c r="G34" s="275"/>
      <c r="H34" s="275"/>
      <c r="I34" s="275"/>
      <c r="J34" s="275"/>
      <c r="K34" s="275"/>
      <c r="L34" s="275"/>
      <c r="M34" s="275"/>
      <c r="N34" s="162"/>
      <c r="O34" s="149"/>
      <c r="P34" s="276"/>
      <c r="Q34" s="276"/>
      <c r="R34" s="276"/>
      <c r="S34" s="159"/>
    </row>
    <row r="35" spans="1:20" ht="9.9" customHeight="1" thickBot="1" x14ac:dyDescent="0.35">
      <c r="B35" s="11"/>
      <c r="C35" s="12"/>
      <c r="D35" s="12"/>
      <c r="E35" s="12"/>
      <c r="F35" s="12"/>
      <c r="G35" s="12"/>
      <c r="H35" s="12"/>
      <c r="I35" s="12"/>
      <c r="J35" s="12"/>
      <c r="K35" s="12"/>
      <c r="L35" s="12"/>
      <c r="M35" s="70"/>
      <c r="N35" s="70"/>
      <c r="O35" s="70"/>
      <c r="P35" s="70"/>
      <c r="Q35" s="70"/>
      <c r="R35" s="70"/>
      <c r="S35" s="160"/>
    </row>
    <row r="36" spans="1:20" ht="15" hidden="1" thickTop="1" x14ac:dyDescent="0.3">
      <c r="B36" s="14"/>
      <c r="C36" s="14"/>
      <c r="D36" s="14"/>
      <c r="E36" s="13"/>
      <c r="F36" s="13"/>
      <c r="G36" s="13"/>
      <c r="H36" s="13"/>
      <c r="I36" s="13"/>
      <c r="J36" s="13"/>
      <c r="K36" s="13"/>
      <c r="L36" s="13"/>
      <c r="M36" s="13"/>
      <c r="N36" s="13"/>
      <c r="O36" s="13"/>
      <c r="P36" s="13"/>
      <c r="Q36" s="13"/>
      <c r="R36" s="13"/>
      <c r="S36" s="13"/>
      <c r="T36" s="13"/>
    </row>
    <row r="37" spans="1:20" hidden="1" x14ac:dyDescent="0.3">
      <c r="A37" s="42" t="str">
        <f>IFERROR(VLOOKUP(LANGUAGE,Tabla_ID[],2,0),"")</f>
        <v>S</v>
      </c>
      <c r="F37" s="302">
        <v>6</v>
      </c>
      <c r="G37" s="303" t="s">
        <v>830</v>
      </c>
    </row>
    <row r="38" spans="1:20" ht="15" hidden="1" thickBot="1" x14ac:dyDescent="0.35">
      <c r="A38" s="155" t="s">
        <v>389</v>
      </c>
      <c r="B38" s="156" t="s">
        <v>390</v>
      </c>
    </row>
    <row r="39" spans="1:20" hidden="1" x14ac:dyDescent="0.3">
      <c r="A39" s="43" t="s">
        <v>12</v>
      </c>
      <c r="B39" s="46" t="s">
        <v>13</v>
      </c>
    </row>
    <row r="40" spans="1:20" hidden="1" x14ac:dyDescent="0.3">
      <c r="A40" s="44" t="s">
        <v>19</v>
      </c>
      <c r="B40" s="47" t="s">
        <v>17</v>
      </c>
    </row>
    <row r="41" spans="1:20" hidden="1" x14ac:dyDescent="0.3">
      <c r="A41" s="44" t="s">
        <v>20</v>
      </c>
      <c r="B41" s="47" t="s">
        <v>15</v>
      </c>
    </row>
    <row r="42" spans="1:20" hidden="1" x14ac:dyDescent="0.3">
      <c r="A42" s="44" t="s">
        <v>21</v>
      </c>
      <c r="B42" s="47" t="s">
        <v>16</v>
      </c>
    </row>
    <row r="43" spans="1:20" hidden="1" x14ac:dyDescent="0.3">
      <c r="A43" s="44" t="s">
        <v>22</v>
      </c>
      <c r="B43" s="47" t="s">
        <v>14</v>
      </c>
    </row>
    <row r="44" spans="1:20" hidden="1" x14ac:dyDescent="0.3">
      <c r="A44" s="44" t="s">
        <v>23</v>
      </c>
      <c r="B44" s="47" t="s">
        <v>24</v>
      </c>
    </row>
    <row r="45" spans="1:20" hidden="1" x14ac:dyDescent="0.3">
      <c r="A45" s="44" t="s">
        <v>716</v>
      </c>
      <c r="B45" s="47" t="s">
        <v>717</v>
      </c>
    </row>
    <row r="46" spans="1:20" ht="15" hidden="1" customHeight="1" thickBot="1" x14ac:dyDescent="0.35">
      <c r="A46" s="45" t="str">
        <f>A17</f>
        <v>PERSONALIZAR DICCIONARIO</v>
      </c>
      <c r="B46" s="48" t="s">
        <v>388</v>
      </c>
    </row>
    <row r="47" spans="1:20" ht="5.0999999999999996" customHeight="1" thickTop="1" x14ac:dyDescent="0.3"/>
    <row r="48" spans="1:20" hidden="1" x14ac:dyDescent="0.3"/>
  </sheetData>
  <sheetProtection selectLockedCells="1"/>
  <mergeCells count="42">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 ref="B1:S1"/>
    <mergeCell ref="C9:D9"/>
    <mergeCell ref="D11:R21"/>
    <mergeCell ref="C23:D23"/>
    <mergeCell ref="E23:F23"/>
    <mergeCell ref="G23:H23"/>
    <mergeCell ref="I23:J23"/>
    <mergeCell ref="K23:L23"/>
    <mergeCell ref="N5:O10"/>
    <mergeCell ref="F5:G10"/>
    <mergeCell ref="P5:R5"/>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s>
  <dataValidations count="1">
    <dataValidation type="list" allowBlank="1" showInputMessage="1" showErrorMessage="1" sqref="A11:A13">
      <formula1>$A$39:$A$46</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F5" sqref="F5"/>
    </sheetView>
  </sheetViews>
  <sheetFormatPr baseColWidth="10" defaultColWidth="0" defaultRowHeight="14.4" x14ac:dyDescent="0.3"/>
  <cols>
    <col min="1" max="2" width="3.6640625" style="5" customWidth="1"/>
    <col min="3" max="3" width="3.5546875" style="4" hidden="1" customWidth="1"/>
    <col min="4" max="4" width="4" style="4" hidden="1" customWidth="1"/>
    <col min="5" max="5" width="18" style="5" customWidth="1"/>
    <col min="6" max="6" width="75.6640625" style="4" customWidth="1"/>
    <col min="7" max="12" width="12.5546875" style="4" customWidth="1"/>
    <col min="13" max="24" width="14.33203125" style="4" customWidth="1"/>
    <col min="25" max="30" width="14.33203125" style="4" hidden="1" customWidth="1"/>
    <col min="31" max="35" width="11.44140625" style="4" customWidth="1"/>
    <col min="36" max="16384" width="11.44140625" style="4" hidden="1"/>
  </cols>
  <sheetData>
    <row r="1" spans="1:35" s="1" customFormat="1" ht="24.9" customHeight="1" x14ac:dyDescent="0.3">
      <c r="A1" s="40"/>
      <c r="B1" s="40"/>
      <c r="D1" s="40"/>
      <c r="E1" s="40"/>
      <c r="F1" s="64" t="str">
        <f ca="1">INDIRECT("Z_BP_10_"&amp;IDIOMA)&amp;"                  "&amp;INDIRECT("Z_BP_11_"&amp;IDIOMA)&amp;"                    "&amp;INDIRECT("Z_BP_12_"&amp;IDIOMA)&amp;"                         "&amp;INDIRECT("Z_BP_13_"&amp;IDIOMA)&amp;"                                "&amp;INDIRECT("Z_IN_00_"&amp;IDIOMA)</f>
        <v>OM 1R                  OM +R                    VF                         EM                                INICIO</v>
      </c>
      <c r="G1" s="56" t="str">
        <f ca="1">INDIRECT("Z_BP_01_"&amp;IDIOMA)</f>
        <v>Preguntas Almacenadas</v>
      </c>
      <c r="H1" s="205"/>
      <c r="J1" s="40"/>
      <c r="K1" s="40"/>
      <c r="L1" s="40"/>
      <c r="M1" s="40"/>
      <c r="N1" s="40"/>
      <c r="O1" s="40"/>
      <c r="P1" s="40"/>
      <c r="Q1" s="40"/>
      <c r="R1" s="40"/>
      <c r="S1" s="40"/>
      <c r="T1" s="40"/>
      <c r="U1" s="40"/>
      <c r="V1" s="40"/>
      <c r="W1" s="40"/>
      <c r="X1" s="40"/>
      <c r="Y1" s="40"/>
      <c r="Z1" s="40"/>
      <c r="AA1" s="40"/>
      <c r="AB1" s="40"/>
      <c r="AC1" s="40"/>
      <c r="AD1" s="40"/>
      <c r="AE1" s="40"/>
      <c r="AF1" s="40"/>
      <c r="AG1" s="40"/>
      <c r="AH1" s="40"/>
    </row>
    <row r="2" spans="1:35" s="1" customFormat="1" ht="24.9" customHeight="1" x14ac:dyDescent="0.3">
      <c r="A2" s="3"/>
      <c r="B2" s="3"/>
      <c r="D2" s="2"/>
      <c r="F2" s="65" t="str">
        <f ca="1">"    "&amp;INDIRECT("Z_BP_14_"&amp;IDIOMA)&amp;"                         "&amp;INDIRECT("Z_BP_15_"&amp;IDIOMA)&amp;"                         "&amp;INDIRECT("Z_BP_31_"&amp;IDIOMA)&amp;"                         "&amp;INDIRECT("Z_BP_16_"&amp;IDIOMA)&amp;"                                 "&amp;INDIRECT("Z_BP_02_"&amp;IDIOMA)</f>
        <v xml:space="preserve">    RC                         PP                         EN                         CL                                 DICCIONARIO</v>
      </c>
      <c r="G2" s="39">
        <f>COUNTA(Tabla_OM[Enunciado])</f>
        <v>0</v>
      </c>
    </row>
    <row r="3" spans="1:35" s="15" customFormat="1" ht="50.1" customHeight="1" x14ac:dyDescent="0.3">
      <c r="A3" s="57" t="str">
        <f ca="1">"N. "&amp;INDIRECT("Z_BP_05_"&amp;IDIOMA)</f>
        <v>N. Respuesta Correcta</v>
      </c>
      <c r="B3" s="57" t="str">
        <f ca="1">"N. "&amp;INDIRECT("Z_BP_06_"&amp;IDIOMA)</f>
        <v>N. Respuesta Incorrecta</v>
      </c>
      <c r="C3" s="84"/>
      <c r="D3" s="26"/>
      <c r="E3" s="27" t="str">
        <f ca="1">INDIRECT("Z_BP_04_"&amp;IDIOMA)</f>
        <v>Descripción</v>
      </c>
      <c r="F3" s="41" t="str">
        <f ca="1">"FastTest PlugIn - V"&amp;MID(Version,5,7)&amp;UPPER(INICIO!C24)&amp;"
"&amp;INDIRECT("Z_BP_03_"&amp;IDIOMA)</f>
        <v>FastTest PlugIn - V7.4  - OPCIÓN MÚLTIPLE 1R 
Enunciado de la pregunta</v>
      </c>
      <c r="G3" s="73" t="str">
        <f ca="1">INDIRECT("Z_BP_19_"&amp;IDIOMA)&amp;" 1"</f>
        <v>Respuesta 1</v>
      </c>
      <c r="H3" s="74" t="str">
        <f ca="1">INDIRECT("Z_BP_19_"&amp;IDIOMA)&amp;" 2"</f>
        <v>Respuesta 2</v>
      </c>
      <c r="I3" s="75" t="str">
        <f ca="1">INDIRECT("Z_BP_19_"&amp;IDIOMA)&amp;" 3"</f>
        <v>Respuesta 3</v>
      </c>
      <c r="J3" s="76" t="str">
        <f ca="1">INDIRECT("Z_BP_19_"&amp;IDIOMA)&amp;" 4"</f>
        <v>Respuesta 4</v>
      </c>
      <c r="K3" s="77" t="str">
        <f ca="1">INDIRECT("Z_BP_19_"&amp;IDIOMA)&amp;" 5"</f>
        <v>Respuesta 5</v>
      </c>
      <c r="L3" s="78" t="str">
        <f ca="1">INDIRECT("Z_BP_19_"&amp;IDIOMA)&amp;" 6"</f>
        <v>Respuesta 6</v>
      </c>
      <c r="M3" s="79" t="str">
        <f ca="1">INDIRECT("Z_BP_07_"&amp;IDIOMA)&amp;" 1"</f>
        <v>Retroalim. 1</v>
      </c>
      <c r="N3" s="80" t="str">
        <f ca="1">INDIRECT("Z_BP_07_"&amp;IDIOMA)&amp;" 2"</f>
        <v>Retroalim. 2</v>
      </c>
      <c r="O3" s="81" t="str">
        <f ca="1">INDIRECT("Z_BP_07_"&amp;IDIOMA)&amp;" 3"</f>
        <v>Retroalim. 3</v>
      </c>
      <c r="P3" s="85" t="str">
        <f ca="1">INDIRECT("Z_BP_07_"&amp;IDIOMA)&amp;" 4"</f>
        <v>Retroalim. 4</v>
      </c>
      <c r="Q3" s="86" t="str">
        <f ca="1">INDIRECT("Z_BP_07_"&amp;IDIOMA)&amp;" 5"</f>
        <v>Retroalim. 5</v>
      </c>
      <c r="R3" s="87" t="str">
        <f ca="1">INDIRECT("Z_BP_07_"&amp;IDIOMA)&amp;" 6"</f>
        <v>Retroalim. 6</v>
      </c>
      <c r="S3" s="79" t="str">
        <f ca="1">INDIRECT("Z_BP_09_"&amp;IDIOMA)&amp;" 1"</f>
        <v>Puntos 1</v>
      </c>
      <c r="T3" s="80" t="str">
        <f ca="1">INDIRECT("Z_BP_09_"&amp;IDIOMA)&amp;" 2"</f>
        <v>Puntos 2</v>
      </c>
      <c r="U3" s="81" t="str">
        <f ca="1">INDIRECT("Z_BP_09_"&amp;IDIOMA)&amp;" 3"</f>
        <v>Puntos 3</v>
      </c>
      <c r="V3" s="85" t="str">
        <f ca="1">INDIRECT("Z_BP_09_"&amp;IDIOMA)&amp;" 4"</f>
        <v>Puntos 4</v>
      </c>
      <c r="W3" s="86" t="str">
        <f ca="1">INDIRECT("Z_BP_09_"&amp;IDIOMA)&amp;" 5"</f>
        <v>Puntos 5</v>
      </c>
      <c r="X3" s="87" t="str">
        <f ca="1">INDIRECT("Z_BP_09_"&amp;IDIOMA)&amp;" 6"</f>
        <v>Puntos 6</v>
      </c>
      <c r="Y3" s="87"/>
      <c r="Z3" s="87"/>
      <c r="AA3" s="87"/>
      <c r="AB3" s="87"/>
      <c r="AC3" s="87"/>
      <c r="AD3" s="87"/>
      <c r="AE3" s="88" t="str">
        <f ca="1">INDIRECT("Z_BP_08_"&amp;IDIOMA)&amp;" 1"</f>
        <v>Pista 1</v>
      </c>
      <c r="AF3" s="89" t="str">
        <f ca="1">INDIRECT("Z_BP_08_"&amp;IDIOMA)&amp;" 2"</f>
        <v>Pista 2</v>
      </c>
      <c r="AG3" s="90" t="str">
        <f ca="1">INDIRECT("Z_BP_08_"&amp;IDIOMA)&amp;" 3"</f>
        <v>Pista 3</v>
      </c>
      <c r="AH3" s="91" t="str">
        <f ca="1">INDIRECT("Z_BP_08_"&amp;IDIOMA)&amp;" 4"</f>
        <v>Pista 4</v>
      </c>
      <c r="AI3" s="71" t="s">
        <v>279</v>
      </c>
    </row>
    <row r="4" spans="1:35" s="15" customFormat="1" ht="9.9" customHeight="1" x14ac:dyDescent="0.3">
      <c r="A4" s="225" t="s">
        <v>409</v>
      </c>
      <c r="B4" s="225" t="s">
        <v>410</v>
      </c>
      <c r="C4" s="226" t="s">
        <v>298</v>
      </c>
      <c r="D4" s="227" t="s">
        <v>299</v>
      </c>
      <c r="E4" s="228" t="s">
        <v>411</v>
      </c>
      <c r="F4" s="229" t="s">
        <v>412</v>
      </c>
      <c r="G4" s="230" t="s">
        <v>280</v>
      </c>
      <c r="H4" s="230" t="s">
        <v>281</v>
      </c>
      <c r="I4" s="230" t="s">
        <v>282</v>
      </c>
      <c r="J4" s="230" t="s">
        <v>283</v>
      </c>
      <c r="K4" s="230" t="s">
        <v>284</v>
      </c>
      <c r="L4" s="230" t="s">
        <v>285</v>
      </c>
      <c r="M4" s="231" t="s">
        <v>286</v>
      </c>
      <c r="N4" s="231" t="s">
        <v>287</v>
      </c>
      <c r="O4" s="231" t="s">
        <v>288</v>
      </c>
      <c r="P4" s="231" t="s">
        <v>289</v>
      </c>
      <c r="Q4" s="231" t="s">
        <v>290</v>
      </c>
      <c r="R4" s="231" t="s">
        <v>291</v>
      </c>
      <c r="S4" s="231" t="s">
        <v>292</v>
      </c>
      <c r="T4" s="231" t="s">
        <v>293</v>
      </c>
      <c r="U4" s="231" t="s">
        <v>294</v>
      </c>
      <c r="V4" s="231" t="s">
        <v>295</v>
      </c>
      <c r="W4" s="231" t="s">
        <v>296</v>
      </c>
      <c r="X4" s="231" t="s">
        <v>297</v>
      </c>
      <c r="Y4" s="231" t="s">
        <v>371</v>
      </c>
      <c r="Z4" s="231" t="s">
        <v>372</v>
      </c>
      <c r="AA4" s="231" t="s">
        <v>373</v>
      </c>
      <c r="AB4" s="231" t="s">
        <v>374</v>
      </c>
      <c r="AC4" s="231" t="s">
        <v>375</v>
      </c>
      <c r="AD4" s="231" t="s">
        <v>376</v>
      </c>
      <c r="AE4" s="231" t="s">
        <v>275</v>
      </c>
      <c r="AF4" s="231" t="s">
        <v>276</v>
      </c>
      <c r="AG4" s="231" t="s">
        <v>277</v>
      </c>
      <c r="AH4" s="231" t="s">
        <v>278</v>
      </c>
      <c r="AI4" s="232" t="s">
        <v>279</v>
      </c>
    </row>
    <row r="5" spans="1:35" s="1" customFormat="1" x14ac:dyDescent="0.3">
      <c r="A5" s="169" t="str">
        <f>IF(COUNTIF(Tabla_OM[[#This Row],[Puntos 1]:[Puntos 6]],"&gt;0")=0,"",COUNTIF(Tabla_OM[[#This Row],[Puntos 1]:[Puntos 6]],"&gt;0"))</f>
        <v/>
      </c>
      <c r="B5" s="169" t="str">
        <f>IF(Tabla_OM[[#This Row],[NRC]]="","",COUNTA(Tabla_OM[[#This Row],[Respuesta 1]:[Respuesta 6]])-Tabla_OM[[#This Row],[NRC]])</f>
        <v/>
      </c>
      <c r="D5" s="28"/>
      <c r="E5" s="83"/>
      <c r="F5" s="82"/>
      <c r="G5" s="17"/>
      <c r="H5" s="18"/>
      <c r="I5" s="19"/>
      <c r="J5" s="20"/>
      <c r="K5" s="21"/>
      <c r="L5" s="22"/>
      <c r="M5" s="29"/>
      <c r="N5" s="30"/>
      <c r="O5" s="31"/>
      <c r="P5" s="32"/>
      <c r="Q5" s="33"/>
      <c r="R5" s="34"/>
      <c r="S5" s="29"/>
      <c r="T5" s="30"/>
      <c r="U5" s="31"/>
      <c r="V5" s="32"/>
      <c r="W5" s="33"/>
      <c r="X5" s="34"/>
      <c r="Y5" s="34"/>
      <c r="Z5" s="34"/>
      <c r="AA5" s="34"/>
      <c r="AB5" s="34"/>
      <c r="AC5" s="34"/>
      <c r="AD5" s="34"/>
      <c r="AE5" s="35"/>
      <c r="AF5" s="36"/>
      <c r="AG5" s="37"/>
      <c r="AH5" s="38"/>
      <c r="AI5" s="92"/>
    </row>
  </sheetData>
  <sheetProtection algorithmName="SHA-512" hashValue="U8kPiEJoUmOvdUDlHpPJ4C9Uyyh93ZVrvwL9ndv3Bu1gyv8JsdK1EnSzNih90czIpEUwtK7kzM0G2c/WvXASgA==" saltValue="GpMr9iAYarvDll/PpDdUIA=="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G6" sqref="G6"/>
    </sheetView>
  </sheetViews>
  <sheetFormatPr baseColWidth="10" defaultColWidth="0" defaultRowHeight="14.4" x14ac:dyDescent="0.3"/>
  <cols>
    <col min="1" max="2" width="3.6640625" style="5" customWidth="1"/>
    <col min="3" max="3" width="3.5546875" style="4" hidden="1" customWidth="1"/>
    <col min="4" max="4" width="4" style="4" hidden="1" customWidth="1"/>
    <col min="5" max="5" width="18" style="5" customWidth="1"/>
    <col min="6" max="6" width="75.6640625" style="4" customWidth="1"/>
    <col min="7" max="12" width="12.5546875" style="4" customWidth="1"/>
    <col min="13" max="24" width="14.33203125" style="4" customWidth="1"/>
    <col min="25" max="25" width="11.109375" style="4" customWidth="1"/>
    <col min="26" max="30" width="14.33203125" style="4" hidden="1" customWidth="1"/>
    <col min="31" max="35" width="11.44140625" style="4" customWidth="1"/>
    <col min="36" max="16384" width="11.44140625" style="4" hidden="1"/>
  </cols>
  <sheetData>
    <row r="1" spans="1:35" s="1" customFormat="1" ht="24.9" customHeight="1" x14ac:dyDescent="0.3">
      <c r="A1" s="40"/>
      <c r="B1" s="40"/>
      <c r="D1" s="40"/>
      <c r="E1" s="40"/>
      <c r="F1" s="64" t="str">
        <f ca="1">'Datos OM'!F1</f>
        <v>OM 1R                  OM +R                    VF                         EM                                INICIO</v>
      </c>
      <c r="G1" s="56" t="str">
        <f ca="1">INDIRECT("Z_BP_01_"&amp;IDIOMA)</f>
        <v>Preguntas Almacenadas</v>
      </c>
      <c r="J1" s="40"/>
      <c r="K1" s="40"/>
      <c r="L1" s="40"/>
      <c r="M1" s="40"/>
      <c r="N1" s="40"/>
      <c r="O1" s="40"/>
      <c r="P1" s="40"/>
      <c r="Q1" s="40"/>
      <c r="R1" s="40"/>
      <c r="S1" s="40"/>
      <c r="T1" s="40"/>
      <c r="U1" s="40"/>
      <c r="V1" s="40"/>
      <c r="W1" s="40"/>
      <c r="X1" s="40"/>
      <c r="Y1" s="40"/>
      <c r="Z1" s="40"/>
      <c r="AA1" s="40"/>
      <c r="AB1" s="40"/>
      <c r="AC1" s="40"/>
      <c r="AD1" s="40"/>
      <c r="AE1" s="40"/>
      <c r="AF1" s="40"/>
      <c r="AG1" s="40"/>
      <c r="AH1" s="40"/>
    </row>
    <row r="2" spans="1:35" s="1" customFormat="1" ht="24.9" customHeight="1" x14ac:dyDescent="0.3">
      <c r="A2" s="3"/>
      <c r="B2" s="3"/>
      <c r="D2" s="2"/>
      <c r="F2" s="64" t="str">
        <f ca="1">'Datos OM'!F2</f>
        <v xml:space="preserve">    RC                         PP                         EN                         CL                                 DICCIONARIO</v>
      </c>
      <c r="G2" s="39">
        <f>COUNTA(Tabla_O2[Enunciado])</f>
        <v>0</v>
      </c>
    </row>
    <row r="3" spans="1:35" s="15" customFormat="1" ht="50.1" customHeight="1" x14ac:dyDescent="0.3">
      <c r="A3" s="57" t="str">
        <f ca="1">"N. "&amp;INDIRECT("Z_BP_05_"&amp;IDIOMA)</f>
        <v>N. Respuesta Correcta</v>
      </c>
      <c r="B3" s="57" t="str">
        <f ca="1">"N. "&amp;INDIRECT("Z_BP_06_"&amp;IDIOMA)</f>
        <v>N. Respuesta Incorrecta</v>
      </c>
      <c r="C3" s="84"/>
      <c r="D3" s="26"/>
      <c r="E3" s="27" t="str">
        <f ca="1">INDIRECT("Z_BP_04_"&amp;IDIOMA)</f>
        <v>Descripción</v>
      </c>
      <c r="F3" s="41" t="str">
        <f ca="1">"FastTest PlugIn - V"&amp;MID(Version,5,7)&amp;UPPER(INICIO!E24)&amp;"
"&amp;INDIRECT("Z_BP_03_"&amp;IDIOMA)</f>
        <v>FastTest PlugIn - V7.4  - OPCIÓN MÚLTIPLE +R 
Enunciado de la pregunta</v>
      </c>
      <c r="G3" s="73" t="str">
        <f ca="1">INDIRECT("Z_BP_19_"&amp;IDIOMA)&amp;" 1"</f>
        <v>Respuesta 1</v>
      </c>
      <c r="H3" s="74" t="str">
        <f ca="1">INDIRECT("Z_BP_19_"&amp;IDIOMA)&amp;" 2"</f>
        <v>Respuesta 2</v>
      </c>
      <c r="I3" s="75" t="str">
        <f ca="1">INDIRECT("Z_BP_19_"&amp;IDIOMA)&amp;" 3"</f>
        <v>Respuesta 3</v>
      </c>
      <c r="J3" s="76" t="str">
        <f ca="1">INDIRECT("Z_BP_19_"&amp;IDIOMA)&amp;" 4"</f>
        <v>Respuesta 4</v>
      </c>
      <c r="K3" s="77" t="str">
        <f ca="1">INDIRECT("Z_BP_19_"&amp;IDIOMA)&amp;" 5"</f>
        <v>Respuesta 5</v>
      </c>
      <c r="L3" s="78" t="str">
        <f ca="1">INDIRECT("Z_BP_19_"&amp;IDIOMA)&amp;" 6"</f>
        <v>Respuesta 6</v>
      </c>
      <c r="M3" s="79" t="str">
        <f ca="1">INDIRECT("Z_BP_07_"&amp;IDIOMA)&amp;" 1"</f>
        <v>Retroalim. 1</v>
      </c>
      <c r="N3" s="80" t="str">
        <f ca="1">INDIRECT("Z_BP_07_"&amp;IDIOMA)&amp;" 2"</f>
        <v>Retroalim. 2</v>
      </c>
      <c r="O3" s="81" t="str">
        <f ca="1">INDIRECT("Z_BP_07_"&amp;IDIOMA)&amp;" 3"</f>
        <v>Retroalim. 3</v>
      </c>
      <c r="P3" s="85" t="str">
        <f ca="1">INDIRECT("Z_BP_07_"&amp;IDIOMA)&amp;" 4"</f>
        <v>Retroalim. 4</v>
      </c>
      <c r="Q3" s="86" t="str">
        <f ca="1">INDIRECT("Z_BP_07_"&amp;IDIOMA)&amp;" 5"</f>
        <v>Retroalim. 5</v>
      </c>
      <c r="R3" s="87" t="str">
        <f ca="1">INDIRECT("Z_BP_07_"&amp;IDIOMA)&amp;" 6"</f>
        <v>Retroalim. 6</v>
      </c>
      <c r="S3" s="79" t="str">
        <f ca="1">INDIRECT("Z_BP_09_"&amp;IDIOMA)&amp;" 1"</f>
        <v>Puntos 1</v>
      </c>
      <c r="T3" s="80" t="str">
        <f ca="1">INDIRECT("Z_BP_09_"&amp;IDIOMA)&amp;" 2"</f>
        <v>Puntos 2</v>
      </c>
      <c r="U3" s="81" t="str">
        <f ca="1">INDIRECT("Z_BP_09_"&amp;IDIOMA)&amp;" 3"</f>
        <v>Puntos 3</v>
      </c>
      <c r="V3" s="85" t="str">
        <f ca="1">INDIRECT("Z_BP_09_"&amp;IDIOMA)&amp;" 4"</f>
        <v>Puntos 4</v>
      </c>
      <c r="W3" s="86" t="str">
        <f ca="1">INDIRECT("Z_BP_09_"&amp;IDIOMA)&amp;" 5"</f>
        <v>Puntos 5</v>
      </c>
      <c r="X3" s="87" t="str">
        <f ca="1">INDIRECT("Z_BP_09_"&amp;IDIOMA)&amp;" 6"</f>
        <v>Puntos 6</v>
      </c>
      <c r="Y3" s="224" t="str">
        <f ca="1">INDIRECT("Z_BP_33_"&amp; IDIOMA)</f>
        <v>Nº max. Respuestas</v>
      </c>
      <c r="Z3" s="87"/>
      <c r="AA3" s="87"/>
      <c r="AB3" s="87"/>
      <c r="AC3" s="87"/>
      <c r="AD3" s="87"/>
      <c r="AE3" s="88" t="str">
        <f ca="1">INDIRECT("Z_BP_08_"&amp;IDIOMA)&amp;" 1"</f>
        <v>Pista 1</v>
      </c>
      <c r="AF3" s="89" t="str">
        <f ca="1">INDIRECT("Z_BP_08_"&amp;IDIOMA)&amp;" 2"</f>
        <v>Pista 2</v>
      </c>
      <c r="AG3" s="90" t="str">
        <f ca="1">INDIRECT("Z_BP_08_"&amp;IDIOMA)&amp;" 3"</f>
        <v>Pista 3</v>
      </c>
      <c r="AH3" s="91" t="str">
        <f ca="1">INDIRECT("Z_BP_08_"&amp;IDIOMA)&amp;" 4"</f>
        <v>Pista 4</v>
      </c>
      <c r="AI3" s="71" t="str">
        <f>'Datos OM'!AI3</f>
        <v>Imagen</v>
      </c>
    </row>
    <row r="4" spans="1:35" s="15" customFormat="1" ht="9.9" customHeight="1" x14ac:dyDescent="0.3">
      <c r="A4" s="225" t="s">
        <v>409</v>
      </c>
      <c r="B4" s="225" t="s">
        <v>410</v>
      </c>
      <c r="C4" s="226" t="s">
        <v>298</v>
      </c>
      <c r="D4" s="227" t="s">
        <v>299</v>
      </c>
      <c r="E4" s="228" t="s">
        <v>411</v>
      </c>
      <c r="F4" s="229" t="s">
        <v>412</v>
      </c>
      <c r="G4" s="230" t="s">
        <v>280</v>
      </c>
      <c r="H4" s="230" t="s">
        <v>281</v>
      </c>
      <c r="I4" s="230" t="s">
        <v>282</v>
      </c>
      <c r="J4" s="230" t="s">
        <v>283</v>
      </c>
      <c r="K4" s="230" t="s">
        <v>284</v>
      </c>
      <c r="L4" s="230" t="s">
        <v>285</v>
      </c>
      <c r="M4" s="231" t="s">
        <v>286</v>
      </c>
      <c r="N4" s="231" t="s">
        <v>287</v>
      </c>
      <c r="O4" s="231" t="s">
        <v>288</v>
      </c>
      <c r="P4" s="231" t="s">
        <v>289</v>
      </c>
      <c r="Q4" s="231" t="s">
        <v>290</v>
      </c>
      <c r="R4" s="231" t="s">
        <v>291</v>
      </c>
      <c r="S4" s="231" t="s">
        <v>292</v>
      </c>
      <c r="T4" s="231" t="s">
        <v>293</v>
      </c>
      <c r="U4" s="231" t="s">
        <v>294</v>
      </c>
      <c r="V4" s="231" t="s">
        <v>295</v>
      </c>
      <c r="W4" s="231" t="s">
        <v>296</v>
      </c>
      <c r="X4" s="231" t="s">
        <v>297</v>
      </c>
      <c r="Y4" s="233" t="s">
        <v>718</v>
      </c>
      <c r="Z4" s="231" t="s">
        <v>372</v>
      </c>
      <c r="AA4" s="231" t="s">
        <v>373</v>
      </c>
      <c r="AB4" s="231" t="s">
        <v>374</v>
      </c>
      <c r="AC4" s="231" t="s">
        <v>375</v>
      </c>
      <c r="AD4" s="231" t="s">
        <v>376</v>
      </c>
      <c r="AE4" s="231" t="s">
        <v>275</v>
      </c>
      <c r="AF4" s="231" t="s">
        <v>276</v>
      </c>
      <c r="AG4" s="231" t="s">
        <v>277</v>
      </c>
      <c r="AH4" s="231" t="s">
        <v>278</v>
      </c>
      <c r="AI4" s="232" t="s">
        <v>279</v>
      </c>
    </row>
    <row r="5" spans="1:35" s="1" customFormat="1" x14ac:dyDescent="0.3">
      <c r="A5" s="169" t="str">
        <f>IF(COUNTIF(Tabla_O2[[#This Row],[Puntos 1]:[Puntos 6]],"&gt;0")=0,"",COUNTIF(Tabla_O2[[#This Row],[Puntos 1]:[Puntos 6]],"&gt;0"))</f>
        <v/>
      </c>
      <c r="B5" s="169" t="str">
        <f>IF(Tabla_O2[[#This Row],[NRC]]="","",COUNTA(Tabla_O2[[#This Row],[Respuesta 1]:[Respuesta 6]])-Tabla_O2[[#This Row],[NRC]])</f>
        <v/>
      </c>
      <c r="D5" s="28"/>
      <c r="E5" s="83"/>
      <c r="F5" s="82"/>
      <c r="G5" s="17"/>
      <c r="H5" s="18"/>
      <c r="I5" s="19"/>
      <c r="J5" s="20"/>
      <c r="K5" s="21"/>
      <c r="L5" s="22"/>
      <c r="M5" s="29"/>
      <c r="N5" s="30"/>
      <c r="O5" s="31"/>
      <c r="P5" s="32"/>
      <c r="Q5" s="33"/>
      <c r="R5" s="34"/>
      <c r="S5" s="29"/>
      <c r="T5" s="30"/>
      <c r="U5" s="31"/>
      <c r="V5" s="32"/>
      <c r="W5" s="33"/>
      <c r="X5" s="34"/>
      <c r="Y5" s="223"/>
      <c r="Z5" s="34"/>
      <c r="AA5" s="34"/>
      <c r="AB5" s="34"/>
      <c r="AC5" s="34"/>
      <c r="AD5" s="34"/>
      <c r="AE5" s="35"/>
      <c r="AF5" s="36"/>
      <c r="AG5" s="37"/>
      <c r="AH5" s="38"/>
      <c r="AI5" s="92"/>
    </row>
  </sheetData>
  <sheetProtection algorithmName="SHA-512" hashValue="WfR0A7T+et8Bx5paeq33niAWbVIt/Qx9Xtl59mLfimhymyOG6z5Pii8vCD1wLiBPYRpamQUmbCTw0oHeZOV86w==" saltValue="HyrxDTW9KvUIF96uZaS82Q=="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F5" sqref="F5"/>
    </sheetView>
  </sheetViews>
  <sheetFormatPr baseColWidth="10" defaultColWidth="0" defaultRowHeight="14.4" x14ac:dyDescent="0.3"/>
  <cols>
    <col min="1" max="2" width="3.6640625" style="5" customWidth="1"/>
    <col min="3" max="3" width="3.5546875" style="4" hidden="1" customWidth="1"/>
    <col min="4" max="4" width="4" style="4" hidden="1" customWidth="1"/>
    <col min="5" max="5" width="18" style="5" customWidth="1"/>
    <col min="6" max="6" width="75.6640625" style="4" customWidth="1"/>
    <col min="7" max="9" width="12.5546875" style="4" customWidth="1"/>
    <col min="10" max="12" width="12.5546875" style="4" hidden="1" customWidth="1"/>
    <col min="13" max="30" width="14.33203125" style="4" hidden="1" customWidth="1"/>
    <col min="31" max="35" width="11.44140625" style="4" customWidth="1"/>
    <col min="36" max="16384" width="11.44140625" style="4" hidden="1"/>
  </cols>
  <sheetData>
    <row r="1" spans="1:35" s="1" customFormat="1" ht="24.9" customHeight="1" x14ac:dyDescent="0.3">
      <c r="A1" s="40"/>
      <c r="B1" s="40"/>
      <c r="D1" s="40"/>
      <c r="E1" s="40"/>
      <c r="F1" s="64" t="str">
        <f ca="1">'Datos OM'!F1</f>
        <v>OM 1R                  OM +R                    VF                         EM                                INICIO</v>
      </c>
      <c r="G1" s="56" t="str">
        <f ca="1">INDIRECT("Z_BP_01_"&amp;IDIOMA)</f>
        <v>Preguntas Almacenadas</v>
      </c>
      <c r="J1" s="40"/>
      <c r="K1" s="40"/>
      <c r="L1" s="40"/>
      <c r="M1" s="40"/>
      <c r="N1" s="40"/>
      <c r="O1" s="40"/>
      <c r="P1" s="40"/>
      <c r="Q1" s="40"/>
      <c r="R1" s="40"/>
      <c r="S1" s="40"/>
      <c r="T1" s="40"/>
      <c r="U1" s="40"/>
      <c r="V1" s="40"/>
      <c r="W1" s="40"/>
      <c r="X1" s="40"/>
      <c r="Y1" s="40"/>
      <c r="Z1" s="40"/>
      <c r="AA1" s="40"/>
      <c r="AB1" s="40"/>
      <c r="AC1" s="40"/>
      <c r="AD1" s="40"/>
      <c r="AE1" s="40"/>
      <c r="AF1" s="40"/>
      <c r="AG1" s="40"/>
      <c r="AH1" s="40"/>
    </row>
    <row r="2" spans="1:35" s="1" customFormat="1" ht="24.9" customHeight="1" x14ac:dyDescent="0.3">
      <c r="A2" s="3"/>
      <c r="B2" s="3"/>
      <c r="D2" s="2"/>
      <c r="F2" s="64" t="str">
        <f ca="1">'Datos OM'!F2</f>
        <v xml:space="preserve">    RC                         PP                         EN                         CL                                 DICCIONARIO</v>
      </c>
      <c r="G2" s="39">
        <f>COUNTA(Tabla_VF[Enunciado])</f>
        <v>0</v>
      </c>
    </row>
    <row r="3" spans="1:35" s="15" customFormat="1" ht="50.1" customHeight="1" x14ac:dyDescent="0.3">
      <c r="A3" s="191"/>
      <c r="B3" s="191"/>
      <c r="C3" s="84"/>
      <c r="D3" s="26"/>
      <c r="E3" s="27" t="str">
        <f ca="1">INDIRECT("Z_BP_04_"&amp;IDIOMA)</f>
        <v>Descripción</v>
      </c>
      <c r="F3" s="41" t="str">
        <f ca="1">"FastTest PlugIn - V"&amp;MID(Version,5,7)&amp;UPPER(INICIO!G24)&amp;"
"&amp;INDIRECT("Z_BP_03_"&amp;IDIOMA)</f>
        <v>FastTest PlugIn - V7.4  - VERDADERO/FALSO
Enunciado de la pregunta</v>
      </c>
      <c r="G3" s="73" t="str">
        <f ca="1">'Datos OM'!G3</f>
        <v>Respuesta 1</v>
      </c>
      <c r="H3" s="80" t="str">
        <f ca="1">'Datos OM'!M3</f>
        <v>Retroalim. 1</v>
      </c>
      <c r="I3" s="81" t="str">
        <f ca="1">'Datos OM'!N3</f>
        <v>Retroalim. 2</v>
      </c>
      <c r="J3" s="85"/>
      <c r="K3" s="86"/>
      <c r="L3" s="87"/>
      <c r="M3" s="79"/>
      <c r="N3" s="80"/>
      <c r="O3" s="81"/>
      <c r="P3" s="85"/>
      <c r="Q3" s="86"/>
      <c r="R3" s="87"/>
      <c r="S3" s="87"/>
      <c r="T3" s="87"/>
      <c r="U3" s="87"/>
      <c r="V3" s="87"/>
      <c r="W3" s="87"/>
      <c r="X3" s="87"/>
      <c r="Y3" s="87"/>
      <c r="Z3" s="87"/>
      <c r="AA3" s="87"/>
      <c r="AB3" s="87"/>
      <c r="AC3" s="87"/>
      <c r="AD3" s="87"/>
      <c r="AE3" s="88" t="str">
        <f ca="1">'Datos OM'!AE3</f>
        <v>Pista 1</v>
      </c>
      <c r="AF3" s="89" t="str">
        <f ca="1">'Datos OM'!AF3</f>
        <v>Pista 2</v>
      </c>
      <c r="AG3" s="90" t="str">
        <f ca="1">'Datos OM'!AG3</f>
        <v>Pista 3</v>
      </c>
      <c r="AH3" s="91" t="str">
        <f ca="1">'Datos OM'!AH3</f>
        <v>Pista 4</v>
      </c>
      <c r="AI3" s="71" t="str">
        <f>'Datos OM'!AI3</f>
        <v>Imagen</v>
      </c>
    </row>
    <row r="4" spans="1:35" s="15" customFormat="1" ht="9.9" customHeight="1" x14ac:dyDescent="0.3">
      <c r="A4" s="225" t="s">
        <v>379</v>
      </c>
      <c r="B4" s="225" t="s">
        <v>380</v>
      </c>
      <c r="C4" s="226" t="s">
        <v>300</v>
      </c>
      <c r="D4" s="227" t="s">
        <v>301</v>
      </c>
      <c r="E4" s="228" t="s">
        <v>411</v>
      </c>
      <c r="F4" s="229" t="s">
        <v>412</v>
      </c>
      <c r="G4" s="230" t="s">
        <v>280</v>
      </c>
      <c r="H4" s="231" t="s">
        <v>286</v>
      </c>
      <c r="I4" s="231" t="s">
        <v>287</v>
      </c>
      <c r="J4" s="231" t="s">
        <v>302</v>
      </c>
      <c r="K4" s="231" t="s">
        <v>303</v>
      </c>
      <c r="L4" s="231" t="s">
        <v>304</v>
      </c>
      <c r="M4" s="231" t="s">
        <v>305</v>
      </c>
      <c r="N4" s="231" t="s">
        <v>306</v>
      </c>
      <c r="O4" s="231" t="s">
        <v>307</v>
      </c>
      <c r="P4" s="231" t="s">
        <v>308</v>
      </c>
      <c r="Q4" s="231" t="s">
        <v>309</v>
      </c>
      <c r="R4" s="231" t="s">
        <v>310</v>
      </c>
      <c r="S4" s="231" t="s">
        <v>311</v>
      </c>
      <c r="T4" s="231" t="s">
        <v>312</v>
      </c>
      <c r="U4" s="231" t="s">
        <v>313</v>
      </c>
      <c r="V4" s="231" t="s">
        <v>314</v>
      </c>
      <c r="W4" s="231" t="s">
        <v>315</v>
      </c>
      <c r="X4" s="231" t="s">
        <v>316</v>
      </c>
      <c r="Y4" s="231" t="s">
        <v>317</v>
      </c>
      <c r="Z4" s="231" t="s">
        <v>318</v>
      </c>
      <c r="AA4" s="231" t="s">
        <v>319</v>
      </c>
      <c r="AB4" s="231" t="s">
        <v>320</v>
      </c>
      <c r="AC4" s="231" t="s">
        <v>321</v>
      </c>
      <c r="AD4" s="231" t="s">
        <v>322</v>
      </c>
      <c r="AE4" s="231" t="s">
        <v>275</v>
      </c>
      <c r="AF4" s="231" t="s">
        <v>276</v>
      </c>
      <c r="AG4" s="231" t="s">
        <v>277</v>
      </c>
      <c r="AH4" s="231" t="s">
        <v>278</v>
      </c>
      <c r="AI4" s="232" t="s">
        <v>279</v>
      </c>
    </row>
    <row r="5" spans="1:35" s="1" customFormat="1" x14ac:dyDescent="0.3">
      <c r="A5" s="192"/>
      <c r="B5" s="192"/>
      <c r="D5" s="28"/>
      <c r="E5" s="83"/>
      <c r="F5" s="82"/>
      <c r="G5" s="17"/>
      <c r="H5" s="30"/>
      <c r="I5" s="31"/>
      <c r="J5" s="32"/>
      <c r="K5" s="33"/>
      <c r="L5" s="34"/>
      <c r="M5" s="29"/>
      <c r="N5" s="30"/>
      <c r="O5" s="31"/>
      <c r="P5" s="32"/>
      <c r="Q5" s="33"/>
      <c r="R5" s="34"/>
      <c r="S5" s="34"/>
      <c r="T5" s="34"/>
      <c r="U5" s="34"/>
      <c r="V5" s="34"/>
      <c r="W5" s="34"/>
      <c r="X5" s="34"/>
      <c r="Y5" s="34"/>
      <c r="Z5" s="34"/>
      <c r="AA5" s="34"/>
      <c r="AB5" s="34"/>
      <c r="AC5" s="34"/>
      <c r="AD5" s="34"/>
      <c r="AE5" s="35"/>
      <c r="AF5" s="36"/>
      <c r="AG5" s="37"/>
      <c r="AH5" s="38"/>
      <c r="AI5" s="72"/>
    </row>
  </sheetData>
  <sheetProtection algorithmName="SHA-512" hashValue="TNfgB6TiFNi50G/qM33dQiTt5tU0NDVurdihlrhS9URLT/YKQyKj9F/B3NlG2OnTph3XUNkNOjxhrhKUe8tP1Q==" saltValue="j4gEL+6+32awBRKy6w3CyA=="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G6" sqref="G6"/>
    </sheetView>
  </sheetViews>
  <sheetFormatPr baseColWidth="10" defaultColWidth="0" defaultRowHeight="14.4" x14ac:dyDescent="0.3"/>
  <cols>
    <col min="1" max="2" width="3.6640625" style="5" customWidth="1"/>
    <col min="3" max="3" width="3.5546875" style="4" hidden="1" customWidth="1"/>
    <col min="4" max="4" width="4" style="4" hidden="1" customWidth="1"/>
    <col min="5" max="5" width="18" style="5" customWidth="1"/>
    <col min="6" max="6" width="75.6640625" style="4" customWidth="1"/>
    <col min="7" max="12" width="12.5546875" style="4" customWidth="1"/>
    <col min="13" max="30" width="14.33203125" style="4" customWidth="1"/>
    <col min="31" max="33" width="11.44140625" style="4" customWidth="1"/>
    <col min="34" max="34" width="11.44140625" style="4" hidden="1" customWidth="1"/>
    <col min="35" max="35" width="11.44140625" style="4" customWidth="1"/>
    <col min="36" max="16384" width="11.44140625" style="4" hidden="1"/>
  </cols>
  <sheetData>
    <row r="1" spans="1:35" s="1" customFormat="1" ht="24.9" customHeight="1" x14ac:dyDescent="0.3">
      <c r="A1" s="40"/>
      <c r="B1" s="40"/>
      <c r="D1" s="40"/>
      <c r="E1" s="40"/>
      <c r="F1" s="64" t="str">
        <f ca="1">'Datos OM'!F1</f>
        <v>OM 1R                  OM +R                    VF                         EM                                INICIO</v>
      </c>
      <c r="G1" s="56" t="str">
        <f ca="1">INDIRECT("Z_BP_01_"&amp;IDIOMA)</f>
        <v>Preguntas Almacenadas</v>
      </c>
      <c r="J1" s="40"/>
      <c r="K1" s="40"/>
      <c r="L1" s="40"/>
      <c r="M1" s="40"/>
      <c r="N1" s="40"/>
      <c r="O1" s="40"/>
      <c r="P1" s="40"/>
      <c r="Q1" s="40"/>
      <c r="R1" s="40"/>
      <c r="S1" s="40"/>
      <c r="T1" s="40"/>
      <c r="U1" s="40"/>
      <c r="V1" s="40"/>
      <c r="W1" s="40"/>
      <c r="X1" s="40"/>
      <c r="Y1" s="40"/>
      <c r="Z1" s="40"/>
      <c r="AA1" s="40"/>
      <c r="AB1" s="40"/>
      <c r="AC1" s="40"/>
      <c r="AD1" s="40"/>
      <c r="AE1" s="40"/>
      <c r="AF1" s="40"/>
      <c r="AG1" s="40"/>
      <c r="AH1" s="40"/>
    </row>
    <row r="2" spans="1:35" s="1" customFormat="1" ht="24.9" customHeight="1" x14ac:dyDescent="0.3">
      <c r="A2" s="3"/>
      <c r="B2" s="3"/>
      <c r="D2" s="2"/>
      <c r="F2" s="64" t="str">
        <f ca="1">'Datos OM'!F2</f>
        <v xml:space="preserve">    RC                         PP                         EN                         CL                                 DICCIONARIO</v>
      </c>
      <c r="G2" s="39">
        <f>COUNTA(Tabla_EM[Enunciado])</f>
        <v>0</v>
      </c>
    </row>
    <row r="3" spans="1:35" s="15" customFormat="1" ht="50.1" customHeight="1" x14ac:dyDescent="0.3">
      <c r="A3" s="66" t="str">
        <f ca="1">INDIRECT("Z_BP_17_"&amp;IDIOMA)</f>
        <v xml:space="preserve">Pareja </v>
      </c>
      <c r="B3" s="2"/>
      <c r="C3" s="23"/>
      <c r="D3" s="23"/>
      <c r="E3" s="27" t="str">
        <f ca="1">'Datos OM'!E3</f>
        <v>Descripción</v>
      </c>
      <c r="F3" s="41" t="str">
        <f ca="1">"FastTest PlugIn - V"&amp;MID(Version,5,7)&amp;UPPER(INICIO!I24)&amp;"
"&amp;INDIRECT("Z_BP_03_"&amp;IDIOMA)</f>
        <v>FastTest PlugIn - V7.4  - EMPAREJAR
Enunciado de la pregunta</v>
      </c>
      <c r="G3" s="138" t="str">
        <f ca="1">$A$3&amp;" 01.1"</f>
        <v>Pareja  01.1</v>
      </c>
      <c r="H3" s="138" t="str">
        <f ca="1">$A$3&amp;" 01.2"</f>
        <v>Pareja  01.2</v>
      </c>
      <c r="I3" s="139" t="str">
        <f ca="1">$A$3&amp;" 02.1"</f>
        <v>Pareja  02.1</v>
      </c>
      <c r="J3" s="139" t="str">
        <f ca="1">$A$3&amp;" 02.2"</f>
        <v>Pareja  02.2</v>
      </c>
      <c r="K3" s="140" t="str">
        <f ca="1">$A$3&amp;" 03.1"</f>
        <v>Pareja  03.1</v>
      </c>
      <c r="L3" s="140" t="str">
        <f ca="1">$A$3&amp;" 03.2"</f>
        <v>Pareja  03.2</v>
      </c>
      <c r="M3" s="141" t="str">
        <f ca="1">$A$3&amp;" 04.1"</f>
        <v>Pareja  04.1</v>
      </c>
      <c r="N3" s="141" t="str">
        <f ca="1">$A$3&amp;" 04.2"</f>
        <v>Pareja  04.2</v>
      </c>
      <c r="O3" s="142" t="str">
        <f ca="1">$A$3&amp;" 05.1"</f>
        <v>Pareja  05.1</v>
      </c>
      <c r="P3" s="142" t="str">
        <f ca="1">$A$3&amp;" 05.2"</f>
        <v>Pareja  05.2</v>
      </c>
      <c r="Q3" s="143" t="str">
        <f ca="1">$A$3&amp;" 06.1"</f>
        <v>Pareja  06.1</v>
      </c>
      <c r="R3" s="143" t="str">
        <f ca="1">$A$3&amp;" 06.2"</f>
        <v>Pareja  06.2</v>
      </c>
      <c r="S3" s="138" t="str">
        <f ca="1">$A$3&amp;" 07.1"</f>
        <v>Pareja  07.1</v>
      </c>
      <c r="T3" s="138" t="str">
        <f ca="1">$A$3&amp;" 07.2"</f>
        <v>Pareja  07.2</v>
      </c>
      <c r="U3" s="139" t="str">
        <f ca="1">$A$3&amp;" 08.1"</f>
        <v>Pareja  08.1</v>
      </c>
      <c r="V3" s="139" t="str">
        <f ca="1">$A$3&amp;" 08.2"</f>
        <v>Pareja  08.2</v>
      </c>
      <c r="W3" s="140" t="str">
        <f ca="1">$A$3&amp;" 09.1"</f>
        <v>Pareja  09.1</v>
      </c>
      <c r="X3" s="140" t="str">
        <f ca="1">$A$3&amp;" 09.2"</f>
        <v>Pareja  09.2</v>
      </c>
      <c r="Y3" s="141" t="str">
        <f ca="1">$A$3&amp;" 10.1"</f>
        <v>Pareja  10.1</v>
      </c>
      <c r="Z3" s="141" t="str">
        <f ca="1">$A$3&amp;" 10.2"</f>
        <v>Pareja  10.2</v>
      </c>
      <c r="AA3" s="142" t="str">
        <f ca="1">$A$3&amp;" 11.1"</f>
        <v>Pareja  11.1</v>
      </c>
      <c r="AB3" s="142" t="str">
        <f ca="1">$A$3&amp;" 11.2"</f>
        <v>Pareja  11.2</v>
      </c>
      <c r="AC3" s="143" t="str">
        <f ca="1">$A$3&amp;" 12.1"</f>
        <v>Pareja  12.1</v>
      </c>
      <c r="AD3" s="143" t="str">
        <f ca="1">$A$3&amp;" 12.1"</f>
        <v>Pareja  12.1</v>
      </c>
      <c r="AE3" s="144" t="str">
        <f ca="1">'Datos OM'!AE3</f>
        <v>Pista 1</v>
      </c>
      <c r="AF3" s="145" t="str">
        <f ca="1">'Datos OM'!AF3</f>
        <v>Pista 2</v>
      </c>
      <c r="AG3" s="146" t="str">
        <f ca="1">'Datos OM'!AG3</f>
        <v>Pista 3</v>
      </c>
      <c r="AH3" s="147" t="str">
        <f ca="1">'Datos OM'!AH3</f>
        <v>Pista 4</v>
      </c>
      <c r="AI3" s="71" t="str">
        <f>'Datos OM'!AI3</f>
        <v>Imagen</v>
      </c>
    </row>
    <row r="4" spans="1:35" s="15" customFormat="1" ht="9.9" customHeight="1" x14ac:dyDescent="0.3">
      <c r="A4" s="234" t="s">
        <v>162</v>
      </c>
      <c r="B4" s="235" t="s">
        <v>379</v>
      </c>
      <c r="C4" s="238" t="s">
        <v>299</v>
      </c>
      <c r="D4" s="238" t="s">
        <v>300</v>
      </c>
      <c r="E4" s="228" t="s">
        <v>411</v>
      </c>
      <c r="F4" s="229" t="s">
        <v>412</v>
      </c>
      <c r="G4" s="236" t="s">
        <v>323</v>
      </c>
      <c r="H4" s="236" t="s">
        <v>324</v>
      </c>
      <c r="I4" s="236" t="s">
        <v>325</v>
      </c>
      <c r="J4" s="236" t="s">
        <v>326</v>
      </c>
      <c r="K4" s="236" t="s">
        <v>327</v>
      </c>
      <c r="L4" s="236" t="s">
        <v>328</v>
      </c>
      <c r="M4" s="236" t="s">
        <v>329</v>
      </c>
      <c r="N4" s="236" t="s">
        <v>330</v>
      </c>
      <c r="O4" s="236" t="s">
        <v>331</v>
      </c>
      <c r="P4" s="236" t="s">
        <v>332</v>
      </c>
      <c r="Q4" s="236" t="s">
        <v>333</v>
      </c>
      <c r="R4" s="236" t="s">
        <v>334</v>
      </c>
      <c r="S4" s="236" t="s">
        <v>335</v>
      </c>
      <c r="T4" s="236" t="s">
        <v>336</v>
      </c>
      <c r="U4" s="236" t="s">
        <v>337</v>
      </c>
      <c r="V4" s="236" t="s">
        <v>338</v>
      </c>
      <c r="W4" s="236" t="s">
        <v>339</v>
      </c>
      <c r="X4" s="236" t="s">
        <v>340</v>
      </c>
      <c r="Y4" s="236" t="s">
        <v>341</v>
      </c>
      <c r="Z4" s="236" t="s">
        <v>342</v>
      </c>
      <c r="AA4" s="236" t="s">
        <v>343</v>
      </c>
      <c r="AB4" s="236" t="s">
        <v>344</v>
      </c>
      <c r="AC4" s="236" t="s">
        <v>345</v>
      </c>
      <c r="AD4" s="236" t="s">
        <v>346</v>
      </c>
      <c r="AE4" s="237" t="s">
        <v>275</v>
      </c>
      <c r="AF4" s="237" t="s">
        <v>276</v>
      </c>
      <c r="AG4" s="237" t="s">
        <v>277</v>
      </c>
      <c r="AH4" s="237" t="s">
        <v>278</v>
      </c>
      <c r="AI4" s="232" t="s">
        <v>279</v>
      </c>
    </row>
    <row r="5" spans="1:35" s="1" customFormat="1" x14ac:dyDescent="0.3">
      <c r="A5" s="67" t="str">
        <f>IF(COUNTA(Tabla_EM[[#This Row],[Pareja  01.1]:[Pareja  12.14]])/2=0,"",COUNTA(Tabla_EM[[#This Row],[Pareja  01.1]:[Pareja  12.14]])/2)</f>
        <v/>
      </c>
      <c r="B5" s="193"/>
      <c r="D5" s="28"/>
      <c r="E5" s="83"/>
      <c r="F5" s="82"/>
      <c r="G5" s="93"/>
      <c r="H5" s="93"/>
      <c r="I5" s="94"/>
      <c r="J5" s="94"/>
      <c r="K5" s="95"/>
      <c r="L5" s="95"/>
      <c r="M5" s="96"/>
      <c r="N5" s="96"/>
      <c r="O5" s="97"/>
      <c r="P5" s="97"/>
      <c r="Q5" s="98"/>
      <c r="R5" s="98"/>
      <c r="S5" s="93"/>
      <c r="T5" s="93"/>
      <c r="U5" s="94"/>
      <c r="V5" s="94"/>
      <c r="W5" s="95"/>
      <c r="X5" s="95"/>
      <c r="Y5" s="96"/>
      <c r="Z5" s="96"/>
      <c r="AA5" s="97"/>
      <c r="AB5" s="97"/>
      <c r="AC5" s="98"/>
      <c r="AD5" s="98"/>
      <c r="AE5" s="35"/>
      <c r="AF5" s="36"/>
      <c r="AG5" s="37"/>
      <c r="AH5" s="38"/>
      <c r="AI5" s="92"/>
    </row>
  </sheetData>
  <sheetProtection algorithmName="SHA-512" hashValue="HPDNKAiec9uih9NFPNLbEJFOcm8sxybSGqjZBIMB7jmR2w3EHtgxQGwzy4epUKmu4Mtit+nCkhMsVwgQsrTC5A==" saltValue="G736yWquT69GgRpcOK8wpg=="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G6" sqref="G6"/>
    </sheetView>
  </sheetViews>
  <sheetFormatPr baseColWidth="10" defaultColWidth="0" defaultRowHeight="14.4" x14ac:dyDescent="0.3"/>
  <cols>
    <col min="1" max="1" width="3.6640625" style="5" customWidth="1"/>
    <col min="2" max="2" width="3.6640625" style="5" hidden="1" customWidth="1"/>
    <col min="3" max="3" width="3.6640625" style="4" hidden="1" customWidth="1"/>
    <col min="4" max="4" width="3.6640625" style="4" customWidth="1"/>
    <col min="5" max="5" width="18" style="5" customWidth="1"/>
    <col min="6" max="6" width="75.6640625" style="4" customWidth="1"/>
    <col min="7" max="7" width="13.88671875" style="4" customWidth="1"/>
    <col min="8" max="8" width="12.5546875" style="4" customWidth="1"/>
    <col min="9" max="9" width="14" style="4" customWidth="1"/>
    <col min="10" max="10" width="13.88671875" style="4" customWidth="1"/>
    <col min="11" max="11" width="12.5546875" style="4" customWidth="1"/>
    <col min="12" max="12" width="14" style="4" customWidth="1"/>
    <col min="13" max="30" width="14.33203125" style="4" customWidth="1"/>
    <col min="31" max="32" width="11.44140625" style="4" customWidth="1"/>
    <col min="33" max="34" width="11.44140625" style="4" hidden="1" customWidth="1"/>
    <col min="35" max="35" width="11.44140625" style="4" customWidth="1"/>
    <col min="36" max="16384" width="11.44140625" style="4" hidden="1"/>
  </cols>
  <sheetData>
    <row r="1" spans="1:35" s="1" customFormat="1" ht="24.9" customHeight="1" x14ac:dyDescent="0.3">
      <c r="A1" s="40"/>
      <c r="B1" s="40"/>
      <c r="D1" s="40"/>
      <c r="E1" s="40"/>
      <c r="F1" s="64" t="str">
        <f ca="1">'Datos OM'!F1</f>
        <v>OM 1R                  OM +R                    VF                         EM                                INICIO</v>
      </c>
      <c r="G1" s="56" t="str">
        <f ca="1">INDIRECT("Z_BP_01_"&amp;IDIOMA)</f>
        <v>Preguntas Almacenadas</v>
      </c>
      <c r="J1" s="40"/>
      <c r="K1" s="40"/>
      <c r="L1" s="40"/>
      <c r="M1" s="40"/>
      <c r="N1" s="40"/>
      <c r="O1" s="40"/>
      <c r="P1" s="40"/>
      <c r="Q1" s="40"/>
      <c r="R1" s="40"/>
      <c r="S1" s="40"/>
      <c r="T1" s="40"/>
      <c r="U1" s="40"/>
      <c r="V1" s="40"/>
      <c r="W1" s="40"/>
      <c r="X1" s="40"/>
      <c r="Y1" s="40"/>
      <c r="Z1" s="40"/>
      <c r="AA1" s="40"/>
      <c r="AB1" s="40"/>
      <c r="AC1" s="40"/>
      <c r="AD1" s="40"/>
      <c r="AE1" s="40"/>
      <c r="AF1" s="40"/>
      <c r="AG1" s="40"/>
      <c r="AH1" s="40"/>
    </row>
    <row r="2" spans="1:35" s="1" customFormat="1" ht="24.9" customHeight="1" x14ac:dyDescent="0.3">
      <c r="A2" s="3"/>
      <c r="B2" s="3"/>
      <c r="D2" s="2"/>
      <c r="F2" s="64" t="str">
        <f ca="1">'Datos OM'!F2</f>
        <v xml:space="preserve">    RC                         PP                         EN                         CL                                 DICCIONARIO</v>
      </c>
      <c r="G2" s="39">
        <f>COUNTA(Tabl_RC[Enunciado])</f>
        <v>0</v>
      </c>
    </row>
    <row r="3" spans="1:35" s="15" customFormat="1" ht="50.1" customHeight="1" x14ac:dyDescent="0.3">
      <c r="A3" s="66" t="str">
        <f ca="1">INDIRECT("Z_BP_19_"&amp;IDIOMA)</f>
        <v>Respuesta</v>
      </c>
      <c r="B3" s="6"/>
      <c r="C3" s="23"/>
      <c r="D3" s="58" t="str">
        <f ca="1">INDIRECT("Z_BP_18_"&amp;IDIOMA)</f>
        <v>Mayúsculas</v>
      </c>
      <c r="E3" s="27" t="str">
        <f ca="1">'Datos OM'!E3</f>
        <v>Descripción</v>
      </c>
      <c r="F3" s="41" t="str">
        <f ca="1">"FastTest PlugIn - V"&amp;MID(Version,5,7)&amp;UPPER(INICIO!K24)&amp;"
"&amp;INDIRECT("Z_BP_03_"&amp;IDIOMA)</f>
        <v>FastTest PlugIn - V7.4  - RESPUESTA CORTA
Enunciado de la pregunta</v>
      </c>
      <c r="G3" s="109" t="str">
        <f ca="1">$A$3&amp;" 01"</f>
        <v>Respuesta 01</v>
      </c>
      <c r="H3" s="110" t="str">
        <f ca="1">INDIRECT("Z_BP_09_"&amp;IDIOMA)&amp;" 01"</f>
        <v>Puntos 01</v>
      </c>
      <c r="I3" s="110" t="str">
        <f ca="1">INDIRECT("Z_BP_07_"&amp;IDIOMA)&amp;" 01"</f>
        <v>Retroalim. 01</v>
      </c>
      <c r="J3" s="111" t="str">
        <f ca="1">$A$3&amp;" 02"</f>
        <v>Respuesta 02</v>
      </c>
      <c r="K3" s="112" t="str">
        <f ca="1">INDIRECT("Z_BP_09_"&amp;IDIOMA)&amp;" 02"</f>
        <v>Puntos 02</v>
      </c>
      <c r="L3" s="112" t="str">
        <f ca="1">INDIRECT("Z_BP_07_"&amp;IDIOMA)&amp;" 02"</f>
        <v>Retroalim. 02</v>
      </c>
      <c r="M3" s="111" t="str">
        <f ca="1">$A$3&amp;" 03"</f>
        <v>Respuesta 03</v>
      </c>
      <c r="N3" s="112" t="str">
        <f ca="1">INDIRECT("Z_BP_09_"&amp;IDIOMA)&amp;" 03"</f>
        <v>Puntos 03</v>
      </c>
      <c r="O3" s="112" t="str">
        <f ca="1">INDIRECT("Z_BP_07_"&amp;IDIOMA)&amp;" 03"</f>
        <v>Retroalim. 03</v>
      </c>
      <c r="P3" s="113" t="str">
        <f ca="1">$A$3&amp;" 04"</f>
        <v>Respuesta 04</v>
      </c>
      <c r="Q3" s="114" t="str">
        <f ca="1">INDIRECT("Z_BP_09_"&amp;IDIOMA)&amp;" 04"</f>
        <v>Puntos 04</v>
      </c>
      <c r="R3" s="114" t="str">
        <f ca="1">INDIRECT("Z_BP_07_"&amp;IDIOMA)&amp;" 04"</f>
        <v>Retroalim. 04</v>
      </c>
      <c r="S3" s="115" t="str">
        <f ca="1">$A$3&amp;" 05"</f>
        <v>Respuesta 05</v>
      </c>
      <c r="T3" s="116" t="str">
        <f ca="1">INDIRECT("Z_BP_09_"&amp;IDIOMA)&amp;" 05"</f>
        <v>Puntos 05</v>
      </c>
      <c r="U3" s="116" t="str">
        <f ca="1">INDIRECT("Z_BP_07_"&amp;IDIOMA)&amp;" 05"</f>
        <v>Retroalim. 05</v>
      </c>
      <c r="V3" s="117" t="str">
        <f ca="1">$A$3&amp;" 06"</f>
        <v>Respuesta 06</v>
      </c>
      <c r="W3" s="118" t="str">
        <f ca="1">INDIRECT("Z_BP_09_"&amp;IDIOMA)&amp;" 06"</f>
        <v>Puntos 06</v>
      </c>
      <c r="X3" s="118" t="str">
        <f ca="1">INDIRECT("Z_BP_07_"&amp;IDIOMA)&amp;" 06"</f>
        <v>Retroalim. 06</v>
      </c>
      <c r="Y3" s="109" t="str">
        <f ca="1">$A$3&amp;" 07"</f>
        <v>Respuesta 07</v>
      </c>
      <c r="Z3" s="110" t="str">
        <f ca="1">INDIRECT("Z_BP_09_"&amp;IDIOMA)&amp;" 07"</f>
        <v>Puntos 07</v>
      </c>
      <c r="AA3" s="110" t="str">
        <f ca="1">INDIRECT("Z_BP_07_"&amp;IDIOMA)&amp;" 07"</f>
        <v>Retroalim. 07</v>
      </c>
      <c r="AB3" s="111" t="str">
        <f ca="1">$A$3&amp;" 08"</f>
        <v>Respuesta 08</v>
      </c>
      <c r="AC3" s="112" t="str">
        <f ca="1">INDIRECT("Z_BP_09_"&amp;IDIOMA)&amp;" 08"</f>
        <v>Puntos 08</v>
      </c>
      <c r="AD3" s="112" t="str">
        <f ca="1">INDIRECT("Z_BP_07_"&amp;IDIOMA)&amp;" 08"</f>
        <v>Retroalim. 08</v>
      </c>
      <c r="AE3" s="119" t="str">
        <f ca="1">'Datos OM'!AE3</f>
        <v>Pista 1</v>
      </c>
      <c r="AF3" s="120" t="str">
        <f ca="1">'Datos OM'!AF3</f>
        <v>Pista 2</v>
      </c>
      <c r="AG3" s="121" t="str">
        <f ca="1">'Datos OM'!AG3</f>
        <v>Pista 3</v>
      </c>
      <c r="AH3" s="122" t="str">
        <f ca="1">'Datos OM'!AH3</f>
        <v>Pista 4</v>
      </c>
      <c r="AI3" s="71" t="str">
        <f>'Datos OM'!AI3</f>
        <v>Imagen</v>
      </c>
    </row>
    <row r="4" spans="1:35" s="15" customFormat="1" ht="9.9" customHeight="1" x14ac:dyDescent="0.3">
      <c r="A4" s="234" t="s">
        <v>414</v>
      </c>
      <c r="B4" s="241" t="s">
        <v>298</v>
      </c>
      <c r="C4" s="238" t="s">
        <v>299</v>
      </c>
      <c r="D4" s="242" t="s">
        <v>413</v>
      </c>
      <c r="E4" s="231" t="s">
        <v>411</v>
      </c>
      <c r="F4" s="243" t="s">
        <v>412</v>
      </c>
      <c r="G4" s="239" t="s">
        <v>347</v>
      </c>
      <c r="H4" s="240" t="s">
        <v>348</v>
      </c>
      <c r="I4" s="240" t="s">
        <v>349</v>
      </c>
      <c r="J4" s="239" t="s">
        <v>350</v>
      </c>
      <c r="K4" s="240" t="s">
        <v>351</v>
      </c>
      <c r="L4" s="240" t="s">
        <v>352</v>
      </c>
      <c r="M4" s="239" t="s">
        <v>353</v>
      </c>
      <c r="N4" s="240" t="s">
        <v>354</v>
      </c>
      <c r="O4" s="240" t="s">
        <v>355</v>
      </c>
      <c r="P4" s="239" t="s">
        <v>356</v>
      </c>
      <c r="Q4" s="240" t="s">
        <v>357</v>
      </c>
      <c r="R4" s="240" t="s">
        <v>358</v>
      </c>
      <c r="S4" s="239" t="s">
        <v>359</v>
      </c>
      <c r="T4" s="240" t="s">
        <v>360</v>
      </c>
      <c r="U4" s="240" t="s">
        <v>361</v>
      </c>
      <c r="V4" s="239" t="s">
        <v>362</v>
      </c>
      <c r="W4" s="240" t="s">
        <v>363</v>
      </c>
      <c r="X4" s="240" t="s">
        <v>364</v>
      </c>
      <c r="Y4" s="239" t="s">
        <v>365</v>
      </c>
      <c r="Z4" s="240" t="s">
        <v>366</v>
      </c>
      <c r="AA4" s="240" t="s">
        <v>367</v>
      </c>
      <c r="AB4" s="239" t="s">
        <v>368</v>
      </c>
      <c r="AC4" s="240" t="s">
        <v>369</v>
      </c>
      <c r="AD4" s="240" t="s">
        <v>370</v>
      </c>
      <c r="AE4" s="240" t="s">
        <v>275</v>
      </c>
      <c r="AF4" s="240" t="s">
        <v>276</v>
      </c>
      <c r="AG4" s="240" t="s">
        <v>277</v>
      </c>
      <c r="AH4" s="240" t="s">
        <v>278</v>
      </c>
      <c r="AI4" s="233" t="s">
        <v>279</v>
      </c>
    </row>
    <row r="5" spans="1:35" s="1" customFormat="1" x14ac:dyDescent="0.3">
      <c r="A5" s="68" t="str">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
      </c>
      <c r="B5" s="24"/>
      <c r="C5" s="25"/>
      <c r="D5" s="103"/>
      <c r="E5" s="83"/>
      <c r="F5" s="82"/>
      <c r="G5" s="93"/>
      <c r="H5" s="104"/>
      <c r="I5" s="104"/>
      <c r="J5" s="94"/>
      <c r="K5" s="105"/>
      <c r="L5" s="105"/>
      <c r="M5" s="94"/>
      <c r="N5" s="105"/>
      <c r="O5" s="105"/>
      <c r="P5" s="96"/>
      <c r="Q5" s="106"/>
      <c r="R5" s="106"/>
      <c r="S5" s="97"/>
      <c r="T5" s="107"/>
      <c r="U5" s="107"/>
      <c r="V5" s="98"/>
      <c r="W5" s="108"/>
      <c r="X5" s="108"/>
      <c r="Y5" s="93"/>
      <c r="Z5" s="104"/>
      <c r="AA5" s="104"/>
      <c r="AB5" s="94"/>
      <c r="AC5" s="105"/>
      <c r="AD5" s="105"/>
      <c r="AE5" s="99"/>
      <c r="AF5" s="100"/>
      <c r="AG5" s="101"/>
      <c r="AH5" s="102"/>
      <c r="AI5" s="92"/>
    </row>
  </sheetData>
  <sheetProtection algorithmName="SHA-512" hashValue="wqiewpCNsXFsUtHLQbVzRBq0IUBikpixKPswbz5UXTF0aypx6SOLVPmeTNq5ny2sAufCietEOhJQh/gmsltDTQ==" saltValue="Anqgz7CAb76ILZltuRry+Q=="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G6" sqref="G6"/>
    </sheetView>
  </sheetViews>
  <sheetFormatPr baseColWidth="10" defaultColWidth="0" defaultRowHeight="14.4" x14ac:dyDescent="0.3"/>
  <cols>
    <col min="1" max="2" width="3.6640625" style="5" customWidth="1"/>
    <col min="3" max="3" width="3.5546875" style="4" hidden="1" customWidth="1"/>
    <col min="4" max="4" width="4" style="4" hidden="1" customWidth="1"/>
    <col min="5" max="5" width="18" style="5" customWidth="1"/>
    <col min="6" max="6" width="75.6640625" style="4" customWidth="1"/>
    <col min="7" max="12" width="12.5546875" style="4" customWidth="1"/>
    <col min="13" max="30" width="14.33203125" style="4" customWidth="1"/>
    <col min="31" max="33" width="11.44140625" style="4" customWidth="1"/>
    <col min="34" max="34" width="11.44140625" style="4" hidden="1" customWidth="1"/>
    <col min="35" max="35" width="11.44140625" style="4" customWidth="1"/>
    <col min="36" max="16384" width="11.44140625" style="4" hidden="1"/>
  </cols>
  <sheetData>
    <row r="1" spans="1:35" s="1" customFormat="1" ht="24.9" customHeight="1" x14ac:dyDescent="0.3">
      <c r="A1" s="40"/>
      <c r="B1" s="40"/>
      <c r="D1" s="40"/>
      <c r="E1" s="40"/>
      <c r="F1" s="64" t="str">
        <f ca="1">'Datos OM'!F1</f>
        <v>OM 1R                  OM +R                    VF                         EM                                INICIO</v>
      </c>
      <c r="G1" s="56" t="str">
        <f ca="1">INDIRECT("Z_BP_01_"&amp;IDIOMA)</f>
        <v>Preguntas Almacenadas</v>
      </c>
      <c r="J1" s="40"/>
      <c r="K1" s="40"/>
      <c r="L1" s="40"/>
      <c r="M1" s="40"/>
      <c r="N1" s="40"/>
      <c r="O1" s="40"/>
      <c r="P1" s="40"/>
      <c r="Q1" s="40"/>
      <c r="R1" s="40"/>
      <c r="S1" s="40"/>
      <c r="T1" s="40"/>
      <c r="U1" s="40"/>
      <c r="V1" s="40"/>
      <c r="W1" s="40"/>
      <c r="X1" s="40"/>
      <c r="Y1" s="40"/>
      <c r="Z1" s="40"/>
      <c r="AA1" s="40"/>
      <c r="AB1" s="40"/>
      <c r="AC1" s="40"/>
      <c r="AD1" s="40"/>
      <c r="AE1" s="40"/>
      <c r="AF1" s="40"/>
      <c r="AG1" s="40"/>
      <c r="AH1" s="40"/>
    </row>
    <row r="2" spans="1:35" s="1" customFormat="1" ht="24.9" customHeight="1" x14ac:dyDescent="0.3">
      <c r="A2" s="3"/>
      <c r="B2" s="3"/>
      <c r="D2" s="2"/>
      <c r="F2" s="64" t="str">
        <f ca="1">'Datos OM'!F2</f>
        <v xml:space="preserve">    RC                         PP                         EN                         CL                                 DICCIONARIO</v>
      </c>
      <c r="G2" s="39">
        <f>COUNTA(Tabla_PP[Enunciado])</f>
        <v>0</v>
      </c>
    </row>
    <row r="3" spans="1:35" s="15" customFormat="1" ht="50.1" customHeight="1" x14ac:dyDescent="0.3">
      <c r="A3" s="69" t="str">
        <f ca="1">INDIRECT("Z_BP_20_"&amp;IDIOMA)</f>
        <v xml:space="preserve">Palabra </v>
      </c>
      <c r="B3" s="2"/>
      <c r="C3" s="23"/>
      <c r="D3" s="23"/>
      <c r="E3" s="16" t="str">
        <f ca="1">'Datos OM'!E3</f>
        <v>Descripción</v>
      </c>
      <c r="F3" s="41" t="str">
        <f ca="1">"FastTest PlugIn - V"&amp;MID(Version,5,7)&amp;UPPER(INICIO!M24)&amp;"
"&amp;INDIRECT("Z_BP_03_"&amp;IDIOMA)</f>
        <v>FastTest PlugIn - V7.4  - PALABRA PERDIDA
Enunciado de la pregunta</v>
      </c>
      <c r="G3" s="123" t="str">
        <f ca="1">INDIRECT("Z_BP_23_"&amp;IDIOMA)&amp;"
"&amp;H3</f>
        <v>Grupo 
Palabra  01</v>
      </c>
      <c r="H3" s="123" t="str">
        <f ca="1">INDIRECT("Z_BP_20_"&amp;IDIOMA)&amp;" 01"</f>
        <v>Palabra  01</v>
      </c>
      <c r="I3" s="124" t="str">
        <f ca="1">INDIRECT("Z_BP_23_"&amp;IDIOMA)&amp;"
"&amp;J3</f>
        <v>Grupo 
Palabra  02</v>
      </c>
      <c r="J3" s="124" t="str">
        <f ca="1">INDIRECT("Z_BP_20_"&amp;IDIOMA)&amp;" 02"</f>
        <v>Palabra  02</v>
      </c>
      <c r="K3" s="123" t="str">
        <f ca="1">INDIRECT("Z_BP_23_"&amp;IDIOMA)&amp;"
"&amp;L3</f>
        <v>Grupo 
Palabra  03</v>
      </c>
      <c r="L3" s="123" t="str">
        <f ca="1">INDIRECT("Z_BP_20_"&amp;IDIOMA)&amp;" 03"</f>
        <v>Palabra  03</v>
      </c>
      <c r="M3" s="124" t="str">
        <f ca="1">INDIRECT("Z_BP_23_"&amp;IDIOMA)&amp;"
"&amp;N3</f>
        <v>Grupo 
Palabra  04</v>
      </c>
      <c r="N3" s="124" t="str">
        <f ca="1">INDIRECT("Z_BP_20_"&amp;IDIOMA)&amp;" 04"</f>
        <v>Palabra  04</v>
      </c>
      <c r="O3" s="123" t="str">
        <f ca="1">INDIRECT("Z_BP_23_"&amp;IDIOMA)&amp;"
"&amp;P3</f>
        <v>Grupo 
Palabra  05</v>
      </c>
      <c r="P3" s="123" t="str">
        <f ca="1">INDIRECT("Z_BP_20_"&amp;IDIOMA)&amp;" 05"</f>
        <v>Palabra  05</v>
      </c>
      <c r="Q3" s="124" t="str">
        <f ca="1">INDIRECT("Z_BP_23_"&amp;IDIOMA)&amp;"
"&amp;R3</f>
        <v>Grupo 
Palabra  06</v>
      </c>
      <c r="R3" s="124" t="str">
        <f ca="1">INDIRECT("Z_BP_20_"&amp;IDIOMA)&amp;" 06"</f>
        <v>Palabra  06</v>
      </c>
      <c r="S3" s="123" t="str">
        <f ca="1">INDIRECT("Z_BP_23_"&amp;IDIOMA)&amp;"
"&amp;T3</f>
        <v>Grupo 
Palabra  07</v>
      </c>
      <c r="T3" s="123" t="str">
        <f ca="1">INDIRECT("Z_BP_20_"&amp;IDIOMA)&amp;" 07"</f>
        <v>Palabra  07</v>
      </c>
      <c r="U3" s="124" t="str">
        <f ca="1">INDIRECT("Z_BP_23_"&amp;IDIOMA)&amp;"
"&amp;V3</f>
        <v>Grupo 
Palabra  08</v>
      </c>
      <c r="V3" s="124" t="str">
        <f ca="1">INDIRECT("Z_BP_20_"&amp;IDIOMA)&amp;" 08"</f>
        <v>Palabra  08</v>
      </c>
      <c r="W3" s="123" t="str">
        <f ca="1">INDIRECT("Z_BP_23_"&amp;IDIOMA)&amp;"
"&amp;X3</f>
        <v>Grupo 
Palabra  09</v>
      </c>
      <c r="X3" s="123" t="str">
        <f ca="1">INDIRECT("Z_BP_20_"&amp;IDIOMA)&amp;" 09"</f>
        <v>Palabra  09</v>
      </c>
      <c r="Y3" s="124" t="str">
        <f ca="1">INDIRECT("Z_BP_23_"&amp;IDIOMA)&amp;"
"&amp;Z3</f>
        <v>Grupo 
Palabra  10</v>
      </c>
      <c r="Z3" s="124" t="str">
        <f ca="1">INDIRECT("Z_BP_20_"&amp;IDIOMA)&amp;" 10"</f>
        <v>Palabra  10</v>
      </c>
      <c r="AA3" s="123" t="str">
        <f ca="1">INDIRECT("Z_BP_23_"&amp;IDIOMA)&amp;"
"&amp;AB3</f>
        <v>Grupo 
Palabra  11</v>
      </c>
      <c r="AB3" s="123" t="str">
        <f ca="1">INDIRECT("Z_BP_20_"&amp;IDIOMA)&amp;" 11"</f>
        <v>Palabra  11</v>
      </c>
      <c r="AC3" s="124" t="str">
        <f ca="1">INDIRECT("Z_BP_23_"&amp;IDIOMA)&amp;"
"&amp;AD3</f>
        <v>Grupo 
Palabra  12</v>
      </c>
      <c r="AD3" s="124" t="str">
        <f ca="1">INDIRECT("Z_BP_20_"&amp;IDIOMA)&amp;" 12"</f>
        <v>Palabra  12</v>
      </c>
      <c r="AE3" s="119" t="str">
        <f ca="1">'Datos OM'!AE3</f>
        <v>Pista 1</v>
      </c>
      <c r="AF3" s="120" t="str">
        <f ca="1">'Datos OM'!AF3</f>
        <v>Pista 2</v>
      </c>
      <c r="AG3" s="121" t="str">
        <f ca="1">'Datos OM'!AG3</f>
        <v>Pista 3</v>
      </c>
      <c r="AH3" s="122" t="str">
        <f ca="1">'Datos OM'!AH3</f>
        <v>Pista 4</v>
      </c>
      <c r="AI3" s="71" t="str">
        <f>'Datos OM'!AI3</f>
        <v>Imagen</v>
      </c>
    </row>
    <row r="4" spans="1:35" s="15" customFormat="1" ht="9.9" customHeight="1" x14ac:dyDescent="0.3">
      <c r="A4" s="244" t="s">
        <v>181</v>
      </c>
      <c r="B4" s="245" t="s">
        <v>379</v>
      </c>
      <c r="C4" s="247" t="s">
        <v>299</v>
      </c>
      <c r="D4" s="247" t="s">
        <v>300</v>
      </c>
      <c r="E4" s="246" t="s">
        <v>411</v>
      </c>
      <c r="F4" s="243" t="s">
        <v>412</v>
      </c>
      <c r="G4" s="243" t="s">
        <v>415</v>
      </c>
      <c r="H4" s="243" t="s">
        <v>416</v>
      </c>
      <c r="I4" s="243" t="s">
        <v>417</v>
      </c>
      <c r="J4" s="243" t="s">
        <v>418</v>
      </c>
      <c r="K4" s="243" t="s">
        <v>419</v>
      </c>
      <c r="L4" s="243" t="s">
        <v>420</v>
      </c>
      <c r="M4" s="243" t="s">
        <v>421</v>
      </c>
      <c r="N4" s="243" t="s">
        <v>422</v>
      </c>
      <c r="O4" s="243" t="s">
        <v>423</v>
      </c>
      <c r="P4" s="243" t="s">
        <v>425</v>
      </c>
      <c r="Q4" s="243" t="s">
        <v>426</v>
      </c>
      <c r="R4" s="243" t="s">
        <v>424</v>
      </c>
      <c r="S4" s="243" t="s">
        <v>427</v>
      </c>
      <c r="T4" s="243" t="s">
        <v>428</v>
      </c>
      <c r="U4" s="243" t="s">
        <v>429</v>
      </c>
      <c r="V4" s="243" t="s">
        <v>430</v>
      </c>
      <c r="W4" s="243" t="s">
        <v>431</v>
      </c>
      <c r="X4" s="243" t="s">
        <v>432</v>
      </c>
      <c r="Y4" s="243" t="s">
        <v>433</v>
      </c>
      <c r="Z4" s="243" t="s">
        <v>434</v>
      </c>
      <c r="AA4" s="243" t="s">
        <v>435</v>
      </c>
      <c r="AB4" s="243" t="s">
        <v>436</v>
      </c>
      <c r="AC4" s="243" t="s">
        <v>437</v>
      </c>
      <c r="AD4" s="243" t="s">
        <v>438</v>
      </c>
      <c r="AE4" s="240" t="s">
        <v>275</v>
      </c>
      <c r="AF4" s="240" t="s">
        <v>276</v>
      </c>
      <c r="AG4" s="240" t="s">
        <v>277</v>
      </c>
      <c r="AH4" s="240" t="s">
        <v>278</v>
      </c>
      <c r="AI4" s="233" t="s">
        <v>279</v>
      </c>
    </row>
    <row r="5" spans="1:35" s="1" customFormat="1" x14ac:dyDescent="0.3">
      <c r="A5" s="67" t="str">
        <f>IF(COUNTA(Tabla_PP[[#This Row],[GP 01]:[P 12]])/2=0,"",COUNTA(Tabla_PP[[#This Row],[GP 01]:[P 12]])/2)</f>
        <v/>
      </c>
      <c r="B5" s="16"/>
      <c r="C5" s="171"/>
      <c r="D5" s="171"/>
      <c r="E5" s="125"/>
      <c r="F5" s="170"/>
      <c r="G5" s="17"/>
      <c r="H5" s="17"/>
      <c r="I5" s="18"/>
      <c r="J5" s="18"/>
      <c r="K5" s="17"/>
      <c r="L5" s="17"/>
      <c r="M5" s="18"/>
      <c r="N5" s="18"/>
      <c r="O5" s="17"/>
      <c r="P5" s="17"/>
      <c r="Q5" s="18"/>
      <c r="R5" s="18"/>
      <c r="S5" s="17"/>
      <c r="T5" s="17"/>
      <c r="U5" s="18"/>
      <c r="V5" s="18"/>
      <c r="W5" s="17"/>
      <c r="X5" s="17"/>
      <c r="Y5" s="18"/>
      <c r="Z5" s="18"/>
      <c r="AA5" s="17"/>
      <c r="AB5" s="17"/>
      <c r="AC5" s="18"/>
      <c r="AD5" s="18"/>
      <c r="AE5" s="172"/>
      <c r="AF5" s="173"/>
      <c r="AG5" s="174"/>
      <c r="AH5" s="175"/>
      <c r="AI5" s="92"/>
    </row>
  </sheetData>
  <sheetProtection algorithmName="SHA-512" hashValue="vSgTjOEm6aACATE4znmRy9Huj4RRo3JkG/iDoiEL0gmwH3jVXCCdRdd93k+sMIC5wgYN3KeHweammRvBtMtrKw==" saltValue="x4P61I8qmLTSQSpmXKFGng=="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5"/>
  <sheetViews>
    <sheetView showGridLines="0" showRowColHeaders="0" zoomScale="125" zoomScaleNormal="125" workbookViewId="0">
      <pane xSplit="6" ySplit="4" topLeftCell="G5" activePane="bottomRight" state="frozen"/>
      <selection pane="topRight" activeCell="G1" sqref="G1"/>
      <selection pane="bottomLeft" activeCell="A5" sqref="A5"/>
      <selection pane="bottomRight" activeCell="G6" sqref="G6"/>
    </sheetView>
  </sheetViews>
  <sheetFormatPr baseColWidth="10" defaultColWidth="0" defaultRowHeight="14.4" x14ac:dyDescent="0.3"/>
  <cols>
    <col min="1" max="2" width="3.6640625" style="5" customWidth="1"/>
    <col min="3" max="3" width="3.5546875" style="4" hidden="1" customWidth="1"/>
    <col min="4" max="4" width="4" style="4" hidden="1" customWidth="1"/>
    <col min="5" max="5" width="18" style="5" customWidth="1"/>
    <col min="6" max="6" width="75.6640625" style="4" customWidth="1"/>
    <col min="7" max="7" width="12.5546875" style="4" customWidth="1"/>
    <col min="8" max="8" width="12.88671875" style="4" customWidth="1"/>
    <col min="9" max="9" width="23" style="4" customWidth="1"/>
    <col min="10" max="10" width="22.33203125" style="4" customWidth="1"/>
    <col min="11" max="11" width="24.44140625" style="4" customWidth="1"/>
    <col min="12" max="12" width="19.44140625" style="4" customWidth="1"/>
    <col min="13" max="13" width="24.88671875" style="4" customWidth="1"/>
    <col min="14" max="30" width="14.33203125" style="4" hidden="1" customWidth="1"/>
    <col min="31" max="34" width="0" style="4" hidden="1" customWidth="1"/>
    <col min="35" max="35" width="11.44140625" style="4" customWidth="1"/>
    <col min="36" max="16384" width="11.44140625" style="4" hidden="1"/>
  </cols>
  <sheetData>
    <row r="1" spans="1:35" s="1" customFormat="1" ht="24.9" customHeight="1" x14ac:dyDescent="0.3">
      <c r="A1" s="40"/>
      <c r="B1" s="40"/>
      <c r="D1" s="40"/>
      <c r="E1" s="40"/>
      <c r="F1" s="64" t="str">
        <f ca="1">'Datos OM'!F1</f>
        <v>OM 1R                  OM +R                    VF                         EM                                INICIO</v>
      </c>
      <c r="G1" s="56" t="str">
        <f ca="1">INDIRECT("Z_BP_01_"&amp;IDIOMA)</f>
        <v>Preguntas Almacenadas</v>
      </c>
      <c r="J1" s="40"/>
      <c r="K1" s="40"/>
      <c r="L1" s="40"/>
      <c r="M1" s="40"/>
      <c r="N1" s="40"/>
      <c r="O1" s="40"/>
      <c r="P1" s="40"/>
      <c r="Q1" s="40"/>
      <c r="R1" s="40"/>
      <c r="S1" s="40"/>
      <c r="T1" s="40"/>
      <c r="U1" s="40"/>
      <c r="V1" s="40"/>
      <c r="W1" s="40"/>
      <c r="X1" s="40"/>
      <c r="Y1" s="40"/>
      <c r="Z1" s="40"/>
      <c r="AA1" s="40"/>
      <c r="AB1" s="40"/>
      <c r="AC1" s="40"/>
      <c r="AD1" s="40"/>
      <c r="AE1" s="40"/>
      <c r="AF1" s="40"/>
      <c r="AG1" s="40"/>
      <c r="AH1" s="40"/>
    </row>
    <row r="2" spans="1:35" s="1" customFormat="1" ht="24.9" customHeight="1" x14ac:dyDescent="0.3">
      <c r="A2" s="3"/>
      <c r="B2" s="3"/>
      <c r="D2" s="2"/>
      <c r="F2" s="64" t="str">
        <f ca="1">'Datos OM'!F2</f>
        <v xml:space="preserve">    RC                         PP                         EN                         CL                                 DICCIONARIO</v>
      </c>
      <c r="G2" s="39">
        <f>COUNTA(Tabla_EN[FastTest PlugIn - ENSAYO
Enunciado de la pregunta])</f>
        <v>0</v>
      </c>
    </row>
    <row r="3" spans="1:35" s="15" customFormat="1" ht="50.1" customHeight="1" x14ac:dyDescent="0.3">
      <c r="A3" s="194"/>
      <c r="B3" s="2"/>
      <c r="C3" s="23"/>
      <c r="D3" s="23"/>
      <c r="E3" s="16" t="str">
        <f ca="1">'Datos OM'!E3</f>
        <v>Descripción</v>
      </c>
      <c r="F3" s="41" t="str">
        <f ca="1">"FastTest PlugIn - V"&amp;MID(Version,5,7)&amp;UPPER(INICIO!O24)&amp;"
"&amp;INDIRECT("Z_BP_03_"&amp;IDIOMA)</f>
        <v>FastTest PlugIn - V7.4  - ENSAYO
Enunciado de la pregunta</v>
      </c>
      <c r="G3" s="60" t="str">
        <f ca="1">INDIRECT("Z_BP_24_"&amp;IDIOMA)&amp;"
"&amp;H3</f>
        <v>Formato de la Respuesta
Requerir texto</v>
      </c>
      <c r="H3" s="80" t="str">
        <f ca="1">INDIRECT("Z_BP_25_"&amp;IDIOMA)</f>
        <v>Requerir texto</v>
      </c>
      <c r="I3" s="75" t="str">
        <f ca="1">INDIRECT("Z_BP_26_"&amp;IDIOMA)</f>
        <v>Tamaño de la caja de entrada</v>
      </c>
      <c r="J3" s="61" t="str">
        <f ca="1">INDIRECT("Z_BP_27_"&amp;IDIOMA)</f>
        <v>Permitir archivos adjuntos</v>
      </c>
      <c r="K3" s="62" t="str">
        <f ca="1">INDIRECT("Z_BP_28_"&amp;IDIOMA)</f>
        <v>Archivos adjuntos requeridos</v>
      </c>
      <c r="L3" s="63" t="str">
        <f ca="1">INDIRECT("Z_BP_29_"&amp;IDIOMA)</f>
        <v>Plantilla de Respuesta</v>
      </c>
      <c r="M3" s="60" t="str">
        <f ca="1">INDIRECT("Z_BP_30_"&amp;IDIOMA)</f>
        <v>Información para el evaluador</v>
      </c>
      <c r="N3" s="128"/>
      <c r="O3" s="129"/>
      <c r="P3" s="129"/>
      <c r="Q3" s="128"/>
      <c r="R3" s="128"/>
      <c r="S3" s="129"/>
      <c r="T3" s="129"/>
      <c r="U3" s="128"/>
      <c r="V3" s="128"/>
      <c r="W3" s="129"/>
      <c r="X3" s="129"/>
      <c r="Y3" s="128"/>
      <c r="Z3" s="128"/>
      <c r="AA3" s="129"/>
      <c r="AB3" s="129"/>
      <c r="AC3" s="128"/>
      <c r="AD3" s="128"/>
      <c r="AE3" s="130"/>
      <c r="AF3" s="131"/>
      <c r="AG3" s="132"/>
      <c r="AH3" s="133"/>
      <c r="AI3" s="71" t="str">
        <f>'Datos OM'!AI3</f>
        <v>Imagen</v>
      </c>
    </row>
    <row r="4" spans="1:35" s="15" customFormat="1" ht="9.9" customHeight="1" x14ac:dyDescent="0.3">
      <c r="A4" s="248" t="s">
        <v>379</v>
      </c>
      <c r="B4" s="245" t="s">
        <v>380</v>
      </c>
      <c r="C4" s="247" t="s">
        <v>298</v>
      </c>
      <c r="D4" s="247" t="s">
        <v>299</v>
      </c>
      <c r="E4" s="246" t="s">
        <v>105</v>
      </c>
      <c r="F4" s="243" t="s">
        <v>377</v>
      </c>
      <c r="G4" s="249" t="s">
        <v>378</v>
      </c>
      <c r="H4" s="231" t="s">
        <v>218</v>
      </c>
      <c r="I4" s="230" t="s">
        <v>224</v>
      </c>
      <c r="J4" s="249" t="s">
        <v>230</v>
      </c>
      <c r="K4" s="249" t="s">
        <v>236</v>
      </c>
      <c r="L4" s="249" t="s">
        <v>242</v>
      </c>
      <c r="M4" s="249" t="s">
        <v>248</v>
      </c>
      <c r="N4" s="250" t="s">
        <v>300</v>
      </c>
      <c r="O4" s="250" t="s">
        <v>301</v>
      </c>
      <c r="P4" s="250" t="s">
        <v>302</v>
      </c>
      <c r="Q4" s="250" t="s">
        <v>303</v>
      </c>
      <c r="R4" s="250" t="s">
        <v>304</v>
      </c>
      <c r="S4" s="250" t="s">
        <v>305</v>
      </c>
      <c r="T4" s="250" t="s">
        <v>306</v>
      </c>
      <c r="U4" s="250" t="s">
        <v>307</v>
      </c>
      <c r="V4" s="250" t="s">
        <v>308</v>
      </c>
      <c r="W4" s="250" t="s">
        <v>309</v>
      </c>
      <c r="X4" s="250" t="s">
        <v>310</v>
      </c>
      <c r="Y4" s="250" t="s">
        <v>311</v>
      </c>
      <c r="Z4" s="250" t="s">
        <v>312</v>
      </c>
      <c r="AA4" s="250" t="s">
        <v>313</v>
      </c>
      <c r="AB4" s="250" t="s">
        <v>314</v>
      </c>
      <c r="AC4" s="250" t="s">
        <v>315</v>
      </c>
      <c r="AD4" s="250" t="s">
        <v>316</v>
      </c>
      <c r="AE4" s="251" t="s">
        <v>317</v>
      </c>
      <c r="AF4" s="251" t="s">
        <v>318</v>
      </c>
      <c r="AG4" s="251" t="s">
        <v>319</v>
      </c>
      <c r="AH4" s="251" t="s">
        <v>320</v>
      </c>
      <c r="AI4" s="233" t="s">
        <v>279</v>
      </c>
    </row>
    <row r="5" spans="1:35" s="1" customFormat="1" x14ac:dyDescent="0.3">
      <c r="A5" s="195"/>
      <c r="B5" s="196"/>
      <c r="C5" s="171"/>
      <c r="D5" s="171"/>
      <c r="E5" s="125"/>
      <c r="F5" s="170"/>
      <c r="G5" s="134"/>
      <c r="H5" s="30"/>
      <c r="I5" s="19"/>
      <c r="J5" s="135"/>
      <c r="K5" s="136"/>
      <c r="L5" s="137"/>
      <c r="M5" s="134"/>
      <c r="N5" s="176"/>
      <c r="O5" s="177"/>
      <c r="P5" s="177"/>
      <c r="Q5" s="176"/>
      <c r="R5" s="176"/>
      <c r="S5" s="177"/>
      <c r="T5" s="177"/>
      <c r="U5" s="176"/>
      <c r="V5" s="176"/>
      <c r="W5" s="177"/>
      <c r="X5" s="177"/>
      <c r="Y5" s="176"/>
      <c r="Z5" s="176"/>
      <c r="AA5" s="177"/>
      <c r="AB5" s="177"/>
      <c r="AC5" s="176"/>
      <c r="AD5" s="176"/>
      <c r="AE5" s="178"/>
      <c r="AF5" s="179"/>
      <c r="AG5" s="180"/>
      <c r="AH5" s="181"/>
      <c r="AI5" s="92"/>
    </row>
  </sheetData>
  <sheetProtection algorithmName="SHA-512" hashValue="Gx7VediGRyYz1LRu41SqXMZwPkd7GfsuE5gjA3+W1In7wuWwFbwJDthZZsXmERuwVnIiz0vgzqk7JfFbXwtPHA==" saltValue="e4NfSe+u0qYUhWBp0NMhgA==" spinCount="100000" sheet="1" objects="1" scenarios="1" selectLockedCells="1"/>
  <conditionalFormatting sqref="G5:K5">
    <cfRule type="cellIs" dxfId="119" priority="3" operator="equal">
      <formula>""</formula>
    </cfRule>
    <cfRule type="cellIs" dxfId="118"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30" zoomScaleNormal="130" workbookViewId="0">
      <pane xSplit="6" ySplit="4" topLeftCell="G5" activePane="bottomRight" state="frozen"/>
      <selection pane="topRight" activeCell="G1" sqref="G1"/>
      <selection pane="bottomLeft" activeCell="A5" sqref="A5"/>
      <selection pane="bottomRight" activeCell="E5" sqref="E5"/>
    </sheetView>
  </sheetViews>
  <sheetFormatPr baseColWidth="10" defaultColWidth="0" defaultRowHeight="14.4" x14ac:dyDescent="0.3"/>
  <cols>
    <col min="1" max="2" width="3.6640625" style="5" customWidth="1"/>
    <col min="3" max="3" width="3.5546875" style="4" hidden="1" customWidth="1"/>
    <col min="4" max="4" width="4" style="4" hidden="1" customWidth="1"/>
    <col min="5" max="5" width="18" style="5" customWidth="1"/>
    <col min="6" max="6" width="135.5546875" style="4" customWidth="1"/>
    <col min="7" max="7" width="12.5546875" style="4" customWidth="1"/>
    <col min="8" max="8" width="12.5546875" style="4" hidden="1" customWidth="1"/>
    <col min="9" max="9" width="12.5546875" style="4" customWidth="1"/>
    <col min="10" max="12" width="12.5546875" style="4" hidden="1" customWidth="1"/>
    <col min="13" max="30" width="14.33203125" style="4" hidden="1" customWidth="1"/>
    <col min="31" max="35" width="11.44140625" style="4" customWidth="1"/>
    <col min="36" max="16384" width="11.44140625" style="4" hidden="1"/>
  </cols>
  <sheetData>
    <row r="1" spans="1:35" s="1" customFormat="1" ht="24.9" customHeight="1" x14ac:dyDescent="0.3">
      <c r="A1" s="40"/>
      <c r="B1" s="40"/>
      <c r="D1" s="40"/>
      <c r="E1" s="40"/>
      <c r="F1" s="64" t="str">
        <f ca="1">'Datos OM'!F1</f>
        <v>OM 1R                  OM +R                    VF                         EM                                INICIO</v>
      </c>
      <c r="G1" s="56" t="str">
        <f ca="1">INDIRECT("Z_BP_01_"&amp;IDIOMA)</f>
        <v>Preguntas Almacenadas</v>
      </c>
      <c r="J1" s="40"/>
      <c r="K1" s="40"/>
      <c r="L1" s="40"/>
      <c r="M1" s="40"/>
      <c r="N1" s="40"/>
      <c r="O1" s="40"/>
      <c r="P1" s="40"/>
      <c r="Q1" s="40"/>
      <c r="R1" s="40"/>
      <c r="S1" s="40"/>
      <c r="T1" s="40"/>
      <c r="U1" s="40"/>
      <c r="V1" s="40"/>
      <c r="W1" s="40"/>
      <c r="X1" s="40"/>
      <c r="Y1" s="40"/>
      <c r="Z1" s="40"/>
      <c r="AA1" s="40"/>
      <c r="AB1" s="40"/>
      <c r="AC1" s="40"/>
      <c r="AD1" s="40"/>
      <c r="AF1" s="40"/>
      <c r="AG1" s="40"/>
      <c r="AH1" s="40"/>
    </row>
    <row r="2" spans="1:35" s="1" customFormat="1" ht="24.9" customHeight="1" x14ac:dyDescent="0.3">
      <c r="A2" s="3"/>
      <c r="B2" s="3"/>
      <c r="D2" s="2"/>
      <c r="F2" s="65" t="str">
        <f ca="1">'Datos OM'!F2</f>
        <v xml:space="preserve">    RC                         PP                         EN                         CL                                 DICCIONARIO</v>
      </c>
      <c r="G2" s="39">
        <f>COUNTA(Tabla_CL[Enunciado])</f>
        <v>0</v>
      </c>
    </row>
    <row r="3" spans="1:35" s="15" customFormat="1" ht="50.1" customHeight="1" x14ac:dyDescent="0.3">
      <c r="A3" s="301"/>
      <c r="B3" s="301"/>
      <c r="C3" s="23"/>
      <c r="D3" s="23"/>
      <c r="E3" s="27" t="str">
        <f ca="1">'Datos OM'!E3</f>
        <v>Descripción</v>
      </c>
      <c r="F3" s="41" t="str">
        <f ca="1">"FastTest PlugIn - V"&amp;MID(Version,5,7)&amp;UPPER(INICIO!Q24)&amp;"
"&amp;INDIRECT("Z_BP_03_"&amp;IDIOMA)</f>
        <v>FastTest PlugIn - V7.4  - CLOZE
Enunciado de la pregunta</v>
      </c>
      <c r="G3" s="148" t="str">
        <f ca="1">INDIRECT("Z_BP_32_"&amp;IDIOMA)</f>
        <v>Ancho RC</v>
      </c>
      <c r="H3" s="80"/>
      <c r="I3" s="75" t="str">
        <f ca="1">MID(G3,1,SEARCH(" ",G3,1))&amp;AI3</f>
        <v>Ancho Imagen</v>
      </c>
      <c r="J3" s="61"/>
      <c r="K3" s="62"/>
      <c r="L3" s="63"/>
      <c r="M3" s="60"/>
      <c r="N3" s="127"/>
      <c r="O3" s="126"/>
      <c r="P3" s="126"/>
      <c r="Q3" s="127"/>
      <c r="R3" s="127"/>
      <c r="S3" s="126"/>
      <c r="T3" s="126"/>
      <c r="U3" s="127"/>
      <c r="V3" s="127"/>
      <c r="W3" s="126"/>
      <c r="X3" s="126"/>
      <c r="Y3" s="127"/>
      <c r="Z3" s="127"/>
      <c r="AA3" s="126"/>
      <c r="AB3" s="126"/>
      <c r="AC3" s="127"/>
      <c r="AD3" s="127"/>
      <c r="AE3" s="119" t="str">
        <f ca="1">'Datos OM'!AE3</f>
        <v>Pista 1</v>
      </c>
      <c r="AF3" s="120" t="str">
        <f ca="1">'Datos OM'!AF3</f>
        <v>Pista 2</v>
      </c>
      <c r="AG3" s="121" t="str">
        <f ca="1">'Datos OM'!AG3</f>
        <v>Pista 3</v>
      </c>
      <c r="AH3" s="122" t="str">
        <f ca="1">'Datos OM'!AH3</f>
        <v>Pista 4</v>
      </c>
      <c r="AI3" s="71" t="str">
        <f>'Datos OM'!AI3</f>
        <v>Imagen</v>
      </c>
    </row>
    <row r="4" spans="1:35" s="15" customFormat="1" ht="9.9" customHeight="1" x14ac:dyDescent="0.3">
      <c r="A4" s="246" t="s">
        <v>379</v>
      </c>
      <c r="B4" s="246" t="s">
        <v>380</v>
      </c>
      <c r="C4" s="246" t="s">
        <v>298</v>
      </c>
      <c r="D4" s="246" t="s">
        <v>299</v>
      </c>
      <c r="E4" s="228" t="s">
        <v>411</v>
      </c>
      <c r="F4" s="255" t="s">
        <v>412</v>
      </c>
      <c r="G4" s="232" t="s">
        <v>269</v>
      </c>
      <c r="H4" s="231" t="s">
        <v>300</v>
      </c>
      <c r="I4" s="230" t="s">
        <v>732</v>
      </c>
      <c r="J4" s="252" t="s">
        <v>302</v>
      </c>
      <c r="K4" s="252" t="s">
        <v>303</v>
      </c>
      <c r="L4" s="252" t="s">
        <v>304</v>
      </c>
      <c r="M4" s="252" t="s">
        <v>305</v>
      </c>
      <c r="N4" s="253" t="s">
        <v>306</v>
      </c>
      <c r="O4" s="253" t="s">
        <v>307</v>
      </c>
      <c r="P4" s="253" t="s">
        <v>308</v>
      </c>
      <c r="Q4" s="253" t="s">
        <v>309</v>
      </c>
      <c r="R4" s="253" t="s">
        <v>310</v>
      </c>
      <c r="S4" s="253" t="s">
        <v>311</v>
      </c>
      <c r="T4" s="253" t="s">
        <v>312</v>
      </c>
      <c r="U4" s="253" t="s">
        <v>313</v>
      </c>
      <c r="V4" s="253" t="s">
        <v>314</v>
      </c>
      <c r="W4" s="253" t="s">
        <v>315</v>
      </c>
      <c r="X4" s="253" t="s">
        <v>316</v>
      </c>
      <c r="Y4" s="253" t="s">
        <v>317</v>
      </c>
      <c r="Z4" s="253" t="s">
        <v>318</v>
      </c>
      <c r="AA4" s="253" t="s">
        <v>319</v>
      </c>
      <c r="AB4" s="253" t="s">
        <v>320</v>
      </c>
      <c r="AC4" s="253" t="s">
        <v>321</v>
      </c>
      <c r="AD4" s="253" t="s">
        <v>322</v>
      </c>
      <c r="AE4" s="254" t="s">
        <v>275</v>
      </c>
      <c r="AF4" s="254" t="s">
        <v>276</v>
      </c>
      <c r="AG4" s="254" t="s">
        <v>277</v>
      </c>
      <c r="AH4" s="254" t="s">
        <v>278</v>
      </c>
      <c r="AI4" s="232" t="s">
        <v>279</v>
      </c>
    </row>
    <row r="5" spans="1:35" s="1" customFormat="1" x14ac:dyDescent="0.3">
      <c r="A5" s="195"/>
      <c r="B5" s="196"/>
      <c r="C5" s="171"/>
      <c r="D5" s="171"/>
      <c r="E5" s="83"/>
      <c r="F5" s="170"/>
      <c r="G5" s="182"/>
      <c r="H5" s="30"/>
      <c r="I5" s="19"/>
      <c r="J5" s="135"/>
      <c r="K5" s="136"/>
      <c r="L5" s="137"/>
      <c r="M5" s="134"/>
      <c r="N5" s="176"/>
      <c r="O5" s="177"/>
      <c r="P5" s="177"/>
      <c r="Q5" s="176"/>
      <c r="R5" s="176"/>
      <c r="S5" s="177"/>
      <c r="T5" s="177"/>
      <c r="U5" s="176"/>
      <c r="V5" s="176"/>
      <c r="W5" s="177"/>
      <c r="X5" s="177"/>
      <c r="Y5" s="176"/>
      <c r="Z5" s="176"/>
      <c r="AA5" s="177"/>
      <c r="AB5" s="177"/>
      <c r="AC5" s="176"/>
      <c r="AD5" s="176"/>
      <c r="AE5" s="183"/>
      <c r="AF5" s="184"/>
      <c r="AG5" s="185"/>
      <c r="AH5" s="186"/>
      <c r="AI5" s="92"/>
    </row>
  </sheetData>
  <sheetProtection algorithmName="SHA-512" hashValue="pTrDsk15ZyRcXJbtHHxmxeTUrD9gRR1i6rww4crv4vP0eK8vBCzoV2oC8RjNDvBzlI9vsmJ6V8WNsoWxdM5XCg==" saltValue="XTxJ5VVAnIpAR2yB5bZ8qA==" spinCount="100000" sheet="1" objects="1" scenarios="1" selectLockedCells="1"/>
  <mergeCells count="1">
    <mergeCell ref="A3:B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BF389"/>
  <sheetViews>
    <sheetView showGridLines="0" showRowColHeaders="0" zoomScale="149" zoomScaleNormal="149" workbookViewId="0">
      <pane ySplit="3" topLeftCell="A4" activePane="bottomLeft" state="frozen"/>
      <selection pane="bottomLeft" activeCell="D3" sqref="D3"/>
    </sheetView>
  </sheetViews>
  <sheetFormatPr baseColWidth="10" defaultColWidth="0" defaultRowHeight="14.4" zeroHeight="1" outlineLevelRow="1" outlineLevelCol="1" x14ac:dyDescent="0.3"/>
  <cols>
    <col min="1" max="1" width="10.6640625" hidden="1" customWidth="1" outlineLevel="1"/>
    <col min="2" max="3" width="6" hidden="1" customWidth="1" outlineLevel="1"/>
    <col min="4" max="4" width="65.6640625" customWidth="1" collapsed="1"/>
    <col min="5" max="5" width="65.6640625" customWidth="1"/>
    <col min="6" max="12" width="29" hidden="1" customWidth="1" outlineLevel="1"/>
    <col min="13" max="13" width="2.6640625" customWidth="1" collapsed="1"/>
    <col min="14" max="14" width="2.6640625" hidden="1" customWidth="1" collapsed="1"/>
    <col min="15" max="15" width="20.6640625" hidden="1" customWidth="1" outlineLevel="1"/>
    <col min="16" max="17" width="4.6640625" hidden="1" customWidth="1" outlineLevel="1"/>
    <col min="18" max="18" width="2.6640625" customWidth="1" collapsed="1"/>
    <col min="19" max="19" width="5.44140625" style="53" hidden="1" customWidth="1" outlineLevel="1"/>
    <col min="20" max="20" width="15.5546875" style="53" hidden="1" customWidth="1" outlineLevel="1"/>
    <col min="21" max="21" width="30.44140625" style="53" hidden="1" customWidth="1" outlineLevel="1"/>
    <col min="22" max="22" width="14.88671875" style="53" hidden="1" customWidth="1" outlineLevel="1"/>
    <col min="23" max="23" width="4.5546875" style="53" hidden="1" customWidth="1" outlineLevel="1"/>
    <col min="24" max="24" width="6.5546875" style="53" hidden="1" customWidth="1" outlineLevel="1"/>
    <col min="25" max="26" width="11.109375" style="53" hidden="1" customWidth="1" outlineLevel="1"/>
    <col min="27" max="27" width="7.109375" style="53" hidden="1" customWidth="1" outlineLevel="1"/>
    <col min="28" max="28" width="4.6640625" style="53" hidden="1" customWidth="1" outlineLevel="1"/>
    <col min="29" max="29" width="4.33203125" style="53" hidden="1" customWidth="1" outlineLevel="1"/>
    <col min="30" max="30" width="3.6640625" style="53" hidden="1" customWidth="1" outlineLevel="1"/>
    <col min="31" max="31" width="3.88671875" style="53" hidden="1" customWidth="1" outlineLevel="1"/>
    <col min="32" max="32" width="14.6640625" hidden="1" customWidth="1" outlineLevel="1"/>
    <col min="33" max="33" width="2.6640625" hidden="1" customWidth="1" outlineLevel="1"/>
    <col min="34" max="35" width="5.6640625" hidden="1" customWidth="1" outlineLevel="1"/>
    <col min="36" max="36" width="2.6640625" customWidth="1" collapsed="1"/>
    <col min="37" max="58" width="5.6640625" hidden="1" customWidth="1"/>
    <col min="59" max="16384" width="11.44140625" hidden="1"/>
  </cols>
  <sheetData>
    <row r="1" spans="1:35" ht="30" customHeight="1" thickBot="1" x14ac:dyDescent="0.35">
      <c r="A1" s="50" t="s">
        <v>18</v>
      </c>
      <c r="B1" s="49"/>
      <c r="C1" s="50"/>
      <c r="D1" s="157" t="str">
        <f ca="1">INDIRECT("Z_IN_00_"&amp;IDIOMA)</f>
        <v>INICIO</v>
      </c>
      <c r="E1" s="163" t="str">
        <f>LANGUAGE</f>
        <v>ESPAÑOL</v>
      </c>
      <c r="F1" s="51" t="s">
        <v>12</v>
      </c>
      <c r="G1" s="51" t="s">
        <v>19</v>
      </c>
      <c r="H1" s="51" t="s">
        <v>20</v>
      </c>
      <c r="I1" s="51" t="s">
        <v>21</v>
      </c>
      <c r="J1" s="51" t="s">
        <v>22</v>
      </c>
      <c r="K1" s="51" t="s">
        <v>23</v>
      </c>
      <c r="L1" s="51" t="s">
        <v>716</v>
      </c>
      <c r="O1" s="268">
        <f>[1]DICCIONARIO!O1</f>
        <v>0</v>
      </c>
      <c r="S1" s="210">
        <v>1</v>
      </c>
      <c r="T1" s="210">
        <f>S1+1</f>
        <v>2</v>
      </c>
      <c r="U1" s="210">
        <f t="shared" ref="U1:AF1" si="0">T1+1</f>
        <v>3</v>
      </c>
      <c r="V1" s="210">
        <f t="shared" si="0"/>
        <v>4</v>
      </c>
      <c r="W1" s="210">
        <f t="shared" si="0"/>
        <v>5</v>
      </c>
      <c r="X1" s="210">
        <f t="shared" si="0"/>
        <v>6</v>
      </c>
      <c r="Y1" s="210">
        <f t="shared" si="0"/>
        <v>7</v>
      </c>
      <c r="Z1" s="210">
        <f t="shared" si="0"/>
        <v>8</v>
      </c>
      <c r="AA1" s="210">
        <f t="shared" si="0"/>
        <v>9</v>
      </c>
      <c r="AB1" s="210">
        <f t="shared" si="0"/>
        <v>10</v>
      </c>
      <c r="AC1" s="210">
        <f t="shared" si="0"/>
        <v>11</v>
      </c>
      <c r="AD1" s="210">
        <f t="shared" si="0"/>
        <v>12</v>
      </c>
      <c r="AE1" s="210">
        <f t="shared" si="0"/>
        <v>13</v>
      </c>
      <c r="AF1" s="210">
        <f t="shared" si="0"/>
        <v>14</v>
      </c>
      <c r="AH1" s="212" t="s">
        <v>610</v>
      </c>
      <c r="AI1" s="212"/>
    </row>
    <row r="2" spans="1:35" ht="30" customHeight="1" thickBot="1" x14ac:dyDescent="0.35">
      <c r="A2" s="49" t="s">
        <v>717</v>
      </c>
      <c r="B2" s="49"/>
      <c r="C2" s="49"/>
      <c r="D2" s="158" t="str">
        <f>"LINK "&amp;INICIO!A46</f>
        <v>LINK PERSONALIZAR DICCIONARIO</v>
      </c>
      <c r="E2" s="164" t="str">
        <f>IFERROR(INDEX(F2:K20,1,MATCH(E1,F20:K20,0)),IDIOMA)</f>
        <v>S</v>
      </c>
      <c r="F2" s="52" t="s">
        <v>13</v>
      </c>
      <c r="G2" s="52" t="s">
        <v>17</v>
      </c>
      <c r="H2" s="52" t="s">
        <v>15</v>
      </c>
      <c r="I2" s="52" t="s">
        <v>16</v>
      </c>
      <c r="J2" s="52" t="s">
        <v>14</v>
      </c>
      <c r="K2" s="52" t="s">
        <v>24</v>
      </c>
      <c r="L2" s="52" t="s">
        <v>717</v>
      </c>
      <c r="O2" s="268">
        <f>[1]DICCIONARIO!O2</f>
        <v>0</v>
      </c>
      <c r="S2" s="216" t="s">
        <v>479</v>
      </c>
      <c r="T2" s="216" t="s">
        <v>480</v>
      </c>
      <c r="U2" s="216" t="s">
        <v>481</v>
      </c>
      <c r="V2" s="216" t="s">
        <v>482</v>
      </c>
      <c r="W2" s="208" t="s">
        <v>483</v>
      </c>
      <c r="X2" s="208" t="s">
        <v>484</v>
      </c>
      <c r="Y2" s="216" t="s">
        <v>603</v>
      </c>
      <c r="Z2" s="216" t="s">
        <v>604</v>
      </c>
      <c r="AA2" s="216" t="s">
        <v>605</v>
      </c>
      <c r="AB2" s="217" t="s">
        <v>486</v>
      </c>
      <c r="AC2" s="208" t="s">
        <v>485</v>
      </c>
      <c r="AD2" s="208" t="s">
        <v>606</v>
      </c>
      <c r="AE2" s="208" t="s">
        <v>487</v>
      </c>
      <c r="AF2" s="216" t="s">
        <v>607</v>
      </c>
      <c r="AH2" s="212" t="s">
        <v>611</v>
      </c>
      <c r="AI2" s="212" t="str">
        <f>IF(IDIOMA="S","May","Shift")&amp;"+"</f>
        <v>May+</v>
      </c>
    </row>
    <row r="3" spans="1:35" ht="15" thickBot="1" x14ac:dyDescent="0.35">
      <c r="A3" s="55" t="str">
        <f t="shared" ref="A3:A44" si="1">$A$1&amp;B3&amp;"_"&amp;C3&amp;"_"&amp;$A$2</f>
        <v>Z_IN_00_CS</v>
      </c>
      <c r="B3" s="54" t="s">
        <v>25</v>
      </c>
      <c r="C3" s="55" t="s">
        <v>26</v>
      </c>
      <c r="D3" s="188"/>
      <c r="E3" s="165" t="str">
        <f>IFERROR(IF(D3&lt;&gt;"",D3,HLOOKUP($E$2,$F$2:K3,ROW(D3)-1,0)),F3)</f>
        <v>INICIO</v>
      </c>
      <c r="F3" s="165" t="s">
        <v>11</v>
      </c>
      <c r="G3" s="165" t="s">
        <v>27</v>
      </c>
      <c r="H3" s="165" t="s">
        <v>28</v>
      </c>
      <c r="I3" s="165" t="s">
        <v>29</v>
      </c>
      <c r="J3" s="165" t="s">
        <v>27</v>
      </c>
      <c r="K3" s="165" t="s">
        <v>30</v>
      </c>
      <c r="L3" s="165" t="s">
        <v>659</v>
      </c>
      <c r="M3" s="53" t="s">
        <v>31</v>
      </c>
      <c r="N3" s="53" t="s">
        <v>31</v>
      </c>
      <c r="O3" s="258" t="s">
        <v>733</v>
      </c>
      <c r="P3" s="259" t="s">
        <v>734</v>
      </c>
      <c r="Q3" s="260">
        <v>0</v>
      </c>
      <c r="R3" s="53"/>
      <c r="S3" s="221">
        <f ca="1">IF(Tabla_Menu[[#This Row],[Nivel]]=T2,0,COUNTIF(Tabla_Menu[Nivel],Tabla_Menu[[#This Row],[Nivel]]))</f>
        <v>1</v>
      </c>
      <c r="T3" s="215" t="str">
        <f ca="1">IFERROR(INDIRECT(Tabla_Menu[[#This Row],[Nivel 1]]&amp;IDIOMA),"")</f>
        <v>MENU EXCEL</v>
      </c>
      <c r="U3" s="215" t="str">
        <f ca="1">IFERROR(INDIRECT(Tabla_Menu[[#This Row],[Nivel 2]]&amp;IDIOMA)&amp;IF(Tabla_Menu[[#This Row],[Nivel]]="",""," "&amp;Tabla_Menu[[#This Row],['[Teclas']]]),"")</f>
        <v xml:space="preserve">MENU EXCEL </v>
      </c>
      <c r="V3" s="213" t="s">
        <v>650</v>
      </c>
      <c r="W3" s="214">
        <v>263</v>
      </c>
      <c r="X3" s="197" t="s">
        <v>488</v>
      </c>
      <c r="Y3" s="200" t="s">
        <v>648</v>
      </c>
      <c r="Z3" s="200" t="s">
        <v>648</v>
      </c>
      <c r="AA3" s="220" t="s">
        <v>644</v>
      </c>
      <c r="AB3" s="201" t="s">
        <v>586</v>
      </c>
      <c r="AC3" s="199" t="str">
        <f ca="1">IF(OR(Tabla_Menu[[#This Row],[Nivel]]="",IFERROR(SEARCH(MID(CELL("nombrearchivo"),FIND(".xlsm]",CELL("nombrearchivo"),1)+6,100),Tabla_Menu[[#This Row],[HOJAS NO MUESTRA]],1),0)&gt;0),"N/A","")</f>
        <v>N/A</v>
      </c>
      <c r="AD3" s="213">
        <f ca="1">IF(Tabla_Menu[[#This Row],[N/A]]="",,COUNTIF(Tabla_Menu[Nivel &amp; Incluir],Tabla_Menu[[#This Row],[Nivel &amp; Incluir]]))</f>
        <v>1</v>
      </c>
      <c r="AE3" s="202" t="str">
        <f ca="1">Tabla_Menu[[#This Row],[Nivel]]&amp;Tabla_Menu[[#This Row],[N/A]]</f>
        <v>MENU EXCELN/A</v>
      </c>
      <c r="AF3" s="200"/>
    </row>
    <row r="4" spans="1:35" outlineLevel="1" x14ac:dyDescent="0.3">
      <c r="A4" s="152" t="str">
        <f t="shared" si="1"/>
        <v>Z_IN_01_CS</v>
      </c>
      <c r="B4" s="151" t="str">
        <f t="shared" ref="B4:B20" si="2">B3</f>
        <v>IN</v>
      </c>
      <c r="C4" s="152" t="s">
        <v>32</v>
      </c>
      <c r="D4" s="222"/>
      <c r="E4" s="168" t="str">
        <f>IFERROR(IF(D4&lt;&gt;"",D4,HLOOKUP($E$2,$F$2:K4,ROW(D4)-1,0)),F4)</f>
        <v>CANAL YOUTUBE</v>
      </c>
      <c r="F4" s="166" t="s">
        <v>403</v>
      </c>
      <c r="G4" s="166" t="s">
        <v>404</v>
      </c>
      <c r="H4" s="166" t="s">
        <v>405</v>
      </c>
      <c r="I4" s="166" t="s">
        <v>406</v>
      </c>
      <c r="J4" s="166" t="s">
        <v>407</v>
      </c>
      <c r="K4" s="166" t="s">
        <v>408</v>
      </c>
      <c r="L4" s="166" t="s">
        <v>660</v>
      </c>
      <c r="M4" s="53"/>
      <c r="N4" s="53"/>
      <c r="O4" s="261" t="s">
        <v>735</v>
      </c>
      <c r="P4" s="256" t="s">
        <v>736</v>
      </c>
      <c r="Q4" s="262">
        <v>0</v>
      </c>
      <c r="R4" s="53"/>
      <c r="S4" s="197">
        <f ca="1">IF(Tabla_Menu[[#This Row],[Nivel]]=T2,0,COUNTIF(Tabla_Menu[Nivel],Tabla_Menu[[#This Row],[Nivel]]))</f>
        <v>4</v>
      </c>
      <c r="T4" s="213" t="str">
        <f ca="1">IFERROR(INDIRECT(Tabla_Menu[[#This Row],[Nivel 1]]&amp;IDIOMA),"")</f>
        <v>MENÚ GENERAL</v>
      </c>
      <c r="U4" s="213" t="str">
        <f ca="1">IFERROR(INDIRECT(Tabla_Menu[[#This Row],[Nivel 2]]&amp;IDIOMA)&amp;IF(Tabla_Menu[[#This Row],[Nivel]]="",""," "&amp;Tabla_Menu[[#This Row],['[Teclas']]]),"")</f>
        <v xml:space="preserve">GUARDAR  </v>
      </c>
      <c r="V4" s="213" t="s">
        <v>489</v>
      </c>
      <c r="W4" s="214">
        <v>3</v>
      </c>
      <c r="X4" s="197" t="s">
        <v>488</v>
      </c>
      <c r="Y4" s="200" t="s">
        <v>491</v>
      </c>
      <c r="Z4" s="200" t="s">
        <v>492</v>
      </c>
      <c r="AA4" s="200" t="s">
        <v>612</v>
      </c>
      <c r="AB4" s="201"/>
      <c r="AC4" s="197" t="str">
        <f ca="1">IF(OR(Tabla_Menu[[#This Row],[Nivel]]="",IFERROR(SEARCH(MID(CELL("nombrearchivo"),FIND(".xlsm]",CELL("nombrearchivo"),1)+6,100),Tabla_Menu[[#This Row],[HOJAS NO MUESTRA]],1),0)&gt;0),"N/A","")</f>
        <v/>
      </c>
      <c r="AD4" s="213">
        <f ca="1">IF(Tabla_Menu[[#This Row],[N/A]]="",,COUNTIF(Tabla_Menu[Nivel &amp; Incluir],Tabla_Menu[[#This Row],[Nivel &amp; Incluir]]))</f>
        <v>0</v>
      </c>
      <c r="AE4" s="203" t="str">
        <f ca="1">Tabla_Menu[[#This Row],[Nivel]]&amp;Tabla_Menu[[#This Row],[N/A]]</f>
        <v>MENÚ GENERAL</v>
      </c>
      <c r="AF4" s="200"/>
    </row>
    <row r="5" spans="1:35" outlineLevel="1" x14ac:dyDescent="0.3">
      <c r="A5" s="154" t="str">
        <f t="shared" si="1"/>
        <v>Z_IN_02_CS</v>
      </c>
      <c r="B5" s="153" t="str">
        <f t="shared" si="2"/>
        <v>IN</v>
      </c>
      <c r="C5" s="154" t="s">
        <v>33</v>
      </c>
      <c r="D5" s="190"/>
      <c r="E5" s="167" t="str">
        <f>IFERROR(IF(D5&lt;&gt;"",D5,HLOOKUP($E$2,$F$2:K5,ROW(D5)-1,0)),F5)</f>
        <v>NO FUNCIONA CON
VERSIONES DE EXCEL 
ANTERIORES A 2007
NI CON LA ÚLTIMA ACTUALIZACIÓN DE MAC</v>
      </c>
      <c r="F5" s="167" t="s">
        <v>34</v>
      </c>
      <c r="G5" s="167" t="s">
        <v>35</v>
      </c>
      <c r="H5" s="167" t="s">
        <v>36</v>
      </c>
      <c r="I5" s="167" t="s">
        <v>37</v>
      </c>
      <c r="J5" s="167" t="s">
        <v>38</v>
      </c>
      <c r="K5" s="167" t="s">
        <v>39</v>
      </c>
      <c r="L5" s="167" t="s">
        <v>661</v>
      </c>
      <c r="M5" s="53" t="s">
        <v>31</v>
      </c>
      <c r="N5" s="53" t="s">
        <v>31</v>
      </c>
      <c r="O5" s="263" t="s">
        <v>737</v>
      </c>
      <c r="P5" s="198" t="s">
        <v>738</v>
      </c>
      <c r="Q5" s="264">
        <v>0</v>
      </c>
      <c r="R5" s="53"/>
      <c r="S5" s="197">
        <f ca="1">IF(Tabla_Menu[[#This Row],[Nivel]]=T4,0,COUNTIF(Tabla_Menu[Nivel],Tabla_Menu[[#This Row],[Nivel]]))</f>
        <v>0</v>
      </c>
      <c r="T5" s="213" t="str">
        <f ca="1">IFERROR(INDIRECT(Tabla_Menu[[#This Row],[Nivel 1]]&amp;IDIOMA),"")</f>
        <v>MENÚ GENERAL</v>
      </c>
      <c r="U5" s="213" t="str">
        <f ca="1">IFERROR(INDIRECT(Tabla_Menu[[#This Row],[Nivel 2]]&amp;IDIOMA)&amp;IF(Tabla_Menu[[#This Row],[Nivel]]="",""," "&amp;Tabla_Menu[[#This Row],['[Teclas']]]),"")</f>
        <v xml:space="preserve">CERRAR </v>
      </c>
      <c r="V5" s="213" t="s">
        <v>493</v>
      </c>
      <c r="W5" s="214">
        <v>478</v>
      </c>
      <c r="X5" s="197" t="s">
        <v>488</v>
      </c>
      <c r="Y5" s="200" t="s">
        <v>491</v>
      </c>
      <c r="Z5" s="200" t="s">
        <v>494</v>
      </c>
      <c r="AA5" s="200" t="s">
        <v>608</v>
      </c>
      <c r="AB5" s="201"/>
      <c r="AC5" s="197" t="str">
        <f ca="1">IF(OR(Tabla_Menu[[#This Row],[Nivel]]="",IFERROR(SEARCH(MID(CELL("nombrearchivo"),FIND(".xlsm]",CELL("nombrearchivo"),1)+6,100),Tabla_Menu[[#This Row],[HOJAS NO MUESTRA]],1),0)&gt;0),"N/A","")</f>
        <v/>
      </c>
      <c r="AD5" s="213">
        <f ca="1">IF(Tabla_Menu[[#This Row],[N/A]]="",,COUNTIF(Tabla_Menu[Nivel &amp; Incluir],Tabla_Menu[[#This Row],[Nivel &amp; Incluir]]))</f>
        <v>0</v>
      </c>
      <c r="AE5" s="203" t="str">
        <f ca="1">Tabla_Menu[[#This Row],[Nivel]]&amp;Tabla_Menu[[#This Row],[N/A]]</f>
        <v>MENÚ GENERAL</v>
      </c>
      <c r="AF5" s="200"/>
    </row>
    <row r="6" spans="1:35" outlineLevel="1" x14ac:dyDescent="0.3">
      <c r="A6" s="152" t="str">
        <f t="shared" si="1"/>
        <v>Z_IN_03_CS</v>
      </c>
      <c r="B6" s="151" t="str">
        <f t="shared" si="2"/>
        <v>IN</v>
      </c>
      <c r="C6" s="152" t="s">
        <v>40</v>
      </c>
      <c r="D6" s="189"/>
      <c r="E6" s="166" t="str">
        <f>IFERROR(IF(D6&lt;&gt;"",D6,HLOOKUP($E$2,$F$2:K6,ROW(D6)-1,0)),F6)</f>
        <v>LEER CON ATENCIÓN</v>
      </c>
      <c r="F6" s="166" t="s">
        <v>2</v>
      </c>
      <c r="G6" s="166" t="s">
        <v>41</v>
      </c>
      <c r="H6" s="166" t="s">
        <v>42</v>
      </c>
      <c r="I6" s="166" t="s">
        <v>43</v>
      </c>
      <c r="J6" s="166" t="s">
        <v>44</v>
      </c>
      <c r="K6" s="166" t="s">
        <v>45</v>
      </c>
      <c r="L6" s="166" t="s">
        <v>662</v>
      </c>
      <c r="M6" s="53" t="s">
        <v>31</v>
      </c>
      <c r="N6" s="53" t="s">
        <v>31</v>
      </c>
      <c r="O6" s="261" t="s">
        <v>739</v>
      </c>
      <c r="P6" s="256" t="s">
        <v>740</v>
      </c>
      <c r="Q6" s="262">
        <v>0</v>
      </c>
      <c r="R6" s="53"/>
      <c r="S6" s="197">
        <f ca="1">IF(Tabla_Menu[[#This Row],[Nivel]]=T5,0,COUNTIF(Tabla_Menu[Nivel],Tabla_Menu[[#This Row],[Nivel]]))</f>
        <v>0</v>
      </c>
      <c r="T6" s="213" t="str">
        <f ca="1">IFERROR(INDIRECT(Tabla_Menu[[#This Row],[Nivel 1]]&amp;IDIOMA),"")</f>
        <v>MENÚ GENERAL</v>
      </c>
      <c r="U6" s="213" t="str">
        <f ca="1">IFERROR(INDIRECT(Tabla_Menu[[#This Row],[Nivel 2]]&amp;IDIOMA)&amp;IF(Tabla_Menu[[#This Row],[Nivel]]="",""," "&amp;Tabla_Menu[[#This Row],['[Teclas']]]),"")</f>
        <v xml:space="preserve">COPIAR </v>
      </c>
      <c r="V6" s="213" t="s">
        <v>495</v>
      </c>
      <c r="W6" s="214">
        <v>19</v>
      </c>
      <c r="X6" s="197" t="s">
        <v>490</v>
      </c>
      <c r="Y6" s="200" t="s">
        <v>491</v>
      </c>
      <c r="Z6" s="200" t="s">
        <v>496</v>
      </c>
      <c r="AA6" s="200" t="s">
        <v>613</v>
      </c>
      <c r="AB6" s="201" t="s">
        <v>11</v>
      </c>
      <c r="AC6" s="197" t="str">
        <f ca="1">IF(OR(Tabla_Menu[[#This Row],[Nivel]]="",IFERROR(SEARCH(MID(CELL("nombrearchivo"),FIND(".xlsm]",CELL("nombrearchivo"),1)+6,100),Tabla_Menu[[#This Row],[HOJAS NO MUESTRA]],1),0)&gt;0),"N/A","")</f>
        <v>N/A</v>
      </c>
      <c r="AD6" s="213">
        <f ca="1">IF(Tabla_Menu[[#This Row],[N/A]]="",,COUNTIF(Tabla_Menu[Nivel &amp; Incluir],Tabla_Menu[[#This Row],[Nivel &amp; Incluir]]))</f>
        <v>2</v>
      </c>
      <c r="AE6" s="203" t="str">
        <f ca="1">Tabla_Menu[[#This Row],[Nivel]]&amp;Tabla_Menu[[#This Row],[N/A]]</f>
        <v>MENÚ GENERALN/A</v>
      </c>
      <c r="AF6" s="200"/>
    </row>
    <row r="7" spans="1:35" outlineLevel="1" x14ac:dyDescent="0.3">
      <c r="A7" s="154" t="str">
        <f t="shared" si="1"/>
        <v>Z_IN_04_CS</v>
      </c>
      <c r="B7" s="153" t="str">
        <f t="shared" si="2"/>
        <v>IN</v>
      </c>
      <c r="C7" s="154" t="s">
        <v>46</v>
      </c>
      <c r="D7" s="190"/>
      <c r="E7" s="167" t="str">
        <f>IFERROR(IF(D7&lt;&gt;"",D7,HLOOKUP($E$2,$F$2:K7,ROW(D7)-1,0)),F7)</f>
        <v>Esta Aplicación ha sido desarrollada, en la primera versión, por:</v>
      </c>
      <c r="F7" s="167" t="s">
        <v>4</v>
      </c>
      <c r="G7" s="167" t="s">
        <v>47</v>
      </c>
      <c r="H7" s="167" t="s">
        <v>48</v>
      </c>
      <c r="I7" s="167" t="s">
        <v>49</v>
      </c>
      <c r="J7" s="167" t="s">
        <v>50</v>
      </c>
      <c r="K7" s="167" t="s">
        <v>51</v>
      </c>
      <c r="L7" s="167" t="s">
        <v>663</v>
      </c>
      <c r="M7" s="53" t="s">
        <v>31</v>
      </c>
      <c r="N7" s="53" t="s">
        <v>31</v>
      </c>
      <c r="O7" s="263" t="s">
        <v>741</v>
      </c>
      <c r="P7" s="198" t="s">
        <v>742</v>
      </c>
      <c r="Q7" s="264">
        <v>0</v>
      </c>
      <c r="R7" s="53"/>
      <c r="S7" s="197">
        <f ca="1">IF(Tabla_Menu[[#This Row],[Nivel]]=T6,0,COUNTIF(Tabla_Menu[Nivel],Tabla_Menu[[#This Row],[Nivel]]))</f>
        <v>0</v>
      </c>
      <c r="T7" s="213" t="str">
        <f ca="1">IFERROR(INDIRECT(Tabla_Menu[[#This Row],[Nivel 1]]&amp;IDIOMA),"")</f>
        <v>MENÚ GENERAL</v>
      </c>
      <c r="U7" s="213" t="str">
        <f ca="1">IFERROR(INDIRECT(Tabla_Menu[[#This Row],[Nivel 2]]&amp;IDIOMA)&amp;IF(Tabla_Menu[[#This Row],[Nivel]]="",""," "&amp;Tabla_Menu[[#This Row],['[Teclas']]]),"")</f>
        <v xml:space="preserve">PEGAR </v>
      </c>
      <c r="V7" s="213" t="s">
        <v>497</v>
      </c>
      <c r="W7" s="214">
        <v>22</v>
      </c>
      <c r="X7" s="197" t="s">
        <v>488</v>
      </c>
      <c r="Y7" s="200" t="s">
        <v>491</v>
      </c>
      <c r="Z7" s="200" t="s">
        <v>498</v>
      </c>
      <c r="AA7" s="200" t="s">
        <v>614</v>
      </c>
      <c r="AB7" s="201" t="s">
        <v>11</v>
      </c>
      <c r="AC7" s="197" t="str">
        <f ca="1">IF(OR(Tabla_Menu[[#This Row],[Nivel]]="",IFERROR(SEARCH(MID(CELL("nombrearchivo"),FIND(".xlsm]",CELL("nombrearchivo"),1)+6,100),Tabla_Menu[[#This Row],[HOJAS NO MUESTRA]],1),0)&gt;0),"N/A","")</f>
        <v>N/A</v>
      </c>
      <c r="AD7" s="213">
        <f ca="1">IF(Tabla_Menu[[#This Row],[N/A]]="",,COUNTIF(Tabla_Menu[Nivel &amp; Incluir],Tabla_Menu[[#This Row],[Nivel &amp; Incluir]]))</f>
        <v>2</v>
      </c>
      <c r="AE7" s="203" t="str">
        <f ca="1">Tabla_Menu[[#This Row],[Nivel]]&amp;Tabla_Menu[[#This Row],[N/A]]</f>
        <v>MENÚ GENERALN/A</v>
      </c>
      <c r="AF7" s="200"/>
    </row>
    <row r="8" spans="1:35" outlineLevel="1" x14ac:dyDescent="0.3">
      <c r="A8" s="152" t="str">
        <f t="shared" si="1"/>
        <v>Z_IN_05_CS</v>
      </c>
      <c r="B8" s="151" t="str">
        <f t="shared" si="2"/>
        <v>IN</v>
      </c>
      <c r="C8" s="152" t="s">
        <v>52</v>
      </c>
      <c r="D8" s="189"/>
      <c r="E8" s="166" t="str">
        <f>IFERROR(IF(D8&lt;&gt;"",D8,HLOOKUP($E$2,$F$2:K8,ROW(D8)-1,0)),F8)</f>
        <v>Universidad de Cádiz</v>
      </c>
      <c r="F8" s="166" t="s">
        <v>1</v>
      </c>
      <c r="G8" s="166" t="s">
        <v>53</v>
      </c>
      <c r="H8" s="166" t="s">
        <v>54</v>
      </c>
      <c r="I8" s="166" t="s">
        <v>55</v>
      </c>
      <c r="J8" s="166" t="s">
        <v>56</v>
      </c>
      <c r="K8" s="166" t="s">
        <v>57</v>
      </c>
      <c r="L8" s="166" t="s">
        <v>664</v>
      </c>
      <c r="M8" s="53" t="s">
        <v>31</v>
      </c>
      <c r="N8" s="53" t="s">
        <v>31</v>
      </c>
      <c r="O8" s="261" t="s">
        <v>743</v>
      </c>
      <c r="P8" s="256" t="s">
        <v>744</v>
      </c>
      <c r="Q8" s="262">
        <v>0</v>
      </c>
      <c r="R8" s="53"/>
      <c r="S8" s="197">
        <f ca="1">IF(Tabla_Menu[[#This Row],[Nivel]]=T7,0,COUNTIF(Tabla_Menu[Nivel],Tabla_Menu[[#This Row],[Nivel]]))</f>
        <v>10</v>
      </c>
      <c r="T8" s="213" t="str">
        <f ca="1">IFERROR(INDIRECT(Tabla_Menu[[#This Row],[Nivel 1]]&amp;IDIOMA),"")</f>
        <v>IR A…</v>
      </c>
      <c r="U8" s="213" t="str">
        <f ca="1">IFERROR(INDIRECT(Tabla_Menu[[#This Row],[Nivel 2]]&amp;IDIOMA)&amp;IF(Tabla_Menu[[#This Row],[Nivel]]="",""," "&amp;Tabla_Menu[[#This Row],['[Teclas']]]),"")</f>
        <v xml:space="preserve">INICIO </v>
      </c>
      <c r="V8" s="213" t="s">
        <v>499</v>
      </c>
      <c r="W8" s="214">
        <v>1016</v>
      </c>
      <c r="X8" s="197" t="s">
        <v>488</v>
      </c>
      <c r="Y8" s="200" t="s">
        <v>500</v>
      </c>
      <c r="Z8" s="200" t="s">
        <v>501</v>
      </c>
      <c r="AA8" s="200" t="s">
        <v>609</v>
      </c>
      <c r="AB8" s="201" t="s">
        <v>11</v>
      </c>
      <c r="AC8" s="197" t="str">
        <f ca="1">IF(OR(Tabla_Menu[[#This Row],[Nivel]]="",IFERROR(SEARCH(MID(CELL("nombrearchivo"),FIND(".xlsm]",CELL("nombrearchivo"),1)+6,100),Tabla_Menu[[#This Row],[HOJAS NO MUESTRA]],1),0)&gt;0),"N/A","")</f>
        <v>N/A</v>
      </c>
      <c r="AD8" s="213">
        <f ca="1">IF(Tabla_Menu[[#This Row],[N/A]]="",,COUNTIF(Tabla_Menu[Nivel &amp; Incluir],Tabla_Menu[[#This Row],[Nivel &amp; Incluir]]))</f>
        <v>1</v>
      </c>
      <c r="AE8" s="203" t="str">
        <f ca="1">Tabla_Menu[[#This Row],[Nivel]]&amp;Tabla_Menu[[#This Row],[N/A]]</f>
        <v>IR A…N/A</v>
      </c>
      <c r="AF8" s="200"/>
    </row>
    <row r="9" spans="1:35" outlineLevel="1" x14ac:dyDescent="0.3">
      <c r="A9" s="154" t="str">
        <f t="shared" si="1"/>
        <v>Z_IN_06_CS</v>
      </c>
      <c r="B9" s="153" t="str">
        <f t="shared" si="2"/>
        <v>IN</v>
      </c>
      <c r="C9" s="154" t="s">
        <v>58</v>
      </c>
      <c r="D9" s="190"/>
      <c r="E9" s="167"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167" t="s">
        <v>59</v>
      </c>
      <c r="G9" s="167" t="s">
        <v>60</v>
      </c>
      <c r="H9" s="167" t="s">
        <v>61</v>
      </c>
      <c r="I9" s="167" t="s">
        <v>62</v>
      </c>
      <c r="J9" s="167" t="s">
        <v>63</v>
      </c>
      <c r="K9" s="167" t="s">
        <v>64</v>
      </c>
      <c r="L9" s="167" t="s">
        <v>665</v>
      </c>
      <c r="M9" s="53" t="s">
        <v>31</v>
      </c>
      <c r="N9" s="53" t="s">
        <v>31</v>
      </c>
      <c r="O9" s="263" t="s">
        <v>745</v>
      </c>
      <c r="P9" s="198" t="s">
        <v>746</v>
      </c>
      <c r="Q9" s="264">
        <v>0</v>
      </c>
      <c r="R9" s="53"/>
      <c r="S9" s="197">
        <f ca="1">IF(Tabla_Menu[[#This Row],[Nivel]]=T8,0,COUNTIF(Tabla_Menu[Nivel],Tabla_Menu[[#This Row],[Nivel]]))</f>
        <v>0</v>
      </c>
      <c r="T9" s="213" t="str">
        <f ca="1">IFERROR(INDIRECT(Tabla_Menu[[#This Row],[Nivel 1]]&amp;IDIOMA),"")</f>
        <v>IR A…</v>
      </c>
      <c r="U9" s="213" t="str">
        <f ca="1">IFERROR(INDIRECT(Tabla_Menu[[#This Row],[Nivel 2]]&amp;IDIOMA)&amp;IF(Tabla_Menu[[#This Row],[Nivel]]="",""," "&amp;Tabla_Menu[[#This Row],['[Teclas']]]),"")</f>
        <v xml:space="preserve">DICCIONARIO </v>
      </c>
      <c r="V9" s="213" t="s">
        <v>502</v>
      </c>
      <c r="W9" s="214">
        <v>2</v>
      </c>
      <c r="X9" s="197" t="s">
        <v>488</v>
      </c>
      <c r="Y9" s="200" t="s">
        <v>500</v>
      </c>
      <c r="Z9" s="200" t="s">
        <v>569</v>
      </c>
      <c r="AA9" s="200" t="s">
        <v>615</v>
      </c>
      <c r="AB9" s="201" t="s">
        <v>391</v>
      </c>
      <c r="AC9" s="197" t="str">
        <f ca="1">IF(OR(Tabla_Menu[[#This Row],[Nivel]]="",IFERROR(SEARCH(MID(CELL("nombrearchivo"),FIND(".xlsm]",CELL("nombrearchivo"),1)+6,100),Tabla_Menu[[#This Row],[HOJAS NO MUESTRA]],1),0)&gt;0),"N/A","")</f>
        <v/>
      </c>
      <c r="AD9" s="213">
        <f ca="1">IF(Tabla_Menu[[#This Row],[N/A]]="",,COUNTIF(Tabla_Menu[Nivel &amp; Incluir],Tabla_Menu[[#This Row],[Nivel &amp; Incluir]]))</f>
        <v>0</v>
      </c>
      <c r="AE9" s="203" t="str">
        <f ca="1">Tabla_Menu[[#This Row],[Nivel]]&amp;Tabla_Menu[[#This Row],[N/A]]</f>
        <v>IR A…</v>
      </c>
      <c r="AF9" s="200"/>
    </row>
    <row r="10" spans="1:35" outlineLevel="1" x14ac:dyDescent="0.3">
      <c r="A10" s="152" t="str">
        <f t="shared" si="1"/>
        <v>Z_IN_07_CS</v>
      </c>
      <c r="B10" s="151" t="str">
        <f t="shared" si="2"/>
        <v>IN</v>
      </c>
      <c r="C10" s="152" t="s">
        <v>65</v>
      </c>
      <c r="D10" s="189"/>
      <c r="E10" s="166" t="str">
        <f>IFERROR(IF(D10&lt;&gt;"",D10,HLOOKUP($E$2,$F$2:K10,ROW(D10)-1,0)),F10)</f>
        <v>Esta HOJA sirve para almacenar las preguntas y poder reutilizarlas cuando sea necesario, sin tener que volver a escribirlas para un nuevo BANCO DE PREGUNTAS.</v>
      </c>
      <c r="F10" s="166" t="s">
        <v>381</v>
      </c>
      <c r="G10" s="166" t="s">
        <v>382</v>
      </c>
      <c r="H10" s="166" t="s">
        <v>383</v>
      </c>
      <c r="I10" s="166" t="s">
        <v>384</v>
      </c>
      <c r="J10" s="166" t="s">
        <v>385</v>
      </c>
      <c r="K10" s="166" t="s">
        <v>386</v>
      </c>
      <c r="L10" s="166" t="s">
        <v>666</v>
      </c>
      <c r="M10" s="53" t="s">
        <v>31</v>
      </c>
      <c r="N10" s="53" t="s">
        <v>31</v>
      </c>
      <c r="O10" s="261" t="s">
        <v>747</v>
      </c>
      <c r="P10" s="256" t="s">
        <v>748</v>
      </c>
      <c r="Q10" s="262">
        <v>0</v>
      </c>
      <c r="R10" s="53"/>
      <c r="S10" s="197">
        <f ca="1">IF(Tabla_Menu[[#This Row],[Nivel]]=T9,0,COUNTIF(Tabla_Menu[Nivel],Tabla_Menu[[#This Row],[Nivel]]))</f>
        <v>0</v>
      </c>
      <c r="T10" s="213" t="str">
        <f ca="1">IFERROR(INDIRECT(Tabla_Menu[[#This Row],[Nivel 1]]&amp;IDIOMA),"")</f>
        <v>IR A…</v>
      </c>
      <c r="U10" s="213" t="str">
        <f ca="1">IFERROR(INDIRECT(Tabla_Menu[[#This Row],[Nivel 2]]&amp;IDIOMA)&amp;IF(Tabla_Menu[[#This Row],[Nivel]]="",""," "&amp;Tabla_Menu[[#This Row],['[Teclas']]]),"")</f>
        <v xml:space="preserve">Opción Múltiple 1R  </v>
      </c>
      <c r="V10" s="213" t="s">
        <v>570</v>
      </c>
      <c r="W10" s="214">
        <v>5</v>
      </c>
      <c r="X10" s="197" t="s">
        <v>490</v>
      </c>
      <c r="Y10" s="200" t="s">
        <v>500</v>
      </c>
      <c r="Z10" s="200" t="s">
        <v>563</v>
      </c>
      <c r="AA10" s="200" t="s">
        <v>636</v>
      </c>
      <c r="AB10" s="201" t="s">
        <v>578</v>
      </c>
      <c r="AC10" s="197" t="str">
        <f ca="1">IF(OR(Tabla_Menu[[#This Row],[Nivel]]="",IFERROR(SEARCH(MID(CELL("nombrearchivo"),FIND(".xlsm]",CELL("nombrearchivo"),1)+6,100),Tabla_Menu[[#This Row],[HOJAS NO MUESTRA]],1),0)&gt;0),"N/A","")</f>
        <v/>
      </c>
      <c r="AD10" s="213">
        <f ca="1">IF(Tabla_Menu[[#This Row],[N/A]]="",,COUNTIF(Tabla_Menu[Nivel &amp; Incluir],Tabla_Menu[[#This Row],[Nivel &amp; Incluir]]))</f>
        <v>0</v>
      </c>
      <c r="AE10" s="203" t="str">
        <f ca="1">Tabla_Menu[[#This Row],[Nivel]]&amp;Tabla_Menu[[#This Row],[N/A]]</f>
        <v>IR A…</v>
      </c>
      <c r="AF10" s="200"/>
    </row>
    <row r="11" spans="1:35" outlineLevel="1" x14ac:dyDescent="0.3">
      <c r="A11" s="154" t="str">
        <f t="shared" si="1"/>
        <v>Z_IN_08_CS</v>
      </c>
      <c r="B11" s="153" t="str">
        <f t="shared" si="2"/>
        <v>IN</v>
      </c>
      <c r="C11" s="154" t="s">
        <v>66</v>
      </c>
      <c r="D11" s="190"/>
      <c r="E11" s="167" t="str">
        <f>IFERROR(IF(D11&lt;&gt;"",D11,HLOOKUP($E$2,$F$2:K11,ROW(D11)-1,0)),F11)</f>
        <v xml:space="preserve">Opción Múltiple 1R </v>
      </c>
      <c r="F11" s="167" t="s">
        <v>67</v>
      </c>
      <c r="G11" s="167" t="s">
        <v>449</v>
      </c>
      <c r="H11" s="167" t="s">
        <v>68</v>
      </c>
      <c r="I11" s="167" t="s">
        <v>69</v>
      </c>
      <c r="J11" s="167" t="s">
        <v>450</v>
      </c>
      <c r="K11" s="167" t="s">
        <v>449</v>
      </c>
      <c r="L11" s="167" t="s">
        <v>667</v>
      </c>
      <c r="M11" s="53" t="s">
        <v>31</v>
      </c>
      <c r="N11" s="53" t="s">
        <v>31</v>
      </c>
      <c r="O11" s="263" t="s">
        <v>749</v>
      </c>
      <c r="P11" s="198" t="s">
        <v>750</v>
      </c>
      <c r="Q11" s="264">
        <v>0</v>
      </c>
      <c r="R11" s="53"/>
      <c r="S11" s="197">
        <f ca="1">IF(Tabla_Menu[[#This Row],[Nivel]]=T10,0,COUNTIF(Tabla_Menu[Nivel],Tabla_Menu[[#This Row],[Nivel]]))</f>
        <v>0</v>
      </c>
      <c r="T11" s="213" t="str">
        <f ca="1">IFERROR(INDIRECT(Tabla_Menu[[#This Row],[Nivel 1]]&amp;IDIOMA),"")</f>
        <v>IR A…</v>
      </c>
      <c r="U11" s="213" t="str">
        <f ca="1">IFERROR(INDIRECT(Tabla_Menu[[#This Row],[Nivel 2]]&amp;IDIOMA)&amp;IF(Tabla_Menu[[#This Row],[Nivel]]="",""," "&amp;Tabla_Menu[[#This Row],['[Teclas']]]),"")</f>
        <v xml:space="preserve">Opción Múltiple +R  </v>
      </c>
      <c r="V11" s="213" t="s">
        <v>571</v>
      </c>
      <c r="W11" s="214">
        <v>5</v>
      </c>
      <c r="X11" s="197" t="s">
        <v>488</v>
      </c>
      <c r="Y11" s="200" t="s">
        <v>500</v>
      </c>
      <c r="Z11" s="200" t="s">
        <v>505</v>
      </c>
      <c r="AA11" s="200" t="s">
        <v>637</v>
      </c>
      <c r="AB11" s="201" t="s">
        <v>579</v>
      </c>
      <c r="AC11" s="197" t="str">
        <f ca="1">IF(OR(Tabla_Menu[[#This Row],[Nivel]]="",IFERROR(SEARCH(MID(CELL("nombrearchivo"),FIND(".xlsm]",CELL("nombrearchivo"),1)+6,100),Tabla_Menu[[#This Row],[HOJAS NO MUESTRA]],1),0)&gt;0),"N/A","")</f>
        <v/>
      </c>
      <c r="AD11" s="213">
        <f ca="1">IF(Tabla_Menu[[#This Row],[N/A]]="",,COUNTIF(Tabla_Menu[Nivel &amp; Incluir],Tabla_Menu[[#This Row],[Nivel &amp; Incluir]]))</f>
        <v>0</v>
      </c>
      <c r="AE11" s="203" t="str">
        <f ca="1">Tabla_Menu[[#This Row],[Nivel]]&amp;Tabla_Menu[[#This Row],[N/A]]</f>
        <v>IR A…</v>
      </c>
      <c r="AF11" s="200"/>
    </row>
    <row r="12" spans="1:35" outlineLevel="1" x14ac:dyDescent="0.3">
      <c r="A12" s="152" t="str">
        <f t="shared" si="1"/>
        <v>Z_IN_09_CS</v>
      </c>
      <c r="B12" s="151" t="str">
        <f t="shared" si="2"/>
        <v>IN</v>
      </c>
      <c r="C12" s="152" t="s">
        <v>70</v>
      </c>
      <c r="D12" s="189"/>
      <c r="E12" s="166" t="str">
        <f>IFERROR(IF(D12&lt;&gt;"",D12,HLOOKUP($E$2,$F$2:K12,ROW(D12)-1,0)),F12)</f>
        <v xml:space="preserve">Opción Múltiple +R </v>
      </c>
      <c r="F12" s="166" t="s">
        <v>451</v>
      </c>
      <c r="G12" s="166" t="s">
        <v>452</v>
      </c>
      <c r="H12" s="166" t="s">
        <v>453</v>
      </c>
      <c r="I12" s="166" t="s">
        <v>454</v>
      </c>
      <c r="J12" s="166" t="s">
        <v>455</v>
      </c>
      <c r="K12" s="166" t="s">
        <v>456</v>
      </c>
      <c r="L12" s="166" t="s">
        <v>668</v>
      </c>
      <c r="M12" s="53" t="s">
        <v>31</v>
      </c>
      <c r="N12" s="53" t="s">
        <v>31</v>
      </c>
      <c r="O12" s="261" t="s">
        <v>751</v>
      </c>
      <c r="P12" s="256" t="s">
        <v>752</v>
      </c>
      <c r="Q12" s="262">
        <v>0</v>
      </c>
      <c r="R12" s="53"/>
      <c r="S12" s="197">
        <f ca="1">IF(Tabla_Menu[[#This Row],[Nivel]]=T11,0,COUNTIF(Tabla_Menu[Nivel],Tabla_Menu[[#This Row],[Nivel]]))</f>
        <v>0</v>
      </c>
      <c r="T12" s="213" t="str">
        <f ca="1">IFERROR(INDIRECT(Tabla_Menu[[#This Row],[Nivel 1]]&amp;IDIOMA),"")</f>
        <v>IR A…</v>
      </c>
      <c r="U12" s="213" t="str">
        <f ca="1">IFERROR(INDIRECT(Tabla_Menu[[#This Row],[Nivel 2]]&amp;IDIOMA)&amp;IF(Tabla_Menu[[#This Row],[Nivel]]="",""," "&amp;Tabla_Menu[[#This Row],['[Teclas']]]),"")</f>
        <v xml:space="preserve">Verdadero/Falso </v>
      </c>
      <c r="V12" s="213" t="s">
        <v>572</v>
      </c>
      <c r="W12" s="214">
        <v>5</v>
      </c>
      <c r="X12" s="197" t="s">
        <v>488</v>
      </c>
      <c r="Y12" s="200" t="s">
        <v>500</v>
      </c>
      <c r="Z12" s="200" t="s">
        <v>503</v>
      </c>
      <c r="AA12" s="200" t="s">
        <v>638</v>
      </c>
      <c r="AB12" s="201" t="s">
        <v>580</v>
      </c>
      <c r="AC12" s="197" t="str">
        <f ca="1">IF(OR(Tabla_Menu[[#This Row],[Nivel]]="",IFERROR(SEARCH(MID(CELL("nombrearchivo"),FIND(".xlsm]",CELL("nombrearchivo"),1)+6,100),Tabla_Menu[[#This Row],[HOJAS NO MUESTRA]],1),0)&gt;0),"N/A","")</f>
        <v/>
      </c>
      <c r="AD12" s="213">
        <f ca="1">IF(Tabla_Menu[[#This Row],[N/A]]="",,COUNTIF(Tabla_Menu[Nivel &amp; Incluir],Tabla_Menu[[#This Row],[Nivel &amp; Incluir]]))</f>
        <v>0</v>
      </c>
      <c r="AE12" s="203" t="str">
        <f ca="1">Tabla_Menu[[#This Row],[Nivel]]&amp;Tabla_Menu[[#This Row],[N/A]]</f>
        <v>IR A…</v>
      </c>
      <c r="AF12" s="200"/>
    </row>
    <row r="13" spans="1:35" outlineLevel="1" x14ac:dyDescent="0.3">
      <c r="A13" s="154" t="str">
        <f t="shared" si="1"/>
        <v>Z_IN_10_CS</v>
      </c>
      <c r="B13" s="153" t="str">
        <f t="shared" si="2"/>
        <v>IN</v>
      </c>
      <c r="C13" s="154" t="s">
        <v>71</v>
      </c>
      <c r="D13" s="190"/>
      <c r="E13" s="167" t="str">
        <f>IFERROR(IF(D13&lt;&gt;"",D13,HLOOKUP($E$2,$F$2:K13,ROW(D13)-1,0)),F13)</f>
        <v>Verdadero/Falso</v>
      </c>
      <c r="F13" s="167" t="s">
        <v>457</v>
      </c>
      <c r="G13" s="167" t="s">
        <v>458</v>
      </c>
      <c r="H13" s="167" t="s">
        <v>459</v>
      </c>
      <c r="I13" s="167" t="s">
        <v>460</v>
      </c>
      <c r="J13" s="167" t="s">
        <v>461</v>
      </c>
      <c r="K13" s="167" t="s">
        <v>462</v>
      </c>
      <c r="L13" s="167" t="s">
        <v>669</v>
      </c>
      <c r="M13" s="53" t="s">
        <v>31</v>
      </c>
      <c r="N13" s="53" t="s">
        <v>31</v>
      </c>
      <c r="O13" s="263" t="s">
        <v>753</v>
      </c>
      <c r="P13" s="198" t="s">
        <v>754</v>
      </c>
      <c r="Q13" s="264">
        <v>0</v>
      </c>
      <c r="R13" s="53"/>
      <c r="S13" s="197">
        <f ca="1">IF(Tabla_Menu[[#This Row],[Nivel]]=T12,0,COUNTIF(Tabla_Menu[Nivel],Tabla_Menu[[#This Row],[Nivel]]))</f>
        <v>0</v>
      </c>
      <c r="T13" s="215" t="str">
        <f ca="1">IFERROR(INDIRECT(Tabla_Menu[[#This Row],[Nivel 1]]&amp;IDIOMA),"")</f>
        <v>IR A…</v>
      </c>
      <c r="U13" s="215" t="str">
        <f ca="1">IFERROR(INDIRECT(Tabla_Menu[[#This Row],[Nivel 2]]&amp;IDIOMA)&amp;IF(Tabla_Menu[[#This Row],[Nivel]]="",""," "&amp;Tabla_Menu[[#This Row],['[Teclas']]]),"")</f>
        <v xml:space="preserve">Emparejar </v>
      </c>
      <c r="V13" s="213" t="s">
        <v>587</v>
      </c>
      <c r="W13" s="214">
        <v>5</v>
      </c>
      <c r="X13" s="197" t="s">
        <v>488</v>
      </c>
      <c r="Y13" s="200" t="s">
        <v>500</v>
      </c>
      <c r="Z13" s="200" t="s">
        <v>564</v>
      </c>
      <c r="AA13" s="200" t="s">
        <v>639</v>
      </c>
      <c r="AB13" s="201" t="s">
        <v>581</v>
      </c>
      <c r="AC13" s="197" t="str">
        <f ca="1">IF(OR(Tabla_Menu[[#This Row],[Nivel]]="",IFERROR(SEARCH(MID(CELL("nombrearchivo"),FIND(".xlsm]",CELL("nombrearchivo"),1)+6,100),Tabla_Menu[[#This Row],[HOJAS NO MUESTRA]],1),0)&gt;0),"N/A","")</f>
        <v/>
      </c>
      <c r="AD13" s="213">
        <f ca="1">IF(Tabla_Menu[[#This Row],[N/A]]="",,COUNTIF(Tabla_Menu[Nivel &amp; Incluir],Tabla_Menu[[#This Row],[Nivel &amp; Incluir]]))</f>
        <v>0</v>
      </c>
      <c r="AE13" s="202" t="str">
        <f ca="1">Tabla_Menu[[#This Row],[Nivel]]&amp;Tabla_Menu[[#This Row],[N/A]]</f>
        <v>IR A…</v>
      </c>
      <c r="AF13" s="200"/>
    </row>
    <row r="14" spans="1:35" outlineLevel="1" x14ac:dyDescent="0.3">
      <c r="A14" s="152" t="str">
        <f t="shared" si="1"/>
        <v>Z_IN_11_CS</v>
      </c>
      <c r="B14" s="151" t="str">
        <f t="shared" si="2"/>
        <v>IN</v>
      </c>
      <c r="C14" s="152" t="s">
        <v>72</v>
      </c>
      <c r="D14" s="189"/>
      <c r="E14" s="166" t="str">
        <f>IFERROR(IF(D14&lt;&gt;"",D14,HLOOKUP($E$2,$F$2:K14,ROW(D14)-1,0)),F14)</f>
        <v>Emparejar</v>
      </c>
      <c r="F14" s="166" t="s">
        <v>7</v>
      </c>
      <c r="G14" s="166" t="s">
        <v>463</v>
      </c>
      <c r="H14" s="166" t="s">
        <v>464</v>
      </c>
      <c r="I14" s="166" t="s">
        <v>73</v>
      </c>
      <c r="J14" s="166" t="s">
        <v>465</v>
      </c>
      <c r="K14" s="166" t="s">
        <v>466</v>
      </c>
      <c r="L14" s="166" t="s">
        <v>670</v>
      </c>
      <c r="M14" s="53" t="s">
        <v>31</v>
      </c>
      <c r="N14" s="53" t="s">
        <v>31</v>
      </c>
      <c r="O14" s="261" t="s">
        <v>755</v>
      </c>
      <c r="P14" s="256" t="s">
        <v>756</v>
      </c>
      <c r="Q14" s="262">
        <v>0</v>
      </c>
      <c r="R14" s="53"/>
      <c r="S14" s="197">
        <f ca="1">IF(Tabla_Menu[[#This Row],[Nivel]]=T13,0,COUNTIF(Tabla_Menu[Nivel],Tabla_Menu[[#This Row],[Nivel]]))</f>
        <v>0</v>
      </c>
      <c r="T14" s="215" t="str">
        <f ca="1">IFERROR(INDIRECT(Tabla_Menu[[#This Row],[Nivel 1]]&amp;IDIOMA),"")</f>
        <v>IR A…</v>
      </c>
      <c r="U14" s="215" t="str">
        <f ca="1">IFERROR(INDIRECT(Tabla_Menu[[#This Row],[Nivel 2]]&amp;IDIOMA)&amp;IF(Tabla_Menu[[#This Row],[Nivel]]="",""," "&amp;Tabla_Menu[[#This Row],['[Teclas']]]),"")</f>
        <v xml:space="preserve">Respuesta Corta </v>
      </c>
      <c r="V14" s="213" t="s">
        <v>573</v>
      </c>
      <c r="W14" s="214">
        <v>5</v>
      </c>
      <c r="X14" s="197" t="s">
        <v>488</v>
      </c>
      <c r="Y14" s="200" t="s">
        <v>500</v>
      </c>
      <c r="Z14" s="200" t="s">
        <v>565</v>
      </c>
      <c r="AA14" s="200" t="s">
        <v>640</v>
      </c>
      <c r="AB14" s="201" t="s">
        <v>582</v>
      </c>
      <c r="AC14" s="197" t="str">
        <f ca="1">IF(OR(Tabla_Menu[[#This Row],[Nivel]]="",IFERROR(SEARCH(MID(CELL("nombrearchivo"),FIND(".xlsm]",CELL("nombrearchivo"),1)+6,100),Tabla_Menu[[#This Row],[HOJAS NO MUESTRA]],1),0)&gt;0),"N/A","")</f>
        <v/>
      </c>
      <c r="AD14" s="213">
        <f ca="1">IF(Tabla_Menu[[#This Row],[N/A]]="",,COUNTIF(Tabla_Menu[Nivel &amp; Incluir],Tabla_Menu[[#This Row],[Nivel &amp; Incluir]]))</f>
        <v>0</v>
      </c>
      <c r="AE14" s="202" t="str">
        <f ca="1">Tabla_Menu[[#This Row],[Nivel]]&amp;Tabla_Menu[[#This Row],[N/A]]</f>
        <v>IR A…</v>
      </c>
      <c r="AF14" s="200"/>
    </row>
    <row r="15" spans="1:35" outlineLevel="1" x14ac:dyDescent="0.3">
      <c r="A15" s="154" t="str">
        <f t="shared" si="1"/>
        <v>Z_IN_12_CS</v>
      </c>
      <c r="B15" s="153" t="str">
        <f t="shared" si="2"/>
        <v>IN</v>
      </c>
      <c r="C15" s="154" t="s">
        <v>74</v>
      </c>
      <c r="D15" s="190"/>
      <c r="E15" s="167" t="str">
        <f>IFERROR(IF(D15&lt;&gt;"",D15,HLOOKUP($E$2,$F$2:K15,ROW(D15)-1,0)),F15)</f>
        <v>Respuesta Corta</v>
      </c>
      <c r="F15" s="167" t="s">
        <v>8</v>
      </c>
      <c r="G15" s="167" t="s">
        <v>75</v>
      </c>
      <c r="H15" s="167" t="s">
        <v>265</v>
      </c>
      <c r="I15" s="167" t="s">
        <v>266</v>
      </c>
      <c r="J15" s="167" t="s">
        <v>267</v>
      </c>
      <c r="K15" s="167" t="s">
        <v>467</v>
      </c>
      <c r="L15" s="167" t="s">
        <v>671</v>
      </c>
      <c r="M15" s="53" t="s">
        <v>31</v>
      </c>
      <c r="N15" s="53" t="s">
        <v>31</v>
      </c>
      <c r="O15" s="263" t="s">
        <v>757</v>
      </c>
      <c r="P15" s="198" t="s">
        <v>758</v>
      </c>
      <c r="Q15" s="264">
        <v>0</v>
      </c>
      <c r="R15" s="53"/>
      <c r="S15" s="197">
        <f ca="1">IF(Tabla_Menu[[#This Row],[Nivel]]=T14,0,COUNTIF(Tabla_Menu[Nivel],Tabla_Menu[[#This Row],[Nivel]]))</f>
        <v>0</v>
      </c>
      <c r="T15" s="215" t="str">
        <f ca="1">IFERROR(INDIRECT(Tabla_Menu[[#This Row],[Nivel 1]]&amp;IDIOMA),"")</f>
        <v>IR A…</v>
      </c>
      <c r="U15" s="215" t="str">
        <f ca="1">IFERROR(INDIRECT(Tabla_Menu[[#This Row],[Nivel 2]]&amp;IDIOMA)&amp;IF(Tabla_Menu[[#This Row],[Nivel]]="",""," "&amp;Tabla_Menu[[#This Row],['[Teclas']]]),"")</f>
        <v xml:space="preserve">Palabra Perdida </v>
      </c>
      <c r="V15" s="213" t="s">
        <v>574</v>
      </c>
      <c r="W15" s="214">
        <v>5</v>
      </c>
      <c r="X15" s="197" t="s">
        <v>488</v>
      </c>
      <c r="Y15" s="200" t="s">
        <v>500</v>
      </c>
      <c r="Z15" s="200" t="s">
        <v>566</v>
      </c>
      <c r="AA15" s="200" t="s">
        <v>641</v>
      </c>
      <c r="AB15" s="201" t="s">
        <v>583</v>
      </c>
      <c r="AC15" s="197" t="str">
        <f ca="1">IF(OR(Tabla_Menu[[#This Row],[Nivel]]="",IFERROR(SEARCH(MID(CELL("nombrearchivo"),FIND(".xlsm]",CELL("nombrearchivo"),1)+6,100),Tabla_Menu[[#This Row],[HOJAS NO MUESTRA]],1),0)&gt;0),"N/A","")</f>
        <v/>
      </c>
      <c r="AD15" s="213">
        <f ca="1">IF(Tabla_Menu[[#This Row],[N/A]]="",,COUNTIF(Tabla_Menu[Nivel &amp; Incluir],Tabla_Menu[[#This Row],[Nivel &amp; Incluir]]))</f>
        <v>0</v>
      </c>
      <c r="AE15" s="202" t="str">
        <f ca="1">Tabla_Menu[[#This Row],[Nivel]]&amp;Tabla_Menu[[#This Row],[N/A]]</f>
        <v>IR A…</v>
      </c>
      <c r="AF15" s="200"/>
    </row>
    <row r="16" spans="1:35" outlineLevel="1" x14ac:dyDescent="0.3">
      <c r="A16" s="152" t="str">
        <f t="shared" si="1"/>
        <v>Z_IN_13_CS</v>
      </c>
      <c r="B16" s="151" t="str">
        <f t="shared" si="2"/>
        <v>IN</v>
      </c>
      <c r="C16" s="152" t="s">
        <v>76</v>
      </c>
      <c r="D16" s="189"/>
      <c r="E16" s="166" t="str">
        <f>IFERROR(IF(D16&lt;&gt;"",D16,HLOOKUP($E$2,$F$2:K16,ROW(D16)-1,0)),F16)</f>
        <v>Palabra Perdida</v>
      </c>
      <c r="F16" s="166" t="s">
        <v>9</v>
      </c>
      <c r="G16" s="166" t="s">
        <v>77</v>
      </c>
      <c r="H16" s="166" t="s">
        <v>468</v>
      </c>
      <c r="I16" s="166" t="s">
        <v>268</v>
      </c>
      <c r="J16" s="166" t="s">
        <v>469</v>
      </c>
      <c r="K16" s="166" t="s">
        <v>470</v>
      </c>
      <c r="L16" s="166" t="s">
        <v>672</v>
      </c>
      <c r="M16" s="53" t="s">
        <v>31</v>
      </c>
      <c r="N16" s="53" t="s">
        <v>31</v>
      </c>
      <c r="O16" s="261" t="s">
        <v>759</v>
      </c>
      <c r="P16" s="256" t="s">
        <v>760</v>
      </c>
      <c r="Q16" s="262">
        <v>0</v>
      </c>
      <c r="R16" s="53"/>
      <c r="S16" s="197">
        <f ca="1">IF(Tabla_Menu[[#This Row],[Nivel]]=T15,0,COUNTIF(Tabla_Menu[Nivel],Tabla_Menu[[#This Row],[Nivel]]))</f>
        <v>0</v>
      </c>
      <c r="T16" s="215" t="str">
        <f ca="1">IFERROR(INDIRECT(Tabla_Menu[[#This Row],[Nivel 1]]&amp;IDIOMA),"")</f>
        <v>IR A…</v>
      </c>
      <c r="U16" s="215" t="str">
        <f ca="1">IFERROR(INDIRECT(Tabla_Menu[[#This Row],[Nivel 2]]&amp;IDIOMA)&amp;IF(Tabla_Menu[[#This Row],[Nivel]]="",""," "&amp;Tabla_Menu[[#This Row],['[Teclas']]]),"")</f>
        <v xml:space="preserve">Ensayo </v>
      </c>
      <c r="V16" s="213" t="s">
        <v>575</v>
      </c>
      <c r="W16" s="214">
        <v>5</v>
      </c>
      <c r="X16" s="197" t="s">
        <v>488</v>
      </c>
      <c r="Y16" s="200" t="s">
        <v>500</v>
      </c>
      <c r="Z16" s="200" t="s">
        <v>568</v>
      </c>
      <c r="AA16" s="200" t="s">
        <v>642</v>
      </c>
      <c r="AB16" s="201" t="s">
        <v>584</v>
      </c>
      <c r="AC16" s="197" t="str">
        <f ca="1">IF(OR(Tabla_Menu[[#This Row],[Nivel]]="",IFERROR(SEARCH(MID(CELL("nombrearchivo"),FIND(".xlsm]",CELL("nombrearchivo"),1)+6,100),Tabla_Menu[[#This Row],[HOJAS NO MUESTRA]],1),0)&gt;0),"N/A","")</f>
        <v/>
      </c>
      <c r="AD16" s="213">
        <f ca="1">IF(Tabla_Menu[[#This Row],[N/A]]="",,COUNTIF(Tabla_Menu[Nivel &amp; Incluir],Tabla_Menu[[#This Row],[Nivel &amp; Incluir]]))</f>
        <v>0</v>
      </c>
      <c r="AE16" s="202" t="str">
        <f ca="1">Tabla_Menu[[#This Row],[Nivel]]&amp;Tabla_Menu[[#This Row],[N/A]]</f>
        <v>IR A…</v>
      </c>
      <c r="AF16" s="200"/>
    </row>
    <row r="17" spans="1:32" outlineLevel="1" x14ac:dyDescent="0.3">
      <c r="A17" s="154" t="str">
        <f t="shared" si="1"/>
        <v>Z_IN_14_CS</v>
      </c>
      <c r="B17" s="153" t="str">
        <f t="shared" si="2"/>
        <v>IN</v>
      </c>
      <c r="C17" s="154" t="s">
        <v>78</v>
      </c>
      <c r="D17" s="190"/>
      <c r="E17" s="167" t="str">
        <f>IFERROR(IF(D17&lt;&gt;"",D17,HLOOKUP($E$2,$F$2:K17,ROW(D17)-1,0)),F17)</f>
        <v>Cloze</v>
      </c>
      <c r="F17" s="167" t="s">
        <v>79</v>
      </c>
      <c r="G17" s="167" t="s">
        <v>79</v>
      </c>
      <c r="H17" s="167" t="s">
        <v>79</v>
      </c>
      <c r="I17" s="167" t="s">
        <v>79</v>
      </c>
      <c r="J17" s="167" t="s">
        <v>79</v>
      </c>
      <c r="K17" s="167" t="s">
        <v>80</v>
      </c>
      <c r="L17" s="167" t="s">
        <v>673</v>
      </c>
      <c r="M17" s="53" t="s">
        <v>31</v>
      </c>
      <c r="N17" s="53" t="s">
        <v>31</v>
      </c>
      <c r="O17" s="263" t="s">
        <v>761</v>
      </c>
      <c r="P17" s="198" t="s">
        <v>762</v>
      </c>
      <c r="Q17" s="264">
        <v>0</v>
      </c>
      <c r="R17" s="53"/>
      <c r="S17" s="197">
        <f ca="1">IF(Tabla_Menu[[#This Row],[Nivel]]=T16,0,COUNTIF(Tabla_Menu[Nivel],Tabla_Menu[[#This Row],[Nivel]]))</f>
        <v>0</v>
      </c>
      <c r="T17" s="215" t="str">
        <f ca="1">IFERROR(INDIRECT(Tabla_Menu[[#This Row],[Nivel 1]]&amp;IDIOMA),"")</f>
        <v>IR A…</v>
      </c>
      <c r="U17" s="215" t="str">
        <f ca="1">IFERROR(INDIRECT(Tabla_Menu[[#This Row],[Nivel 2]]&amp;IDIOMA)&amp;IF(Tabla_Menu[[#This Row],[Nivel]]="",""," "&amp;Tabla_Menu[[#This Row],['[Teclas']]]),"")</f>
        <v xml:space="preserve">Cloze </v>
      </c>
      <c r="V17" s="213" t="s">
        <v>576</v>
      </c>
      <c r="W17" s="214">
        <v>5</v>
      </c>
      <c r="X17" s="197" t="s">
        <v>488</v>
      </c>
      <c r="Y17" s="200" t="s">
        <v>500</v>
      </c>
      <c r="Z17" s="200" t="s">
        <v>567</v>
      </c>
      <c r="AA17" s="200" t="s">
        <v>643</v>
      </c>
      <c r="AB17" s="201" t="s">
        <v>585</v>
      </c>
      <c r="AC17" s="197" t="str">
        <f ca="1">IF(OR(Tabla_Menu[[#This Row],[Nivel]]="",IFERROR(SEARCH(MID(CELL("nombrearchivo"),FIND(".xlsm]",CELL("nombrearchivo"),1)+6,100),Tabla_Menu[[#This Row],[HOJAS NO MUESTRA]],1),0)&gt;0),"N/A","")</f>
        <v/>
      </c>
      <c r="AD17" s="213">
        <f ca="1">IF(Tabla_Menu[[#This Row],[N/A]]="",,COUNTIF(Tabla_Menu[Nivel &amp; Incluir],Tabla_Menu[[#This Row],[Nivel &amp; Incluir]]))</f>
        <v>0</v>
      </c>
      <c r="AE17" s="202" t="str">
        <f ca="1">Tabla_Menu[[#This Row],[Nivel]]&amp;Tabla_Menu[[#This Row],[N/A]]</f>
        <v>IR A…</v>
      </c>
      <c r="AF17" s="200"/>
    </row>
    <row r="18" spans="1:32" outlineLevel="1" x14ac:dyDescent="0.3">
      <c r="A18" s="152" t="str">
        <f t="shared" si="1"/>
        <v>Z_IN_15_CS</v>
      </c>
      <c r="B18" s="151" t="str">
        <f t="shared" si="2"/>
        <v>IN</v>
      </c>
      <c r="C18" s="152" t="s">
        <v>81</v>
      </c>
      <c r="D18" s="189"/>
      <c r="E18" s="166" t="str">
        <f>IFERROR(IF(D18&lt;&gt;"",D18,HLOOKUP($E$2,$F$2:K18,ROW(D18)-1,0)),F18)</f>
        <v>Preguntas</v>
      </c>
      <c r="F18" s="166" t="s">
        <v>6</v>
      </c>
      <c r="G18" s="166" t="s">
        <v>82</v>
      </c>
      <c r="H18" s="166" t="s">
        <v>82</v>
      </c>
      <c r="I18" s="166" t="s">
        <v>83</v>
      </c>
      <c r="J18" s="166" t="s">
        <v>84</v>
      </c>
      <c r="K18" s="166" t="s">
        <v>85</v>
      </c>
      <c r="L18" s="166" t="s">
        <v>674</v>
      </c>
      <c r="M18" s="53" t="s">
        <v>31</v>
      </c>
      <c r="N18" s="53" t="s">
        <v>31</v>
      </c>
      <c r="O18" s="261" t="s">
        <v>763</v>
      </c>
      <c r="P18" s="256" t="s">
        <v>764</v>
      </c>
      <c r="Q18" s="262">
        <v>0</v>
      </c>
      <c r="R18" s="53"/>
      <c r="S18" s="197">
        <f ca="1">IF(Tabla_Menu[[#This Row],[Nivel]]=T17,0,COUNTIF(Tabla_Menu[Nivel],Tabla_Menu[[#This Row],[Nivel]]))</f>
        <v>1</v>
      </c>
      <c r="T18" s="215" t="str">
        <f ca="1">IFERROR(INDIRECT(Tabla_Menu[[#This Row],[Nivel 1]]&amp;IDIOMA),"")</f>
        <v>LINK DICCIONARIO</v>
      </c>
      <c r="U18" s="215" t="str">
        <f ca="1">IFERROR(INDIRECT(Tabla_Menu[[#This Row],[Nivel 2]]&amp;IDIOMA)&amp;IF(Tabla_Menu[[#This Row],[Nivel]]="",""," "&amp;Tabla_Menu[[#This Row],['[Teclas']]]),"")</f>
        <v xml:space="preserve">LINK DICCIONARIO </v>
      </c>
      <c r="V18" s="213" t="s">
        <v>577</v>
      </c>
      <c r="W18" s="214">
        <v>91</v>
      </c>
      <c r="X18" s="197" t="s">
        <v>490</v>
      </c>
      <c r="Y18" s="200" t="s">
        <v>504</v>
      </c>
      <c r="Z18" s="200" t="s">
        <v>504</v>
      </c>
      <c r="AA18" s="200" t="s">
        <v>616</v>
      </c>
      <c r="AB18" s="201" t="s">
        <v>586</v>
      </c>
      <c r="AC18" s="199" t="str">
        <f ca="1">IF(OR(Tabla_Menu[[#This Row],[Nivel]]="",IFERROR(SEARCH(MID(CELL("nombrearchivo"),FIND(".xlsm]",CELL("nombrearchivo"),1)+6,100),Tabla_Menu[[#This Row],[HOJAS NO MUESTRA]],1),0)&gt;0),"N/A","")</f>
        <v>N/A</v>
      </c>
      <c r="AD18" s="213">
        <f ca="1">IF(Tabla_Menu[[#This Row],[N/A]]="",,COUNTIF(Tabla_Menu[Nivel &amp; Incluir],Tabla_Menu[[#This Row],[Nivel &amp; Incluir]]))</f>
        <v>1</v>
      </c>
      <c r="AE18" s="202" t="str">
        <f ca="1">Tabla_Menu[[#This Row],[Nivel]]&amp;Tabla_Menu[[#This Row],[N/A]]</f>
        <v>LINK DICCIONARION/A</v>
      </c>
      <c r="AF18" s="200"/>
    </row>
    <row r="19" spans="1:32" outlineLevel="1" x14ac:dyDescent="0.3">
      <c r="A19" s="154" t="str">
        <f t="shared" ref="A19:A20" si="3">$A$1&amp;B19&amp;"_"&amp;C19&amp;"_"&amp;$A$2</f>
        <v>Z_IN_16_CS</v>
      </c>
      <c r="B19" s="153" t="str">
        <f t="shared" si="2"/>
        <v>IN</v>
      </c>
      <c r="C19" s="154" t="s">
        <v>159</v>
      </c>
      <c r="D19" s="190"/>
      <c r="E19" s="167" t="str">
        <f>IFERROR(IF(D19&lt;&gt;"",D19,HLOOKUP($E$2,$F$2:K19,ROW(D19)-1,0)),F19)</f>
        <v>Ensayo</v>
      </c>
      <c r="F19" s="167" t="s">
        <v>206</v>
      </c>
      <c r="G19" s="167" t="s">
        <v>207</v>
      </c>
      <c r="H19" s="167" t="s">
        <v>208</v>
      </c>
      <c r="I19" s="167" t="s">
        <v>209</v>
      </c>
      <c r="J19" s="167" t="s">
        <v>210</v>
      </c>
      <c r="K19" s="167" t="s">
        <v>471</v>
      </c>
      <c r="L19" s="167" t="s">
        <v>675</v>
      </c>
      <c r="M19" s="53" t="s">
        <v>31</v>
      </c>
      <c r="N19" s="53" t="s">
        <v>31</v>
      </c>
      <c r="O19" s="263" t="s">
        <v>765</v>
      </c>
      <c r="P19" s="198" t="s">
        <v>766</v>
      </c>
      <c r="Q19" s="264">
        <v>0</v>
      </c>
      <c r="R19" s="53"/>
      <c r="S19" s="197">
        <f ca="1">IF(Tabla_Menu[[#This Row],[Nivel]]=T18,0,COUNTIF(Tabla_Menu[Nivel],Tabla_Menu[[#This Row],[Nivel]]))</f>
        <v>11</v>
      </c>
      <c r="T19" s="215" t="str">
        <f ca="1">IFERROR(INDIRECT(Tabla_Menu[[#This Row],[Nivel 1]]&amp;IDIOMA),"")</f>
        <v/>
      </c>
      <c r="U19" s="215" t="str">
        <f ca="1">IFERROR(INDIRECT(Tabla_Menu[[#This Row],[Nivel 2]]&amp;IDIOMA)&amp;IF(Tabla_Menu[[#This Row],[Nivel]]="",""," "&amp;Tabla_Menu[[#This Row],['[Teclas']]]),"")</f>
        <v/>
      </c>
      <c r="V19" s="213"/>
      <c r="W19" s="214"/>
      <c r="X19" s="197"/>
      <c r="Y19" s="200"/>
      <c r="Z19" s="207" t="s">
        <v>617</v>
      </c>
      <c r="AA19" s="206" t="s">
        <v>618</v>
      </c>
      <c r="AB19" s="201"/>
      <c r="AC19" s="199" t="str">
        <f ca="1">IF(OR(Tabla_Menu[[#This Row],[Nivel]]="",IFERROR(SEARCH(MID(CELL("nombrearchivo"),FIND(".xlsm]",CELL("nombrearchivo"),1)+6,100),Tabla_Menu[[#This Row],[HOJAS NO MUESTRA]],1),0)&gt;0),"N/A","")</f>
        <v>N/A</v>
      </c>
      <c r="AD19" s="213">
        <f ca="1">IF(Tabla_Menu[[#This Row],[N/A]]="",,COUNTIF(Tabla_Menu[Nivel &amp; Incluir],Tabla_Menu[[#This Row],[Nivel &amp; Incluir]]))</f>
        <v>11</v>
      </c>
      <c r="AE19" s="202" t="str">
        <f ca="1">Tabla_Menu[[#This Row],[Nivel]]&amp;Tabla_Menu[[#This Row],[N/A]]</f>
        <v>N/A</v>
      </c>
      <c r="AF19" s="200"/>
    </row>
    <row r="20" spans="1:32" outlineLevel="1" x14ac:dyDescent="0.3">
      <c r="A20" s="152" t="str">
        <f t="shared" si="3"/>
        <v>Z_IN_17_CS</v>
      </c>
      <c r="B20" s="151" t="str">
        <f t="shared" si="2"/>
        <v>IN</v>
      </c>
      <c r="C20" s="152">
        <v>17</v>
      </c>
      <c r="D20" s="189"/>
      <c r="E20" s="166" t="str">
        <f>IFERROR(IF(D20&lt;&gt;"",D20,HLOOKUP($E$2,$F$2:K20,ROW(D20)-1,0)),F20)</f>
        <v>PERSONALIZAR DICCIONARIO</v>
      </c>
      <c r="F20" s="166" t="s">
        <v>393</v>
      </c>
      <c r="G20" s="166" t="s">
        <v>394</v>
      </c>
      <c r="H20" s="166" t="s">
        <v>395</v>
      </c>
      <c r="I20" s="166" t="s">
        <v>396</v>
      </c>
      <c r="J20" s="166" t="s">
        <v>397</v>
      </c>
      <c r="K20" s="166" t="s">
        <v>398</v>
      </c>
      <c r="L20" s="166" t="s">
        <v>676</v>
      </c>
      <c r="M20" s="53"/>
      <c r="N20" s="53"/>
      <c r="O20" s="261" t="s">
        <v>767</v>
      </c>
      <c r="P20" s="256" t="s">
        <v>768</v>
      </c>
      <c r="Q20" s="262">
        <v>0</v>
      </c>
      <c r="R20" s="53"/>
      <c r="S20" s="197">
        <f ca="1">IF(Tabla_Menu[[#This Row],[Nivel]]=T19,0,COUNTIF(Tabla_Menu[Nivel],Tabla_Menu[[#This Row],[Nivel]]))</f>
        <v>0</v>
      </c>
      <c r="T20" s="215" t="str">
        <f ca="1">IFERROR(INDIRECT(Tabla_Menu[[#This Row],[Nivel 1]]&amp;IDIOMA),"")</f>
        <v/>
      </c>
      <c r="U20" s="215" t="str">
        <f ca="1">IFERROR(INDIRECT(Tabla_Menu[[#This Row],[Nivel 2]]&amp;IDIOMA)&amp;IF(Tabla_Menu[[#This Row],[Nivel]]="",""," "&amp;Tabla_Menu[[#This Row],['[Teclas']]]),"")</f>
        <v/>
      </c>
      <c r="V20" s="213"/>
      <c r="W20" s="214"/>
      <c r="X20" s="197"/>
      <c r="Y20" s="200"/>
      <c r="Z20" s="203" t="s">
        <v>619</v>
      </c>
      <c r="AA20" s="197" t="s">
        <v>620</v>
      </c>
      <c r="AB20" s="201"/>
      <c r="AC20" s="199" t="str">
        <f ca="1">IF(OR(Tabla_Menu[[#This Row],[Nivel]]="",IFERROR(SEARCH(MID(CELL("nombrearchivo"),FIND(".xlsm]",CELL("nombrearchivo"),1)+6,100),Tabla_Menu[[#This Row],[HOJAS NO MUESTRA]],1),0)&gt;0),"N/A","")</f>
        <v>N/A</v>
      </c>
      <c r="AD20" s="213">
        <f ca="1">IF(Tabla_Menu[[#This Row],[N/A]]="",,COUNTIF(Tabla_Menu[Nivel &amp; Incluir],Tabla_Menu[[#This Row],[Nivel &amp; Incluir]]))</f>
        <v>11</v>
      </c>
      <c r="AE20" s="202" t="str">
        <f ca="1">Tabla_Menu[[#This Row],[Nivel]]&amp;Tabla_Menu[[#This Row],[N/A]]</f>
        <v>N/A</v>
      </c>
      <c r="AF20" s="200"/>
    </row>
    <row r="21" spans="1:32" x14ac:dyDescent="0.3">
      <c r="A21" s="55" t="str">
        <f t="shared" si="1"/>
        <v>Z_BP_00_CS</v>
      </c>
      <c r="B21" s="54" t="s">
        <v>86</v>
      </c>
      <c r="C21" s="55" t="s">
        <v>26</v>
      </c>
      <c r="D21" s="188"/>
      <c r="E21" s="165" t="str">
        <f>IFERROR(IF(D21&lt;&gt;"",D21,HLOOKUP($E$2,$F$2:K21,ROW(D21)-1,0)),F21)</f>
        <v>Banco de preguntas</v>
      </c>
      <c r="F21" s="165" t="s">
        <v>87</v>
      </c>
      <c r="G21" s="165" t="s">
        <v>88</v>
      </c>
      <c r="H21" s="165" t="s">
        <v>89</v>
      </c>
      <c r="I21" s="165" t="s">
        <v>90</v>
      </c>
      <c r="J21" s="165" t="s">
        <v>91</v>
      </c>
      <c r="K21" s="165" t="s">
        <v>92</v>
      </c>
      <c r="L21" s="165" t="s">
        <v>677</v>
      </c>
      <c r="M21" s="53" t="s">
        <v>31</v>
      </c>
      <c r="N21" s="53" t="s">
        <v>31</v>
      </c>
      <c r="O21" s="263" t="s">
        <v>769</v>
      </c>
      <c r="P21" s="198" t="s">
        <v>770</v>
      </c>
      <c r="Q21" s="264">
        <v>0</v>
      </c>
      <c r="R21" s="53"/>
      <c r="S21" s="197">
        <f ca="1">IF(Tabla_Menu[[#This Row],[Nivel]]=T20,0,COUNTIF(Tabla_Menu[Nivel],Tabla_Menu[[#This Row],[Nivel]]))</f>
        <v>0</v>
      </c>
      <c r="T21" s="215" t="str">
        <f ca="1">IFERROR(INDIRECT(Tabla_Menu[[#This Row],[Nivel 1]]&amp;IDIOMA),"")</f>
        <v/>
      </c>
      <c r="U21" s="215" t="str">
        <f ca="1">IFERROR(INDIRECT(Tabla_Menu[[#This Row],[Nivel 2]]&amp;IDIOMA)&amp;IF(Tabla_Menu[[#This Row],[Nivel]]="",""," "&amp;Tabla_Menu[[#This Row],['[Teclas']]]),"")</f>
        <v/>
      </c>
      <c r="V21" s="213"/>
      <c r="W21" s="214"/>
      <c r="X21" s="197"/>
      <c r="Y21" s="200"/>
      <c r="Z21" s="207" t="s">
        <v>621</v>
      </c>
      <c r="AA21" s="206" t="s">
        <v>622</v>
      </c>
      <c r="AB21" s="201"/>
      <c r="AC21" s="199" t="str">
        <f ca="1">IF(OR(Tabla_Menu[[#This Row],[Nivel]]="",IFERROR(SEARCH(MID(CELL("nombrearchivo"),FIND(".xlsm]",CELL("nombrearchivo"),1)+6,100),Tabla_Menu[[#This Row],[HOJAS NO MUESTRA]],1),0)&gt;0),"N/A","")</f>
        <v>N/A</v>
      </c>
      <c r="AD21" s="213">
        <f ca="1">IF(Tabla_Menu[[#This Row],[N/A]]="",,COUNTIF(Tabla_Menu[Nivel &amp; Incluir],Tabla_Menu[[#This Row],[Nivel &amp; Incluir]]))</f>
        <v>11</v>
      </c>
      <c r="AE21" s="202" t="str">
        <f ca="1">Tabla_Menu[[#This Row],[Nivel]]&amp;Tabla_Menu[[#This Row],[N/A]]</f>
        <v>N/A</v>
      </c>
      <c r="AF21" s="200"/>
    </row>
    <row r="22" spans="1:32" outlineLevel="1" x14ac:dyDescent="0.3">
      <c r="A22" s="152" t="str">
        <f t="shared" si="1"/>
        <v>Z_BP_01_CS</v>
      </c>
      <c r="B22" s="151" t="str">
        <f t="shared" ref="B22:B54" si="4">B21</f>
        <v>BP</v>
      </c>
      <c r="C22" s="152" t="s">
        <v>32</v>
      </c>
      <c r="D22" s="189"/>
      <c r="E22" s="166" t="str">
        <f>IFERROR(IF(D22&lt;&gt;"",D22,HLOOKUP($E$2,$F$2:K22,ROW(D22)-1,0)),F22)</f>
        <v>Preguntas Almacenadas</v>
      </c>
      <c r="F22" s="166" t="s">
        <v>93</v>
      </c>
      <c r="G22" s="166" t="s">
        <v>94</v>
      </c>
      <c r="H22" s="166" t="s">
        <v>95</v>
      </c>
      <c r="I22" s="166" t="s">
        <v>96</v>
      </c>
      <c r="J22" s="166" t="s">
        <v>97</v>
      </c>
      <c r="K22" s="166" t="s">
        <v>98</v>
      </c>
      <c r="L22" s="166" t="s">
        <v>678</v>
      </c>
      <c r="M22" s="53" t="s">
        <v>31</v>
      </c>
      <c r="N22" s="53" t="s">
        <v>31</v>
      </c>
      <c r="O22" s="261" t="s">
        <v>771</v>
      </c>
      <c r="P22" s="256" t="s">
        <v>772</v>
      </c>
      <c r="Q22" s="262">
        <v>0</v>
      </c>
      <c r="R22" s="53"/>
      <c r="S22" s="197">
        <f ca="1">IF(Tabla_Menu[[#This Row],[Nivel]]=T21,0,COUNTIF(Tabla_Menu[Nivel],Tabla_Menu[[#This Row],[Nivel]]))</f>
        <v>0</v>
      </c>
      <c r="T22" s="215" t="str">
        <f ca="1">IFERROR(INDIRECT(Tabla_Menu[[#This Row],[Nivel 1]]&amp;IDIOMA),"")</f>
        <v/>
      </c>
      <c r="U22" s="215" t="str">
        <f ca="1">IFERROR(INDIRECT(Tabla_Menu[[#This Row],[Nivel 2]]&amp;IDIOMA)&amp;IF(Tabla_Menu[[#This Row],[Nivel]]="",""," "&amp;Tabla_Menu[[#This Row],['[Teclas']]]),"")</f>
        <v/>
      </c>
      <c r="V22" s="213"/>
      <c r="W22" s="214"/>
      <c r="X22" s="197"/>
      <c r="Y22" s="200"/>
      <c r="Z22" s="203" t="s">
        <v>623</v>
      </c>
      <c r="AA22" s="197" t="s">
        <v>624</v>
      </c>
      <c r="AB22" s="201"/>
      <c r="AC22" s="199" t="str">
        <f ca="1">IF(OR(Tabla_Menu[[#This Row],[Nivel]]="",IFERROR(SEARCH(MID(CELL("nombrearchivo"),FIND(".xlsm]",CELL("nombrearchivo"),1)+6,100),Tabla_Menu[[#This Row],[HOJAS NO MUESTRA]],1),0)&gt;0),"N/A","")</f>
        <v>N/A</v>
      </c>
      <c r="AD22" s="213">
        <f ca="1">IF(Tabla_Menu[[#This Row],[N/A]]="",,COUNTIF(Tabla_Menu[Nivel &amp; Incluir],Tabla_Menu[[#This Row],[Nivel &amp; Incluir]]))</f>
        <v>11</v>
      </c>
      <c r="AE22" s="202" t="str">
        <f ca="1">Tabla_Menu[[#This Row],[Nivel]]&amp;Tabla_Menu[[#This Row],[N/A]]</f>
        <v>N/A</v>
      </c>
      <c r="AF22" s="200"/>
    </row>
    <row r="23" spans="1:32" outlineLevel="1" x14ac:dyDescent="0.3">
      <c r="A23" s="154" t="str">
        <f t="shared" si="1"/>
        <v>Z_BP_02_CS</v>
      </c>
      <c r="B23" s="153" t="str">
        <f t="shared" si="4"/>
        <v>BP</v>
      </c>
      <c r="C23" s="154" t="s">
        <v>33</v>
      </c>
      <c r="D23" s="190"/>
      <c r="E23" s="167" t="str">
        <f>IFERROR(IF(D23&lt;&gt;"",D23,HLOOKUP($E$2,$F$2:K23,ROW(D23)-1,0)),F23)</f>
        <v>DICCIONARIO</v>
      </c>
      <c r="F23" s="167" t="s">
        <v>391</v>
      </c>
      <c r="G23" s="167" t="s">
        <v>392</v>
      </c>
      <c r="H23" s="167" t="s">
        <v>399</v>
      </c>
      <c r="I23" s="167" t="s">
        <v>400</v>
      </c>
      <c r="J23" s="167" t="s">
        <v>401</v>
      </c>
      <c r="K23" s="167" t="s">
        <v>402</v>
      </c>
      <c r="L23" s="167" t="s">
        <v>679</v>
      </c>
      <c r="O23" s="263" t="s">
        <v>773</v>
      </c>
      <c r="P23" s="198" t="s">
        <v>774</v>
      </c>
      <c r="Q23" s="264">
        <v>0</v>
      </c>
      <c r="S23" s="197">
        <f ca="1">IF(Tabla_Menu[[#This Row],[Nivel]]=T22,0,COUNTIF(Tabla_Menu[Nivel],Tabla_Menu[[#This Row],[Nivel]]))</f>
        <v>0</v>
      </c>
      <c r="T23" s="215" t="str">
        <f ca="1">IFERROR(INDIRECT(Tabla_Menu[[#This Row],[Nivel 1]]&amp;IDIOMA),"")</f>
        <v/>
      </c>
      <c r="U23" s="215" t="str">
        <f ca="1">IFERROR(INDIRECT(Tabla_Menu[[#This Row],[Nivel 2]]&amp;IDIOMA)&amp;IF(Tabla_Menu[[#This Row],[Nivel]]="",""," "&amp;Tabla_Menu[[#This Row],['[Teclas']]]),"")</f>
        <v/>
      </c>
      <c r="V23" s="213"/>
      <c r="W23" s="214"/>
      <c r="X23" s="197"/>
      <c r="Y23" s="200"/>
      <c r="Z23" s="207" t="s">
        <v>625</v>
      </c>
      <c r="AA23" s="206" t="s">
        <v>626</v>
      </c>
      <c r="AB23" s="201"/>
      <c r="AC23" s="199" t="str">
        <f ca="1">IF(OR(Tabla_Menu[[#This Row],[Nivel]]="",IFERROR(SEARCH(MID(CELL("nombrearchivo"),FIND(".xlsm]",CELL("nombrearchivo"),1)+6,100),Tabla_Menu[[#This Row],[HOJAS NO MUESTRA]],1),0)&gt;0),"N/A","")</f>
        <v>N/A</v>
      </c>
      <c r="AD23" s="213">
        <f ca="1">IF(Tabla_Menu[[#This Row],[N/A]]="",,COUNTIF(Tabla_Menu[Nivel &amp; Incluir],Tabla_Menu[[#This Row],[Nivel &amp; Incluir]]))</f>
        <v>11</v>
      </c>
      <c r="AE23" s="202" t="str">
        <f ca="1">Tabla_Menu[[#This Row],[Nivel]]&amp;Tabla_Menu[[#This Row],[N/A]]</f>
        <v>N/A</v>
      </c>
      <c r="AF23" s="200"/>
    </row>
    <row r="24" spans="1:32" outlineLevel="1" x14ac:dyDescent="0.3">
      <c r="A24" s="152" t="str">
        <f t="shared" si="1"/>
        <v>Z_BP_03_CS</v>
      </c>
      <c r="B24" s="151" t="str">
        <f t="shared" si="4"/>
        <v>BP</v>
      </c>
      <c r="C24" s="152" t="s">
        <v>40</v>
      </c>
      <c r="D24" s="189"/>
      <c r="E24" s="166" t="str">
        <f>IFERROR(IF(D24&lt;&gt;"",D24,HLOOKUP($E$2,$F$2:K24,ROW(D24)-1,0)),F24)</f>
        <v>Enunciado de la pregunta</v>
      </c>
      <c r="F24" s="166" t="s">
        <v>99</v>
      </c>
      <c r="G24" s="166" t="s">
        <v>100</v>
      </c>
      <c r="H24" s="166" t="s">
        <v>101</v>
      </c>
      <c r="I24" s="166" t="s">
        <v>102</v>
      </c>
      <c r="J24" s="166" t="s">
        <v>103</v>
      </c>
      <c r="K24" s="166" t="s">
        <v>104</v>
      </c>
      <c r="L24" s="166" t="s">
        <v>680</v>
      </c>
      <c r="O24" s="261" t="s">
        <v>775</v>
      </c>
      <c r="P24" s="256" t="s">
        <v>776</v>
      </c>
      <c r="Q24" s="262">
        <v>0</v>
      </c>
      <c r="S24" s="197">
        <f ca="1">IF(Tabla_Menu[[#This Row],[Nivel]]=T23,0,COUNTIF(Tabla_Menu[Nivel],Tabla_Menu[[#This Row],[Nivel]]))</f>
        <v>0</v>
      </c>
      <c r="T24" s="215" t="str">
        <f ca="1">IFERROR(INDIRECT(Tabla_Menu[[#This Row],[Nivel 1]]&amp;IDIOMA),"")</f>
        <v/>
      </c>
      <c r="U24" s="215" t="str">
        <f ca="1">IFERROR(INDIRECT(Tabla_Menu[[#This Row],[Nivel 2]]&amp;IDIOMA)&amp;IF(Tabla_Menu[[#This Row],[Nivel]]="",""," "&amp;Tabla_Menu[[#This Row],['[Teclas']]]),"")</f>
        <v/>
      </c>
      <c r="V24" s="213"/>
      <c r="W24" s="214"/>
      <c r="X24" s="197"/>
      <c r="Y24" s="200"/>
      <c r="Z24" s="203" t="s">
        <v>627</v>
      </c>
      <c r="AA24" s="197" t="s">
        <v>628</v>
      </c>
      <c r="AB24" s="201"/>
      <c r="AC24" s="199" t="str">
        <f ca="1">IF(OR(Tabla_Menu[[#This Row],[Nivel]]="",IFERROR(SEARCH(MID(CELL("nombrearchivo"),FIND(".xlsm]",CELL("nombrearchivo"),1)+6,100),Tabla_Menu[[#This Row],[HOJAS NO MUESTRA]],1),0)&gt;0),"N/A","")</f>
        <v>N/A</v>
      </c>
      <c r="AD24" s="213">
        <f ca="1">IF(Tabla_Menu[[#This Row],[N/A]]="",,COUNTIF(Tabla_Menu[Nivel &amp; Incluir],Tabla_Menu[[#This Row],[Nivel &amp; Incluir]]))</f>
        <v>11</v>
      </c>
      <c r="AE24" s="202" t="str">
        <f ca="1">Tabla_Menu[[#This Row],[Nivel]]&amp;Tabla_Menu[[#This Row],[N/A]]</f>
        <v>N/A</v>
      </c>
      <c r="AF24" s="200"/>
    </row>
    <row r="25" spans="1:32" outlineLevel="1" x14ac:dyDescent="0.3">
      <c r="A25" s="154" t="str">
        <f t="shared" si="1"/>
        <v>Z_BP_04_CS</v>
      </c>
      <c r="B25" s="153" t="str">
        <f t="shared" si="4"/>
        <v>BP</v>
      </c>
      <c r="C25" s="154" t="s">
        <v>46</v>
      </c>
      <c r="D25" s="190"/>
      <c r="E25" s="167" t="str">
        <f>IFERROR(IF(D25&lt;&gt;"",D25,HLOOKUP($E$2,$F$2:K25,ROW(D25)-1,0)),F25)</f>
        <v>Descripción</v>
      </c>
      <c r="F25" s="167" t="s">
        <v>105</v>
      </c>
      <c r="G25" s="167" t="s">
        <v>106</v>
      </c>
      <c r="H25" s="167" t="s">
        <v>106</v>
      </c>
      <c r="I25" s="167" t="s">
        <v>107</v>
      </c>
      <c r="J25" s="167" t="s">
        <v>108</v>
      </c>
      <c r="K25" s="167" t="s">
        <v>109</v>
      </c>
      <c r="L25" s="167" t="s">
        <v>681</v>
      </c>
      <c r="O25" s="263" t="s">
        <v>777</v>
      </c>
      <c r="P25" s="198" t="s">
        <v>778</v>
      </c>
      <c r="Q25" s="264">
        <v>0</v>
      </c>
      <c r="S25" s="197">
        <f ca="1">IF(Tabla_Menu[[#This Row],[Nivel]]=T24,0,COUNTIF(Tabla_Menu[Nivel],Tabla_Menu[[#This Row],[Nivel]]))</f>
        <v>0</v>
      </c>
      <c r="T25" s="215" t="str">
        <f ca="1">IFERROR(INDIRECT(Tabla_Menu[[#This Row],[Nivel 1]]&amp;IDIOMA),"")</f>
        <v/>
      </c>
      <c r="U25" s="215" t="str">
        <f ca="1">IFERROR(INDIRECT(Tabla_Menu[[#This Row],[Nivel 2]]&amp;IDIOMA)&amp;IF(Tabla_Menu[[#This Row],[Nivel]]="",""," "&amp;Tabla_Menu[[#This Row],['[Teclas']]]),"")</f>
        <v/>
      </c>
      <c r="V25" s="213"/>
      <c r="W25" s="214"/>
      <c r="X25" s="197"/>
      <c r="Y25" s="200"/>
      <c r="Z25" s="207" t="s">
        <v>629</v>
      </c>
      <c r="AA25" s="206" t="s">
        <v>630</v>
      </c>
      <c r="AB25" s="201"/>
      <c r="AC25" s="199" t="str">
        <f ca="1">IF(OR(Tabla_Menu[[#This Row],[Nivel]]="",IFERROR(SEARCH(MID(CELL("nombrearchivo"),FIND(".xlsm]",CELL("nombrearchivo"),1)+6,100),Tabla_Menu[[#This Row],[HOJAS NO MUESTRA]],1),0)&gt;0),"N/A","")</f>
        <v>N/A</v>
      </c>
      <c r="AD25" s="213">
        <f ca="1">IF(Tabla_Menu[[#This Row],[N/A]]="",,COUNTIF(Tabla_Menu[Nivel &amp; Incluir],Tabla_Menu[[#This Row],[Nivel &amp; Incluir]]))</f>
        <v>11</v>
      </c>
      <c r="AE25" s="202" t="str">
        <f ca="1">Tabla_Menu[[#This Row],[Nivel]]&amp;Tabla_Menu[[#This Row],[N/A]]</f>
        <v>N/A</v>
      </c>
      <c r="AF25" s="200"/>
    </row>
    <row r="26" spans="1:32" outlineLevel="1" x14ac:dyDescent="0.3">
      <c r="A26" s="152" t="str">
        <f t="shared" si="1"/>
        <v>Z_BP_05_CS</v>
      </c>
      <c r="B26" s="151" t="str">
        <f t="shared" si="4"/>
        <v>BP</v>
      </c>
      <c r="C26" s="152" t="s">
        <v>52</v>
      </c>
      <c r="D26" s="189"/>
      <c r="E26" s="166" t="str">
        <f>IFERROR(IF(D26&lt;&gt;"",D26,HLOOKUP($E$2,$F$2:K26,ROW(D26)-1,0)),F26)</f>
        <v>Respuesta Correcta</v>
      </c>
      <c r="F26" s="166" t="s">
        <v>110</v>
      </c>
      <c r="G26" s="166" t="s">
        <v>111</v>
      </c>
      <c r="H26" s="166" t="s">
        <v>112</v>
      </c>
      <c r="I26" s="166" t="s">
        <v>113</v>
      </c>
      <c r="J26" s="166" t="s">
        <v>114</v>
      </c>
      <c r="K26" s="166" t="s">
        <v>115</v>
      </c>
      <c r="L26" s="166" t="s">
        <v>682</v>
      </c>
      <c r="O26" s="261" t="s">
        <v>779</v>
      </c>
      <c r="P26" s="256" t="s">
        <v>780</v>
      </c>
      <c r="Q26" s="262">
        <v>0</v>
      </c>
      <c r="S26" s="197">
        <f ca="1">IF(Tabla_Menu[[#This Row],[Nivel]]=T25,0,COUNTIF(Tabla_Menu[Nivel],Tabla_Menu[[#This Row],[Nivel]]))</f>
        <v>0</v>
      </c>
      <c r="T26" s="215" t="str">
        <f ca="1">IFERROR(INDIRECT(Tabla_Menu[[#This Row],[Nivel 1]]&amp;IDIOMA),"")</f>
        <v/>
      </c>
      <c r="U26" s="215" t="str">
        <f ca="1">IFERROR(INDIRECT(Tabla_Menu[[#This Row],[Nivel 2]]&amp;IDIOMA)&amp;IF(Tabla_Menu[[#This Row],[Nivel]]="",""," "&amp;Tabla_Menu[[#This Row],['[Teclas']]]),"")</f>
        <v/>
      </c>
      <c r="V26" s="213"/>
      <c r="W26" s="214"/>
      <c r="X26" s="197"/>
      <c r="Y26" s="200"/>
      <c r="Z26" s="203" t="s">
        <v>632</v>
      </c>
      <c r="AA26" s="197" t="s">
        <v>633</v>
      </c>
      <c r="AB26" s="201"/>
      <c r="AC26" s="199" t="str">
        <f ca="1">IF(OR(Tabla_Menu[[#This Row],[Nivel]]="",IFERROR(SEARCH(MID(CELL("nombrearchivo"),FIND(".xlsm]",CELL("nombrearchivo"),1)+6,100),Tabla_Menu[[#This Row],[HOJAS NO MUESTRA]],1),0)&gt;0),"N/A","")</f>
        <v>N/A</v>
      </c>
      <c r="AD26" s="213">
        <f ca="1">IF(Tabla_Menu[[#This Row],[N/A]]="",,COUNTIF(Tabla_Menu[Nivel &amp; Incluir],Tabla_Menu[[#This Row],[Nivel &amp; Incluir]]))</f>
        <v>11</v>
      </c>
      <c r="AE26" s="202" t="str">
        <f ca="1">Tabla_Menu[[#This Row],[Nivel]]&amp;Tabla_Menu[[#This Row],[N/A]]</f>
        <v>N/A</v>
      </c>
      <c r="AF26" s="200"/>
    </row>
    <row r="27" spans="1:32" outlineLevel="1" x14ac:dyDescent="0.3">
      <c r="A27" s="154" t="str">
        <f t="shared" si="1"/>
        <v>Z_BP_06_CS</v>
      </c>
      <c r="B27" s="153" t="str">
        <f t="shared" si="4"/>
        <v>BP</v>
      </c>
      <c r="C27" s="154" t="s">
        <v>58</v>
      </c>
      <c r="D27" s="190"/>
      <c r="E27" s="167" t="str">
        <f>IFERROR(IF(D27&lt;&gt;"",D27,HLOOKUP($E$2,$F$2:K27,ROW(D27)-1,0)),F27)</f>
        <v>Respuesta Incorrecta</v>
      </c>
      <c r="F27" s="167" t="s">
        <v>116</v>
      </c>
      <c r="G27" s="167" t="s">
        <v>117</v>
      </c>
      <c r="H27" s="167" t="s">
        <v>118</v>
      </c>
      <c r="I27" s="167" t="s">
        <v>119</v>
      </c>
      <c r="J27" s="167" t="s">
        <v>120</v>
      </c>
      <c r="K27" s="167" t="s">
        <v>121</v>
      </c>
      <c r="L27" s="167" t="s">
        <v>683</v>
      </c>
      <c r="O27" s="263" t="s">
        <v>781</v>
      </c>
      <c r="P27" s="198" t="s">
        <v>782</v>
      </c>
      <c r="Q27" s="264">
        <v>0</v>
      </c>
      <c r="S27" s="197">
        <f ca="1">IF(Tabla_Menu[[#This Row],[Nivel]]=T26,0,COUNTIF(Tabla_Menu[Nivel],Tabla_Menu[[#This Row],[Nivel]]))</f>
        <v>0</v>
      </c>
      <c r="T27" s="215" t="str">
        <f ca="1">IFERROR(INDIRECT(Tabla_Menu[[#This Row],[Nivel 1]]&amp;IDIOMA),"")</f>
        <v/>
      </c>
      <c r="U27" s="215" t="str">
        <f ca="1">IFERROR(INDIRECT(Tabla_Menu[[#This Row],[Nivel 2]]&amp;IDIOMA)&amp;IF(Tabla_Menu[[#This Row],[Nivel]]="",""," "&amp;Tabla_Menu[[#This Row],['[Teclas']]]),"")</f>
        <v/>
      </c>
      <c r="V27" s="213"/>
      <c r="W27" s="214"/>
      <c r="X27" s="197"/>
      <c r="Y27" s="200"/>
      <c r="Z27" s="203" t="s">
        <v>634</v>
      </c>
      <c r="AA27" s="197" t="s">
        <v>635</v>
      </c>
      <c r="AB27" s="201"/>
      <c r="AC27" s="199" t="str">
        <f ca="1">IF(OR(Tabla_Menu[[#This Row],[Nivel]]="",IFERROR(SEARCH(MID(CELL("nombrearchivo"),FIND(".xlsm]",CELL("nombrearchivo"),1)+6,100),Tabla_Menu[[#This Row],[HOJAS NO MUESTRA]],1),0)&gt;0),"N/A","")</f>
        <v>N/A</v>
      </c>
      <c r="AD27" s="213">
        <f ca="1">IF(Tabla_Menu[[#This Row],[N/A]]="",,COUNTIF(Tabla_Menu[Nivel &amp; Incluir],Tabla_Menu[[#This Row],[Nivel &amp; Incluir]]))</f>
        <v>11</v>
      </c>
      <c r="AE27" s="202" t="str">
        <f ca="1">Tabla_Menu[[#This Row],[Nivel]]&amp;Tabla_Menu[[#This Row],[N/A]]</f>
        <v>N/A</v>
      </c>
      <c r="AF27" s="200"/>
    </row>
    <row r="28" spans="1:32" outlineLevel="1" x14ac:dyDescent="0.3">
      <c r="A28" s="152" t="str">
        <f t="shared" si="1"/>
        <v>Z_BP_07_CS</v>
      </c>
      <c r="B28" s="151" t="str">
        <f t="shared" si="4"/>
        <v>BP</v>
      </c>
      <c r="C28" s="152" t="s">
        <v>65</v>
      </c>
      <c r="D28" s="189"/>
      <c r="E28" s="166" t="str">
        <f>IFERROR(IF(D28&lt;&gt;"",D28,HLOOKUP($E$2,$F$2:K28,ROW(D28)-1,0)),F28)</f>
        <v>Retroalim.</v>
      </c>
      <c r="F28" s="166" t="s">
        <v>122</v>
      </c>
      <c r="G28" s="166" t="s">
        <v>123</v>
      </c>
      <c r="H28" s="166" t="s">
        <v>124</v>
      </c>
      <c r="I28" s="166" t="s">
        <v>125</v>
      </c>
      <c r="J28" s="166" t="s">
        <v>126</v>
      </c>
      <c r="K28" s="166" t="s">
        <v>123</v>
      </c>
      <c r="L28" s="166" t="s">
        <v>684</v>
      </c>
      <c r="O28" s="261" t="s">
        <v>783</v>
      </c>
      <c r="P28" s="256" t="s">
        <v>784</v>
      </c>
      <c r="Q28" s="262">
        <v>0</v>
      </c>
      <c r="S28" s="199">
        <f ca="1">IF(Tabla_Menu[[#This Row],[Nivel]]=T27,0,COUNTIF(Tabla_Menu[Nivel],Tabla_Menu[[#This Row],[Nivel]]))</f>
        <v>0</v>
      </c>
      <c r="T28" s="215" t="str">
        <f ca="1">IFERROR(INDIRECT(Tabla_Menu[[#This Row],[Nivel 1]]&amp;IDIOMA),"")</f>
        <v/>
      </c>
      <c r="U28" s="215" t="str">
        <f ca="1">IFERROR(INDIRECT(Tabla_Menu[[#This Row],[Nivel 2]]&amp;IDIOMA)&amp;IF(Tabla_Menu[[#This Row],[Nivel]]="",""," "&amp;Tabla_Menu[[#This Row],['[Teclas']]]),"")</f>
        <v/>
      </c>
      <c r="V28" s="213" t="s">
        <v>495</v>
      </c>
      <c r="W28" s="214"/>
      <c r="X28" s="197"/>
      <c r="Y28" s="200"/>
      <c r="Z28" s="200"/>
      <c r="AA28" s="200" t="s">
        <v>631</v>
      </c>
      <c r="AB28" s="201"/>
      <c r="AC28" s="199" t="str">
        <f ca="1">IF(OR(Tabla_Menu[[#This Row],[Nivel]]="",IFERROR(SEARCH(MID(CELL("nombrearchivo"),FIND(".xlsm]",CELL("nombrearchivo"),1)+6,100),Tabla_Menu[[#This Row],[HOJAS NO MUESTRA]],1),0)&gt;0),"N/A","")</f>
        <v>N/A</v>
      </c>
      <c r="AD28" s="213">
        <f ca="1">IF(Tabla_Menu[[#This Row],[N/A]]="",,COUNTIF(Tabla_Menu[Nivel &amp; Incluir],Tabla_Menu[[#This Row],[Nivel &amp; Incluir]]))</f>
        <v>11</v>
      </c>
      <c r="AE28" s="202" t="str">
        <f ca="1">Tabla_Menu[[#This Row],[Nivel]]&amp;Tabla_Menu[[#This Row],[N/A]]</f>
        <v>N/A</v>
      </c>
      <c r="AF28" s="219"/>
    </row>
    <row r="29" spans="1:32" outlineLevel="1" x14ac:dyDescent="0.3">
      <c r="A29" s="154" t="str">
        <f t="shared" si="1"/>
        <v>Z_BP_08_CS</v>
      </c>
      <c r="B29" s="153" t="str">
        <f t="shared" si="4"/>
        <v>BP</v>
      </c>
      <c r="C29" s="154" t="s">
        <v>66</v>
      </c>
      <c r="D29" s="190"/>
      <c r="E29" s="167" t="str">
        <f>IFERROR(IF(D29&lt;&gt;"",D29,HLOOKUP($E$2,$F$2:K29,ROW(D29)-1,0)),F29)</f>
        <v>Pista</v>
      </c>
      <c r="F29" s="167" t="s">
        <v>127</v>
      </c>
      <c r="G29" s="167" t="s">
        <v>128</v>
      </c>
      <c r="H29" s="167" t="s">
        <v>129</v>
      </c>
      <c r="I29" s="167" t="s">
        <v>130</v>
      </c>
      <c r="J29" s="167" t="s">
        <v>131</v>
      </c>
      <c r="K29" s="167" t="s">
        <v>132</v>
      </c>
      <c r="L29" s="167" t="s">
        <v>685</v>
      </c>
      <c r="O29" s="263" t="s">
        <v>785</v>
      </c>
      <c r="P29" s="198" t="s">
        <v>786</v>
      </c>
      <c r="Q29" s="264">
        <v>0</v>
      </c>
      <c r="S29" s="199">
        <f ca="1">IF(Tabla_Menu[[#This Row],[Nivel]]=T28,0,COUNTIF(Tabla_Menu[Nivel],Tabla_Menu[[#This Row],[Nivel]]))</f>
        <v>0</v>
      </c>
      <c r="T29" s="215" t="str">
        <f ca="1">IFERROR(INDIRECT(Tabla_Menu[[#This Row],[Nivel 1]]&amp;IDIOMA),"")</f>
        <v/>
      </c>
      <c r="U29" s="215" t="str">
        <f ca="1">IFERROR(INDIRECT(Tabla_Menu[[#This Row],[Nivel 2]]&amp;IDIOMA)&amp;IF(Tabla_Menu[[#This Row],[Nivel]]="",""," "&amp;Tabla_Menu[[#This Row],['[Teclas']]]),"")</f>
        <v/>
      </c>
      <c r="V29" s="213" t="s">
        <v>489</v>
      </c>
      <c r="W29" s="214"/>
      <c r="X29" s="197"/>
      <c r="Y29" s="200"/>
      <c r="Z29" s="200"/>
      <c r="AA29" s="200" t="s">
        <v>649</v>
      </c>
      <c r="AB29" s="201"/>
      <c r="AC29" s="199" t="str">
        <f ca="1">IF(OR(Tabla_Menu[[#This Row],[Nivel]]="",IFERROR(SEARCH(MID(CELL("nombrearchivo"),FIND(".xlsm]",CELL("nombrearchivo"),1)+6,100),Tabla_Menu[[#This Row],[HOJAS NO MUESTRA]],1),0)&gt;0),"N/A","")</f>
        <v>N/A</v>
      </c>
      <c r="AD29" s="213">
        <f ca="1">IF(Tabla_Menu[[#This Row],[N/A]]="",,COUNTIF(Tabla_Menu[Nivel &amp; Incluir],Tabla_Menu[[#This Row],[Nivel &amp; Incluir]]))</f>
        <v>11</v>
      </c>
      <c r="AE29" s="202" t="str">
        <f ca="1">Tabla_Menu[[#This Row],[Nivel]]&amp;Tabla_Menu[[#This Row],[N/A]]</f>
        <v>N/A</v>
      </c>
      <c r="AF29" s="219"/>
    </row>
    <row r="30" spans="1:32" outlineLevel="1" x14ac:dyDescent="0.3">
      <c r="A30" s="152" t="str">
        <f t="shared" si="1"/>
        <v>Z_BP_09_CS</v>
      </c>
      <c r="B30" s="151" t="str">
        <f t="shared" si="4"/>
        <v>BP</v>
      </c>
      <c r="C30" s="152" t="s">
        <v>70</v>
      </c>
      <c r="D30" s="189"/>
      <c r="E30" s="166" t="str">
        <f>IFERROR(IF(D30&lt;&gt;"",D30,HLOOKUP($E$2,$F$2:K30,ROW(D30)-1,0)),F30)</f>
        <v>Puntos</v>
      </c>
      <c r="F30" s="166" t="s">
        <v>133</v>
      </c>
      <c r="G30" s="166" t="s">
        <v>134</v>
      </c>
      <c r="H30" s="166" t="s">
        <v>134</v>
      </c>
      <c r="I30" s="166" t="s">
        <v>135</v>
      </c>
      <c r="J30" s="166" t="s">
        <v>136</v>
      </c>
      <c r="K30" s="166" t="s">
        <v>137</v>
      </c>
      <c r="L30" s="166" t="s">
        <v>686</v>
      </c>
      <c r="O30" s="261" t="s">
        <v>787</v>
      </c>
      <c r="P30" s="256" t="s">
        <v>788</v>
      </c>
      <c r="Q30" s="262">
        <v>0</v>
      </c>
      <c r="S30" s="204">
        <f ca="1">COUNTIF(Tabla_Menu[N Sub],"&lt;&gt;0")</f>
        <v>5</v>
      </c>
      <c r="T30" s="198"/>
      <c r="U30" s="198"/>
      <c r="V30" s="198"/>
      <c r="W30" s="198"/>
      <c r="X30" s="198"/>
      <c r="Y30" s="198"/>
      <c r="Z30" s="198"/>
      <c r="AA30" s="198"/>
      <c r="AB30" s="198"/>
      <c r="AC30" s="198"/>
      <c r="AD30" s="198"/>
      <c r="AE30" s="198"/>
      <c r="AF30" s="198"/>
    </row>
    <row r="31" spans="1:32" outlineLevel="1" x14ac:dyDescent="0.3">
      <c r="A31" s="154" t="str">
        <f t="shared" si="1"/>
        <v>Z_BP_10_CS</v>
      </c>
      <c r="B31" s="153" t="str">
        <f t="shared" si="4"/>
        <v>BP</v>
      </c>
      <c r="C31" s="154" t="s">
        <v>71</v>
      </c>
      <c r="D31" s="190"/>
      <c r="E31" s="167" t="str">
        <f>IFERROR(IF(D31&lt;&gt;"",D31,HLOOKUP($E$2,$F$2:K31,ROW(D31)-1,0)),F31)</f>
        <v>OM 1R</v>
      </c>
      <c r="F31" s="167" t="s">
        <v>138</v>
      </c>
      <c r="G31" s="167" t="s">
        <v>472</v>
      </c>
      <c r="H31" s="167" t="s">
        <v>139</v>
      </c>
      <c r="I31" s="167" t="s">
        <v>140</v>
      </c>
      <c r="J31" s="167" t="s">
        <v>141</v>
      </c>
      <c r="K31" s="167" t="s">
        <v>142</v>
      </c>
      <c r="L31" s="167" t="s">
        <v>472</v>
      </c>
      <c r="O31" s="263" t="s">
        <v>789</v>
      </c>
      <c r="P31" s="198" t="s">
        <v>790</v>
      </c>
      <c r="Q31" s="264">
        <v>0</v>
      </c>
      <c r="S31" s="53" t="s">
        <v>31</v>
      </c>
    </row>
    <row r="32" spans="1:32" outlineLevel="1" x14ac:dyDescent="0.3">
      <c r="A32" s="152" t="str">
        <f t="shared" si="1"/>
        <v>Z_BP_11_CS</v>
      </c>
      <c r="B32" s="151" t="str">
        <f t="shared" si="4"/>
        <v>BP</v>
      </c>
      <c r="C32" s="152" t="s">
        <v>72</v>
      </c>
      <c r="D32" s="189"/>
      <c r="E32" s="166" t="str">
        <f>IFERROR(IF(D32&lt;&gt;"",D32,HLOOKUP($E$2,$F$2:K32,ROW(D32)-1,0)),F32)</f>
        <v>OM +R</v>
      </c>
      <c r="F32" s="166" t="s">
        <v>478</v>
      </c>
      <c r="G32" s="166" t="s">
        <v>477</v>
      </c>
      <c r="H32" s="166" t="s">
        <v>473</v>
      </c>
      <c r="I32" s="166" t="s">
        <v>474</v>
      </c>
      <c r="J32" s="166" t="s">
        <v>475</v>
      </c>
      <c r="K32" s="166" t="s">
        <v>476</v>
      </c>
      <c r="L32" s="166" t="s">
        <v>687</v>
      </c>
      <c r="O32" s="261" t="s">
        <v>791</v>
      </c>
      <c r="P32" s="256" t="s">
        <v>792</v>
      </c>
      <c r="Q32" s="262">
        <v>0</v>
      </c>
      <c r="S32" s="53" t="s">
        <v>31</v>
      </c>
    </row>
    <row r="33" spans="1:23" outlineLevel="1" x14ac:dyDescent="0.3">
      <c r="A33" s="154" t="str">
        <f t="shared" si="1"/>
        <v>Z_BP_12_CS</v>
      </c>
      <c r="B33" s="153" t="str">
        <f t="shared" si="4"/>
        <v>BP</v>
      </c>
      <c r="C33" s="154" t="s">
        <v>74</v>
      </c>
      <c r="D33" s="190"/>
      <c r="E33" s="167" t="str">
        <f>IFERROR(IF(D33&lt;&gt;"",D33,HLOOKUP($E$2,$F$2:K33,ROW(D33)-1,0)),F33)</f>
        <v>VF</v>
      </c>
      <c r="F33" s="167" t="s">
        <v>143</v>
      </c>
      <c r="G33" s="167" t="s">
        <v>144</v>
      </c>
      <c r="H33" s="167" t="s">
        <v>143</v>
      </c>
      <c r="I33" s="167" t="s">
        <v>143</v>
      </c>
      <c r="J33" s="167" t="s">
        <v>143</v>
      </c>
      <c r="K33" s="167" t="s">
        <v>145</v>
      </c>
      <c r="L33" s="167" t="s">
        <v>144</v>
      </c>
      <c r="O33" s="263" t="s">
        <v>793</v>
      </c>
      <c r="P33" s="198" t="s">
        <v>794</v>
      </c>
      <c r="Q33" s="264">
        <v>0</v>
      </c>
      <c r="S33" s="53" t="s">
        <v>31</v>
      </c>
    </row>
    <row r="34" spans="1:23" outlineLevel="1" x14ac:dyDescent="0.3">
      <c r="A34" s="152" t="str">
        <f t="shared" si="1"/>
        <v>Z_BP_13_CS</v>
      </c>
      <c r="B34" s="151" t="str">
        <f t="shared" si="4"/>
        <v>BP</v>
      </c>
      <c r="C34" s="152" t="s">
        <v>76</v>
      </c>
      <c r="D34" s="189"/>
      <c r="E34" s="166" t="str">
        <f>IFERROR(IF(D34&lt;&gt;"",D34,HLOOKUP($E$2,$F$2:K34,ROW(D34)-1,0)),F34)</f>
        <v>EM</v>
      </c>
      <c r="F34" s="166" t="s">
        <v>146</v>
      </c>
      <c r="G34" s="166" t="s">
        <v>147</v>
      </c>
      <c r="H34" s="166" t="s">
        <v>148</v>
      </c>
      <c r="I34" s="166" t="s">
        <v>149</v>
      </c>
      <c r="J34" s="166" t="s">
        <v>25</v>
      </c>
      <c r="K34" s="166" t="s">
        <v>150</v>
      </c>
      <c r="L34" s="166" t="s">
        <v>688</v>
      </c>
      <c r="O34" s="261" t="s">
        <v>795</v>
      </c>
      <c r="P34" s="256" t="s">
        <v>796</v>
      </c>
      <c r="Q34" s="262">
        <v>0</v>
      </c>
      <c r="S34" s="53" t="s">
        <v>31</v>
      </c>
    </row>
    <row r="35" spans="1:23" outlineLevel="1" x14ac:dyDescent="0.3">
      <c r="A35" s="154" t="str">
        <f t="shared" si="1"/>
        <v>Z_BP_14_CS</v>
      </c>
      <c r="B35" s="153" t="str">
        <f t="shared" si="4"/>
        <v>BP</v>
      </c>
      <c r="C35" s="154" t="s">
        <v>78</v>
      </c>
      <c r="D35" s="190"/>
      <c r="E35" s="167" t="str">
        <f>IFERROR(IF(D35&lt;&gt;"",D35,HLOOKUP($E$2,$F$2:K35,ROW(D35)-1,0)),F35)</f>
        <v>RC</v>
      </c>
      <c r="F35" s="167" t="s">
        <v>151</v>
      </c>
      <c r="G35" s="167" t="s">
        <v>152</v>
      </c>
      <c r="H35" s="167" t="s">
        <v>151</v>
      </c>
      <c r="I35" s="167" t="s">
        <v>151</v>
      </c>
      <c r="J35" s="167" t="s">
        <v>153</v>
      </c>
      <c r="K35" s="167" t="s">
        <v>154</v>
      </c>
      <c r="L35" s="167" t="s">
        <v>152</v>
      </c>
      <c r="O35" s="263" t="s">
        <v>797</v>
      </c>
      <c r="P35" s="198" t="s">
        <v>798</v>
      </c>
      <c r="Q35" s="264">
        <v>0</v>
      </c>
      <c r="S35" s="53" t="s">
        <v>31</v>
      </c>
    </row>
    <row r="36" spans="1:23" outlineLevel="1" x14ac:dyDescent="0.3">
      <c r="A36" s="152" t="str">
        <f t="shared" si="1"/>
        <v>Z_BP_15_CS</v>
      </c>
      <c r="B36" s="151" t="str">
        <f t="shared" si="4"/>
        <v>BP</v>
      </c>
      <c r="C36" s="152" t="s">
        <v>81</v>
      </c>
      <c r="D36" s="189"/>
      <c r="E36" s="166" t="str">
        <f>IFERROR(IF(D36&lt;&gt;"",D36,HLOOKUP($E$2,$F$2:K36,ROW(D36)-1,0)),F36)</f>
        <v>PP</v>
      </c>
      <c r="F36" s="166" t="s">
        <v>155</v>
      </c>
      <c r="G36" s="166" t="s">
        <v>156</v>
      </c>
      <c r="H36" s="166" t="s">
        <v>157</v>
      </c>
      <c r="I36" s="166" t="s">
        <v>155</v>
      </c>
      <c r="J36" s="166" t="s">
        <v>155</v>
      </c>
      <c r="K36" s="166" t="s">
        <v>158</v>
      </c>
      <c r="L36" s="166" t="s">
        <v>156</v>
      </c>
      <c r="O36" s="261" t="s">
        <v>799</v>
      </c>
      <c r="P36" s="256" t="s">
        <v>800</v>
      </c>
      <c r="Q36" s="262">
        <v>0</v>
      </c>
      <c r="S36" s="53" t="s">
        <v>31</v>
      </c>
    </row>
    <row r="37" spans="1:23" outlineLevel="1" x14ac:dyDescent="0.3">
      <c r="A37" s="154" t="str">
        <f t="shared" si="1"/>
        <v>Z_BP_16_CS</v>
      </c>
      <c r="B37" s="153" t="str">
        <f>B36</f>
        <v>BP</v>
      </c>
      <c r="C37" s="154">
        <v>16</v>
      </c>
      <c r="D37" s="190"/>
      <c r="E37" s="167" t="str">
        <f>IFERROR(IF(D37&lt;&gt;"",D37,HLOOKUP($E$2,$F$2:K37,ROW(D37)-1,0)),F37)</f>
        <v>CL</v>
      </c>
      <c r="F37" s="167" t="s">
        <v>160</v>
      </c>
      <c r="G37" s="167" t="s">
        <v>160</v>
      </c>
      <c r="H37" s="167" t="s">
        <v>160</v>
      </c>
      <c r="I37" s="167" t="s">
        <v>160</v>
      </c>
      <c r="J37" s="167" t="s">
        <v>160</v>
      </c>
      <c r="K37" s="167" t="s">
        <v>160</v>
      </c>
      <c r="L37" s="167" t="s">
        <v>160</v>
      </c>
      <c r="O37" s="263" t="s">
        <v>801</v>
      </c>
      <c r="P37" s="198" t="s">
        <v>802</v>
      </c>
      <c r="Q37" s="264">
        <v>0</v>
      </c>
      <c r="S37" s="53" t="s">
        <v>31</v>
      </c>
      <c r="U37" s="209" t="s">
        <v>588</v>
      </c>
      <c r="V37" s="209" t="s">
        <v>589</v>
      </c>
      <c r="W37" s="209" t="s">
        <v>590</v>
      </c>
    </row>
    <row r="38" spans="1:23" outlineLevel="1" x14ac:dyDescent="0.3">
      <c r="A38" s="152" t="str">
        <f t="shared" si="1"/>
        <v>Z_BP_17_CS</v>
      </c>
      <c r="B38" s="151" t="str">
        <f t="shared" si="4"/>
        <v>BP</v>
      </c>
      <c r="C38" s="152" t="s">
        <v>161</v>
      </c>
      <c r="D38" s="189"/>
      <c r="E38" s="166" t="str">
        <f>IFERROR(IF(D38&lt;&gt;"",D38,HLOOKUP($E$2,$F$2:K38,ROW(D38)-1,0)),F38)</f>
        <v xml:space="preserve">Pareja </v>
      </c>
      <c r="F38" s="166" t="s">
        <v>162</v>
      </c>
      <c r="G38" s="166" t="s">
        <v>163</v>
      </c>
      <c r="H38" s="166" t="s">
        <v>164</v>
      </c>
      <c r="I38" s="166" t="s">
        <v>165</v>
      </c>
      <c r="J38" s="166" t="s">
        <v>166</v>
      </c>
      <c r="K38" s="166" t="s">
        <v>167</v>
      </c>
      <c r="L38" s="166" t="s">
        <v>689</v>
      </c>
      <c r="O38" s="261" t="s">
        <v>803</v>
      </c>
      <c r="P38" s="256" t="s">
        <v>804</v>
      </c>
      <c r="Q38" s="262">
        <v>0</v>
      </c>
      <c r="S38" s="53" t="s">
        <v>31</v>
      </c>
      <c r="U38" s="198" t="s">
        <v>591</v>
      </c>
      <c r="V38" s="198" t="s">
        <v>592</v>
      </c>
      <c r="W38" s="211" t="s">
        <v>490</v>
      </c>
    </row>
    <row r="39" spans="1:23" outlineLevel="1" x14ac:dyDescent="0.3">
      <c r="A39" s="154" t="str">
        <f t="shared" si="1"/>
        <v>Z_BP_18_CS</v>
      </c>
      <c r="B39" s="153" t="str">
        <f t="shared" si="4"/>
        <v>BP</v>
      </c>
      <c r="C39" s="154" t="s">
        <v>168</v>
      </c>
      <c r="D39" s="190"/>
      <c r="E39" s="167" t="str">
        <f>IFERROR(IF(D39&lt;&gt;"",D39,HLOOKUP($E$2,$F$2:K39,ROW(D39)-1,0)),F39)</f>
        <v>Mayúsculas</v>
      </c>
      <c r="F39" s="167" t="s">
        <v>3</v>
      </c>
      <c r="G39" s="167" t="s">
        <v>169</v>
      </c>
      <c r="H39" s="167" t="s">
        <v>170</v>
      </c>
      <c r="I39" s="167" t="s">
        <v>171</v>
      </c>
      <c r="J39" s="167" t="s">
        <v>172</v>
      </c>
      <c r="K39" s="167" t="s">
        <v>173</v>
      </c>
      <c r="L39" s="167" t="s">
        <v>690</v>
      </c>
      <c r="O39" s="263" t="s">
        <v>805</v>
      </c>
      <c r="P39" s="198" t="s">
        <v>806</v>
      </c>
      <c r="Q39" s="264">
        <v>0</v>
      </c>
      <c r="S39" s="53" t="s">
        <v>31</v>
      </c>
      <c r="U39" s="198" t="s">
        <v>593</v>
      </c>
      <c r="V39" s="198" t="s">
        <v>594</v>
      </c>
      <c r="W39" s="211" t="s">
        <v>490</v>
      </c>
    </row>
    <row r="40" spans="1:23" outlineLevel="1" x14ac:dyDescent="0.3">
      <c r="A40" s="152" t="str">
        <f t="shared" si="1"/>
        <v>Z_BP_19_CS</v>
      </c>
      <c r="B40" s="151" t="str">
        <f t="shared" si="4"/>
        <v>BP</v>
      </c>
      <c r="C40" s="152" t="s">
        <v>174</v>
      </c>
      <c r="D40" s="189"/>
      <c r="E40" s="166" t="str">
        <f>IFERROR(IF(D40&lt;&gt;"",D40,HLOOKUP($E$2,$F$2:K40,ROW(D40)-1,0)),F40)</f>
        <v>Respuesta</v>
      </c>
      <c r="F40" s="166" t="s">
        <v>175</v>
      </c>
      <c r="G40" s="166" t="s">
        <v>176</v>
      </c>
      <c r="H40" s="166" t="s">
        <v>177</v>
      </c>
      <c r="I40" s="166" t="s">
        <v>178</v>
      </c>
      <c r="J40" s="166" t="s">
        <v>126</v>
      </c>
      <c r="K40" s="166" t="s">
        <v>179</v>
      </c>
      <c r="L40" s="166" t="s">
        <v>691</v>
      </c>
      <c r="O40" s="261" t="s">
        <v>807</v>
      </c>
      <c r="P40" s="256" t="s">
        <v>808</v>
      </c>
      <c r="Q40" s="262">
        <v>0</v>
      </c>
      <c r="S40" s="53" t="s">
        <v>31</v>
      </c>
      <c r="U40" s="198" t="s">
        <v>595</v>
      </c>
      <c r="V40" s="198" t="s">
        <v>596</v>
      </c>
      <c r="W40" s="211" t="s">
        <v>490</v>
      </c>
    </row>
    <row r="41" spans="1:23" outlineLevel="1" x14ac:dyDescent="0.3">
      <c r="A41" s="154" t="str">
        <f t="shared" si="1"/>
        <v>Z_BP_20_CS</v>
      </c>
      <c r="B41" s="153" t="str">
        <f t="shared" si="4"/>
        <v>BP</v>
      </c>
      <c r="C41" s="154" t="s">
        <v>180</v>
      </c>
      <c r="D41" s="190"/>
      <c r="E41" s="167" t="str">
        <f>IFERROR(IF(D41&lt;&gt;"",D41,HLOOKUP($E$2,$F$2:K41,ROW(D41)-1,0)),F41)</f>
        <v xml:space="preserve">Palabra </v>
      </c>
      <c r="F41" s="167" t="s">
        <v>181</v>
      </c>
      <c r="G41" s="167" t="s">
        <v>182</v>
      </c>
      <c r="H41" s="167" t="s">
        <v>183</v>
      </c>
      <c r="I41" s="167" t="s">
        <v>184</v>
      </c>
      <c r="J41" s="167" t="s">
        <v>185</v>
      </c>
      <c r="K41" s="167" t="s">
        <v>186</v>
      </c>
      <c r="L41" s="167" t="s">
        <v>692</v>
      </c>
      <c r="O41" s="263" t="s">
        <v>809</v>
      </c>
      <c r="P41" s="198" t="s">
        <v>810</v>
      </c>
      <c r="Q41" s="264">
        <v>0</v>
      </c>
      <c r="S41" s="53" t="s">
        <v>31</v>
      </c>
      <c r="U41" s="198" t="s">
        <v>597</v>
      </c>
      <c r="V41" s="198" t="s">
        <v>598</v>
      </c>
      <c r="W41" s="211" t="s">
        <v>488</v>
      </c>
    </row>
    <row r="42" spans="1:23" outlineLevel="1" x14ac:dyDescent="0.3">
      <c r="A42" s="152" t="str">
        <f t="shared" si="1"/>
        <v>Z_BP_21_CS</v>
      </c>
      <c r="B42" s="151" t="str">
        <f t="shared" si="4"/>
        <v>BP</v>
      </c>
      <c r="C42" s="152" t="s">
        <v>187</v>
      </c>
      <c r="D42" s="189"/>
      <c r="E42" s="166" t="str">
        <f>IFERROR(IF(D42&lt;&gt;"",D42,HLOOKUP($E$2,$F$2:K42,ROW(D42)-1,0)),F42)</f>
        <v>VERDADERO</v>
      </c>
      <c r="F42" s="166" t="s">
        <v>188</v>
      </c>
      <c r="G42" s="166" t="s">
        <v>189</v>
      </c>
      <c r="H42" s="166" t="s">
        <v>190</v>
      </c>
      <c r="I42" s="166" t="s">
        <v>191</v>
      </c>
      <c r="J42" s="166" t="s">
        <v>192</v>
      </c>
      <c r="K42" s="166" t="s">
        <v>193</v>
      </c>
      <c r="L42" s="166" t="s">
        <v>693</v>
      </c>
      <c r="O42" s="261" t="s">
        <v>811</v>
      </c>
      <c r="P42" s="256" t="s">
        <v>812</v>
      </c>
      <c r="Q42" s="262">
        <v>0</v>
      </c>
      <c r="S42" s="53" t="s">
        <v>31</v>
      </c>
      <c r="U42" s="198" t="s">
        <v>599</v>
      </c>
      <c r="V42" s="198" t="s">
        <v>600</v>
      </c>
      <c r="W42" s="211" t="s">
        <v>488</v>
      </c>
    </row>
    <row r="43" spans="1:23" outlineLevel="1" x14ac:dyDescent="0.3">
      <c r="A43" s="154" t="str">
        <f t="shared" si="1"/>
        <v>Z_BP_22_CS</v>
      </c>
      <c r="B43" s="153" t="str">
        <f t="shared" si="4"/>
        <v>BP</v>
      </c>
      <c r="C43" s="154" t="s">
        <v>194</v>
      </c>
      <c r="D43" s="190"/>
      <c r="E43" s="167" t="str">
        <f>IFERROR(IF(D43&lt;&gt;"",D43,HLOOKUP($E$2,$F$2:K43,ROW(D43)-1,0)),F43)</f>
        <v>FALSO</v>
      </c>
      <c r="F43" s="167" t="s">
        <v>195</v>
      </c>
      <c r="G43" s="167" t="s">
        <v>196</v>
      </c>
      <c r="H43" s="167" t="s">
        <v>197</v>
      </c>
      <c r="I43" s="167" t="s">
        <v>195</v>
      </c>
      <c r="J43" s="167" t="s">
        <v>195</v>
      </c>
      <c r="K43" s="167" t="s">
        <v>198</v>
      </c>
      <c r="L43" s="167" t="s">
        <v>694</v>
      </c>
      <c r="O43" s="263" t="s">
        <v>813</v>
      </c>
      <c r="P43" s="198" t="s">
        <v>814</v>
      </c>
      <c r="Q43" s="264">
        <v>0</v>
      </c>
      <c r="S43" s="53" t="s">
        <v>31</v>
      </c>
      <c r="U43" s="198" t="s">
        <v>601</v>
      </c>
      <c r="V43" s="198" t="s">
        <v>602</v>
      </c>
      <c r="W43" s="211" t="s">
        <v>490</v>
      </c>
    </row>
    <row r="44" spans="1:23" outlineLevel="1" x14ac:dyDescent="0.3">
      <c r="A44" s="152" t="str">
        <f t="shared" si="1"/>
        <v>Z_BP_23_CS</v>
      </c>
      <c r="B44" s="151" t="str">
        <f t="shared" si="4"/>
        <v>BP</v>
      </c>
      <c r="C44" s="152" t="s">
        <v>199</v>
      </c>
      <c r="D44" s="189"/>
      <c r="E44" s="166" t="str">
        <f>IFERROR(IF(D44&lt;&gt;"",D44,HLOOKUP($E$2,$F$2:K44,ROW(D44)-1,0)),F44)</f>
        <v xml:space="preserve">Grupo </v>
      </c>
      <c r="F44" s="166" t="s">
        <v>200</v>
      </c>
      <c r="G44" s="166" t="s">
        <v>201</v>
      </c>
      <c r="H44" s="166" t="s">
        <v>202</v>
      </c>
      <c r="I44" s="166" t="s">
        <v>203</v>
      </c>
      <c r="J44" s="166" t="s">
        <v>204</v>
      </c>
      <c r="K44" s="166" t="s">
        <v>205</v>
      </c>
      <c r="L44" s="166" t="s">
        <v>695</v>
      </c>
      <c r="M44" t="s">
        <v>31</v>
      </c>
      <c r="N44" t="s">
        <v>31</v>
      </c>
      <c r="O44" s="261" t="s">
        <v>815</v>
      </c>
      <c r="P44" s="256" t="s">
        <v>816</v>
      </c>
      <c r="Q44" s="262">
        <v>0</v>
      </c>
      <c r="S44" s="53" t="s">
        <v>31</v>
      </c>
      <c r="U44" s="197">
        <f>COUNTA(Tabla_Comandos[CommandBars])</f>
        <v>6</v>
      </c>
      <c r="V44" s="198"/>
      <c r="W44" s="198"/>
    </row>
    <row r="45" spans="1:23" outlineLevel="1" x14ac:dyDescent="0.3">
      <c r="A45" s="154" t="str">
        <f t="shared" ref="A45:A52" si="5">$A$1&amp;B45&amp;"_"&amp;C45&amp;"_"&amp;$A$2</f>
        <v>Z_BP_24_CS</v>
      </c>
      <c r="B45" s="153" t="str">
        <f t="shared" si="4"/>
        <v>BP</v>
      </c>
      <c r="C45" s="154" t="s">
        <v>254</v>
      </c>
      <c r="D45" s="190"/>
      <c r="E45" s="167" t="str">
        <f>IFERROR(IF(D45&lt;&gt;"",D45,HLOOKUP($E$2,$F$2:K45,ROW(D45)-1,0)),F45)</f>
        <v>Formato de la Respuesta</v>
      </c>
      <c r="F45" s="167" t="s">
        <v>212</v>
      </c>
      <c r="G45" s="167" t="s">
        <v>213</v>
      </c>
      <c r="H45" s="167" t="s">
        <v>214</v>
      </c>
      <c r="I45" s="167" t="s">
        <v>215</v>
      </c>
      <c r="J45" s="167" t="s">
        <v>216</v>
      </c>
      <c r="K45" s="167" t="s">
        <v>217</v>
      </c>
      <c r="L45" s="167" t="s">
        <v>696</v>
      </c>
      <c r="O45" s="263" t="s">
        <v>817</v>
      </c>
      <c r="P45" s="198" t="s">
        <v>818</v>
      </c>
      <c r="Q45" s="264">
        <v>0</v>
      </c>
      <c r="S45" s="53" t="s">
        <v>31</v>
      </c>
    </row>
    <row r="46" spans="1:23" outlineLevel="1" x14ac:dyDescent="0.3">
      <c r="A46" s="152" t="str">
        <f t="shared" si="5"/>
        <v>Z_BP_25_CS</v>
      </c>
      <c r="B46" s="151" t="str">
        <f t="shared" si="4"/>
        <v>BP</v>
      </c>
      <c r="C46" s="152" t="s">
        <v>255</v>
      </c>
      <c r="D46" s="189"/>
      <c r="E46" s="166" t="str">
        <f>IFERROR(IF(D46&lt;&gt;"",D46,HLOOKUP($E$2,$F$2:K46,ROW(D46)-1,0)),F46)</f>
        <v>Requerir texto</v>
      </c>
      <c r="F46" s="166" t="s">
        <v>218</v>
      </c>
      <c r="G46" s="166" t="s">
        <v>219</v>
      </c>
      <c r="H46" s="166" t="s">
        <v>220</v>
      </c>
      <c r="I46" s="166" t="s">
        <v>221</v>
      </c>
      <c r="J46" s="166" t="s">
        <v>222</v>
      </c>
      <c r="K46" s="166" t="s">
        <v>223</v>
      </c>
      <c r="L46" s="166" t="s">
        <v>697</v>
      </c>
      <c r="O46" s="261" t="s">
        <v>819</v>
      </c>
      <c r="P46" s="256" t="s">
        <v>820</v>
      </c>
      <c r="Q46" s="262" t="s">
        <v>821</v>
      </c>
      <c r="S46" s="53" t="s">
        <v>31</v>
      </c>
    </row>
    <row r="47" spans="1:23" outlineLevel="1" x14ac:dyDescent="0.3">
      <c r="A47" s="154" t="str">
        <f t="shared" si="5"/>
        <v>Z_BP_26_CS</v>
      </c>
      <c r="B47" s="153" t="str">
        <f t="shared" si="4"/>
        <v>BP</v>
      </c>
      <c r="C47" s="154" t="s">
        <v>256</v>
      </c>
      <c r="D47" s="190"/>
      <c r="E47" s="167" t="str">
        <f>IFERROR(IF(D47&lt;&gt;"",D47,HLOOKUP($E$2,$F$2:K47,ROW(D47)-1,0)),F47)</f>
        <v>Tamaño de la caja de entrada</v>
      </c>
      <c r="F47" s="167" t="s">
        <v>224</v>
      </c>
      <c r="G47" s="167" t="s">
        <v>225</v>
      </c>
      <c r="H47" s="167" t="s">
        <v>226</v>
      </c>
      <c r="I47" s="167" t="s">
        <v>227</v>
      </c>
      <c r="J47" s="167" t="s">
        <v>228</v>
      </c>
      <c r="K47" s="167" t="s">
        <v>229</v>
      </c>
      <c r="L47" s="167" t="s">
        <v>698</v>
      </c>
      <c r="O47" s="263" t="s">
        <v>822</v>
      </c>
      <c r="P47" s="198" t="s">
        <v>823</v>
      </c>
      <c r="Q47" s="264" t="s">
        <v>821</v>
      </c>
    </row>
    <row r="48" spans="1:23" outlineLevel="1" x14ac:dyDescent="0.3">
      <c r="A48" s="152" t="str">
        <f t="shared" si="5"/>
        <v>Z_BP_27_CS</v>
      </c>
      <c r="B48" s="151" t="str">
        <f t="shared" si="4"/>
        <v>BP</v>
      </c>
      <c r="C48" s="152" t="s">
        <v>257</v>
      </c>
      <c r="D48" s="189"/>
      <c r="E48" s="166" t="str">
        <f>IFERROR(IF(D48&lt;&gt;"",D48,HLOOKUP($E$2,$F$2:K48,ROW(D48)-1,0)),F48)</f>
        <v>Permitir archivos adjuntos</v>
      </c>
      <c r="F48" s="166" t="s">
        <v>230</v>
      </c>
      <c r="G48" s="166" t="s">
        <v>231</v>
      </c>
      <c r="H48" s="166" t="s">
        <v>232</v>
      </c>
      <c r="I48" s="166" t="s">
        <v>233</v>
      </c>
      <c r="J48" s="166" t="s">
        <v>234</v>
      </c>
      <c r="K48" s="166" t="s">
        <v>235</v>
      </c>
      <c r="L48" s="166" t="s">
        <v>699</v>
      </c>
      <c r="O48" s="261" t="s">
        <v>824</v>
      </c>
      <c r="P48" s="256" t="s">
        <v>825</v>
      </c>
      <c r="Q48" s="262" t="s">
        <v>821</v>
      </c>
    </row>
    <row r="49" spans="1:18" outlineLevel="1" x14ac:dyDescent="0.3">
      <c r="A49" s="154" t="str">
        <f t="shared" si="5"/>
        <v>Z_BP_28_CS</v>
      </c>
      <c r="B49" s="153" t="str">
        <f t="shared" si="4"/>
        <v>BP</v>
      </c>
      <c r="C49" s="154" t="s">
        <v>258</v>
      </c>
      <c r="D49" s="190"/>
      <c r="E49" s="167" t="str">
        <f>IFERROR(IF(D49&lt;&gt;"",D49,HLOOKUP($E$2,$F$2:K49,ROW(D49)-1,0)),F49)</f>
        <v>Archivos adjuntos requeridos</v>
      </c>
      <c r="F49" s="167" t="s">
        <v>236</v>
      </c>
      <c r="G49" s="167" t="s">
        <v>237</v>
      </c>
      <c r="H49" s="167" t="s">
        <v>238</v>
      </c>
      <c r="I49" s="167" t="s">
        <v>239</v>
      </c>
      <c r="J49" s="167" t="s">
        <v>240</v>
      </c>
      <c r="K49" s="167" t="s">
        <v>241</v>
      </c>
      <c r="L49" s="167" t="s">
        <v>700</v>
      </c>
      <c r="O49" s="263" t="s">
        <v>826</v>
      </c>
      <c r="P49" s="198" t="s">
        <v>827</v>
      </c>
      <c r="Q49" s="264" t="s">
        <v>821</v>
      </c>
    </row>
    <row r="50" spans="1:18" ht="15" outlineLevel="1" thickBot="1" x14ac:dyDescent="0.35">
      <c r="A50" s="152" t="str">
        <f t="shared" si="5"/>
        <v>Z_BP_29_CS</v>
      </c>
      <c r="B50" s="151" t="str">
        <f t="shared" si="4"/>
        <v>BP</v>
      </c>
      <c r="C50" s="152" t="s">
        <v>259</v>
      </c>
      <c r="D50" s="189"/>
      <c r="E50" s="166" t="str">
        <f>IFERROR(IF(D50&lt;&gt;"",D50,HLOOKUP($E$2,$F$2:K50,ROW(D50)-1,0)),F50)</f>
        <v>Plantilla de Respuesta</v>
      </c>
      <c r="F50" s="166" t="s">
        <v>242</v>
      </c>
      <c r="G50" s="166" t="s">
        <v>243</v>
      </c>
      <c r="H50" s="166" t="s">
        <v>244</v>
      </c>
      <c r="I50" s="166" t="s">
        <v>245</v>
      </c>
      <c r="J50" s="166" t="s">
        <v>246</v>
      </c>
      <c r="K50" s="166" t="s">
        <v>247</v>
      </c>
      <c r="L50" s="166" t="s">
        <v>701</v>
      </c>
      <c r="O50" s="265" t="s">
        <v>828</v>
      </c>
      <c r="P50" s="266" t="s">
        <v>829</v>
      </c>
      <c r="Q50" s="267" t="s">
        <v>821</v>
      </c>
    </row>
    <row r="51" spans="1:18" outlineLevel="1" x14ac:dyDescent="0.3">
      <c r="A51" s="154" t="str">
        <f t="shared" si="5"/>
        <v>Z_BP_30_CS</v>
      </c>
      <c r="B51" s="153" t="str">
        <f t="shared" si="4"/>
        <v>BP</v>
      </c>
      <c r="C51" s="154" t="s">
        <v>260</v>
      </c>
      <c r="D51" s="190"/>
      <c r="E51" s="167" t="str">
        <f>IFERROR(IF(D51&lt;&gt;"",D51,HLOOKUP($E$2,$F$2:K51,ROW(D51)-1,0)),F51)</f>
        <v>Información para el evaluador</v>
      </c>
      <c r="F51" s="167" t="s">
        <v>248</v>
      </c>
      <c r="G51" s="167" t="s">
        <v>249</v>
      </c>
      <c r="H51" s="167" t="s">
        <v>250</v>
      </c>
      <c r="I51" s="167" t="s">
        <v>251</v>
      </c>
      <c r="J51" s="167" t="s">
        <v>252</v>
      </c>
      <c r="K51" s="167" t="s">
        <v>253</v>
      </c>
      <c r="L51" s="167" t="s">
        <v>702</v>
      </c>
      <c r="O51" s="257"/>
      <c r="P51" s="257"/>
      <c r="Q51" s="257"/>
    </row>
    <row r="52" spans="1:18" outlineLevel="1" x14ac:dyDescent="0.3">
      <c r="A52" s="152" t="str">
        <f t="shared" si="5"/>
        <v>Z_BP_31_CS</v>
      </c>
      <c r="B52" s="151" t="str">
        <f t="shared" si="4"/>
        <v>BP</v>
      </c>
      <c r="C52" s="152" t="s">
        <v>261</v>
      </c>
      <c r="D52" s="189"/>
      <c r="E52" s="166" t="str">
        <f>IFERROR(IF(D52&lt;&gt;"",D52,HLOOKUP($E$2,$F$2:K52,ROW(D52)-1,0)),F52)</f>
        <v>EN</v>
      </c>
      <c r="F52" s="166" t="s">
        <v>211</v>
      </c>
      <c r="G52" s="166" t="s">
        <v>262</v>
      </c>
      <c r="H52" s="166" t="s">
        <v>263</v>
      </c>
      <c r="I52" s="166" t="s">
        <v>211</v>
      </c>
      <c r="J52" s="166" t="s">
        <v>263</v>
      </c>
      <c r="K52" s="166" t="s">
        <v>264</v>
      </c>
      <c r="L52" s="166" t="s">
        <v>262</v>
      </c>
      <c r="O52" s="257"/>
      <c r="P52" s="257"/>
      <c r="Q52" s="257"/>
    </row>
    <row r="53" spans="1:18" outlineLevel="1" x14ac:dyDescent="0.3">
      <c r="A53" s="154" t="str">
        <f t="shared" ref="A53:A57" si="6">$A$1&amp;B53&amp;"_"&amp;C53&amp;"_"&amp;$A$2</f>
        <v>Z_BP_32_CS</v>
      </c>
      <c r="B53" s="153" t="str">
        <f t="shared" si="4"/>
        <v>BP</v>
      </c>
      <c r="C53" s="154">
        <v>32</v>
      </c>
      <c r="D53" s="190"/>
      <c r="E53" s="167" t="str">
        <f>IFERROR(IF(D53&lt;&gt;"",D53,HLOOKUP($E$2,$F$2:K53,ROW(D53)-1,0)),F53)</f>
        <v>Ancho RC</v>
      </c>
      <c r="F53" s="167" t="s">
        <v>269</v>
      </c>
      <c r="G53" s="167" t="s">
        <v>270</v>
      </c>
      <c r="H53" s="167" t="s">
        <v>271</v>
      </c>
      <c r="I53" s="167" t="s">
        <v>272</v>
      </c>
      <c r="J53" s="167" t="s">
        <v>273</v>
      </c>
      <c r="K53" s="167" t="s">
        <v>274</v>
      </c>
      <c r="L53" s="167" t="s">
        <v>703</v>
      </c>
      <c r="O53" s="257"/>
      <c r="P53" s="257"/>
      <c r="Q53" s="257"/>
    </row>
    <row r="54" spans="1:18" outlineLevel="1" x14ac:dyDescent="0.3">
      <c r="A54" s="152" t="str">
        <f t="shared" si="6"/>
        <v>Z_BP_33_CS</v>
      </c>
      <c r="B54" s="151" t="str">
        <f t="shared" si="4"/>
        <v>BP</v>
      </c>
      <c r="C54" s="152">
        <v>33</v>
      </c>
      <c r="D54" s="189"/>
      <c r="E54" s="166" t="str">
        <f>IFERROR(IF(D54&lt;&gt;"",D54,HLOOKUP($E$2,$F$2:K54,ROW(D54)-1,0)),F54)</f>
        <v>Nº max. Respuestas</v>
      </c>
      <c r="F54" s="166" t="s">
        <v>718</v>
      </c>
      <c r="G54" s="166" t="s">
        <v>719</v>
      </c>
      <c r="H54" s="166" t="s">
        <v>720</v>
      </c>
      <c r="I54" s="166" t="s">
        <v>721</v>
      </c>
      <c r="J54" s="166" t="s">
        <v>724</v>
      </c>
      <c r="K54" s="166" t="s">
        <v>722</v>
      </c>
      <c r="L54" s="166" t="s">
        <v>723</v>
      </c>
      <c r="O54" s="257"/>
      <c r="P54" s="257"/>
      <c r="Q54" s="257"/>
    </row>
    <row r="55" spans="1:18" x14ac:dyDescent="0.3">
      <c r="A55" s="55" t="str">
        <f t="shared" si="6"/>
        <v>Z_TX_00_CS</v>
      </c>
      <c r="B55" s="54" t="s">
        <v>448</v>
      </c>
      <c r="C55" s="55" t="s">
        <v>26</v>
      </c>
      <c r="D55" s="188"/>
      <c r="E55" s="165" t="str">
        <f>IFERROR(IF(D55&lt;&gt;"",D55,HLOOKUP($E$2,$F$2:K55,ROW(D55)-1,0)),F55)</f>
        <v>MENSAJES MACROS</v>
      </c>
      <c r="F55" s="187" t="s">
        <v>439</v>
      </c>
      <c r="G55" s="187" t="s">
        <v>440</v>
      </c>
      <c r="H55" s="187" t="s">
        <v>439</v>
      </c>
      <c r="I55" s="187" t="s">
        <v>439</v>
      </c>
      <c r="J55" s="187" t="s">
        <v>439</v>
      </c>
      <c r="K55" s="187" t="s">
        <v>441</v>
      </c>
      <c r="L55" s="187" t="s">
        <v>704</v>
      </c>
      <c r="M55" s="53" t="s">
        <v>31</v>
      </c>
      <c r="N55" s="53" t="s">
        <v>31</v>
      </c>
      <c r="O55" s="53"/>
      <c r="P55" s="53"/>
      <c r="Q55" s="53"/>
      <c r="R55" s="53"/>
    </row>
    <row r="56" spans="1:18" outlineLevel="1" x14ac:dyDescent="0.3">
      <c r="A56" s="152" t="str">
        <f t="shared" si="6"/>
        <v>Z_TX_01_CS</v>
      </c>
      <c r="B56" s="151" t="s">
        <v>448</v>
      </c>
      <c r="C56" s="152" t="s">
        <v>32</v>
      </c>
      <c r="D56" s="189"/>
      <c r="E56" s="166" t="str">
        <f>IFERROR(IF(D56&lt;&gt;"",D56,HLOOKUP($E$2,$F$2:K56,ROW(D56)-1,0)),F56)</f>
        <v>Copia el link (Ctrl+C) y 
pega (Ctrl+V) en Internet.</v>
      </c>
      <c r="F56" s="166" t="s">
        <v>442</v>
      </c>
      <c r="G56" s="166" t="s">
        <v>443</v>
      </c>
      <c r="H56" s="166" t="s">
        <v>444</v>
      </c>
      <c r="I56" s="166" t="s">
        <v>445</v>
      </c>
      <c r="J56" s="166" t="s">
        <v>446</v>
      </c>
      <c r="K56" s="166" t="s">
        <v>447</v>
      </c>
      <c r="L56" s="166" t="s">
        <v>705</v>
      </c>
    </row>
    <row r="57" spans="1:18" outlineLevel="1" x14ac:dyDescent="0.3">
      <c r="A57" s="154" t="str">
        <f t="shared" si="6"/>
        <v>Z_TX_92_1_CS</v>
      </c>
      <c r="B57" s="153" t="str">
        <f t="shared" ref="B57:B66" si="7">B56</f>
        <v>TX</v>
      </c>
      <c r="C57" s="154" t="s">
        <v>506</v>
      </c>
      <c r="D57" s="190"/>
      <c r="E57" s="167" t="str">
        <f>IFERROR(IF(D57&lt;&gt;"",D57,HLOOKUP($E$2,$F$2:K57,ROW(D57)-1,0)),F57)</f>
        <v>MENÚ GENERAL</v>
      </c>
      <c r="F57" s="167" t="s">
        <v>507</v>
      </c>
      <c r="G57" s="167" t="s">
        <v>508</v>
      </c>
      <c r="H57" s="167" t="s">
        <v>509</v>
      </c>
      <c r="I57" s="167" t="s">
        <v>510</v>
      </c>
      <c r="J57" s="167" t="s">
        <v>511</v>
      </c>
      <c r="K57" s="167" t="s">
        <v>512</v>
      </c>
      <c r="L57" s="167" t="s">
        <v>706</v>
      </c>
    </row>
    <row r="58" spans="1:18" outlineLevel="1" x14ac:dyDescent="0.3">
      <c r="A58" s="152" t="str">
        <f>$A$1&amp;B58&amp;"_"&amp;C58&amp;"_"&amp;$A$2</f>
        <v>Z_TX_92_2_CS</v>
      </c>
      <c r="B58" s="151" t="str">
        <f t="shared" si="7"/>
        <v>TX</v>
      </c>
      <c r="C58" s="152" t="s">
        <v>513</v>
      </c>
      <c r="D58" s="189"/>
      <c r="E58" s="166" t="str">
        <f>IFERROR(IF(D58&lt;&gt;"",D58,HLOOKUP($E$2,$F$2:K58,ROW(D58)-1,0)),F58)</f>
        <v xml:space="preserve">GUARDAR </v>
      </c>
      <c r="F58" s="166" t="s">
        <v>514</v>
      </c>
      <c r="G58" s="166" t="s">
        <v>515</v>
      </c>
      <c r="H58" s="166" t="s">
        <v>516</v>
      </c>
      <c r="I58" s="166" t="s">
        <v>517</v>
      </c>
      <c r="J58" s="166" t="s">
        <v>518</v>
      </c>
      <c r="K58" s="166" t="s">
        <v>519</v>
      </c>
      <c r="L58" s="166" t="s">
        <v>707</v>
      </c>
    </row>
    <row r="59" spans="1:18" outlineLevel="1" x14ac:dyDescent="0.3">
      <c r="A59" s="154" t="str">
        <f t="shared" ref="A59" si="8">$A$1&amp;B59&amp;"_"&amp;C59&amp;"_"&amp;$A$2</f>
        <v>Z_TX_92_3_CS</v>
      </c>
      <c r="B59" s="153" t="str">
        <f t="shared" si="7"/>
        <v>TX</v>
      </c>
      <c r="C59" s="154" t="s">
        <v>520</v>
      </c>
      <c r="D59" s="190"/>
      <c r="E59" s="167" t="str">
        <f>IFERROR(IF(D59&lt;&gt;"",D59,HLOOKUP($E$2,$F$2:K59,ROW(D59)-1,0)),F59)</f>
        <v>CERRAR</v>
      </c>
      <c r="F59" s="167" t="s">
        <v>521</v>
      </c>
      <c r="G59" s="167" t="s">
        <v>522</v>
      </c>
      <c r="H59" s="167" t="s">
        <v>523</v>
      </c>
      <c r="I59" s="167" t="s">
        <v>524</v>
      </c>
      <c r="J59" s="167" t="s">
        <v>525</v>
      </c>
      <c r="K59" s="167" t="s">
        <v>526</v>
      </c>
      <c r="L59" s="167" t="s">
        <v>708</v>
      </c>
    </row>
    <row r="60" spans="1:18" outlineLevel="1" x14ac:dyDescent="0.3">
      <c r="A60" s="152" t="str">
        <f>$A$1&amp;B60&amp;"_"&amp;C60&amp;"_"&amp;$A$2</f>
        <v>Z_TX_92_4_CS</v>
      </c>
      <c r="B60" s="151" t="str">
        <f t="shared" si="7"/>
        <v>TX</v>
      </c>
      <c r="C60" s="152" t="s">
        <v>527</v>
      </c>
      <c r="D60" s="189"/>
      <c r="E60" s="166" t="str">
        <f>IFERROR(IF(D60&lt;&gt;"",D60,HLOOKUP($E$2,$F$2:K60,ROW(D60)-1,0)),F60)</f>
        <v>AYUDA</v>
      </c>
      <c r="F60" s="166" t="s">
        <v>528</v>
      </c>
      <c r="G60" s="166" t="s">
        <v>529</v>
      </c>
      <c r="H60" s="166" t="s">
        <v>530</v>
      </c>
      <c r="I60" s="166" t="s">
        <v>531</v>
      </c>
      <c r="J60" s="166" t="s">
        <v>532</v>
      </c>
      <c r="K60" s="166" t="s">
        <v>533</v>
      </c>
      <c r="L60" s="166" t="s">
        <v>709</v>
      </c>
    </row>
    <row r="61" spans="1:18" outlineLevel="1" x14ac:dyDescent="0.3">
      <c r="A61" s="154" t="str">
        <f t="shared" ref="A61" si="9">$A$1&amp;B61&amp;"_"&amp;C61&amp;"_"&amp;$A$2</f>
        <v>Z_TX_92_5_CS</v>
      </c>
      <c r="B61" s="153" t="str">
        <f t="shared" si="7"/>
        <v>TX</v>
      </c>
      <c r="C61" s="154" t="s">
        <v>534</v>
      </c>
      <c r="D61" s="190"/>
      <c r="E61" s="167" t="str">
        <f>IFERROR(IF(D61&lt;&gt;"",D61,HLOOKUP($E$2,$F$2:K61,ROW(D61)-1,0)),F61)</f>
        <v>COPIAR</v>
      </c>
      <c r="F61" s="167" t="s">
        <v>535</v>
      </c>
      <c r="G61" s="167" t="s">
        <v>536</v>
      </c>
      <c r="H61" s="167" t="s">
        <v>537</v>
      </c>
      <c r="I61" s="167" t="s">
        <v>538</v>
      </c>
      <c r="J61" s="167" t="s">
        <v>539</v>
      </c>
      <c r="K61" s="167" t="s">
        <v>540</v>
      </c>
      <c r="L61" s="167" t="s">
        <v>710</v>
      </c>
    </row>
    <row r="62" spans="1:18" outlineLevel="1" x14ac:dyDescent="0.3">
      <c r="A62" s="152" t="str">
        <f>$A$1&amp;B62&amp;"_"&amp;C62&amp;"_"&amp;$A$2</f>
        <v>Z_TX_92_6_CS</v>
      </c>
      <c r="B62" s="151" t="str">
        <f t="shared" si="7"/>
        <v>TX</v>
      </c>
      <c r="C62" s="152" t="s">
        <v>541</v>
      </c>
      <c r="D62" s="189"/>
      <c r="E62" s="166" t="str">
        <f>IFERROR(IF(D62&lt;&gt;"",D62,HLOOKUP($E$2,$F$2:K62,ROW(D62)-1,0)),F62)</f>
        <v>PEGAR</v>
      </c>
      <c r="F62" s="166" t="s">
        <v>542</v>
      </c>
      <c r="G62" s="166" t="s">
        <v>543</v>
      </c>
      <c r="H62" s="166" t="s">
        <v>544</v>
      </c>
      <c r="I62" s="166" t="s">
        <v>545</v>
      </c>
      <c r="J62" s="166" t="s">
        <v>546</v>
      </c>
      <c r="K62" s="166" t="s">
        <v>547</v>
      </c>
      <c r="L62" s="166" t="s">
        <v>711</v>
      </c>
    </row>
    <row r="63" spans="1:18" outlineLevel="1" x14ac:dyDescent="0.3">
      <c r="A63" s="154" t="str">
        <f t="shared" ref="A63" si="10">$A$1&amp;B63&amp;"_"&amp;C63&amp;"_"&amp;$A$2</f>
        <v>Z_TX_92_7_CS</v>
      </c>
      <c r="B63" s="153" t="str">
        <f t="shared" si="7"/>
        <v>TX</v>
      </c>
      <c r="C63" s="154" t="s">
        <v>548</v>
      </c>
      <c r="D63" s="190"/>
      <c r="E63" s="167" t="str">
        <f>IFERROR(IF(D63&lt;&gt;"",D63,HLOOKUP($E$2,$F$2:K63,ROW(D63)-1,0)),F63)</f>
        <v>IR A…</v>
      </c>
      <c r="F63" s="167" t="s">
        <v>549</v>
      </c>
      <c r="G63" s="167" t="s">
        <v>550</v>
      </c>
      <c r="H63" s="167" t="s">
        <v>551</v>
      </c>
      <c r="I63" s="167" t="s">
        <v>552</v>
      </c>
      <c r="J63" s="167" t="s">
        <v>553</v>
      </c>
      <c r="K63" s="167" t="s">
        <v>554</v>
      </c>
      <c r="L63" s="167" t="s">
        <v>712</v>
      </c>
    </row>
    <row r="64" spans="1:18" outlineLevel="1" x14ac:dyDescent="0.3">
      <c r="A64" s="152" t="str">
        <f>$A$1&amp;B64&amp;"_"&amp;C64&amp;"_"&amp;$A$2</f>
        <v>Z_TX_92_8_CS</v>
      </c>
      <c r="B64" s="151" t="str">
        <f t="shared" si="7"/>
        <v>TX</v>
      </c>
      <c r="C64" s="152" t="s">
        <v>555</v>
      </c>
      <c r="D64" s="189"/>
      <c r="E64" s="166" t="str">
        <f>IFERROR(IF(D64&lt;&gt;"",D64,HLOOKUP($E$2,$F$2:K64,ROW(D64)-1,0)),F64)</f>
        <v>LINK DICCIONARIO</v>
      </c>
      <c r="F64" s="166" t="s">
        <v>557</v>
      </c>
      <c r="G64" s="166" t="s">
        <v>558</v>
      </c>
      <c r="H64" s="166" t="s">
        <v>559</v>
      </c>
      <c r="I64" s="166" t="s">
        <v>560</v>
      </c>
      <c r="J64" s="166" t="s">
        <v>561</v>
      </c>
      <c r="K64" s="166" t="s">
        <v>562</v>
      </c>
      <c r="L64" s="166" t="s">
        <v>713</v>
      </c>
    </row>
    <row r="65" spans="1:31" outlineLevel="1" x14ac:dyDescent="0.3">
      <c r="A65" s="154" t="str">
        <f>$A$1&amp;B65&amp;"_"&amp;C65&amp;"_"&amp;$A$2</f>
        <v>Z_TX_92_9_CS</v>
      </c>
      <c r="B65" s="153" t="str">
        <f t="shared" si="7"/>
        <v>TX</v>
      </c>
      <c r="C65" s="154" t="s">
        <v>556</v>
      </c>
      <c r="D65" s="190"/>
      <c r="E65" s="167" t="str">
        <f>IFERROR(IF(D65&lt;&gt;"",D65,HLOOKUP($E$2,$F$2:K65,ROW(D65)-1,0)),F65)</f>
        <v>MENU EXCEL</v>
      </c>
      <c r="F65" s="167" t="s">
        <v>645</v>
      </c>
      <c r="G65" s="167" t="s">
        <v>646</v>
      </c>
      <c r="H65" s="167" t="s">
        <v>646</v>
      </c>
      <c r="I65" s="167" t="s">
        <v>646</v>
      </c>
      <c r="J65" s="167" t="s">
        <v>646</v>
      </c>
      <c r="K65" s="167" t="s">
        <v>647</v>
      </c>
      <c r="L65" s="167" t="s">
        <v>714</v>
      </c>
    </row>
    <row r="66" spans="1:31" outlineLevel="1" x14ac:dyDescent="0.3">
      <c r="A66" s="152" t="str">
        <f>$A$1&amp;B66&amp;"_"&amp;C66&amp;"_"&amp;$A$2</f>
        <v>Z_TX_92_10_CS</v>
      </c>
      <c r="B66" s="151" t="str">
        <f t="shared" si="7"/>
        <v>TX</v>
      </c>
      <c r="C66" s="152" t="s">
        <v>652</v>
      </c>
      <c r="D66" s="189"/>
      <c r="E66" s="166" t="str">
        <f>IFERROR(IF(D66&lt;&gt;"",D66,HLOOKUP($E$2,$F$2:K66,ROW(D66)-1,0)),F66)</f>
        <v>¿Desea guardar los cambios?</v>
      </c>
      <c r="F66" s="166" t="s">
        <v>653</v>
      </c>
      <c r="G66" s="166" t="s">
        <v>654</v>
      </c>
      <c r="H66" s="166" t="s">
        <v>655</v>
      </c>
      <c r="I66" s="166" t="s">
        <v>656</v>
      </c>
      <c r="J66" s="166" t="s">
        <v>657</v>
      </c>
      <c r="K66" s="166" t="s">
        <v>658</v>
      </c>
      <c r="L66" s="166" t="s">
        <v>715</v>
      </c>
    </row>
    <row r="67" spans="1:31" x14ac:dyDescent="0.3">
      <c r="A67" s="218" t="s">
        <v>751</v>
      </c>
      <c r="B67" s="218" t="str">
        <f>VLOOKUP(A67,O4:Q50,2,0)</f>
        <v>gl</v>
      </c>
      <c r="C67" s="218">
        <f>VLOOKUP(A67,O4:Q50,3,0)</f>
        <v>0</v>
      </c>
      <c r="D67" s="218"/>
      <c r="E67" s="218" t="str">
        <f>IFERROR(IF(D67&lt;&gt;"",D67,HLOOKUP($E$2,$F$2:K67,ROW(D67)-1,0)),F67)</f>
        <v>FIN</v>
      </c>
      <c r="F67" s="218" t="s">
        <v>725</v>
      </c>
      <c r="G67" s="218" t="s">
        <v>726</v>
      </c>
      <c r="H67" s="218" t="s">
        <v>727</v>
      </c>
      <c r="I67" s="218" t="s">
        <v>728</v>
      </c>
      <c r="J67" s="218" t="s">
        <v>729</v>
      </c>
      <c r="K67" s="218" t="s">
        <v>730</v>
      </c>
      <c r="L67" s="218" t="s">
        <v>731</v>
      </c>
      <c r="S67"/>
      <c r="T67"/>
      <c r="U67"/>
      <c r="V67"/>
      <c r="W67"/>
      <c r="X67"/>
      <c r="Y67"/>
      <c r="Z67"/>
      <c r="AA67"/>
      <c r="AB67"/>
      <c r="AC67"/>
      <c r="AD67"/>
      <c r="AE67"/>
    </row>
    <row r="68" spans="1:31" x14ac:dyDescent="0.3">
      <c r="S68"/>
      <c r="T68"/>
      <c r="U68"/>
      <c r="V68"/>
      <c r="W68"/>
      <c r="X68"/>
      <c r="Y68"/>
      <c r="Z68"/>
      <c r="AA68"/>
      <c r="AB68"/>
      <c r="AC68"/>
      <c r="AD68"/>
      <c r="AE68"/>
    </row>
    <row r="69" spans="1:31" hidden="1" x14ac:dyDescent="0.3">
      <c r="S69"/>
      <c r="T69"/>
      <c r="U69"/>
      <c r="V69"/>
      <c r="W69"/>
      <c r="X69"/>
      <c r="Y69"/>
      <c r="Z69"/>
      <c r="AA69"/>
      <c r="AB69"/>
      <c r="AC69"/>
      <c r="AD69"/>
      <c r="AE69"/>
    </row>
    <row r="70" spans="1:31" hidden="1" x14ac:dyDescent="0.3">
      <c r="S70"/>
      <c r="T70"/>
      <c r="U70"/>
      <c r="V70"/>
      <c r="W70"/>
      <c r="X70"/>
      <c r="Y70"/>
      <c r="Z70"/>
      <c r="AA70"/>
      <c r="AB70"/>
      <c r="AC70"/>
      <c r="AD70"/>
      <c r="AE70"/>
    </row>
    <row r="71" spans="1:31" hidden="1" x14ac:dyDescent="0.3">
      <c r="S71"/>
      <c r="T71"/>
      <c r="U71"/>
      <c r="V71"/>
      <c r="W71"/>
      <c r="X71"/>
      <c r="Y71"/>
      <c r="Z71"/>
      <c r="AA71"/>
      <c r="AB71"/>
      <c r="AC71"/>
      <c r="AD71"/>
      <c r="AE71"/>
    </row>
    <row r="72" spans="1:31" hidden="1" x14ac:dyDescent="0.3">
      <c r="S72"/>
      <c r="T72"/>
      <c r="U72"/>
      <c r="V72"/>
      <c r="W72"/>
      <c r="X72"/>
      <c r="Y72"/>
      <c r="Z72"/>
      <c r="AA72"/>
      <c r="AB72"/>
      <c r="AC72"/>
      <c r="AD72"/>
      <c r="AE72"/>
    </row>
    <row r="73" spans="1:31" hidden="1" x14ac:dyDescent="0.3">
      <c r="S73"/>
      <c r="T73"/>
      <c r="U73"/>
      <c r="V73"/>
      <c r="W73"/>
      <c r="X73"/>
      <c r="Y73"/>
      <c r="Z73"/>
      <c r="AA73"/>
      <c r="AB73"/>
      <c r="AC73"/>
      <c r="AD73"/>
      <c r="AE73"/>
    </row>
    <row r="74" spans="1:31" hidden="1" x14ac:dyDescent="0.3">
      <c r="S74"/>
      <c r="T74"/>
      <c r="U74"/>
      <c r="V74"/>
      <c r="W74"/>
      <c r="X74"/>
      <c r="Y74"/>
      <c r="Z74"/>
      <c r="AA74"/>
      <c r="AB74"/>
      <c r="AC74"/>
      <c r="AD74"/>
      <c r="AE74"/>
    </row>
    <row r="75" spans="1:31" hidden="1" x14ac:dyDescent="0.3">
      <c r="S75"/>
      <c r="T75"/>
      <c r="U75"/>
      <c r="V75"/>
      <c r="W75"/>
      <c r="X75"/>
      <c r="Y75"/>
      <c r="Z75"/>
      <c r="AA75"/>
      <c r="AB75"/>
      <c r="AC75"/>
      <c r="AD75"/>
      <c r="AE75"/>
    </row>
    <row r="76" spans="1:31" hidden="1" x14ac:dyDescent="0.3">
      <c r="S76"/>
      <c r="T76"/>
      <c r="U76"/>
      <c r="V76"/>
      <c r="W76"/>
      <c r="X76"/>
      <c r="Y76"/>
      <c r="Z76"/>
      <c r="AA76"/>
      <c r="AB76"/>
      <c r="AC76"/>
      <c r="AD76"/>
      <c r="AE76"/>
    </row>
    <row r="77" spans="1:31" hidden="1" x14ac:dyDescent="0.3">
      <c r="S77"/>
      <c r="T77"/>
      <c r="U77"/>
      <c r="V77"/>
      <c r="W77"/>
      <c r="X77"/>
      <c r="Y77"/>
      <c r="Z77"/>
      <c r="AA77"/>
      <c r="AB77"/>
      <c r="AC77"/>
      <c r="AD77"/>
      <c r="AE77"/>
    </row>
    <row r="78" spans="1:31" hidden="1" x14ac:dyDescent="0.3">
      <c r="S78"/>
      <c r="T78"/>
      <c r="U78"/>
      <c r="V78"/>
      <c r="W78"/>
      <c r="X78"/>
      <c r="Y78"/>
      <c r="Z78"/>
      <c r="AA78"/>
      <c r="AB78"/>
      <c r="AC78"/>
      <c r="AD78"/>
      <c r="AE78"/>
    </row>
    <row r="79" spans="1:31" hidden="1" x14ac:dyDescent="0.3">
      <c r="S79"/>
      <c r="T79"/>
      <c r="U79"/>
      <c r="V79"/>
      <c r="W79"/>
      <c r="X79"/>
      <c r="Y79"/>
      <c r="Z79"/>
      <c r="AA79"/>
      <c r="AB79"/>
      <c r="AC79"/>
      <c r="AD79"/>
      <c r="AE79"/>
    </row>
    <row r="80" spans="1:31" hidden="1" x14ac:dyDescent="0.3">
      <c r="S80"/>
      <c r="T80"/>
      <c r="U80"/>
      <c r="V80"/>
      <c r="W80"/>
      <c r="X80"/>
      <c r="Y80"/>
      <c r="Z80"/>
      <c r="AA80"/>
      <c r="AB80"/>
      <c r="AC80"/>
      <c r="AD80"/>
      <c r="AE80"/>
    </row>
    <row r="81" spans="19:31" hidden="1" x14ac:dyDescent="0.3">
      <c r="S81"/>
      <c r="T81"/>
      <c r="U81"/>
      <c r="V81"/>
      <c r="W81"/>
      <c r="X81"/>
      <c r="Y81"/>
      <c r="Z81"/>
      <c r="AA81"/>
      <c r="AB81"/>
      <c r="AC81"/>
      <c r="AD81"/>
      <c r="AE81"/>
    </row>
    <row r="82" spans="19:31" hidden="1" x14ac:dyDescent="0.3">
      <c r="S82"/>
      <c r="T82"/>
      <c r="U82"/>
      <c r="V82"/>
      <c r="W82"/>
      <c r="X82"/>
      <c r="Y82"/>
      <c r="Z82"/>
      <c r="AA82"/>
      <c r="AB82"/>
      <c r="AC82"/>
      <c r="AD82"/>
      <c r="AE82"/>
    </row>
    <row r="83" spans="19:31" hidden="1" x14ac:dyDescent="0.3">
      <c r="S83"/>
      <c r="T83"/>
      <c r="U83"/>
      <c r="V83"/>
      <c r="W83"/>
      <c r="X83"/>
      <c r="Y83"/>
      <c r="Z83"/>
      <c r="AA83"/>
      <c r="AB83"/>
      <c r="AC83"/>
      <c r="AD83"/>
      <c r="AE83"/>
    </row>
    <row r="84" spans="19:31" hidden="1" x14ac:dyDescent="0.3">
      <c r="S84"/>
      <c r="T84"/>
      <c r="U84"/>
      <c r="V84"/>
      <c r="W84"/>
      <c r="X84"/>
      <c r="Y84"/>
      <c r="Z84"/>
      <c r="AA84"/>
      <c r="AB84"/>
      <c r="AC84"/>
      <c r="AD84"/>
      <c r="AE84"/>
    </row>
    <row r="85" spans="19:31" hidden="1" x14ac:dyDescent="0.3">
      <c r="S85"/>
      <c r="T85"/>
      <c r="U85"/>
      <c r="V85"/>
      <c r="W85"/>
      <c r="X85"/>
      <c r="Y85"/>
      <c r="Z85"/>
      <c r="AA85"/>
      <c r="AB85"/>
      <c r="AC85"/>
      <c r="AD85"/>
      <c r="AE85"/>
    </row>
    <row r="86" spans="19:31" hidden="1" x14ac:dyDescent="0.3">
      <c r="S86"/>
      <c r="T86"/>
      <c r="U86"/>
      <c r="V86"/>
      <c r="W86"/>
      <c r="X86"/>
      <c r="Y86"/>
      <c r="Z86"/>
      <c r="AA86"/>
      <c r="AB86"/>
      <c r="AC86"/>
      <c r="AD86"/>
      <c r="AE86"/>
    </row>
    <row r="87" spans="19:31" hidden="1" x14ac:dyDescent="0.3">
      <c r="S87"/>
      <c r="T87"/>
      <c r="U87"/>
      <c r="V87"/>
      <c r="W87"/>
      <c r="X87"/>
      <c r="Y87"/>
      <c r="Z87"/>
      <c r="AA87"/>
      <c r="AB87"/>
      <c r="AC87"/>
      <c r="AD87"/>
      <c r="AE87"/>
    </row>
    <row r="88" spans="19:31" hidden="1" x14ac:dyDescent="0.3">
      <c r="S88"/>
      <c r="T88"/>
      <c r="U88"/>
      <c r="V88"/>
      <c r="W88"/>
      <c r="X88"/>
      <c r="Y88"/>
      <c r="Z88"/>
      <c r="AA88"/>
      <c r="AB88"/>
      <c r="AC88"/>
      <c r="AD88"/>
      <c r="AE88"/>
    </row>
    <row r="89" spans="19:31" hidden="1" x14ac:dyDescent="0.3">
      <c r="S89"/>
      <c r="T89"/>
      <c r="U89"/>
      <c r="V89"/>
      <c r="W89"/>
      <c r="X89"/>
      <c r="Y89"/>
      <c r="Z89"/>
      <c r="AA89"/>
      <c r="AB89"/>
      <c r="AC89"/>
      <c r="AD89"/>
      <c r="AE89"/>
    </row>
    <row r="90" spans="19:31" hidden="1" x14ac:dyDescent="0.3">
      <c r="S90"/>
      <c r="T90"/>
      <c r="U90"/>
      <c r="V90"/>
      <c r="W90"/>
      <c r="X90"/>
      <c r="Y90"/>
      <c r="Z90"/>
      <c r="AA90"/>
      <c r="AB90"/>
      <c r="AC90"/>
      <c r="AD90"/>
      <c r="AE90"/>
    </row>
    <row r="91" spans="19:31" hidden="1" x14ac:dyDescent="0.3">
      <c r="S91"/>
      <c r="T91"/>
      <c r="U91"/>
      <c r="V91"/>
      <c r="W91"/>
      <c r="X91"/>
      <c r="Y91"/>
      <c r="Z91"/>
      <c r="AA91"/>
      <c r="AB91"/>
      <c r="AC91"/>
      <c r="AD91"/>
      <c r="AE91"/>
    </row>
    <row r="92" spans="19:31" hidden="1" x14ac:dyDescent="0.3">
      <c r="S92"/>
      <c r="T92"/>
      <c r="U92"/>
      <c r="V92"/>
      <c r="W92"/>
      <c r="X92"/>
      <c r="Y92"/>
      <c r="Z92"/>
      <c r="AA92"/>
      <c r="AB92"/>
      <c r="AC92"/>
      <c r="AD92"/>
      <c r="AE92"/>
    </row>
    <row r="93" spans="19:31" hidden="1" x14ac:dyDescent="0.3">
      <c r="S93"/>
      <c r="T93"/>
      <c r="U93"/>
      <c r="V93"/>
      <c r="W93"/>
      <c r="X93"/>
      <c r="Y93"/>
      <c r="Z93"/>
      <c r="AA93"/>
      <c r="AB93"/>
      <c r="AC93"/>
      <c r="AD93"/>
      <c r="AE93"/>
    </row>
    <row r="94" spans="19:31" hidden="1" x14ac:dyDescent="0.3">
      <c r="S94"/>
      <c r="T94"/>
      <c r="U94"/>
      <c r="V94"/>
      <c r="W94"/>
      <c r="X94"/>
      <c r="Y94"/>
      <c r="Z94"/>
      <c r="AA94"/>
      <c r="AB94"/>
      <c r="AC94"/>
      <c r="AD94"/>
      <c r="AE94"/>
    </row>
    <row r="95" spans="19:31" hidden="1" x14ac:dyDescent="0.3">
      <c r="S95"/>
      <c r="T95"/>
      <c r="U95"/>
      <c r="V95"/>
      <c r="W95"/>
      <c r="X95"/>
      <c r="Y95"/>
      <c r="Z95"/>
      <c r="AA95"/>
      <c r="AB95"/>
      <c r="AC95"/>
      <c r="AD95"/>
      <c r="AE95"/>
    </row>
    <row r="96" spans="19:31" hidden="1" x14ac:dyDescent="0.3">
      <c r="S96"/>
      <c r="T96"/>
      <c r="U96"/>
      <c r="V96"/>
      <c r="W96"/>
      <c r="X96"/>
      <c r="Y96"/>
      <c r="Z96"/>
      <c r="AA96"/>
      <c r="AB96"/>
      <c r="AC96"/>
      <c r="AD96"/>
      <c r="AE96"/>
    </row>
    <row r="97" spans="19:31" hidden="1" x14ac:dyDescent="0.3">
      <c r="S97"/>
      <c r="T97"/>
      <c r="U97"/>
      <c r="V97"/>
      <c r="W97"/>
      <c r="X97"/>
      <c r="Y97"/>
      <c r="Z97"/>
      <c r="AA97"/>
      <c r="AB97"/>
      <c r="AC97"/>
      <c r="AD97"/>
      <c r="AE97"/>
    </row>
    <row r="98" spans="19:31" hidden="1" x14ac:dyDescent="0.3">
      <c r="S98"/>
      <c r="T98"/>
      <c r="U98"/>
      <c r="V98"/>
      <c r="W98"/>
      <c r="X98"/>
      <c r="Y98"/>
      <c r="Z98"/>
      <c r="AA98"/>
      <c r="AB98"/>
      <c r="AC98"/>
      <c r="AD98"/>
      <c r="AE98"/>
    </row>
    <row r="99" spans="19:31" hidden="1" x14ac:dyDescent="0.3">
      <c r="S99"/>
      <c r="T99"/>
      <c r="U99"/>
      <c r="V99"/>
      <c r="W99"/>
      <c r="X99"/>
      <c r="Y99"/>
      <c r="Z99"/>
      <c r="AA99"/>
      <c r="AB99"/>
      <c r="AC99"/>
      <c r="AD99"/>
      <c r="AE99"/>
    </row>
    <row r="100" spans="19:31" hidden="1" x14ac:dyDescent="0.3">
      <c r="S100"/>
      <c r="T100"/>
      <c r="U100"/>
      <c r="V100"/>
      <c r="W100"/>
      <c r="X100"/>
      <c r="Y100"/>
      <c r="Z100"/>
      <c r="AA100"/>
      <c r="AB100"/>
      <c r="AC100"/>
      <c r="AD100"/>
      <c r="AE100"/>
    </row>
    <row r="101" spans="19:31" hidden="1" x14ac:dyDescent="0.3">
      <c r="S101"/>
      <c r="T101"/>
      <c r="U101"/>
      <c r="V101"/>
      <c r="W101"/>
      <c r="X101"/>
      <c r="Y101"/>
      <c r="Z101"/>
      <c r="AA101"/>
      <c r="AB101"/>
      <c r="AC101"/>
      <c r="AD101"/>
      <c r="AE101"/>
    </row>
    <row r="102" spans="19:31" hidden="1" x14ac:dyDescent="0.3">
      <c r="S102"/>
      <c r="T102"/>
      <c r="U102"/>
      <c r="V102"/>
      <c r="W102"/>
      <c r="X102"/>
      <c r="Y102"/>
      <c r="Z102"/>
      <c r="AA102"/>
      <c r="AB102"/>
      <c r="AC102"/>
      <c r="AD102"/>
      <c r="AE102"/>
    </row>
    <row r="103" spans="19:31" hidden="1" x14ac:dyDescent="0.3">
      <c r="S103"/>
      <c r="T103"/>
      <c r="U103"/>
      <c r="V103"/>
      <c r="W103"/>
      <c r="X103"/>
      <c r="Y103"/>
      <c r="Z103"/>
      <c r="AA103"/>
      <c r="AB103"/>
      <c r="AC103"/>
      <c r="AD103"/>
      <c r="AE103"/>
    </row>
    <row r="104" spans="19:31" hidden="1" x14ac:dyDescent="0.3">
      <c r="S104"/>
      <c r="T104"/>
      <c r="U104"/>
      <c r="V104"/>
      <c r="W104"/>
      <c r="X104"/>
      <c r="Y104"/>
      <c r="Z104"/>
      <c r="AA104"/>
      <c r="AB104"/>
      <c r="AC104"/>
      <c r="AD104"/>
      <c r="AE104"/>
    </row>
    <row r="105" spans="19:31" hidden="1" x14ac:dyDescent="0.3">
      <c r="S105"/>
      <c r="T105"/>
      <c r="U105"/>
      <c r="V105"/>
      <c r="W105"/>
      <c r="X105"/>
      <c r="Y105"/>
      <c r="Z105"/>
      <c r="AA105"/>
      <c r="AB105"/>
      <c r="AC105"/>
      <c r="AD105"/>
      <c r="AE105"/>
    </row>
    <row r="106" spans="19:31" hidden="1" x14ac:dyDescent="0.3">
      <c r="S106"/>
      <c r="T106"/>
      <c r="U106"/>
      <c r="V106"/>
      <c r="W106"/>
      <c r="X106"/>
      <c r="Y106"/>
      <c r="Z106"/>
      <c r="AA106"/>
      <c r="AB106"/>
      <c r="AC106"/>
      <c r="AD106"/>
      <c r="AE106"/>
    </row>
    <row r="107" spans="19:31" hidden="1" x14ac:dyDescent="0.3">
      <c r="S107"/>
      <c r="T107"/>
      <c r="U107"/>
      <c r="V107"/>
      <c r="W107"/>
      <c r="X107"/>
      <c r="Y107"/>
      <c r="Z107"/>
      <c r="AA107"/>
      <c r="AB107"/>
      <c r="AC107"/>
      <c r="AD107"/>
      <c r="AE107"/>
    </row>
    <row r="108" spans="19:31" hidden="1" x14ac:dyDescent="0.3">
      <c r="S108"/>
      <c r="T108"/>
      <c r="U108"/>
      <c r="V108"/>
      <c r="W108"/>
      <c r="X108"/>
      <c r="Y108"/>
      <c r="Z108"/>
      <c r="AA108"/>
      <c r="AB108"/>
      <c r="AC108"/>
      <c r="AD108"/>
      <c r="AE108"/>
    </row>
    <row r="109" spans="19:31" hidden="1" x14ac:dyDescent="0.3">
      <c r="S109"/>
      <c r="T109"/>
      <c r="U109"/>
      <c r="V109"/>
      <c r="W109"/>
      <c r="X109"/>
      <c r="Y109"/>
      <c r="Z109"/>
      <c r="AA109"/>
      <c r="AB109"/>
      <c r="AC109"/>
      <c r="AD109"/>
      <c r="AE109"/>
    </row>
    <row r="110" spans="19:31" hidden="1" x14ac:dyDescent="0.3">
      <c r="S110"/>
      <c r="T110"/>
      <c r="U110"/>
      <c r="V110"/>
      <c r="W110"/>
      <c r="X110"/>
      <c r="Y110"/>
      <c r="Z110"/>
      <c r="AA110"/>
      <c r="AB110"/>
      <c r="AC110"/>
      <c r="AD110"/>
      <c r="AE110"/>
    </row>
    <row r="111" spans="19:31" hidden="1" x14ac:dyDescent="0.3">
      <c r="S111"/>
      <c r="T111"/>
      <c r="U111"/>
      <c r="V111"/>
      <c r="W111"/>
      <c r="X111"/>
      <c r="Y111"/>
      <c r="Z111"/>
      <c r="AA111"/>
      <c r="AB111"/>
      <c r="AC111"/>
      <c r="AD111"/>
      <c r="AE111"/>
    </row>
    <row r="112" spans="19:31" hidden="1" x14ac:dyDescent="0.3">
      <c r="S112"/>
      <c r="T112"/>
      <c r="U112"/>
      <c r="V112"/>
      <c r="W112"/>
      <c r="X112"/>
      <c r="Y112"/>
      <c r="Z112"/>
      <c r="AA112"/>
      <c r="AB112"/>
      <c r="AC112"/>
      <c r="AD112"/>
      <c r="AE112"/>
    </row>
    <row r="113" spans="19:31" hidden="1" x14ac:dyDescent="0.3">
      <c r="S113"/>
      <c r="T113"/>
      <c r="U113"/>
      <c r="V113"/>
      <c r="W113"/>
      <c r="X113"/>
      <c r="Y113"/>
      <c r="Z113"/>
      <c r="AA113"/>
      <c r="AB113"/>
      <c r="AC113"/>
      <c r="AD113"/>
      <c r="AE113"/>
    </row>
    <row r="114" spans="19:31" hidden="1" x14ac:dyDescent="0.3">
      <c r="S114"/>
      <c r="T114"/>
      <c r="U114"/>
      <c r="V114"/>
      <c r="W114"/>
      <c r="X114"/>
      <c r="Y114"/>
      <c r="Z114"/>
      <c r="AA114"/>
      <c r="AB114"/>
      <c r="AC114"/>
      <c r="AD114"/>
      <c r="AE114"/>
    </row>
    <row r="115" spans="19:31" hidden="1" x14ac:dyDescent="0.3">
      <c r="S115"/>
      <c r="T115"/>
      <c r="U115"/>
      <c r="V115"/>
      <c r="W115"/>
      <c r="X115"/>
      <c r="Y115"/>
      <c r="Z115"/>
      <c r="AA115"/>
      <c r="AB115"/>
      <c r="AC115"/>
      <c r="AD115"/>
      <c r="AE115"/>
    </row>
    <row r="116" spans="19:31" hidden="1" x14ac:dyDescent="0.3">
      <c r="S116"/>
      <c r="T116"/>
      <c r="U116"/>
      <c r="V116"/>
      <c r="W116"/>
      <c r="X116"/>
      <c r="Y116"/>
      <c r="Z116"/>
      <c r="AA116"/>
      <c r="AB116"/>
      <c r="AC116"/>
      <c r="AD116"/>
      <c r="AE116"/>
    </row>
    <row r="117" spans="19:31" hidden="1" x14ac:dyDescent="0.3">
      <c r="S117"/>
      <c r="T117"/>
      <c r="U117"/>
      <c r="V117"/>
      <c r="W117"/>
      <c r="X117"/>
      <c r="Y117"/>
      <c r="Z117"/>
      <c r="AA117"/>
      <c r="AB117"/>
      <c r="AC117"/>
      <c r="AD117"/>
      <c r="AE117"/>
    </row>
    <row r="118" spans="19:31" hidden="1" x14ac:dyDescent="0.3">
      <c r="S118"/>
      <c r="T118"/>
      <c r="U118"/>
      <c r="V118"/>
      <c r="W118"/>
      <c r="X118"/>
      <c r="Y118"/>
      <c r="Z118"/>
      <c r="AA118"/>
      <c r="AB118"/>
      <c r="AC118"/>
      <c r="AD118"/>
      <c r="AE118"/>
    </row>
    <row r="119" spans="19:31" hidden="1" x14ac:dyDescent="0.3">
      <c r="S119"/>
      <c r="T119"/>
      <c r="U119"/>
      <c r="V119"/>
      <c r="W119"/>
      <c r="X119"/>
      <c r="Y119"/>
      <c r="Z119"/>
      <c r="AA119"/>
      <c r="AB119"/>
      <c r="AC119"/>
      <c r="AD119"/>
      <c r="AE119"/>
    </row>
    <row r="120" spans="19:31" hidden="1" x14ac:dyDescent="0.3">
      <c r="S120"/>
      <c r="T120"/>
      <c r="U120"/>
      <c r="V120"/>
      <c r="W120"/>
      <c r="X120"/>
      <c r="Y120"/>
      <c r="Z120"/>
      <c r="AA120"/>
      <c r="AB120"/>
      <c r="AC120"/>
      <c r="AD120"/>
      <c r="AE120"/>
    </row>
    <row r="121" spans="19:31" hidden="1" x14ac:dyDescent="0.3">
      <c r="S121"/>
      <c r="T121"/>
      <c r="U121"/>
      <c r="V121"/>
      <c r="W121"/>
      <c r="X121"/>
      <c r="Y121"/>
      <c r="Z121"/>
      <c r="AA121"/>
      <c r="AB121"/>
      <c r="AC121"/>
      <c r="AD121"/>
      <c r="AE121"/>
    </row>
    <row r="122" spans="19:31" hidden="1" x14ac:dyDescent="0.3">
      <c r="S122"/>
      <c r="T122"/>
      <c r="U122"/>
      <c r="V122"/>
      <c r="W122"/>
      <c r="X122"/>
      <c r="Y122"/>
      <c r="Z122"/>
      <c r="AA122"/>
      <c r="AB122"/>
      <c r="AC122"/>
      <c r="AD122"/>
      <c r="AE122"/>
    </row>
    <row r="123" spans="19:31" hidden="1" x14ac:dyDescent="0.3">
      <c r="S123"/>
      <c r="T123"/>
      <c r="U123"/>
      <c r="V123"/>
      <c r="W123"/>
      <c r="X123"/>
      <c r="Y123"/>
      <c r="Z123"/>
      <c r="AA123"/>
      <c r="AB123"/>
      <c r="AC123"/>
      <c r="AD123"/>
      <c r="AE123"/>
    </row>
    <row r="124" spans="19:31" hidden="1" x14ac:dyDescent="0.3">
      <c r="S124"/>
      <c r="T124"/>
      <c r="U124"/>
      <c r="V124"/>
      <c r="W124"/>
      <c r="X124"/>
      <c r="Y124"/>
      <c r="Z124"/>
      <c r="AA124"/>
      <c r="AB124"/>
      <c r="AC124"/>
      <c r="AD124"/>
      <c r="AE124"/>
    </row>
    <row r="125" spans="19:31" hidden="1" x14ac:dyDescent="0.3">
      <c r="S125"/>
      <c r="T125"/>
      <c r="U125"/>
      <c r="V125"/>
      <c r="W125"/>
      <c r="X125"/>
      <c r="Y125"/>
      <c r="Z125"/>
      <c r="AA125"/>
      <c r="AB125"/>
      <c r="AC125"/>
      <c r="AD125"/>
      <c r="AE125"/>
    </row>
    <row r="126" spans="19:31" hidden="1" x14ac:dyDescent="0.3">
      <c r="S126"/>
      <c r="T126"/>
      <c r="U126"/>
      <c r="V126"/>
      <c r="W126"/>
      <c r="X126"/>
      <c r="Y126"/>
      <c r="Z126"/>
      <c r="AA126"/>
      <c r="AB126"/>
      <c r="AC126"/>
      <c r="AD126"/>
      <c r="AE126"/>
    </row>
    <row r="127" spans="19:31" hidden="1" x14ac:dyDescent="0.3">
      <c r="S127"/>
      <c r="T127"/>
      <c r="U127"/>
      <c r="V127"/>
      <c r="W127"/>
      <c r="X127"/>
      <c r="Y127"/>
      <c r="Z127"/>
      <c r="AA127"/>
      <c r="AB127"/>
      <c r="AC127"/>
      <c r="AD127"/>
      <c r="AE127"/>
    </row>
    <row r="128" spans="19:31" hidden="1" x14ac:dyDescent="0.3">
      <c r="S128"/>
      <c r="T128"/>
      <c r="U128"/>
      <c r="V128"/>
      <c r="W128"/>
      <c r="X128"/>
      <c r="Y128"/>
      <c r="Z128"/>
      <c r="AA128"/>
      <c r="AB128"/>
      <c r="AC128"/>
      <c r="AD128"/>
      <c r="AE128"/>
    </row>
    <row r="129" spans="19:31" hidden="1" x14ac:dyDescent="0.3">
      <c r="S129"/>
      <c r="T129"/>
      <c r="U129"/>
      <c r="V129"/>
      <c r="W129"/>
      <c r="X129"/>
      <c r="Y129"/>
      <c r="Z129"/>
      <c r="AA129"/>
      <c r="AB129"/>
      <c r="AC129"/>
      <c r="AD129"/>
      <c r="AE129"/>
    </row>
    <row r="130" spans="19:31" hidden="1" x14ac:dyDescent="0.3">
      <c r="S130"/>
      <c r="T130"/>
      <c r="U130"/>
      <c r="V130"/>
      <c r="W130"/>
      <c r="X130"/>
      <c r="Y130"/>
      <c r="Z130"/>
      <c r="AA130"/>
      <c r="AB130"/>
      <c r="AC130"/>
      <c r="AD130"/>
      <c r="AE130"/>
    </row>
    <row r="131" spans="19:31" hidden="1" x14ac:dyDescent="0.3">
      <c r="S131"/>
      <c r="T131"/>
      <c r="U131"/>
      <c r="V131"/>
      <c r="W131"/>
      <c r="X131"/>
      <c r="Y131"/>
      <c r="Z131"/>
      <c r="AA131"/>
      <c r="AB131"/>
      <c r="AC131"/>
      <c r="AD131"/>
      <c r="AE131"/>
    </row>
    <row r="132" spans="19:31" hidden="1" x14ac:dyDescent="0.3">
      <c r="S132"/>
      <c r="T132"/>
      <c r="U132"/>
      <c r="V132"/>
      <c r="W132"/>
      <c r="X132"/>
      <c r="Y132"/>
      <c r="Z132"/>
      <c r="AA132"/>
      <c r="AB132"/>
      <c r="AC132"/>
      <c r="AD132"/>
      <c r="AE132"/>
    </row>
    <row r="133" spans="19:31" hidden="1" x14ac:dyDescent="0.3">
      <c r="S133"/>
      <c r="T133"/>
      <c r="U133"/>
      <c r="V133"/>
      <c r="W133"/>
      <c r="X133"/>
      <c r="Y133"/>
      <c r="Z133"/>
      <c r="AA133"/>
      <c r="AB133"/>
      <c r="AC133"/>
      <c r="AD133"/>
      <c r="AE133"/>
    </row>
    <row r="134" spans="19:31" hidden="1" x14ac:dyDescent="0.3">
      <c r="S134"/>
      <c r="T134"/>
      <c r="U134"/>
      <c r="V134"/>
      <c r="W134"/>
      <c r="X134"/>
      <c r="Y134"/>
      <c r="Z134"/>
      <c r="AA134"/>
      <c r="AB134"/>
      <c r="AC134"/>
      <c r="AD134"/>
      <c r="AE134"/>
    </row>
    <row r="135" spans="19:31" hidden="1" x14ac:dyDescent="0.3">
      <c r="S135"/>
      <c r="T135"/>
      <c r="U135"/>
      <c r="V135"/>
      <c r="W135"/>
      <c r="X135"/>
      <c r="Y135"/>
      <c r="Z135"/>
      <c r="AA135"/>
      <c r="AB135"/>
      <c r="AC135"/>
      <c r="AD135"/>
      <c r="AE135"/>
    </row>
    <row r="136" spans="19:31" hidden="1" x14ac:dyDescent="0.3">
      <c r="S136"/>
      <c r="T136"/>
      <c r="U136"/>
      <c r="V136"/>
      <c r="W136"/>
      <c r="X136"/>
      <c r="Y136"/>
      <c r="Z136"/>
      <c r="AA136"/>
      <c r="AB136"/>
      <c r="AC136"/>
      <c r="AD136"/>
      <c r="AE136"/>
    </row>
    <row r="137" spans="19:31" hidden="1" x14ac:dyDescent="0.3">
      <c r="S137"/>
      <c r="T137"/>
      <c r="U137"/>
      <c r="V137"/>
      <c r="W137"/>
      <c r="X137"/>
      <c r="Y137"/>
      <c r="Z137"/>
      <c r="AA137"/>
      <c r="AB137"/>
      <c r="AC137"/>
      <c r="AD137"/>
      <c r="AE137"/>
    </row>
    <row r="138" spans="19:31" hidden="1" x14ac:dyDescent="0.3">
      <c r="S138"/>
      <c r="T138"/>
      <c r="U138"/>
      <c r="V138"/>
      <c r="W138"/>
      <c r="X138"/>
      <c r="Y138"/>
      <c r="Z138"/>
      <c r="AA138"/>
      <c r="AB138"/>
      <c r="AC138"/>
      <c r="AD138"/>
      <c r="AE138"/>
    </row>
    <row r="139" spans="19:31" hidden="1" x14ac:dyDescent="0.3">
      <c r="S139"/>
      <c r="T139"/>
      <c r="U139"/>
      <c r="V139"/>
      <c r="W139"/>
      <c r="X139"/>
      <c r="Y139"/>
      <c r="Z139"/>
      <c r="AA139"/>
      <c r="AB139"/>
      <c r="AC139"/>
      <c r="AD139"/>
      <c r="AE139"/>
    </row>
    <row r="140" spans="19:31" hidden="1" x14ac:dyDescent="0.3">
      <c r="S140"/>
      <c r="T140"/>
      <c r="U140"/>
      <c r="V140"/>
      <c r="W140"/>
      <c r="X140"/>
      <c r="Y140"/>
      <c r="Z140"/>
      <c r="AA140"/>
      <c r="AB140"/>
      <c r="AC140"/>
      <c r="AD140"/>
      <c r="AE140"/>
    </row>
    <row r="141" spans="19:31" hidden="1" x14ac:dyDescent="0.3">
      <c r="S141"/>
      <c r="T141"/>
      <c r="U141"/>
      <c r="V141"/>
      <c r="W141"/>
      <c r="X141"/>
      <c r="Y141"/>
      <c r="Z141"/>
      <c r="AA141"/>
      <c r="AB141"/>
      <c r="AC141"/>
      <c r="AD141"/>
      <c r="AE141"/>
    </row>
    <row r="142" spans="19:31" hidden="1" x14ac:dyDescent="0.3">
      <c r="S142"/>
      <c r="T142"/>
      <c r="U142"/>
      <c r="V142"/>
      <c r="W142"/>
      <c r="X142"/>
      <c r="Y142"/>
      <c r="Z142"/>
      <c r="AA142"/>
      <c r="AB142"/>
      <c r="AC142"/>
      <c r="AD142"/>
      <c r="AE142"/>
    </row>
    <row r="143" spans="19:31" hidden="1" x14ac:dyDescent="0.3">
      <c r="S143"/>
      <c r="T143"/>
      <c r="U143"/>
      <c r="V143"/>
      <c r="W143"/>
      <c r="X143"/>
      <c r="Y143"/>
      <c r="Z143"/>
      <c r="AA143"/>
      <c r="AB143"/>
      <c r="AC143"/>
      <c r="AD143"/>
      <c r="AE143"/>
    </row>
    <row r="144" spans="19:31" hidden="1" x14ac:dyDescent="0.3">
      <c r="S144"/>
      <c r="T144"/>
      <c r="U144"/>
      <c r="V144"/>
      <c r="W144"/>
      <c r="X144"/>
      <c r="Y144"/>
      <c r="Z144"/>
      <c r="AA144"/>
      <c r="AB144"/>
      <c r="AC144"/>
      <c r="AD144"/>
      <c r="AE144"/>
    </row>
    <row r="145" spans="19:31" hidden="1" x14ac:dyDescent="0.3">
      <c r="S145"/>
      <c r="T145"/>
      <c r="U145"/>
      <c r="V145"/>
      <c r="W145"/>
      <c r="X145"/>
      <c r="Y145"/>
      <c r="Z145"/>
      <c r="AA145"/>
      <c r="AB145"/>
      <c r="AC145"/>
      <c r="AD145"/>
      <c r="AE145"/>
    </row>
    <row r="146" spans="19:31" hidden="1" x14ac:dyDescent="0.3">
      <c r="S146"/>
      <c r="T146"/>
      <c r="U146"/>
      <c r="V146"/>
      <c r="W146"/>
      <c r="X146"/>
      <c r="Y146"/>
      <c r="Z146"/>
      <c r="AA146"/>
      <c r="AB146"/>
      <c r="AC146"/>
      <c r="AD146"/>
      <c r="AE146"/>
    </row>
    <row r="147" spans="19:31" hidden="1" x14ac:dyDescent="0.3">
      <c r="S147"/>
      <c r="T147"/>
      <c r="U147"/>
      <c r="V147"/>
      <c r="W147"/>
      <c r="X147"/>
      <c r="Y147"/>
      <c r="Z147"/>
      <c r="AA147"/>
      <c r="AB147"/>
      <c r="AC147"/>
      <c r="AD147"/>
      <c r="AE147"/>
    </row>
    <row r="148" spans="19:31" hidden="1" x14ac:dyDescent="0.3">
      <c r="S148"/>
      <c r="T148"/>
      <c r="U148"/>
      <c r="V148"/>
      <c r="W148"/>
      <c r="X148"/>
      <c r="Y148"/>
      <c r="Z148"/>
      <c r="AA148"/>
      <c r="AB148"/>
      <c r="AC148"/>
      <c r="AD148"/>
      <c r="AE148"/>
    </row>
    <row r="149" spans="19:31" hidden="1" x14ac:dyDescent="0.3">
      <c r="S149"/>
      <c r="T149"/>
      <c r="U149"/>
      <c r="V149"/>
      <c r="W149"/>
      <c r="X149"/>
      <c r="Y149"/>
      <c r="Z149"/>
      <c r="AA149"/>
      <c r="AB149"/>
      <c r="AC149"/>
      <c r="AD149"/>
      <c r="AE149"/>
    </row>
    <row r="150" spans="19:31" hidden="1" x14ac:dyDescent="0.3">
      <c r="S150"/>
      <c r="T150"/>
      <c r="U150"/>
      <c r="V150"/>
      <c r="W150"/>
      <c r="X150"/>
      <c r="Y150"/>
      <c r="Z150"/>
      <c r="AA150"/>
      <c r="AB150"/>
      <c r="AC150"/>
      <c r="AD150"/>
      <c r="AE150"/>
    </row>
    <row r="151" spans="19:31" hidden="1" x14ac:dyDescent="0.3">
      <c r="S151"/>
      <c r="T151"/>
      <c r="U151"/>
      <c r="V151"/>
      <c r="W151"/>
      <c r="X151"/>
      <c r="Y151"/>
      <c r="Z151"/>
      <c r="AA151"/>
      <c r="AB151"/>
      <c r="AC151"/>
      <c r="AD151"/>
      <c r="AE151"/>
    </row>
    <row r="152" spans="19:31" hidden="1" x14ac:dyDescent="0.3">
      <c r="S152"/>
      <c r="T152"/>
      <c r="U152"/>
      <c r="V152"/>
      <c r="W152"/>
      <c r="X152"/>
      <c r="Y152"/>
      <c r="Z152"/>
      <c r="AA152"/>
      <c r="AB152"/>
      <c r="AC152"/>
      <c r="AD152"/>
      <c r="AE152"/>
    </row>
    <row r="153" spans="19:31" hidden="1" x14ac:dyDescent="0.3">
      <c r="S153"/>
      <c r="T153"/>
      <c r="U153"/>
      <c r="V153"/>
      <c r="W153"/>
      <c r="X153"/>
      <c r="Y153"/>
      <c r="Z153"/>
      <c r="AA153"/>
      <c r="AB153"/>
      <c r="AC153"/>
      <c r="AD153"/>
      <c r="AE153"/>
    </row>
    <row r="154" spans="19:31" hidden="1" x14ac:dyDescent="0.3">
      <c r="S154"/>
      <c r="T154"/>
      <c r="U154"/>
      <c r="V154"/>
      <c r="W154"/>
      <c r="X154"/>
      <c r="Y154"/>
      <c r="Z154"/>
      <c r="AA154"/>
      <c r="AB154"/>
      <c r="AC154"/>
      <c r="AD154"/>
      <c r="AE154"/>
    </row>
    <row r="155" spans="19:31" hidden="1" x14ac:dyDescent="0.3">
      <c r="S155"/>
      <c r="T155"/>
      <c r="U155"/>
      <c r="V155"/>
      <c r="W155"/>
      <c r="X155"/>
      <c r="Y155"/>
      <c r="Z155"/>
      <c r="AA155"/>
      <c r="AB155"/>
      <c r="AC155"/>
      <c r="AD155"/>
      <c r="AE155"/>
    </row>
    <row r="156" spans="19:31" hidden="1" x14ac:dyDescent="0.3">
      <c r="S156"/>
      <c r="T156"/>
      <c r="U156"/>
      <c r="V156"/>
      <c r="W156"/>
      <c r="X156"/>
      <c r="Y156"/>
      <c r="Z156"/>
      <c r="AA156"/>
      <c r="AB156"/>
      <c r="AC156"/>
      <c r="AD156"/>
      <c r="AE156"/>
    </row>
    <row r="157" spans="19:31" hidden="1" x14ac:dyDescent="0.3">
      <c r="S157"/>
      <c r="T157"/>
      <c r="U157"/>
      <c r="V157"/>
      <c r="W157"/>
      <c r="X157"/>
      <c r="Y157"/>
      <c r="Z157"/>
      <c r="AA157"/>
      <c r="AB157"/>
      <c r="AC157"/>
      <c r="AD157"/>
      <c r="AE157"/>
    </row>
    <row r="158" spans="19:31" hidden="1" x14ac:dyDescent="0.3">
      <c r="S158"/>
      <c r="T158"/>
      <c r="U158"/>
      <c r="V158"/>
      <c r="W158"/>
      <c r="X158"/>
      <c r="Y158"/>
      <c r="Z158"/>
      <c r="AA158"/>
      <c r="AB158"/>
      <c r="AC158"/>
      <c r="AD158"/>
      <c r="AE158"/>
    </row>
    <row r="159" spans="19:31" hidden="1" x14ac:dyDescent="0.3">
      <c r="S159"/>
      <c r="T159"/>
      <c r="U159"/>
      <c r="V159"/>
      <c r="W159"/>
      <c r="X159"/>
      <c r="Y159"/>
      <c r="Z159"/>
      <c r="AA159"/>
      <c r="AB159"/>
      <c r="AC159"/>
      <c r="AD159"/>
      <c r="AE159"/>
    </row>
    <row r="160" spans="19:31" hidden="1" x14ac:dyDescent="0.3">
      <c r="S160"/>
      <c r="T160"/>
      <c r="U160"/>
      <c r="V160"/>
      <c r="W160"/>
      <c r="X160"/>
      <c r="Y160"/>
      <c r="Z160"/>
      <c r="AA160"/>
      <c r="AB160"/>
      <c r="AC160"/>
      <c r="AD160"/>
      <c r="AE160"/>
    </row>
    <row r="161" spans="19:31" hidden="1" x14ac:dyDescent="0.3">
      <c r="S161"/>
      <c r="T161"/>
      <c r="U161"/>
      <c r="V161"/>
      <c r="W161"/>
      <c r="X161"/>
      <c r="Y161"/>
      <c r="Z161"/>
      <c r="AA161"/>
      <c r="AB161"/>
      <c r="AC161"/>
      <c r="AD161"/>
      <c r="AE161"/>
    </row>
    <row r="162" spans="19:31" hidden="1" x14ac:dyDescent="0.3">
      <c r="S162"/>
      <c r="T162"/>
      <c r="U162"/>
      <c r="V162"/>
      <c r="W162"/>
      <c r="X162"/>
      <c r="Y162"/>
      <c r="Z162"/>
      <c r="AA162"/>
      <c r="AB162"/>
      <c r="AC162"/>
      <c r="AD162"/>
      <c r="AE162"/>
    </row>
    <row r="163" spans="19:31" hidden="1" x14ac:dyDescent="0.3">
      <c r="S163"/>
      <c r="T163"/>
      <c r="U163"/>
      <c r="V163"/>
      <c r="W163"/>
      <c r="X163"/>
      <c r="Y163"/>
      <c r="Z163"/>
      <c r="AA163"/>
      <c r="AB163"/>
      <c r="AC163"/>
      <c r="AD163"/>
      <c r="AE163"/>
    </row>
    <row r="164" spans="19:31" hidden="1" x14ac:dyDescent="0.3">
      <c r="S164"/>
      <c r="T164"/>
      <c r="U164"/>
      <c r="V164"/>
      <c r="W164"/>
      <c r="X164"/>
      <c r="Y164"/>
      <c r="Z164"/>
      <c r="AA164"/>
      <c r="AB164"/>
      <c r="AC164"/>
      <c r="AD164"/>
      <c r="AE164"/>
    </row>
    <row r="165" spans="19:31" hidden="1" x14ac:dyDescent="0.3">
      <c r="S165"/>
      <c r="T165"/>
      <c r="U165"/>
      <c r="V165"/>
      <c r="W165"/>
      <c r="X165"/>
      <c r="Y165"/>
      <c r="Z165"/>
      <c r="AA165"/>
      <c r="AB165"/>
      <c r="AC165"/>
      <c r="AD165"/>
      <c r="AE165"/>
    </row>
    <row r="166" spans="19:31" hidden="1" x14ac:dyDescent="0.3">
      <c r="S166"/>
      <c r="T166"/>
      <c r="U166"/>
      <c r="V166"/>
      <c r="W166"/>
      <c r="X166"/>
      <c r="Y166"/>
      <c r="Z166"/>
      <c r="AA166"/>
      <c r="AB166"/>
      <c r="AC166"/>
      <c r="AD166"/>
      <c r="AE166"/>
    </row>
    <row r="167" spans="19:31" hidden="1" x14ac:dyDescent="0.3">
      <c r="S167"/>
      <c r="T167"/>
      <c r="U167"/>
      <c r="V167"/>
      <c r="W167"/>
      <c r="X167"/>
      <c r="Y167"/>
      <c r="Z167"/>
      <c r="AA167"/>
      <c r="AB167"/>
      <c r="AC167"/>
      <c r="AD167"/>
      <c r="AE167"/>
    </row>
    <row r="168" spans="19:31" hidden="1" x14ac:dyDescent="0.3">
      <c r="S168"/>
      <c r="T168"/>
      <c r="U168"/>
      <c r="V168"/>
      <c r="W168"/>
      <c r="X168"/>
      <c r="Y168"/>
      <c r="Z168"/>
      <c r="AA168"/>
      <c r="AB168"/>
      <c r="AC168"/>
      <c r="AD168"/>
      <c r="AE168"/>
    </row>
    <row r="169" spans="19:31" hidden="1" x14ac:dyDescent="0.3">
      <c r="S169"/>
      <c r="T169"/>
      <c r="U169"/>
      <c r="V169"/>
      <c r="W169"/>
      <c r="X169"/>
      <c r="Y169"/>
      <c r="Z169"/>
      <c r="AA169"/>
      <c r="AB169"/>
      <c r="AC169"/>
      <c r="AD169"/>
      <c r="AE169"/>
    </row>
    <row r="170" spans="19:31" hidden="1" x14ac:dyDescent="0.3">
      <c r="S170"/>
      <c r="T170"/>
      <c r="U170"/>
      <c r="V170"/>
      <c r="W170"/>
      <c r="X170"/>
      <c r="Y170"/>
      <c r="Z170"/>
      <c r="AA170"/>
      <c r="AB170"/>
      <c r="AC170"/>
      <c r="AD170"/>
      <c r="AE170"/>
    </row>
    <row r="171" spans="19:31" hidden="1" x14ac:dyDescent="0.3">
      <c r="S171"/>
      <c r="T171"/>
      <c r="U171"/>
      <c r="V171"/>
      <c r="W171"/>
      <c r="X171"/>
      <c r="Y171"/>
      <c r="Z171"/>
      <c r="AA171"/>
      <c r="AB171"/>
      <c r="AC171"/>
      <c r="AD171"/>
      <c r="AE171"/>
    </row>
    <row r="172" spans="19:31" hidden="1" x14ac:dyDescent="0.3">
      <c r="S172"/>
      <c r="T172"/>
      <c r="U172"/>
      <c r="V172"/>
      <c r="W172"/>
      <c r="X172"/>
      <c r="Y172"/>
      <c r="Z172"/>
      <c r="AA172"/>
      <c r="AB172"/>
      <c r="AC172"/>
      <c r="AD172"/>
      <c r="AE172"/>
    </row>
    <row r="173" spans="19:31" hidden="1" x14ac:dyDescent="0.3">
      <c r="S173"/>
      <c r="T173"/>
      <c r="U173"/>
      <c r="V173"/>
      <c r="W173"/>
      <c r="X173"/>
      <c r="Y173"/>
      <c r="Z173"/>
      <c r="AA173"/>
      <c r="AB173"/>
      <c r="AC173"/>
      <c r="AD173"/>
      <c r="AE173"/>
    </row>
    <row r="174" spans="19:31" hidden="1" x14ac:dyDescent="0.3">
      <c r="S174"/>
      <c r="T174"/>
      <c r="U174"/>
      <c r="V174"/>
      <c r="W174"/>
      <c r="X174"/>
      <c r="Y174"/>
      <c r="Z174"/>
      <c r="AA174"/>
      <c r="AB174"/>
      <c r="AC174"/>
      <c r="AD174"/>
      <c r="AE174"/>
    </row>
    <row r="175" spans="19:31" hidden="1" x14ac:dyDescent="0.3">
      <c r="S175"/>
      <c r="T175"/>
      <c r="U175"/>
      <c r="V175"/>
      <c r="W175"/>
      <c r="X175"/>
      <c r="Y175"/>
      <c r="Z175"/>
      <c r="AA175"/>
      <c r="AB175"/>
      <c r="AC175"/>
      <c r="AD175"/>
      <c r="AE175"/>
    </row>
    <row r="176" spans="19:31" hidden="1" x14ac:dyDescent="0.3">
      <c r="S176"/>
      <c r="T176"/>
      <c r="U176"/>
      <c r="V176"/>
      <c r="W176"/>
      <c r="X176"/>
      <c r="Y176"/>
      <c r="Z176"/>
      <c r="AA176"/>
      <c r="AB176"/>
      <c r="AC176"/>
      <c r="AD176"/>
      <c r="AE176"/>
    </row>
    <row r="177" spans="19:31" hidden="1" x14ac:dyDescent="0.3">
      <c r="S177"/>
      <c r="T177"/>
      <c r="U177"/>
      <c r="V177"/>
      <c r="W177"/>
      <c r="X177"/>
      <c r="Y177"/>
      <c r="Z177"/>
      <c r="AA177"/>
      <c r="AB177"/>
      <c r="AC177"/>
      <c r="AD177"/>
      <c r="AE177"/>
    </row>
    <row r="178" spans="19:31" hidden="1" x14ac:dyDescent="0.3">
      <c r="S178"/>
      <c r="T178"/>
      <c r="U178"/>
      <c r="V178"/>
      <c r="W178"/>
      <c r="X178"/>
      <c r="Y178"/>
      <c r="Z178"/>
      <c r="AA178"/>
      <c r="AB178"/>
      <c r="AC178"/>
      <c r="AD178"/>
      <c r="AE178"/>
    </row>
    <row r="179" spans="19:31" hidden="1" x14ac:dyDescent="0.3">
      <c r="S179"/>
      <c r="T179"/>
      <c r="U179"/>
      <c r="V179"/>
      <c r="W179"/>
      <c r="X179"/>
      <c r="Y179"/>
      <c r="Z179"/>
      <c r="AA179"/>
      <c r="AB179"/>
      <c r="AC179"/>
      <c r="AD179"/>
      <c r="AE179"/>
    </row>
    <row r="180" spans="19:31" hidden="1" x14ac:dyDescent="0.3">
      <c r="S180"/>
      <c r="T180"/>
      <c r="U180"/>
      <c r="V180"/>
      <c r="W180"/>
      <c r="X180"/>
      <c r="Y180"/>
      <c r="Z180"/>
      <c r="AA180"/>
      <c r="AB180"/>
      <c r="AC180"/>
      <c r="AD180"/>
      <c r="AE180"/>
    </row>
    <row r="181" spans="19:31" hidden="1" x14ac:dyDescent="0.3">
      <c r="S181"/>
      <c r="T181"/>
      <c r="U181"/>
      <c r="V181"/>
      <c r="W181"/>
      <c r="X181"/>
      <c r="Y181"/>
      <c r="Z181"/>
      <c r="AA181"/>
      <c r="AB181"/>
      <c r="AC181"/>
      <c r="AD181"/>
      <c r="AE181"/>
    </row>
    <row r="182" spans="19:31" hidden="1" x14ac:dyDescent="0.3">
      <c r="S182"/>
      <c r="T182"/>
      <c r="U182"/>
      <c r="V182"/>
      <c r="W182"/>
      <c r="X182"/>
      <c r="Y182"/>
      <c r="Z182"/>
      <c r="AA182"/>
      <c r="AB182"/>
      <c r="AC182"/>
      <c r="AD182"/>
      <c r="AE182"/>
    </row>
    <row r="183" spans="19:31" hidden="1" x14ac:dyDescent="0.3">
      <c r="S183"/>
      <c r="T183"/>
      <c r="U183"/>
      <c r="V183"/>
      <c r="W183"/>
      <c r="X183"/>
      <c r="Y183"/>
      <c r="Z183"/>
      <c r="AA183"/>
      <c r="AB183"/>
      <c r="AC183"/>
      <c r="AD183"/>
      <c r="AE183"/>
    </row>
    <row r="184" spans="19:31" hidden="1" x14ac:dyDescent="0.3">
      <c r="S184"/>
      <c r="T184"/>
      <c r="U184"/>
      <c r="V184"/>
      <c r="W184"/>
      <c r="X184"/>
      <c r="Y184"/>
      <c r="Z184"/>
      <c r="AA184"/>
      <c r="AB184"/>
      <c r="AC184"/>
      <c r="AD184"/>
      <c r="AE184"/>
    </row>
    <row r="185" spans="19:31" hidden="1" x14ac:dyDescent="0.3">
      <c r="S185"/>
      <c r="T185"/>
      <c r="U185"/>
      <c r="V185"/>
      <c r="W185"/>
      <c r="X185"/>
      <c r="Y185"/>
      <c r="Z185"/>
      <c r="AA185"/>
      <c r="AB185"/>
      <c r="AC185"/>
      <c r="AD185"/>
      <c r="AE185"/>
    </row>
    <row r="186" spans="19:31" hidden="1" x14ac:dyDescent="0.3">
      <c r="S186"/>
      <c r="T186"/>
      <c r="U186"/>
      <c r="V186"/>
      <c r="W186"/>
      <c r="X186"/>
      <c r="Y186"/>
      <c r="Z186"/>
      <c r="AA186"/>
      <c r="AB186"/>
      <c r="AC186"/>
      <c r="AD186"/>
      <c r="AE186"/>
    </row>
    <row r="187" spans="19:31" hidden="1" x14ac:dyDescent="0.3">
      <c r="S187"/>
      <c r="T187"/>
      <c r="U187"/>
      <c r="V187"/>
      <c r="W187"/>
      <c r="X187"/>
      <c r="Y187"/>
      <c r="Z187"/>
      <c r="AA187"/>
      <c r="AB187"/>
      <c r="AC187"/>
      <c r="AD187"/>
      <c r="AE187"/>
    </row>
    <row r="188" spans="19:31" hidden="1" x14ac:dyDescent="0.3">
      <c r="S188"/>
      <c r="T188"/>
      <c r="U188"/>
      <c r="V188"/>
      <c r="W188"/>
      <c r="X188"/>
      <c r="Y188"/>
      <c r="Z188"/>
      <c r="AA188"/>
      <c r="AB188"/>
      <c r="AC188"/>
      <c r="AD188"/>
      <c r="AE188"/>
    </row>
    <row r="189" spans="19:31" hidden="1" x14ac:dyDescent="0.3">
      <c r="S189"/>
      <c r="T189"/>
      <c r="U189"/>
      <c r="V189"/>
      <c r="W189"/>
      <c r="X189"/>
      <c r="Y189"/>
      <c r="Z189"/>
      <c r="AA189"/>
      <c r="AB189"/>
      <c r="AC189"/>
      <c r="AD189"/>
      <c r="AE189"/>
    </row>
    <row r="190" spans="19:31" hidden="1" x14ac:dyDescent="0.3">
      <c r="S190"/>
      <c r="T190"/>
      <c r="U190"/>
      <c r="V190"/>
      <c r="W190"/>
      <c r="X190"/>
      <c r="Y190"/>
      <c r="Z190"/>
      <c r="AA190"/>
      <c r="AB190"/>
      <c r="AC190"/>
      <c r="AD190"/>
      <c r="AE190"/>
    </row>
    <row r="191" spans="19:31" hidden="1" x14ac:dyDescent="0.3">
      <c r="S191"/>
      <c r="T191"/>
      <c r="U191"/>
      <c r="V191"/>
      <c r="W191"/>
      <c r="X191"/>
      <c r="Y191"/>
      <c r="Z191"/>
      <c r="AA191"/>
      <c r="AB191"/>
      <c r="AC191"/>
      <c r="AD191"/>
      <c r="AE191"/>
    </row>
    <row r="192" spans="19:31" hidden="1" x14ac:dyDescent="0.3">
      <c r="S192"/>
      <c r="T192"/>
      <c r="U192"/>
      <c r="V192"/>
      <c r="W192"/>
      <c r="X192"/>
      <c r="Y192"/>
      <c r="Z192"/>
      <c r="AA192"/>
      <c r="AB192"/>
      <c r="AC192"/>
      <c r="AD192"/>
      <c r="AE192"/>
    </row>
    <row r="193" spans="19:31" hidden="1" x14ac:dyDescent="0.3">
      <c r="S193"/>
      <c r="T193"/>
      <c r="U193"/>
      <c r="V193"/>
      <c r="W193"/>
      <c r="X193"/>
      <c r="Y193"/>
      <c r="Z193"/>
      <c r="AA193"/>
      <c r="AB193"/>
      <c r="AC193"/>
      <c r="AD193"/>
      <c r="AE193"/>
    </row>
    <row r="194" spans="19:31" hidden="1" x14ac:dyDescent="0.3">
      <c r="S194"/>
      <c r="T194"/>
      <c r="U194"/>
      <c r="V194"/>
      <c r="W194"/>
      <c r="X194"/>
      <c r="Y194"/>
      <c r="Z194"/>
      <c r="AA194"/>
      <c r="AB194"/>
      <c r="AC194"/>
      <c r="AD194"/>
      <c r="AE194"/>
    </row>
    <row r="195" spans="19:31" hidden="1" x14ac:dyDescent="0.3">
      <c r="S195"/>
      <c r="T195"/>
      <c r="U195"/>
      <c r="V195"/>
      <c r="W195"/>
      <c r="X195"/>
      <c r="Y195"/>
      <c r="Z195"/>
      <c r="AA195"/>
      <c r="AB195"/>
      <c r="AC195"/>
      <c r="AD195"/>
      <c r="AE195"/>
    </row>
    <row r="196" spans="19:31" hidden="1" x14ac:dyDescent="0.3">
      <c r="S196"/>
      <c r="T196"/>
      <c r="U196"/>
      <c r="V196"/>
      <c r="W196"/>
      <c r="X196"/>
      <c r="Y196"/>
      <c r="Z196"/>
      <c r="AA196"/>
      <c r="AB196"/>
      <c r="AC196"/>
      <c r="AD196"/>
      <c r="AE196"/>
    </row>
    <row r="197" spans="19:31" hidden="1" x14ac:dyDescent="0.3">
      <c r="S197"/>
      <c r="T197"/>
      <c r="U197"/>
      <c r="V197"/>
      <c r="W197"/>
      <c r="X197"/>
      <c r="Y197"/>
      <c r="Z197"/>
      <c r="AA197"/>
      <c r="AB197"/>
      <c r="AC197"/>
      <c r="AD197"/>
      <c r="AE197"/>
    </row>
    <row r="198" spans="19:31" hidden="1" x14ac:dyDescent="0.3">
      <c r="S198"/>
      <c r="T198"/>
      <c r="U198"/>
      <c r="V198"/>
      <c r="W198"/>
      <c r="X198"/>
      <c r="Y198"/>
      <c r="Z198"/>
      <c r="AA198"/>
      <c r="AB198"/>
      <c r="AC198"/>
      <c r="AD198"/>
      <c r="AE198"/>
    </row>
    <row r="199" spans="19:31" hidden="1" x14ac:dyDescent="0.3">
      <c r="S199"/>
      <c r="T199"/>
      <c r="U199"/>
      <c r="V199"/>
      <c r="W199"/>
      <c r="X199"/>
      <c r="Y199"/>
      <c r="Z199"/>
      <c r="AA199"/>
      <c r="AB199"/>
      <c r="AC199"/>
      <c r="AD199"/>
      <c r="AE199"/>
    </row>
    <row r="200" spans="19:31" hidden="1" x14ac:dyDescent="0.3">
      <c r="S200"/>
      <c r="T200"/>
      <c r="U200"/>
      <c r="V200"/>
      <c r="W200"/>
      <c r="X200"/>
      <c r="Y200"/>
      <c r="Z200"/>
      <c r="AA200"/>
      <c r="AB200"/>
      <c r="AC200"/>
      <c r="AD200"/>
      <c r="AE200"/>
    </row>
    <row r="201" spans="19:31" hidden="1" x14ac:dyDescent="0.3">
      <c r="S201"/>
      <c r="T201"/>
      <c r="U201"/>
      <c r="V201"/>
      <c r="W201"/>
      <c r="X201"/>
      <c r="Y201"/>
      <c r="Z201"/>
      <c r="AA201"/>
      <c r="AB201"/>
      <c r="AC201"/>
      <c r="AD201"/>
      <c r="AE201"/>
    </row>
    <row r="202" spans="19:31" hidden="1" x14ac:dyDescent="0.3">
      <c r="S202"/>
      <c r="T202"/>
      <c r="U202"/>
      <c r="V202"/>
      <c r="W202"/>
      <c r="X202"/>
      <c r="Y202"/>
      <c r="Z202"/>
      <c r="AA202"/>
      <c r="AB202"/>
      <c r="AC202"/>
      <c r="AD202"/>
      <c r="AE202"/>
    </row>
    <row r="203" spans="19:31" hidden="1" x14ac:dyDescent="0.3">
      <c r="S203"/>
      <c r="T203"/>
      <c r="U203"/>
      <c r="V203"/>
      <c r="W203"/>
      <c r="X203"/>
      <c r="Y203"/>
      <c r="Z203"/>
      <c r="AA203"/>
      <c r="AB203"/>
      <c r="AC203"/>
      <c r="AD203"/>
      <c r="AE203"/>
    </row>
    <row r="204" spans="19:31" hidden="1" x14ac:dyDescent="0.3">
      <c r="S204"/>
      <c r="T204"/>
      <c r="U204"/>
      <c r="V204"/>
      <c r="W204"/>
      <c r="X204"/>
      <c r="Y204"/>
      <c r="Z204"/>
      <c r="AA204"/>
      <c r="AB204"/>
      <c r="AC204"/>
      <c r="AD204"/>
      <c r="AE204"/>
    </row>
    <row r="205" spans="19:31" hidden="1" x14ac:dyDescent="0.3">
      <c r="S205"/>
      <c r="T205"/>
      <c r="U205"/>
      <c r="V205"/>
      <c r="W205"/>
      <c r="X205"/>
      <c r="Y205"/>
      <c r="Z205"/>
      <c r="AA205"/>
      <c r="AB205"/>
      <c r="AC205"/>
      <c r="AD205"/>
      <c r="AE205"/>
    </row>
    <row r="206" spans="19:31" hidden="1" x14ac:dyDescent="0.3">
      <c r="S206"/>
      <c r="T206"/>
      <c r="U206"/>
      <c r="V206"/>
      <c r="W206"/>
      <c r="X206"/>
      <c r="Y206"/>
      <c r="Z206"/>
      <c r="AA206"/>
      <c r="AB206"/>
      <c r="AC206"/>
      <c r="AD206"/>
      <c r="AE206"/>
    </row>
    <row r="207" spans="19:31" hidden="1" x14ac:dyDescent="0.3">
      <c r="S207"/>
      <c r="T207"/>
      <c r="U207"/>
      <c r="V207"/>
      <c r="W207"/>
      <c r="X207"/>
      <c r="Y207"/>
      <c r="Z207"/>
      <c r="AA207"/>
      <c r="AB207"/>
      <c r="AC207"/>
      <c r="AD207"/>
      <c r="AE207"/>
    </row>
    <row r="208" spans="19:31" hidden="1" x14ac:dyDescent="0.3">
      <c r="S208"/>
      <c r="T208"/>
      <c r="U208"/>
      <c r="V208"/>
      <c r="W208"/>
      <c r="X208"/>
      <c r="Y208"/>
      <c r="Z208"/>
      <c r="AA208"/>
      <c r="AB208"/>
      <c r="AC208"/>
      <c r="AD208"/>
      <c r="AE208"/>
    </row>
    <row r="209" spans="19:31" hidden="1" x14ac:dyDescent="0.3">
      <c r="S209"/>
      <c r="T209"/>
      <c r="U209"/>
      <c r="V209"/>
      <c r="W209"/>
      <c r="X209"/>
      <c r="Y209"/>
      <c r="Z209"/>
      <c r="AA209"/>
      <c r="AB209"/>
      <c r="AC209"/>
      <c r="AD209"/>
      <c r="AE209"/>
    </row>
    <row r="210" spans="19:31" hidden="1" x14ac:dyDescent="0.3">
      <c r="S210"/>
      <c r="T210"/>
      <c r="U210"/>
      <c r="V210"/>
      <c r="W210"/>
      <c r="X210"/>
      <c r="Y210"/>
      <c r="Z210"/>
      <c r="AA210"/>
      <c r="AB210"/>
      <c r="AC210"/>
      <c r="AD210"/>
      <c r="AE210"/>
    </row>
    <row r="211" spans="19:31" hidden="1" x14ac:dyDescent="0.3">
      <c r="S211"/>
      <c r="T211"/>
      <c r="U211"/>
      <c r="V211"/>
      <c r="W211"/>
      <c r="X211"/>
      <c r="Y211"/>
      <c r="Z211"/>
      <c r="AA211"/>
      <c r="AB211"/>
      <c r="AC211"/>
      <c r="AD211"/>
      <c r="AE211"/>
    </row>
    <row r="212" spans="19:31" hidden="1" x14ac:dyDescent="0.3">
      <c r="S212"/>
      <c r="T212"/>
      <c r="U212"/>
      <c r="V212"/>
      <c r="W212"/>
      <c r="X212"/>
      <c r="Y212"/>
      <c r="Z212"/>
      <c r="AA212"/>
      <c r="AB212"/>
      <c r="AC212"/>
      <c r="AD212"/>
      <c r="AE212"/>
    </row>
    <row r="213" spans="19:31" hidden="1" x14ac:dyDescent="0.3">
      <c r="S213"/>
      <c r="T213"/>
      <c r="U213"/>
      <c r="V213"/>
      <c r="W213"/>
      <c r="X213"/>
      <c r="Y213"/>
      <c r="Z213"/>
      <c r="AA213"/>
      <c r="AB213"/>
      <c r="AC213"/>
      <c r="AD213"/>
      <c r="AE213"/>
    </row>
    <row r="214" spans="19:31" hidden="1" x14ac:dyDescent="0.3">
      <c r="S214"/>
      <c r="T214"/>
      <c r="U214"/>
      <c r="V214"/>
      <c r="W214"/>
      <c r="X214"/>
      <c r="Y214"/>
      <c r="Z214"/>
      <c r="AA214"/>
      <c r="AB214"/>
      <c r="AC214"/>
      <c r="AD214"/>
      <c r="AE214"/>
    </row>
    <row r="215" spans="19:31" hidden="1" x14ac:dyDescent="0.3">
      <c r="S215"/>
      <c r="T215"/>
      <c r="U215"/>
      <c r="V215"/>
      <c r="W215"/>
      <c r="X215"/>
      <c r="Y215"/>
      <c r="Z215"/>
      <c r="AA215"/>
      <c r="AB215"/>
      <c r="AC215"/>
      <c r="AD215"/>
      <c r="AE215"/>
    </row>
    <row r="216" spans="19:31" hidden="1" x14ac:dyDescent="0.3">
      <c r="S216"/>
      <c r="T216"/>
      <c r="U216"/>
      <c r="V216"/>
      <c r="W216"/>
      <c r="X216"/>
      <c r="Y216"/>
      <c r="Z216"/>
      <c r="AA216"/>
      <c r="AB216"/>
      <c r="AC216"/>
      <c r="AD216"/>
      <c r="AE216"/>
    </row>
    <row r="217" spans="19:31" hidden="1" x14ac:dyDescent="0.3">
      <c r="S217"/>
      <c r="T217"/>
      <c r="U217"/>
      <c r="V217"/>
      <c r="W217"/>
      <c r="X217"/>
      <c r="Y217"/>
      <c r="Z217"/>
      <c r="AA217"/>
      <c r="AB217"/>
      <c r="AC217"/>
      <c r="AD217"/>
      <c r="AE217"/>
    </row>
    <row r="218" spans="19:31" hidden="1" x14ac:dyDescent="0.3">
      <c r="S218"/>
      <c r="T218"/>
      <c r="U218"/>
      <c r="V218"/>
      <c r="W218"/>
      <c r="X218"/>
      <c r="Y218"/>
      <c r="Z218"/>
      <c r="AA218"/>
      <c r="AB218"/>
      <c r="AC218"/>
      <c r="AD218"/>
      <c r="AE218"/>
    </row>
    <row r="219" spans="19:31" hidden="1" x14ac:dyDescent="0.3">
      <c r="S219"/>
      <c r="T219"/>
      <c r="U219"/>
      <c r="V219"/>
      <c r="W219"/>
      <c r="X219"/>
      <c r="Y219"/>
      <c r="Z219"/>
      <c r="AA219"/>
      <c r="AB219"/>
      <c r="AC219"/>
      <c r="AD219"/>
      <c r="AE219"/>
    </row>
    <row r="220" spans="19:31" hidden="1" x14ac:dyDescent="0.3">
      <c r="S220"/>
      <c r="T220"/>
      <c r="U220"/>
      <c r="V220"/>
      <c r="W220"/>
      <c r="X220"/>
      <c r="Y220"/>
      <c r="Z220"/>
      <c r="AA220"/>
      <c r="AB220"/>
      <c r="AC220"/>
      <c r="AD220"/>
      <c r="AE220"/>
    </row>
    <row r="221" spans="19:31" hidden="1" x14ac:dyDescent="0.3">
      <c r="S221"/>
      <c r="T221"/>
      <c r="U221"/>
      <c r="V221"/>
      <c r="W221"/>
      <c r="X221"/>
      <c r="Y221"/>
      <c r="Z221"/>
      <c r="AA221"/>
      <c r="AB221"/>
      <c r="AC221"/>
      <c r="AD221"/>
      <c r="AE221"/>
    </row>
    <row r="222" spans="19:31" hidden="1" x14ac:dyDescent="0.3">
      <c r="S222"/>
      <c r="T222"/>
      <c r="U222"/>
      <c r="V222"/>
      <c r="W222"/>
      <c r="X222"/>
      <c r="Y222"/>
      <c r="Z222"/>
      <c r="AA222"/>
      <c r="AB222"/>
      <c r="AC222"/>
      <c r="AD222"/>
      <c r="AE222"/>
    </row>
    <row r="223" spans="19:31" hidden="1" x14ac:dyDescent="0.3">
      <c r="S223"/>
      <c r="T223"/>
      <c r="U223"/>
      <c r="V223"/>
      <c r="W223"/>
      <c r="X223"/>
      <c r="Y223"/>
      <c r="Z223"/>
      <c r="AA223"/>
      <c r="AB223"/>
      <c r="AC223"/>
      <c r="AD223"/>
      <c r="AE223"/>
    </row>
    <row r="224" spans="19:31" hidden="1" x14ac:dyDescent="0.3">
      <c r="S224"/>
      <c r="T224"/>
      <c r="U224"/>
      <c r="V224"/>
      <c r="W224"/>
      <c r="X224"/>
      <c r="Y224"/>
      <c r="Z224"/>
      <c r="AA224"/>
      <c r="AB224"/>
      <c r="AC224"/>
      <c r="AD224"/>
      <c r="AE224"/>
    </row>
    <row r="225" spans="19:31" hidden="1" x14ac:dyDescent="0.3">
      <c r="S225"/>
      <c r="T225"/>
      <c r="U225"/>
      <c r="V225"/>
      <c r="W225"/>
      <c r="X225"/>
      <c r="Y225"/>
      <c r="Z225"/>
      <c r="AA225"/>
      <c r="AB225"/>
      <c r="AC225"/>
      <c r="AD225"/>
      <c r="AE225"/>
    </row>
    <row r="226" spans="19:31" hidden="1" x14ac:dyDescent="0.3">
      <c r="S226"/>
      <c r="T226"/>
      <c r="U226"/>
      <c r="V226"/>
      <c r="W226"/>
      <c r="X226"/>
      <c r="Y226"/>
      <c r="Z226"/>
      <c r="AA226"/>
      <c r="AB226"/>
      <c r="AC226"/>
      <c r="AD226"/>
      <c r="AE226"/>
    </row>
    <row r="227" spans="19:31" hidden="1" x14ac:dyDescent="0.3">
      <c r="S227"/>
      <c r="T227"/>
      <c r="U227"/>
      <c r="V227"/>
      <c r="W227"/>
      <c r="X227"/>
      <c r="Y227"/>
      <c r="Z227"/>
      <c r="AA227"/>
      <c r="AB227"/>
      <c r="AC227"/>
      <c r="AD227"/>
      <c r="AE227"/>
    </row>
    <row r="228" spans="19:31" hidden="1" x14ac:dyDescent="0.3">
      <c r="S228"/>
      <c r="T228"/>
      <c r="U228"/>
      <c r="V228"/>
      <c r="W228"/>
      <c r="X228"/>
      <c r="Y228"/>
      <c r="Z228"/>
      <c r="AA228"/>
      <c r="AB228"/>
      <c r="AC228"/>
      <c r="AD228"/>
      <c r="AE228"/>
    </row>
    <row r="229" spans="19:31" hidden="1" x14ac:dyDescent="0.3">
      <c r="S229"/>
      <c r="T229"/>
      <c r="U229"/>
      <c r="V229"/>
      <c r="W229"/>
      <c r="X229"/>
      <c r="Y229"/>
      <c r="Z229"/>
      <c r="AA229"/>
      <c r="AB229"/>
      <c r="AC229"/>
      <c r="AD229"/>
      <c r="AE229"/>
    </row>
    <row r="230" spans="19:31" hidden="1" x14ac:dyDescent="0.3">
      <c r="S230"/>
      <c r="T230"/>
      <c r="U230"/>
      <c r="V230"/>
      <c r="W230"/>
      <c r="X230"/>
      <c r="Y230"/>
      <c r="Z230"/>
      <c r="AA230"/>
      <c r="AB230"/>
      <c r="AC230"/>
      <c r="AD230"/>
      <c r="AE230"/>
    </row>
    <row r="231" spans="19:31" hidden="1" x14ac:dyDescent="0.3">
      <c r="S231"/>
      <c r="T231"/>
      <c r="U231"/>
      <c r="V231"/>
      <c r="W231"/>
      <c r="X231"/>
      <c r="Y231"/>
      <c r="Z231"/>
      <c r="AA231"/>
      <c r="AB231"/>
      <c r="AC231"/>
      <c r="AD231"/>
      <c r="AE231"/>
    </row>
    <row r="232" spans="19:31" hidden="1" x14ac:dyDescent="0.3">
      <c r="S232"/>
      <c r="T232"/>
      <c r="U232"/>
      <c r="V232"/>
      <c r="W232"/>
      <c r="X232"/>
      <c r="Y232"/>
      <c r="Z232"/>
      <c r="AA232"/>
      <c r="AB232"/>
      <c r="AC232"/>
      <c r="AD232"/>
      <c r="AE232"/>
    </row>
    <row r="233" spans="19:31" hidden="1" x14ac:dyDescent="0.3">
      <c r="S233"/>
      <c r="T233"/>
      <c r="U233"/>
      <c r="V233"/>
      <c r="W233"/>
      <c r="X233"/>
      <c r="Y233"/>
      <c r="Z233"/>
      <c r="AA233"/>
      <c r="AB233"/>
      <c r="AC233"/>
      <c r="AD233"/>
      <c r="AE233"/>
    </row>
    <row r="234" spans="19:31" hidden="1" x14ac:dyDescent="0.3">
      <c r="S234"/>
      <c r="T234"/>
      <c r="U234"/>
      <c r="V234"/>
      <c r="W234"/>
      <c r="X234"/>
      <c r="Y234"/>
      <c r="Z234"/>
      <c r="AA234"/>
      <c r="AB234"/>
      <c r="AC234"/>
      <c r="AD234"/>
      <c r="AE234"/>
    </row>
    <row r="235" spans="19:31" hidden="1" x14ac:dyDescent="0.3">
      <c r="S235"/>
      <c r="T235"/>
      <c r="U235"/>
      <c r="V235"/>
      <c r="W235"/>
      <c r="X235"/>
      <c r="Y235"/>
      <c r="Z235"/>
      <c r="AA235"/>
      <c r="AB235"/>
      <c r="AC235"/>
      <c r="AD235"/>
      <c r="AE235"/>
    </row>
    <row r="236" spans="19:31" hidden="1" x14ac:dyDescent="0.3">
      <c r="S236"/>
      <c r="T236"/>
      <c r="U236"/>
      <c r="V236"/>
      <c r="W236"/>
      <c r="X236"/>
      <c r="Y236"/>
      <c r="Z236"/>
      <c r="AA236"/>
      <c r="AB236"/>
      <c r="AC236"/>
      <c r="AD236"/>
      <c r="AE236"/>
    </row>
    <row r="237" spans="19:31" hidden="1" x14ac:dyDescent="0.3">
      <c r="S237"/>
      <c r="T237"/>
      <c r="U237"/>
      <c r="V237"/>
      <c r="W237"/>
      <c r="X237"/>
      <c r="Y237"/>
      <c r="Z237"/>
      <c r="AA237"/>
      <c r="AB237"/>
      <c r="AC237"/>
      <c r="AD237"/>
      <c r="AE237"/>
    </row>
    <row r="238" spans="19:31" hidden="1" x14ac:dyDescent="0.3">
      <c r="S238"/>
      <c r="T238"/>
      <c r="U238"/>
      <c r="V238"/>
      <c r="W238"/>
      <c r="X238"/>
      <c r="Y238"/>
      <c r="Z238"/>
      <c r="AA238"/>
      <c r="AB238"/>
      <c r="AC238"/>
      <c r="AD238"/>
      <c r="AE238"/>
    </row>
    <row r="239" spans="19:31" hidden="1" x14ac:dyDescent="0.3">
      <c r="S239"/>
      <c r="T239"/>
      <c r="U239"/>
      <c r="V239"/>
      <c r="W239"/>
      <c r="X239"/>
      <c r="Y239"/>
      <c r="Z239"/>
      <c r="AA239"/>
      <c r="AB239"/>
      <c r="AC239"/>
      <c r="AD239"/>
      <c r="AE239"/>
    </row>
    <row r="240" spans="19:31" hidden="1" x14ac:dyDescent="0.3">
      <c r="S240"/>
      <c r="T240"/>
      <c r="U240"/>
      <c r="V240"/>
      <c r="W240"/>
      <c r="X240"/>
      <c r="Y240"/>
      <c r="Z240"/>
      <c r="AA240"/>
      <c r="AB240"/>
      <c r="AC240"/>
      <c r="AD240"/>
      <c r="AE240"/>
    </row>
    <row r="241" spans="19:31" hidden="1" x14ac:dyDescent="0.3">
      <c r="S241"/>
      <c r="T241"/>
      <c r="U241"/>
      <c r="V241"/>
      <c r="W241"/>
      <c r="X241"/>
      <c r="Y241"/>
      <c r="Z241"/>
      <c r="AA241"/>
      <c r="AB241"/>
      <c r="AC241"/>
      <c r="AD241"/>
      <c r="AE241"/>
    </row>
    <row r="242" spans="19:31" hidden="1" x14ac:dyDescent="0.3">
      <c r="S242"/>
      <c r="T242"/>
      <c r="U242"/>
      <c r="V242"/>
      <c r="W242"/>
      <c r="X242"/>
      <c r="Y242"/>
      <c r="Z242"/>
      <c r="AA242"/>
      <c r="AB242"/>
      <c r="AC242"/>
      <c r="AD242"/>
      <c r="AE242"/>
    </row>
    <row r="243" spans="19:31" hidden="1" x14ac:dyDescent="0.3">
      <c r="S243"/>
      <c r="T243"/>
      <c r="U243"/>
      <c r="V243"/>
      <c r="W243"/>
      <c r="X243"/>
      <c r="Y243"/>
      <c r="Z243"/>
      <c r="AA243"/>
      <c r="AB243"/>
      <c r="AC243"/>
      <c r="AD243"/>
      <c r="AE243"/>
    </row>
    <row r="244" spans="19:31" hidden="1" x14ac:dyDescent="0.3">
      <c r="S244"/>
      <c r="T244"/>
      <c r="U244"/>
      <c r="V244"/>
      <c r="W244"/>
      <c r="X244"/>
      <c r="Y244"/>
      <c r="Z244"/>
      <c r="AA244"/>
      <c r="AB244"/>
      <c r="AC244"/>
      <c r="AD244"/>
      <c r="AE244"/>
    </row>
    <row r="245" spans="19:31" hidden="1" x14ac:dyDescent="0.3">
      <c r="S245"/>
      <c r="T245"/>
      <c r="U245"/>
      <c r="V245"/>
      <c r="W245"/>
      <c r="X245"/>
      <c r="Y245"/>
      <c r="Z245"/>
      <c r="AA245"/>
      <c r="AB245"/>
      <c r="AC245"/>
      <c r="AD245"/>
      <c r="AE245"/>
    </row>
    <row r="246" spans="19:31" hidden="1" x14ac:dyDescent="0.3">
      <c r="S246"/>
      <c r="T246"/>
      <c r="U246"/>
      <c r="V246"/>
      <c r="W246"/>
      <c r="X246"/>
      <c r="Y246"/>
      <c r="Z246"/>
      <c r="AA246"/>
      <c r="AB246"/>
      <c r="AC246"/>
      <c r="AD246"/>
      <c r="AE246"/>
    </row>
    <row r="247" spans="19:31" hidden="1" x14ac:dyDescent="0.3">
      <c r="S247"/>
      <c r="T247"/>
      <c r="U247"/>
      <c r="V247"/>
      <c r="W247"/>
      <c r="X247"/>
      <c r="Y247"/>
      <c r="Z247"/>
      <c r="AA247"/>
      <c r="AB247"/>
      <c r="AC247"/>
      <c r="AD247"/>
      <c r="AE247"/>
    </row>
    <row r="248" spans="19:31" hidden="1" x14ac:dyDescent="0.3">
      <c r="S248"/>
      <c r="T248"/>
      <c r="U248"/>
      <c r="V248"/>
      <c r="W248"/>
      <c r="X248"/>
      <c r="Y248"/>
      <c r="Z248"/>
      <c r="AA248"/>
      <c r="AB248"/>
      <c r="AC248"/>
      <c r="AD248"/>
      <c r="AE248"/>
    </row>
    <row r="249" spans="19:31" hidden="1" x14ac:dyDescent="0.3">
      <c r="S249"/>
      <c r="T249"/>
      <c r="U249"/>
      <c r="V249"/>
      <c r="W249"/>
      <c r="X249"/>
      <c r="Y249"/>
      <c r="Z249"/>
      <c r="AA249"/>
      <c r="AB249"/>
      <c r="AC249"/>
      <c r="AD249"/>
      <c r="AE249"/>
    </row>
    <row r="250" spans="19:31" hidden="1" x14ac:dyDescent="0.3">
      <c r="S250"/>
      <c r="T250"/>
      <c r="U250"/>
      <c r="V250"/>
      <c r="W250"/>
      <c r="X250"/>
      <c r="Y250"/>
      <c r="Z250"/>
      <c r="AA250"/>
      <c r="AB250"/>
      <c r="AC250"/>
      <c r="AD250"/>
      <c r="AE250"/>
    </row>
    <row r="251" spans="19:31" hidden="1" x14ac:dyDescent="0.3">
      <c r="S251"/>
      <c r="T251"/>
      <c r="U251"/>
      <c r="V251"/>
      <c r="W251"/>
      <c r="X251"/>
      <c r="Y251"/>
      <c r="Z251"/>
      <c r="AA251"/>
      <c r="AB251"/>
      <c r="AC251"/>
      <c r="AD251"/>
      <c r="AE251"/>
    </row>
    <row r="252" spans="19:31" hidden="1" x14ac:dyDescent="0.3">
      <c r="S252"/>
      <c r="T252"/>
      <c r="U252"/>
      <c r="V252"/>
      <c r="W252"/>
      <c r="X252"/>
      <c r="Y252"/>
      <c r="Z252"/>
      <c r="AA252"/>
      <c r="AB252"/>
      <c r="AC252"/>
      <c r="AD252"/>
      <c r="AE252"/>
    </row>
    <row r="253" spans="19:31" hidden="1" x14ac:dyDescent="0.3">
      <c r="S253"/>
      <c r="T253"/>
      <c r="U253"/>
      <c r="V253"/>
      <c r="W253"/>
      <c r="X253"/>
      <c r="Y253"/>
      <c r="Z253"/>
      <c r="AA253"/>
      <c r="AB253"/>
      <c r="AC253"/>
      <c r="AD253"/>
      <c r="AE253"/>
    </row>
    <row r="254" spans="19:31" hidden="1" x14ac:dyDescent="0.3">
      <c r="S254"/>
      <c r="T254"/>
      <c r="U254"/>
      <c r="V254"/>
      <c r="W254"/>
      <c r="X254"/>
      <c r="Y254"/>
      <c r="Z254"/>
      <c r="AA254"/>
      <c r="AB254"/>
      <c r="AC254"/>
      <c r="AD254"/>
      <c r="AE254"/>
    </row>
    <row r="255" spans="19:31" hidden="1" x14ac:dyDescent="0.3">
      <c r="S255"/>
      <c r="T255"/>
      <c r="U255"/>
      <c r="V255"/>
      <c r="W255"/>
      <c r="X255"/>
      <c r="Y255"/>
      <c r="Z255"/>
      <c r="AA255"/>
      <c r="AB255"/>
      <c r="AC255"/>
      <c r="AD255"/>
      <c r="AE255"/>
    </row>
    <row r="256" spans="19:31" hidden="1" x14ac:dyDescent="0.3">
      <c r="S256"/>
      <c r="T256"/>
      <c r="U256"/>
      <c r="V256"/>
      <c r="W256"/>
      <c r="X256"/>
      <c r="Y256"/>
      <c r="Z256"/>
      <c r="AA256"/>
      <c r="AB256"/>
      <c r="AC256"/>
      <c r="AD256"/>
      <c r="AE256"/>
    </row>
    <row r="257" spans="19:31" hidden="1" x14ac:dyDescent="0.3">
      <c r="S257"/>
      <c r="T257"/>
      <c r="U257"/>
      <c r="V257"/>
      <c r="W257"/>
      <c r="X257"/>
      <c r="Y257"/>
      <c r="Z257"/>
      <c r="AA257"/>
      <c r="AB257"/>
      <c r="AC257"/>
      <c r="AD257"/>
      <c r="AE257"/>
    </row>
    <row r="258" spans="19:31" hidden="1" x14ac:dyDescent="0.3">
      <c r="S258"/>
      <c r="T258"/>
      <c r="U258"/>
      <c r="V258"/>
      <c r="W258"/>
      <c r="X258"/>
      <c r="Y258"/>
      <c r="Z258"/>
      <c r="AA258"/>
      <c r="AB258"/>
      <c r="AC258"/>
      <c r="AD258"/>
      <c r="AE258"/>
    </row>
    <row r="259" spans="19:31" hidden="1" x14ac:dyDescent="0.3">
      <c r="S259"/>
      <c r="T259"/>
      <c r="U259"/>
      <c r="V259"/>
      <c r="W259"/>
      <c r="X259"/>
      <c r="Y259"/>
      <c r="Z259"/>
      <c r="AA259"/>
      <c r="AB259"/>
      <c r="AC259"/>
      <c r="AD259"/>
      <c r="AE259"/>
    </row>
    <row r="260" spans="19:31" hidden="1" x14ac:dyDescent="0.3">
      <c r="S260"/>
      <c r="T260"/>
      <c r="U260"/>
      <c r="V260"/>
      <c r="W260"/>
      <c r="X260"/>
      <c r="Y260"/>
      <c r="Z260"/>
      <c r="AA260"/>
      <c r="AB260"/>
      <c r="AC260"/>
      <c r="AD260"/>
      <c r="AE260"/>
    </row>
    <row r="261" spans="19:31" hidden="1" x14ac:dyDescent="0.3">
      <c r="S261"/>
      <c r="T261"/>
      <c r="U261"/>
      <c r="V261"/>
      <c r="W261"/>
      <c r="X261"/>
      <c r="Y261"/>
      <c r="Z261"/>
      <c r="AA261"/>
      <c r="AB261"/>
      <c r="AC261"/>
      <c r="AD261"/>
      <c r="AE261"/>
    </row>
    <row r="262" spans="19:31" hidden="1" x14ac:dyDescent="0.3">
      <c r="S262"/>
      <c r="T262"/>
      <c r="U262"/>
      <c r="V262"/>
      <c r="W262"/>
      <c r="X262"/>
      <c r="Y262"/>
      <c r="Z262"/>
      <c r="AA262"/>
      <c r="AB262"/>
      <c r="AC262"/>
      <c r="AD262"/>
      <c r="AE262"/>
    </row>
    <row r="263" spans="19:31" hidden="1" x14ac:dyDescent="0.3">
      <c r="S263"/>
      <c r="T263"/>
      <c r="U263"/>
      <c r="V263"/>
      <c r="W263"/>
      <c r="X263"/>
      <c r="Y263"/>
      <c r="Z263"/>
      <c r="AA263"/>
      <c r="AB263"/>
      <c r="AC263"/>
      <c r="AD263"/>
      <c r="AE263"/>
    </row>
    <row r="264" spans="19:31" hidden="1" x14ac:dyDescent="0.3">
      <c r="S264"/>
      <c r="T264"/>
      <c r="U264"/>
      <c r="V264"/>
      <c r="W264"/>
      <c r="X264"/>
      <c r="Y264"/>
      <c r="Z264"/>
      <c r="AA264"/>
      <c r="AB264"/>
      <c r="AC264"/>
      <c r="AD264"/>
      <c r="AE264"/>
    </row>
    <row r="265" spans="19:31" hidden="1" x14ac:dyDescent="0.3">
      <c r="S265"/>
      <c r="T265"/>
      <c r="U265"/>
      <c r="V265"/>
      <c r="W265"/>
      <c r="X265"/>
      <c r="Y265"/>
      <c r="Z265"/>
      <c r="AA265"/>
      <c r="AB265"/>
      <c r="AC265"/>
      <c r="AD265"/>
      <c r="AE265"/>
    </row>
    <row r="266" spans="19:31" hidden="1" x14ac:dyDescent="0.3">
      <c r="S266"/>
      <c r="T266"/>
      <c r="U266"/>
      <c r="V266"/>
      <c r="W266"/>
      <c r="X266"/>
      <c r="Y266"/>
      <c r="Z266"/>
      <c r="AA266"/>
      <c r="AB266"/>
      <c r="AC266"/>
      <c r="AD266"/>
      <c r="AE266"/>
    </row>
    <row r="267" spans="19:31" hidden="1" x14ac:dyDescent="0.3">
      <c r="S267"/>
      <c r="T267"/>
      <c r="U267"/>
      <c r="V267"/>
      <c r="W267"/>
      <c r="X267"/>
      <c r="Y267"/>
      <c r="Z267"/>
      <c r="AA267"/>
      <c r="AB267"/>
      <c r="AC267"/>
      <c r="AD267"/>
      <c r="AE267"/>
    </row>
    <row r="268" spans="19:31" hidden="1" x14ac:dyDescent="0.3">
      <c r="S268"/>
      <c r="T268"/>
      <c r="U268"/>
      <c r="V268"/>
      <c r="W268"/>
      <c r="X268"/>
      <c r="Y268"/>
      <c r="Z268"/>
      <c r="AA268"/>
      <c r="AB268"/>
      <c r="AC268"/>
      <c r="AD268"/>
      <c r="AE268"/>
    </row>
    <row r="269" spans="19:31" hidden="1" x14ac:dyDescent="0.3">
      <c r="S269"/>
      <c r="T269"/>
      <c r="U269"/>
      <c r="V269"/>
      <c r="W269"/>
      <c r="X269"/>
      <c r="Y269"/>
      <c r="Z269"/>
      <c r="AA269"/>
      <c r="AB269"/>
      <c r="AC269"/>
      <c r="AD269"/>
      <c r="AE269"/>
    </row>
    <row r="270" spans="19:31" hidden="1" x14ac:dyDescent="0.3">
      <c r="S270"/>
      <c r="T270"/>
      <c r="U270"/>
      <c r="V270"/>
      <c r="W270"/>
      <c r="X270"/>
      <c r="Y270"/>
      <c r="Z270"/>
      <c r="AA270"/>
      <c r="AB270"/>
      <c r="AC270"/>
      <c r="AD270"/>
      <c r="AE270"/>
    </row>
    <row r="271" spans="19:31" hidden="1" x14ac:dyDescent="0.3">
      <c r="S271"/>
      <c r="T271"/>
      <c r="U271"/>
      <c r="V271"/>
      <c r="W271"/>
      <c r="X271"/>
      <c r="Y271"/>
      <c r="Z271"/>
      <c r="AA271"/>
      <c r="AB271"/>
      <c r="AC271"/>
      <c r="AD271"/>
      <c r="AE271"/>
    </row>
    <row r="272" spans="19:31" hidden="1" x14ac:dyDescent="0.3">
      <c r="S272"/>
      <c r="T272"/>
      <c r="U272"/>
      <c r="V272"/>
      <c r="W272"/>
      <c r="X272"/>
      <c r="Y272"/>
      <c r="Z272"/>
      <c r="AA272"/>
      <c r="AB272"/>
      <c r="AC272"/>
      <c r="AD272"/>
      <c r="AE272"/>
    </row>
    <row r="273" spans="19:31" hidden="1" x14ac:dyDescent="0.3">
      <c r="S273"/>
      <c r="T273"/>
      <c r="U273"/>
      <c r="V273"/>
      <c r="W273"/>
      <c r="X273"/>
      <c r="Y273"/>
      <c r="Z273"/>
      <c r="AA273"/>
      <c r="AB273"/>
      <c r="AC273"/>
      <c r="AD273"/>
      <c r="AE273"/>
    </row>
    <row r="274" spans="19:31" hidden="1" x14ac:dyDescent="0.3">
      <c r="S274"/>
      <c r="T274"/>
      <c r="U274"/>
      <c r="V274"/>
      <c r="W274"/>
      <c r="X274"/>
      <c r="Y274"/>
      <c r="Z274"/>
      <c r="AA274"/>
      <c r="AB274"/>
      <c r="AC274"/>
      <c r="AD274"/>
      <c r="AE274"/>
    </row>
    <row r="275" spans="19:31" hidden="1" x14ac:dyDescent="0.3">
      <c r="S275"/>
      <c r="T275"/>
      <c r="U275"/>
      <c r="V275"/>
      <c r="W275"/>
      <c r="X275"/>
      <c r="Y275"/>
      <c r="Z275"/>
      <c r="AA275"/>
      <c r="AB275"/>
      <c r="AC275"/>
      <c r="AD275"/>
      <c r="AE275"/>
    </row>
    <row r="276" spans="19:31" hidden="1" x14ac:dyDescent="0.3">
      <c r="S276"/>
      <c r="T276"/>
      <c r="U276"/>
      <c r="V276"/>
      <c r="W276"/>
      <c r="X276"/>
      <c r="Y276"/>
      <c r="Z276"/>
      <c r="AA276"/>
      <c r="AB276"/>
      <c r="AC276"/>
      <c r="AD276"/>
      <c r="AE276"/>
    </row>
    <row r="277" spans="19:31" hidden="1" x14ac:dyDescent="0.3">
      <c r="S277"/>
      <c r="T277"/>
      <c r="U277"/>
      <c r="V277"/>
      <c r="W277"/>
      <c r="X277"/>
      <c r="Y277"/>
      <c r="Z277"/>
      <c r="AA277"/>
      <c r="AB277"/>
      <c r="AC277"/>
      <c r="AD277"/>
      <c r="AE277"/>
    </row>
    <row r="278" spans="19:31" hidden="1" x14ac:dyDescent="0.3">
      <c r="S278"/>
      <c r="T278"/>
      <c r="U278"/>
      <c r="V278"/>
      <c r="W278"/>
      <c r="X278"/>
      <c r="Y278"/>
      <c r="Z278"/>
      <c r="AA278"/>
      <c r="AB278"/>
      <c r="AC278"/>
      <c r="AD278"/>
      <c r="AE278"/>
    </row>
    <row r="279" spans="19:31" hidden="1" x14ac:dyDescent="0.3">
      <c r="S279"/>
      <c r="T279"/>
      <c r="U279"/>
      <c r="V279"/>
      <c r="W279"/>
      <c r="X279"/>
      <c r="Y279"/>
      <c r="Z279"/>
      <c r="AA279"/>
      <c r="AB279"/>
      <c r="AC279"/>
      <c r="AD279"/>
      <c r="AE279"/>
    </row>
    <row r="280" spans="19:31" hidden="1" x14ac:dyDescent="0.3">
      <c r="S280"/>
      <c r="T280"/>
      <c r="U280"/>
      <c r="V280"/>
      <c r="W280"/>
      <c r="X280"/>
      <c r="Y280"/>
      <c r="Z280"/>
      <c r="AA280"/>
      <c r="AB280"/>
      <c r="AC280"/>
      <c r="AD280"/>
      <c r="AE280"/>
    </row>
    <row r="281" spans="19:31" hidden="1" x14ac:dyDescent="0.3">
      <c r="S281"/>
      <c r="T281"/>
      <c r="U281"/>
      <c r="V281"/>
      <c r="W281"/>
      <c r="X281"/>
      <c r="Y281"/>
      <c r="Z281"/>
      <c r="AA281"/>
      <c r="AB281"/>
      <c r="AC281"/>
      <c r="AD281"/>
      <c r="AE281"/>
    </row>
    <row r="282" spans="19:31" hidden="1" x14ac:dyDescent="0.3">
      <c r="S282"/>
      <c r="T282"/>
      <c r="U282"/>
      <c r="V282"/>
      <c r="W282"/>
      <c r="X282"/>
      <c r="Y282"/>
      <c r="Z282"/>
      <c r="AA282"/>
      <c r="AB282"/>
      <c r="AC282"/>
      <c r="AD282"/>
      <c r="AE282"/>
    </row>
    <row r="283" spans="19:31" hidden="1" x14ac:dyDescent="0.3">
      <c r="S283"/>
      <c r="T283"/>
      <c r="U283"/>
      <c r="V283"/>
      <c r="W283"/>
      <c r="X283"/>
      <c r="Y283"/>
      <c r="Z283"/>
      <c r="AA283"/>
      <c r="AB283"/>
      <c r="AC283"/>
      <c r="AD283"/>
      <c r="AE283"/>
    </row>
    <row r="284" spans="19:31" hidden="1" x14ac:dyDescent="0.3">
      <c r="S284"/>
      <c r="T284"/>
      <c r="U284"/>
      <c r="V284"/>
      <c r="W284"/>
      <c r="X284"/>
      <c r="Y284"/>
      <c r="Z284"/>
      <c r="AA284"/>
      <c r="AB284"/>
      <c r="AC284"/>
      <c r="AD284"/>
      <c r="AE284"/>
    </row>
    <row r="285" spans="19:31" hidden="1" x14ac:dyDescent="0.3">
      <c r="S285"/>
      <c r="T285"/>
      <c r="U285"/>
      <c r="V285"/>
      <c r="W285"/>
      <c r="X285"/>
      <c r="Y285"/>
      <c r="Z285"/>
      <c r="AA285"/>
      <c r="AB285"/>
      <c r="AC285"/>
      <c r="AD285"/>
      <c r="AE285"/>
    </row>
    <row r="286" spans="19:31" hidden="1" x14ac:dyDescent="0.3">
      <c r="S286"/>
      <c r="T286"/>
      <c r="U286"/>
      <c r="V286"/>
      <c r="W286"/>
      <c r="X286"/>
      <c r="Y286"/>
      <c r="Z286"/>
      <c r="AA286"/>
      <c r="AB286"/>
      <c r="AC286"/>
      <c r="AD286"/>
      <c r="AE286"/>
    </row>
    <row r="287" spans="19:31" hidden="1" x14ac:dyDescent="0.3">
      <c r="S287"/>
      <c r="T287"/>
      <c r="U287"/>
      <c r="V287"/>
      <c r="W287"/>
      <c r="X287"/>
      <c r="Y287"/>
      <c r="Z287"/>
      <c r="AA287"/>
      <c r="AB287"/>
      <c r="AC287"/>
      <c r="AD287"/>
      <c r="AE287"/>
    </row>
    <row r="288" spans="19:31" hidden="1" x14ac:dyDescent="0.3">
      <c r="S288"/>
      <c r="T288"/>
      <c r="U288"/>
      <c r="V288"/>
      <c r="W288"/>
      <c r="X288"/>
      <c r="Y288"/>
      <c r="Z288"/>
      <c r="AA288"/>
      <c r="AB288"/>
      <c r="AC288"/>
      <c r="AD288"/>
      <c r="AE288"/>
    </row>
    <row r="289" spans="19:31" hidden="1" x14ac:dyDescent="0.3">
      <c r="S289"/>
      <c r="T289"/>
      <c r="U289"/>
      <c r="V289"/>
      <c r="W289"/>
      <c r="X289"/>
      <c r="Y289"/>
      <c r="Z289"/>
      <c r="AA289"/>
      <c r="AB289"/>
      <c r="AC289"/>
      <c r="AD289"/>
      <c r="AE289"/>
    </row>
    <row r="290" spans="19:31" hidden="1" x14ac:dyDescent="0.3">
      <c r="S290"/>
      <c r="T290"/>
      <c r="U290"/>
      <c r="V290"/>
      <c r="W290"/>
      <c r="X290"/>
      <c r="Y290"/>
      <c r="Z290"/>
      <c r="AA290"/>
      <c r="AB290"/>
      <c r="AC290"/>
      <c r="AD290"/>
      <c r="AE290"/>
    </row>
    <row r="291" spans="19:31" hidden="1" x14ac:dyDescent="0.3">
      <c r="S291"/>
      <c r="T291"/>
      <c r="U291"/>
      <c r="V291"/>
      <c r="W291"/>
      <c r="X291"/>
      <c r="Y291"/>
      <c r="Z291"/>
      <c r="AA291"/>
      <c r="AB291"/>
      <c r="AC291"/>
      <c r="AD291"/>
      <c r="AE291"/>
    </row>
    <row r="292" spans="19:31" hidden="1" x14ac:dyDescent="0.3">
      <c r="S292"/>
      <c r="T292"/>
      <c r="U292"/>
      <c r="V292"/>
      <c r="W292"/>
      <c r="X292"/>
      <c r="Y292"/>
      <c r="Z292"/>
      <c r="AA292"/>
      <c r="AB292"/>
      <c r="AC292"/>
      <c r="AD292"/>
      <c r="AE292"/>
    </row>
    <row r="293" spans="19:31" hidden="1" x14ac:dyDescent="0.3">
      <c r="S293"/>
      <c r="T293"/>
      <c r="U293"/>
      <c r="V293"/>
      <c r="W293"/>
      <c r="X293"/>
      <c r="Y293"/>
      <c r="Z293"/>
      <c r="AA293"/>
      <c r="AB293"/>
      <c r="AC293"/>
      <c r="AD293"/>
      <c r="AE293"/>
    </row>
    <row r="294" spans="19:31" hidden="1" x14ac:dyDescent="0.3">
      <c r="S294"/>
      <c r="T294"/>
      <c r="U294"/>
      <c r="V294"/>
      <c r="W294"/>
      <c r="X294"/>
      <c r="Y294"/>
      <c r="Z294"/>
      <c r="AA294"/>
      <c r="AB294"/>
      <c r="AC294"/>
      <c r="AD294"/>
      <c r="AE294"/>
    </row>
    <row r="295" spans="19:31" hidden="1" x14ac:dyDescent="0.3">
      <c r="S295"/>
      <c r="T295"/>
      <c r="U295"/>
      <c r="V295"/>
      <c r="W295"/>
      <c r="X295"/>
      <c r="Y295"/>
      <c r="Z295"/>
      <c r="AA295"/>
      <c r="AB295"/>
      <c r="AC295"/>
      <c r="AD295"/>
      <c r="AE295"/>
    </row>
    <row r="296" spans="19:31" hidden="1" x14ac:dyDescent="0.3">
      <c r="S296"/>
      <c r="T296"/>
      <c r="U296"/>
      <c r="V296"/>
      <c r="W296"/>
      <c r="X296"/>
      <c r="Y296"/>
      <c r="Z296"/>
      <c r="AA296"/>
      <c r="AB296"/>
      <c r="AC296"/>
      <c r="AD296"/>
      <c r="AE296"/>
    </row>
    <row r="297" spans="19:31" hidden="1" x14ac:dyDescent="0.3">
      <c r="S297"/>
      <c r="T297"/>
      <c r="U297"/>
      <c r="V297"/>
      <c r="W297"/>
      <c r="X297"/>
      <c r="Y297"/>
      <c r="Z297"/>
      <c r="AA297"/>
      <c r="AB297"/>
      <c r="AC297"/>
      <c r="AD297"/>
      <c r="AE297"/>
    </row>
    <row r="298" spans="19:31" hidden="1" x14ac:dyDescent="0.3">
      <c r="S298"/>
      <c r="T298"/>
      <c r="U298"/>
      <c r="V298"/>
      <c r="W298"/>
      <c r="X298"/>
      <c r="Y298"/>
      <c r="Z298"/>
      <c r="AA298"/>
      <c r="AB298"/>
      <c r="AC298"/>
      <c r="AD298"/>
      <c r="AE298"/>
    </row>
    <row r="299" spans="19:31" hidden="1" x14ac:dyDescent="0.3">
      <c r="S299"/>
      <c r="T299"/>
      <c r="U299"/>
      <c r="V299"/>
      <c r="W299"/>
      <c r="X299"/>
      <c r="Y299"/>
      <c r="Z299"/>
      <c r="AA299"/>
      <c r="AB299"/>
      <c r="AC299"/>
      <c r="AD299"/>
      <c r="AE299"/>
    </row>
    <row r="300" spans="19:31" hidden="1" x14ac:dyDescent="0.3">
      <c r="S300"/>
      <c r="T300"/>
      <c r="U300"/>
      <c r="V300"/>
      <c r="W300"/>
      <c r="X300"/>
      <c r="Y300"/>
      <c r="Z300"/>
      <c r="AA300"/>
      <c r="AB300"/>
      <c r="AC300"/>
      <c r="AD300"/>
      <c r="AE300"/>
    </row>
    <row r="301" spans="19:31" hidden="1" x14ac:dyDescent="0.3">
      <c r="S301"/>
      <c r="T301"/>
      <c r="U301"/>
      <c r="V301"/>
      <c r="W301"/>
      <c r="X301"/>
      <c r="Y301"/>
      <c r="Z301"/>
      <c r="AA301"/>
      <c r="AB301"/>
      <c r="AC301"/>
      <c r="AD301"/>
      <c r="AE301"/>
    </row>
    <row r="302" spans="19:31" hidden="1" x14ac:dyDescent="0.3">
      <c r="S302"/>
      <c r="T302"/>
      <c r="U302"/>
      <c r="V302"/>
      <c r="W302"/>
      <c r="X302"/>
      <c r="Y302"/>
      <c r="Z302"/>
      <c r="AA302"/>
      <c r="AB302"/>
      <c r="AC302"/>
      <c r="AD302"/>
      <c r="AE302"/>
    </row>
    <row r="303" spans="19:31" hidden="1" x14ac:dyDescent="0.3">
      <c r="S303"/>
      <c r="T303"/>
      <c r="U303"/>
      <c r="V303"/>
      <c r="W303"/>
      <c r="X303"/>
      <c r="Y303"/>
      <c r="Z303"/>
      <c r="AA303"/>
      <c r="AB303"/>
      <c r="AC303"/>
      <c r="AD303"/>
      <c r="AE303"/>
    </row>
    <row r="304" spans="19:31" hidden="1" x14ac:dyDescent="0.3">
      <c r="S304"/>
      <c r="T304"/>
      <c r="U304"/>
      <c r="V304"/>
      <c r="W304"/>
      <c r="X304"/>
      <c r="Y304"/>
      <c r="Z304"/>
      <c r="AA304"/>
      <c r="AB304"/>
      <c r="AC304"/>
      <c r="AD304"/>
      <c r="AE304"/>
    </row>
    <row r="305" spans="19:31" hidden="1" x14ac:dyDescent="0.3">
      <c r="S305"/>
      <c r="T305"/>
      <c r="U305"/>
      <c r="V305"/>
      <c r="W305"/>
      <c r="X305"/>
      <c r="Y305"/>
      <c r="Z305"/>
      <c r="AA305"/>
      <c r="AB305"/>
      <c r="AC305"/>
      <c r="AD305"/>
      <c r="AE305"/>
    </row>
    <row r="306" spans="19:31" hidden="1" x14ac:dyDescent="0.3">
      <c r="S306"/>
      <c r="T306"/>
      <c r="U306"/>
      <c r="V306"/>
      <c r="W306"/>
      <c r="X306"/>
      <c r="Y306"/>
      <c r="Z306"/>
      <c r="AA306"/>
      <c r="AB306"/>
      <c r="AC306"/>
      <c r="AD306"/>
      <c r="AE306"/>
    </row>
    <row r="307" spans="19:31" hidden="1" x14ac:dyDescent="0.3">
      <c r="S307"/>
      <c r="T307"/>
      <c r="U307"/>
      <c r="V307"/>
      <c r="W307"/>
      <c r="X307"/>
      <c r="Y307"/>
      <c r="Z307"/>
      <c r="AA307"/>
      <c r="AB307"/>
      <c r="AC307"/>
      <c r="AD307"/>
      <c r="AE307"/>
    </row>
    <row r="308" spans="19:31" hidden="1" x14ac:dyDescent="0.3">
      <c r="S308"/>
      <c r="T308"/>
      <c r="U308"/>
      <c r="V308"/>
      <c r="W308"/>
      <c r="X308"/>
      <c r="Y308"/>
      <c r="Z308"/>
      <c r="AA308"/>
      <c r="AB308"/>
      <c r="AC308"/>
      <c r="AD308"/>
      <c r="AE308"/>
    </row>
    <row r="309" spans="19:31" hidden="1" x14ac:dyDescent="0.3">
      <c r="S309"/>
      <c r="T309"/>
      <c r="U309"/>
      <c r="V309"/>
      <c r="W309"/>
      <c r="X309"/>
      <c r="Y309"/>
      <c r="Z309"/>
      <c r="AA309"/>
      <c r="AB309"/>
      <c r="AC309"/>
      <c r="AD309"/>
      <c r="AE309"/>
    </row>
    <row r="310" spans="19:31" hidden="1" x14ac:dyDescent="0.3">
      <c r="S310"/>
      <c r="T310"/>
      <c r="U310"/>
      <c r="V310"/>
      <c r="W310"/>
      <c r="X310"/>
      <c r="Y310"/>
      <c r="Z310"/>
      <c r="AA310"/>
      <c r="AB310"/>
      <c r="AC310"/>
      <c r="AD310"/>
      <c r="AE310"/>
    </row>
    <row r="311" spans="19:31" hidden="1" x14ac:dyDescent="0.3">
      <c r="S311"/>
      <c r="T311"/>
      <c r="U311"/>
      <c r="V311"/>
      <c r="W311"/>
      <c r="X311"/>
      <c r="Y311"/>
      <c r="Z311"/>
      <c r="AA311"/>
      <c r="AB311"/>
      <c r="AC311"/>
      <c r="AD311"/>
      <c r="AE311"/>
    </row>
    <row r="312" spans="19:31" hidden="1" x14ac:dyDescent="0.3">
      <c r="S312"/>
      <c r="T312"/>
      <c r="U312"/>
      <c r="V312"/>
      <c r="W312"/>
      <c r="X312"/>
      <c r="Y312"/>
      <c r="Z312"/>
      <c r="AA312"/>
      <c r="AB312"/>
      <c r="AC312"/>
      <c r="AD312"/>
      <c r="AE312"/>
    </row>
    <row r="313" spans="19:31" hidden="1" x14ac:dyDescent="0.3">
      <c r="S313"/>
      <c r="T313"/>
      <c r="U313"/>
      <c r="V313"/>
      <c r="W313"/>
      <c r="X313"/>
      <c r="Y313"/>
      <c r="Z313"/>
      <c r="AA313"/>
      <c r="AB313"/>
      <c r="AC313"/>
      <c r="AD313"/>
      <c r="AE313"/>
    </row>
    <row r="314" spans="19:31" hidden="1" x14ac:dyDescent="0.3">
      <c r="S314"/>
      <c r="T314"/>
      <c r="U314"/>
      <c r="V314"/>
      <c r="W314"/>
      <c r="X314"/>
      <c r="Y314"/>
      <c r="Z314"/>
      <c r="AA314"/>
      <c r="AB314"/>
      <c r="AC314"/>
      <c r="AD314"/>
      <c r="AE314"/>
    </row>
    <row r="315" spans="19:31" hidden="1" x14ac:dyDescent="0.3">
      <c r="S315"/>
      <c r="T315"/>
      <c r="U315"/>
      <c r="V315"/>
      <c r="W315"/>
      <c r="X315"/>
      <c r="Y315"/>
      <c r="Z315"/>
      <c r="AA315"/>
      <c r="AB315"/>
      <c r="AC315"/>
      <c r="AD315"/>
      <c r="AE315"/>
    </row>
    <row r="316" spans="19:31" hidden="1" x14ac:dyDescent="0.3">
      <c r="S316"/>
      <c r="T316"/>
      <c r="U316"/>
      <c r="V316"/>
      <c r="W316"/>
      <c r="X316"/>
      <c r="Y316"/>
      <c r="Z316"/>
      <c r="AA316"/>
      <c r="AB316"/>
      <c r="AC316"/>
      <c r="AD316"/>
      <c r="AE316"/>
    </row>
    <row r="317" spans="19:31" hidden="1" x14ac:dyDescent="0.3">
      <c r="S317"/>
      <c r="T317"/>
      <c r="U317"/>
      <c r="V317"/>
      <c r="W317"/>
      <c r="X317"/>
      <c r="Y317"/>
      <c r="Z317"/>
      <c r="AA317"/>
      <c r="AB317"/>
      <c r="AC317"/>
      <c r="AD317"/>
      <c r="AE317"/>
    </row>
    <row r="318" spans="19:31" hidden="1" x14ac:dyDescent="0.3">
      <c r="S318"/>
      <c r="T318"/>
      <c r="U318"/>
      <c r="V318"/>
      <c r="W318"/>
      <c r="X318"/>
      <c r="Y318"/>
      <c r="Z318"/>
      <c r="AA318"/>
      <c r="AB318"/>
      <c r="AC318"/>
      <c r="AD318"/>
      <c r="AE318"/>
    </row>
    <row r="319" spans="19:31" hidden="1" x14ac:dyDescent="0.3">
      <c r="S319"/>
      <c r="T319"/>
      <c r="U319"/>
      <c r="V319"/>
      <c r="W319"/>
      <c r="X319"/>
      <c r="Y319"/>
      <c r="Z319"/>
      <c r="AA319"/>
      <c r="AB319"/>
      <c r="AC319"/>
      <c r="AD319"/>
      <c r="AE319"/>
    </row>
    <row r="320" spans="19:31" hidden="1" x14ac:dyDescent="0.3">
      <c r="S320"/>
      <c r="T320"/>
      <c r="U320"/>
      <c r="V320"/>
      <c r="W320"/>
      <c r="X320"/>
      <c r="Y320"/>
      <c r="Z320"/>
      <c r="AA320"/>
      <c r="AB320"/>
      <c r="AC320"/>
      <c r="AD320"/>
      <c r="AE320"/>
    </row>
    <row r="321" spans="19:31" hidden="1" x14ac:dyDescent="0.3">
      <c r="S321"/>
      <c r="T321"/>
      <c r="U321"/>
      <c r="V321"/>
      <c r="W321"/>
      <c r="X321"/>
      <c r="Y321"/>
      <c r="Z321"/>
      <c r="AA321"/>
      <c r="AB321"/>
      <c r="AC321"/>
      <c r="AD321"/>
      <c r="AE321"/>
    </row>
    <row r="322" spans="19:31" hidden="1" x14ac:dyDescent="0.3">
      <c r="S322"/>
      <c r="T322"/>
      <c r="U322"/>
      <c r="V322"/>
      <c r="W322"/>
      <c r="X322"/>
      <c r="Y322"/>
      <c r="Z322"/>
      <c r="AA322"/>
      <c r="AB322"/>
      <c r="AC322"/>
      <c r="AD322"/>
      <c r="AE322"/>
    </row>
    <row r="323" spans="19:31" hidden="1" x14ac:dyDescent="0.3">
      <c r="S323"/>
      <c r="T323"/>
      <c r="U323"/>
      <c r="V323"/>
      <c r="W323"/>
      <c r="X323"/>
      <c r="Y323"/>
      <c r="Z323"/>
      <c r="AA323"/>
      <c r="AB323"/>
      <c r="AC323"/>
      <c r="AD323"/>
      <c r="AE323"/>
    </row>
    <row r="324" spans="19:31" hidden="1" x14ac:dyDescent="0.3">
      <c r="S324"/>
      <c r="T324"/>
      <c r="U324"/>
      <c r="V324"/>
      <c r="W324"/>
      <c r="X324"/>
      <c r="Y324"/>
      <c r="Z324"/>
      <c r="AA324"/>
      <c r="AB324"/>
      <c r="AC324"/>
      <c r="AD324"/>
      <c r="AE324"/>
    </row>
    <row r="325" spans="19:31" hidden="1" x14ac:dyDescent="0.3">
      <c r="S325"/>
      <c r="T325"/>
      <c r="U325"/>
      <c r="V325"/>
      <c r="W325"/>
      <c r="X325"/>
      <c r="Y325"/>
      <c r="Z325"/>
      <c r="AA325"/>
      <c r="AB325"/>
      <c r="AC325"/>
      <c r="AD325"/>
      <c r="AE325"/>
    </row>
    <row r="326" spans="19:31" hidden="1" x14ac:dyDescent="0.3">
      <c r="S326"/>
      <c r="T326"/>
      <c r="U326"/>
      <c r="V326"/>
      <c r="W326"/>
      <c r="X326"/>
      <c r="Y326"/>
      <c r="Z326"/>
      <c r="AA326"/>
      <c r="AB326"/>
      <c r="AC326"/>
      <c r="AD326"/>
      <c r="AE326"/>
    </row>
    <row r="327" spans="19:31" hidden="1" x14ac:dyDescent="0.3">
      <c r="S327"/>
      <c r="T327"/>
      <c r="U327"/>
      <c r="V327"/>
      <c r="W327"/>
      <c r="X327"/>
      <c r="Y327"/>
      <c r="Z327"/>
      <c r="AA327"/>
      <c r="AB327"/>
      <c r="AC327"/>
      <c r="AD327"/>
      <c r="AE327"/>
    </row>
    <row r="328" spans="19:31" hidden="1" x14ac:dyDescent="0.3">
      <c r="S328"/>
      <c r="T328"/>
      <c r="U328"/>
      <c r="V328"/>
      <c r="W328"/>
      <c r="X328"/>
      <c r="Y328"/>
      <c r="Z328"/>
      <c r="AA328"/>
      <c r="AB328"/>
      <c r="AC328"/>
      <c r="AD328"/>
      <c r="AE328"/>
    </row>
    <row r="329" spans="19:31" hidden="1" x14ac:dyDescent="0.3">
      <c r="S329"/>
      <c r="T329"/>
      <c r="U329"/>
      <c r="V329"/>
      <c r="W329"/>
      <c r="X329"/>
      <c r="Y329"/>
      <c r="Z329"/>
      <c r="AA329"/>
      <c r="AB329"/>
      <c r="AC329"/>
      <c r="AD329"/>
      <c r="AE329"/>
    </row>
    <row r="330" spans="19:31" hidden="1" x14ac:dyDescent="0.3">
      <c r="S330"/>
      <c r="T330"/>
      <c r="U330"/>
      <c r="V330"/>
      <c r="W330"/>
      <c r="X330"/>
      <c r="Y330"/>
      <c r="Z330"/>
      <c r="AA330"/>
      <c r="AB330"/>
      <c r="AC330"/>
      <c r="AD330"/>
      <c r="AE330"/>
    </row>
    <row r="331" spans="19:31" hidden="1" x14ac:dyDescent="0.3">
      <c r="S331"/>
      <c r="T331"/>
      <c r="U331"/>
      <c r="V331"/>
      <c r="W331"/>
      <c r="X331"/>
      <c r="Y331"/>
      <c r="Z331"/>
      <c r="AA331"/>
      <c r="AB331"/>
      <c r="AC331"/>
      <c r="AD331"/>
      <c r="AE331"/>
    </row>
    <row r="332" spans="19:31" hidden="1" x14ac:dyDescent="0.3">
      <c r="S332"/>
      <c r="T332"/>
      <c r="U332"/>
      <c r="V332"/>
      <c r="W332"/>
      <c r="X332"/>
      <c r="Y332"/>
      <c r="Z332"/>
      <c r="AA332"/>
      <c r="AB332"/>
      <c r="AC332"/>
      <c r="AD332"/>
      <c r="AE332"/>
    </row>
    <row r="333" spans="19:31" hidden="1" x14ac:dyDescent="0.3">
      <c r="S333"/>
      <c r="T333"/>
      <c r="U333"/>
      <c r="V333"/>
      <c r="W333"/>
      <c r="X333"/>
      <c r="Y333"/>
      <c r="Z333"/>
      <c r="AA333"/>
      <c r="AB333"/>
      <c r="AC333"/>
      <c r="AD333"/>
      <c r="AE333"/>
    </row>
    <row r="334" spans="19:31" hidden="1" x14ac:dyDescent="0.3">
      <c r="S334"/>
      <c r="T334"/>
      <c r="U334"/>
      <c r="V334"/>
      <c r="W334"/>
      <c r="X334"/>
      <c r="Y334"/>
      <c r="Z334"/>
      <c r="AA334"/>
      <c r="AB334"/>
      <c r="AC334"/>
      <c r="AD334"/>
      <c r="AE334"/>
    </row>
    <row r="335" spans="19:31" hidden="1" x14ac:dyDescent="0.3">
      <c r="S335"/>
      <c r="T335"/>
      <c r="U335"/>
      <c r="V335"/>
      <c r="W335"/>
      <c r="X335"/>
      <c r="Y335"/>
      <c r="Z335"/>
      <c r="AA335"/>
      <c r="AB335"/>
      <c r="AC335"/>
      <c r="AD335"/>
      <c r="AE335"/>
    </row>
    <row r="336" spans="19:31" hidden="1" x14ac:dyDescent="0.3">
      <c r="S336"/>
      <c r="T336"/>
      <c r="U336"/>
      <c r="V336"/>
      <c r="W336"/>
      <c r="X336"/>
      <c r="Y336"/>
      <c r="Z336"/>
      <c r="AA336"/>
      <c r="AB336"/>
      <c r="AC336"/>
      <c r="AD336"/>
      <c r="AE336"/>
    </row>
    <row r="337" spans="19:31" hidden="1" x14ac:dyDescent="0.3">
      <c r="S337"/>
      <c r="T337"/>
      <c r="U337"/>
      <c r="V337"/>
      <c r="W337"/>
      <c r="X337"/>
      <c r="Y337"/>
      <c r="Z337"/>
      <c r="AA337"/>
      <c r="AB337"/>
      <c r="AC337"/>
      <c r="AD337"/>
      <c r="AE337"/>
    </row>
    <row r="338" spans="19:31" hidden="1" x14ac:dyDescent="0.3">
      <c r="S338"/>
      <c r="T338"/>
      <c r="U338"/>
      <c r="V338"/>
      <c r="W338"/>
      <c r="X338"/>
      <c r="Y338"/>
      <c r="Z338"/>
      <c r="AA338"/>
      <c r="AB338"/>
      <c r="AC338"/>
      <c r="AD338"/>
      <c r="AE338"/>
    </row>
    <row r="339" spans="19:31" hidden="1" x14ac:dyDescent="0.3">
      <c r="S339"/>
      <c r="T339"/>
      <c r="U339"/>
      <c r="V339"/>
      <c r="W339"/>
      <c r="X339"/>
      <c r="Y339"/>
      <c r="Z339"/>
      <c r="AA339"/>
      <c r="AB339"/>
      <c r="AC339"/>
      <c r="AD339"/>
      <c r="AE339"/>
    </row>
    <row r="340" spans="19:31" hidden="1" x14ac:dyDescent="0.3">
      <c r="S340"/>
      <c r="T340"/>
      <c r="U340"/>
      <c r="V340"/>
      <c r="W340"/>
      <c r="X340"/>
      <c r="Y340"/>
      <c r="Z340"/>
      <c r="AA340"/>
      <c r="AB340"/>
      <c r="AC340"/>
      <c r="AD340"/>
      <c r="AE340"/>
    </row>
    <row r="341" spans="19:31" hidden="1" x14ac:dyDescent="0.3">
      <c r="S341"/>
      <c r="T341"/>
      <c r="U341"/>
      <c r="V341"/>
      <c r="W341"/>
      <c r="X341"/>
      <c r="Y341"/>
      <c r="Z341"/>
      <c r="AA341"/>
      <c r="AB341"/>
      <c r="AC341"/>
      <c r="AD341"/>
      <c r="AE341"/>
    </row>
    <row r="342" spans="19:31" hidden="1" x14ac:dyDescent="0.3">
      <c r="S342"/>
      <c r="T342"/>
      <c r="U342"/>
      <c r="V342"/>
      <c r="W342"/>
      <c r="X342"/>
      <c r="Y342"/>
      <c r="Z342"/>
      <c r="AA342"/>
      <c r="AB342"/>
      <c r="AC342"/>
      <c r="AD342"/>
      <c r="AE342"/>
    </row>
    <row r="343" spans="19:31" hidden="1" x14ac:dyDescent="0.3">
      <c r="S343"/>
      <c r="T343"/>
      <c r="U343"/>
      <c r="V343"/>
      <c r="W343"/>
      <c r="X343"/>
      <c r="Y343"/>
      <c r="Z343"/>
      <c r="AA343"/>
      <c r="AB343"/>
      <c r="AC343"/>
      <c r="AD343"/>
      <c r="AE343"/>
    </row>
    <row r="344" spans="19:31" hidden="1" x14ac:dyDescent="0.3">
      <c r="S344"/>
      <c r="T344"/>
      <c r="U344"/>
      <c r="V344"/>
      <c r="W344"/>
      <c r="X344"/>
      <c r="Y344"/>
      <c r="Z344"/>
      <c r="AA344"/>
      <c r="AB344"/>
      <c r="AC344"/>
      <c r="AD344"/>
      <c r="AE344"/>
    </row>
    <row r="345" spans="19:31" hidden="1" x14ac:dyDescent="0.3">
      <c r="S345"/>
      <c r="T345"/>
      <c r="U345"/>
      <c r="V345"/>
      <c r="W345"/>
      <c r="X345"/>
      <c r="Y345"/>
      <c r="Z345"/>
      <c r="AA345"/>
      <c r="AB345"/>
      <c r="AC345"/>
      <c r="AD345"/>
      <c r="AE345"/>
    </row>
    <row r="346" spans="19:31" hidden="1" x14ac:dyDescent="0.3">
      <c r="S346"/>
      <c r="T346"/>
      <c r="U346"/>
      <c r="V346"/>
      <c r="W346"/>
      <c r="X346"/>
      <c r="Y346"/>
      <c r="Z346"/>
      <c r="AA346"/>
      <c r="AB346"/>
      <c r="AC346"/>
      <c r="AD346"/>
      <c r="AE346"/>
    </row>
    <row r="347" spans="19:31" hidden="1" x14ac:dyDescent="0.3">
      <c r="S347"/>
      <c r="T347"/>
      <c r="U347"/>
      <c r="V347"/>
      <c r="W347"/>
      <c r="X347"/>
      <c r="Y347"/>
      <c r="Z347"/>
      <c r="AA347"/>
      <c r="AB347"/>
      <c r="AC347"/>
      <c r="AD347"/>
      <c r="AE347"/>
    </row>
    <row r="348" spans="19:31" hidden="1" x14ac:dyDescent="0.3">
      <c r="S348"/>
      <c r="T348"/>
      <c r="U348"/>
      <c r="V348"/>
      <c r="W348"/>
      <c r="X348"/>
      <c r="Y348"/>
      <c r="Z348"/>
      <c r="AA348"/>
      <c r="AB348"/>
      <c r="AC348"/>
      <c r="AD348"/>
      <c r="AE348"/>
    </row>
    <row r="349" spans="19:31" hidden="1" x14ac:dyDescent="0.3">
      <c r="S349"/>
      <c r="T349"/>
      <c r="U349"/>
      <c r="V349"/>
      <c r="W349"/>
      <c r="X349"/>
      <c r="Y349"/>
      <c r="Z349"/>
      <c r="AA349"/>
      <c r="AB349"/>
      <c r="AC349"/>
      <c r="AD349"/>
      <c r="AE349"/>
    </row>
    <row r="350" spans="19:31" hidden="1" x14ac:dyDescent="0.3">
      <c r="S350"/>
      <c r="T350"/>
      <c r="U350"/>
      <c r="V350"/>
      <c r="W350"/>
      <c r="X350"/>
      <c r="Y350"/>
      <c r="Z350"/>
      <c r="AA350"/>
      <c r="AB350"/>
      <c r="AC350"/>
      <c r="AD350"/>
      <c r="AE350"/>
    </row>
    <row r="351" spans="19:31" hidden="1" x14ac:dyDescent="0.3">
      <c r="S351"/>
      <c r="T351"/>
      <c r="U351"/>
      <c r="V351"/>
      <c r="W351"/>
      <c r="X351"/>
      <c r="Y351"/>
      <c r="Z351"/>
      <c r="AA351"/>
      <c r="AB351"/>
      <c r="AC351"/>
      <c r="AD351"/>
      <c r="AE351"/>
    </row>
    <row r="352" spans="19:31" hidden="1" x14ac:dyDescent="0.3">
      <c r="S352"/>
      <c r="T352"/>
      <c r="U352"/>
      <c r="V352"/>
      <c r="W352"/>
      <c r="X352"/>
      <c r="Y352"/>
      <c r="Z352"/>
      <c r="AA352"/>
      <c r="AB352"/>
      <c r="AC352"/>
      <c r="AD352"/>
      <c r="AE352"/>
    </row>
    <row r="353" spans="19:31" hidden="1" x14ac:dyDescent="0.3">
      <c r="S353"/>
      <c r="T353"/>
      <c r="U353"/>
      <c r="V353"/>
      <c r="W353"/>
      <c r="X353"/>
      <c r="Y353"/>
      <c r="Z353"/>
      <c r="AA353"/>
      <c r="AB353"/>
      <c r="AC353"/>
      <c r="AD353"/>
      <c r="AE353"/>
    </row>
    <row r="354" spans="19:31" hidden="1" x14ac:dyDescent="0.3">
      <c r="S354"/>
      <c r="T354"/>
      <c r="U354"/>
      <c r="V354"/>
      <c r="W354"/>
      <c r="X354"/>
      <c r="Y354"/>
      <c r="Z354"/>
      <c r="AA354"/>
      <c r="AB354"/>
      <c r="AC354"/>
      <c r="AD354"/>
      <c r="AE354"/>
    </row>
    <row r="355" spans="19:31" hidden="1" x14ac:dyDescent="0.3">
      <c r="S355"/>
      <c r="T355"/>
      <c r="U355"/>
      <c r="V355"/>
      <c r="W355"/>
      <c r="X355"/>
      <c r="Y355"/>
      <c r="Z355"/>
      <c r="AA355"/>
      <c r="AB355"/>
      <c r="AC355"/>
      <c r="AD355"/>
      <c r="AE355"/>
    </row>
    <row r="356" spans="19:31" hidden="1" x14ac:dyDescent="0.3">
      <c r="S356"/>
      <c r="T356"/>
      <c r="U356"/>
      <c r="V356"/>
      <c r="W356"/>
      <c r="X356"/>
      <c r="Y356"/>
      <c r="Z356"/>
      <c r="AA356"/>
      <c r="AB356"/>
      <c r="AC356"/>
      <c r="AD356"/>
      <c r="AE356"/>
    </row>
    <row r="357" spans="19:31" hidden="1" x14ac:dyDescent="0.3">
      <c r="S357"/>
      <c r="T357"/>
      <c r="U357"/>
      <c r="V357"/>
      <c r="W357"/>
      <c r="X357"/>
      <c r="Y357"/>
      <c r="Z357"/>
      <c r="AA357"/>
      <c r="AB357"/>
      <c r="AC357"/>
      <c r="AD357"/>
      <c r="AE357"/>
    </row>
    <row r="358" spans="19:31" hidden="1" x14ac:dyDescent="0.3">
      <c r="S358"/>
      <c r="T358"/>
      <c r="U358"/>
      <c r="V358"/>
      <c r="W358"/>
      <c r="X358"/>
      <c r="Y358"/>
      <c r="Z358"/>
      <c r="AA358"/>
      <c r="AB358"/>
      <c r="AC358"/>
      <c r="AD358"/>
      <c r="AE358"/>
    </row>
    <row r="359" spans="19:31" hidden="1" x14ac:dyDescent="0.3">
      <c r="S359"/>
      <c r="T359"/>
      <c r="U359"/>
      <c r="V359"/>
      <c r="W359"/>
      <c r="X359"/>
      <c r="Y359"/>
      <c r="Z359"/>
      <c r="AA359"/>
      <c r="AB359"/>
      <c r="AC359"/>
      <c r="AD359"/>
      <c r="AE359"/>
    </row>
    <row r="360" spans="19:31" hidden="1" x14ac:dyDescent="0.3">
      <c r="S360"/>
      <c r="T360"/>
      <c r="U360"/>
      <c r="V360"/>
      <c r="W360"/>
      <c r="X360"/>
      <c r="Y360"/>
      <c r="Z360"/>
      <c r="AA360"/>
      <c r="AB360"/>
      <c r="AC360"/>
      <c r="AD360"/>
      <c r="AE360"/>
    </row>
    <row r="361" spans="19:31" hidden="1" x14ac:dyDescent="0.3">
      <c r="S361"/>
      <c r="T361"/>
      <c r="U361"/>
      <c r="V361"/>
      <c r="W361"/>
      <c r="X361"/>
      <c r="Y361"/>
      <c r="Z361"/>
      <c r="AA361"/>
      <c r="AB361"/>
      <c r="AC361"/>
      <c r="AD361"/>
      <c r="AE361"/>
    </row>
    <row r="362" spans="19:31" hidden="1" x14ac:dyDescent="0.3">
      <c r="S362"/>
      <c r="T362"/>
      <c r="U362"/>
      <c r="V362"/>
      <c r="W362"/>
      <c r="X362"/>
      <c r="Y362"/>
      <c r="Z362"/>
      <c r="AA362"/>
      <c r="AB362"/>
      <c r="AC362"/>
      <c r="AD362"/>
      <c r="AE362"/>
    </row>
    <row r="363" spans="19:31" hidden="1" x14ac:dyDescent="0.3">
      <c r="S363"/>
      <c r="T363"/>
      <c r="U363"/>
      <c r="V363"/>
      <c r="W363"/>
      <c r="X363"/>
      <c r="Y363"/>
      <c r="Z363"/>
      <c r="AA363"/>
      <c r="AB363"/>
      <c r="AC363"/>
      <c r="AD363"/>
      <c r="AE363"/>
    </row>
    <row r="364" spans="19:31" hidden="1" x14ac:dyDescent="0.3">
      <c r="S364"/>
      <c r="T364"/>
      <c r="U364"/>
      <c r="V364"/>
      <c r="W364"/>
      <c r="X364"/>
      <c r="Y364"/>
      <c r="Z364"/>
      <c r="AA364"/>
      <c r="AB364"/>
      <c r="AC364"/>
      <c r="AD364"/>
      <c r="AE364"/>
    </row>
    <row r="365" spans="19:31" hidden="1" x14ac:dyDescent="0.3">
      <c r="S365"/>
      <c r="T365"/>
      <c r="U365"/>
      <c r="V365"/>
      <c r="W365"/>
      <c r="X365"/>
      <c r="Y365"/>
      <c r="Z365"/>
      <c r="AA365"/>
      <c r="AB365"/>
      <c r="AC365"/>
      <c r="AD365"/>
      <c r="AE365"/>
    </row>
    <row r="366" spans="19:31" hidden="1" x14ac:dyDescent="0.3">
      <c r="S366"/>
      <c r="T366"/>
      <c r="U366"/>
      <c r="V366"/>
      <c r="W366"/>
      <c r="X366"/>
      <c r="Y366"/>
      <c r="Z366"/>
      <c r="AA366"/>
      <c r="AB366"/>
      <c r="AC366"/>
      <c r="AD366"/>
      <c r="AE366"/>
    </row>
    <row r="367" spans="19:31" hidden="1" x14ac:dyDescent="0.3">
      <c r="S367"/>
      <c r="T367"/>
      <c r="U367"/>
      <c r="V367"/>
      <c r="W367"/>
      <c r="X367"/>
      <c r="Y367"/>
      <c r="Z367"/>
      <c r="AA367"/>
      <c r="AB367"/>
      <c r="AC367"/>
      <c r="AD367"/>
      <c r="AE367"/>
    </row>
    <row r="368" spans="19:31" hidden="1" x14ac:dyDescent="0.3">
      <c r="S368"/>
      <c r="T368"/>
      <c r="U368"/>
      <c r="V368"/>
      <c r="W368"/>
      <c r="X368"/>
      <c r="Y368"/>
      <c r="Z368"/>
      <c r="AA368"/>
      <c r="AB368"/>
      <c r="AC368"/>
      <c r="AD368"/>
      <c r="AE368"/>
    </row>
    <row r="369" spans="19:31" hidden="1" x14ac:dyDescent="0.3">
      <c r="S369"/>
      <c r="T369"/>
      <c r="U369"/>
      <c r="V369"/>
      <c r="W369"/>
      <c r="X369"/>
      <c r="Y369"/>
      <c r="Z369"/>
      <c r="AA369"/>
      <c r="AB369"/>
      <c r="AC369"/>
      <c r="AD369"/>
      <c r="AE369"/>
    </row>
    <row r="370" spans="19:31" hidden="1" x14ac:dyDescent="0.3">
      <c r="S370"/>
      <c r="T370"/>
      <c r="U370"/>
      <c r="V370"/>
      <c r="W370"/>
      <c r="X370"/>
      <c r="Y370"/>
      <c r="Z370"/>
      <c r="AA370"/>
      <c r="AB370"/>
      <c r="AC370"/>
      <c r="AD370"/>
      <c r="AE370"/>
    </row>
    <row r="371" spans="19:31" hidden="1" x14ac:dyDescent="0.3">
      <c r="S371"/>
      <c r="T371"/>
      <c r="U371"/>
      <c r="V371"/>
      <c r="W371"/>
      <c r="X371"/>
      <c r="Y371"/>
      <c r="Z371"/>
      <c r="AA371"/>
      <c r="AB371"/>
      <c r="AC371"/>
      <c r="AD371"/>
      <c r="AE371"/>
    </row>
    <row r="372" spans="19:31" hidden="1" x14ac:dyDescent="0.3">
      <c r="S372"/>
      <c r="T372"/>
      <c r="U372"/>
      <c r="V372"/>
      <c r="W372"/>
      <c r="X372"/>
      <c r="Y372"/>
      <c r="Z372"/>
      <c r="AA372"/>
      <c r="AB372"/>
      <c r="AC372"/>
      <c r="AD372"/>
      <c r="AE372"/>
    </row>
    <row r="373" spans="19:31" hidden="1" x14ac:dyDescent="0.3">
      <c r="S373"/>
      <c r="T373"/>
      <c r="U373"/>
      <c r="V373"/>
      <c r="W373"/>
      <c r="X373"/>
      <c r="Y373"/>
      <c r="Z373"/>
      <c r="AA373"/>
      <c r="AB373"/>
      <c r="AC373"/>
      <c r="AD373"/>
      <c r="AE373"/>
    </row>
    <row r="374" spans="19:31" hidden="1" x14ac:dyDescent="0.3">
      <c r="S374"/>
      <c r="T374"/>
      <c r="U374"/>
      <c r="V374"/>
      <c r="W374"/>
      <c r="X374"/>
      <c r="Y374"/>
      <c r="Z374"/>
      <c r="AA374"/>
      <c r="AB374"/>
      <c r="AC374"/>
      <c r="AD374"/>
      <c r="AE374"/>
    </row>
    <row r="375" spans="19:31" hidden="1" x14ac:dyDescent="0.3">
      <c r="S375"/>
      <c r="T375"/>
      <c r="U375"/>
      <c r="V375"/>
      <c r="W375"/>
      <c r="X375"/>
      <c r="Y375"/>
      <c r="Z375"/>
      <c r="AA375"/>
      <c r="AB375"/>
      <c r="AC375"/>
      <c r="AD375"/>
      <c r="AE375"/>
    </row>
    <row r="376" spans="19:31" hidden="1" x14ac:dyDescent="0.3">
      <c r="S376"/>
      <c r="T376"/>
      <c r="U376"/>
      <c r="V376"/>
      <c r="W376"/>
      <c r="X376"/>
      <c r="Y376"/>
      <c r="Z376"/>
      <c r="AA376"/>
      <c r="AB376"/>
      <c r="AC376"/>
      <c r="AD376"/>
      <c r="AE376"/>
    </row>
    <row r="377" spans="19:31" hidden="1" x14ac:dyDescent="0.3">
      <c r="S377"/>
      <c r="T377"/>
      <c r="U377"/>
      <c r="V377"/>
      <c r="W377"/>
      <c r="X377"/>
      <c r="Y377"/>
      <c r="Z377"/>
      <c r="AA377"/>
      <c r="AB377"/>
      <c r="AC377"/>
      <c r="AD377"/>
      <c r="AE377"/>
    </row>
    <row r="378" spans="19:31" hidden="1" x14ac:dyDescent="0.3">
      <c r="S378"/>
      <c r="T378"/>
      <c r="U378"/>
      <c r="V378"/>
      <c r="W378"/>
      <c r="X378"/>
      <c r="Y378"/>
      <c r="Z378"/>
      <c r="AA378"/>
      <c r="AB378"/>
      <c r="AC378"/>
      <c r="AD378"/>
      <c r="AE378"/>
    </row>
    <row r="379" spans="19:31" hidden="1" x14ac:dyDescent="0.3">
      <c r="S379"/>
      <c r="T379"/>
      <c r="U379"/>
      <c r="V379"/>
      <c r="W379"/>
      <c r="X379"/>
      <c r="Y379"/>
      <c r="Z379"/>
      <c r="AA379"/>
      <c r="AB379"/>
      <c r="AC379"/>
      <c r="AD379"/>
      <c r="AE379"/>
    </row>
    <row r="380" spans="19:31" hidden="1" x14ac:dyDescent="0.3">
      <c r="S380"/>
      <c r="T380"/>
      <c r="U380"/>
      <c r="V380"/>
      <c r="W380"/>
      <c r="X380"/>
      <c r="Y380"/>
      <c r="Z380"/>
      <c r="AA380"/>
      <c r="AB380"/>
      <c r="AC380"/>
      <c r="AD380"/>
      <c r="AE380"/>
    </row>
    <row r="381" spans="19:31" hidden="1" x14ac:dyDescent="0.3">
      <c r="S381"/>
      <c r="T381"/>
      <c r="U381"/>
      <c r="V381"/>
      <c r="W381"/>
      <c r="X381"/>
      <c r="Y381"/>
      <c r="Z381"/>
      <c r="AA381"/>
      <c r="AB381"/>
      <c r="AC381"/>
      <c r="AD381"/>
      <c r="AE381"/>
    </row>
    <row r="382" spans="19:31" hidden="1" x14ac:dyDescent="0.3">
      <c r="S382"/>
      <c r="T382"/>
      <c r="U382"/>
      <c r="V382"/>
      <c r="W382"/>
      <c r="X382"/>
      <c r="Y382"/>
      <c r="Z382"/>
      <c r="AA382"/>
      <c r="AB382"/>
      <c r="AC382"/>
      <c r="AD382"/>
      <c r="AE382"/>
    </row>
    <row r="383" spans="19:31" hidden="1" x14ac:dyDescent="0.3"/>
    <row r="384" spans="19:31" hidden="1" x14ac:dyDescent="0.3"/>
    <row r="385" hidden="1" x14ac:dyDescent="0.3"/>
    <row r="386" hidden="1" x14ac:dyDescent="0.3"/>
    <row r="387" hidden="1" x14ac:dyDescent="0.3"/>
    <row r="388" hidden="1" x14ac:dyDescent="0.3"/>
    <row r="389" hidden="1" x14ac:dyDescent="0.3"/>
  </sheetData>
  <sheetProtection algorithmName="SHA-512" hashValue="rL2uLIAtEAiEE/MYGyg2T42hF/m10TIkuVR1KoW+GYZb3xxzKqTJAni4ca5t3FRHNQYrndyA6IwpychAk+Bybw==" saltValue="xt6Dyn4OckV1aORNWB6Gjw==" spinCount="100000" sheet="1" objects="1" scenarios="1" selectLockedCells="1"/>
  <conditionalFormatting sqref="F3:F53 F55">
    <cfRule type="duplicateValues" dxfId="43" priority="4"/>
  </conditionalFormatting>
  <conditionalFormatting sqref="F54">
    <cfRule type="duplicateValues" dxfId="42" priority="2"/>
  </conditionalFormatting>
  <conditionalFormatting sqref="F56:F66">
    <cfRule type="duplicateValues" dxfId="41" priority="1"/>
  </conditionalFormatting>
  <dataValidations disablePrompts="1" count="2">
    <dataValidation type="list" allowBlank="1" showInputMessage="1" showErrorMessage="1" sqref="W38:W43 X3:X29">
      <formula1>"True,False"</formula1>
    </dataValidation>
    <dataValidation type="list" allowBlank="1" showInputMessage="1" sqref="AC3:AC29">
      <formula1>"N/A"</formula1>
    </dataValidation>
  </dataValidations>
  <pageMargins left="0.7" right="0.7" top="0.75" bottom="0.75" header="0.3" footer="0.3"/>
  <pageSetup paperSize="9" orientation="portrait" horizontalDpi="1200" verticalDpi="1200" r:id="rId1"/>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528</vt:i4>
      </vt:variant>
    </vt:vector>
  </HeadingPairs>
  <TitlesOfParts>
    <vt:vector size="538"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IDIOMA_Otro</vt:lpstr>
      <vt:lpstr>LANGUAGE</vt:lpstr>
      <vt:lpstr>Nom_Archivo_DB</vt:lpstr>
      <vt:lpstr>PREGUNTAR_IDIOMA</vt:lpstr>
      <vt:lpstr>Ult_F_Dic</vt:lpstr>
      <vt:lpstr>Version</vt:lpstr>
      <vt:lpstr>Z_BP_00_CS</vt:lpstr>
      <vt:lpstr>Z_BP_00_D</vt:lpstr>
      <vt:lpstr>Z_BP_00_E</vt:lpstr>
      <vt:lpstr>Z_BP_00_F</vt:lpstr>
      <vt:lpstr>Z_BP_00_I</vt:lpstr>
      <vt:lpstr>Z_BP_00_O</vt:lpstr>
      <vt:lpstr>Z_BP_00_P</vt:lpstr>
      <vt:lpstr>Z_BP_00_S</vt:lpstr>
      <vt:lpstr>Z_BP_01_CS</vt:lpstr>
      <vt:lpstr>Z_BP_01_D</vt:lpstr>
      <vt:lpstr>Z_BP_01_E</vt:lpstr>
      <vt:lpstr>Z_BP_01_F</vt:lpstr>
      <vt:lpstr>Z_BP_01_I</vt:lpstr>
      <vt:lpstr>Z_BP_01_O</vt:lpstr>
      <vt:lpstr>Z_BP_01_P</vt:lpstr>
      <vt:lpstr>Z_BP_01_S</vt:lpstr>
      <vt:lpstr>Z_BP_02_CS</vt:lpstr>
      <vt:lpstr>Z_BP_02_D</vt:lpstr>
      <vt:lpstr>Z_BP_02_E</vt:lpstr>
      <vt:lpstr>Z_BP_02_F</vt:lpstr>
      <vt:lpstr>Z_BP_02_I</vt:lpstr>
      <vt:lpstr>Z_BP_02_O</vt:lpstr>
      <vt:lpstr>Z_BP_02_P</vt:lpstr>
      <vt:lpstr>Z_BP_02_S</vt:lpstr>
      <vt:lpstr>Z_BP_03_CS</vt:lpstr>
      <vt:lpstr>Z_BP_03_D</vt:lpstr>
      <vt:lpstr>Z_BP_03_E</vt:lpstr>
      <vt:lpstr>Z_BP_03_F</vt:lpstr>
      <vt:lpstr>Z_BP_03_I</vt:lpstr>
      <vt:lpstr>Z_BP_03_O</vt:lpstr>
      <vt:lpstr>Z_BP_03_P</vt:lpstr>
      <vt:lpstr>Z_BP_03_S</vt:lpstr>
      <vt:lpstr>Z_BP_04_CS</vt:lpstr>
      <vt:lpstr>Z_BP_04_D</vt:lpstr>
      <vt:lpstr>Z_BP_04_E</vt:lpstr>
      <vt:lpstr>Z_BP_04_F</vt:lpstr>
      <vt:lpstr>Z_BP_04_I</vt:lpstr>
      <vt:lpstr>Z_BP_04_O</vt:lpstr>
      <vt:lpstr>Z_BP_04_P</vt:lpstr>
      <vt:lpstr>Z_BP_04_S</vt:lpstr>
      <vt:lpstr>Z_BP_05_CS</vt:lpstr>
      <vt:lpstr>Z_BP_05_D</vt:lpstr>
      <vt:lpstr>Z_BP_05_E</vt:lpstr>
      <vt:lpstr>Z_BP_05_F</vt:lpstr>
      <vt:lpstr>Z_BP_05_I</vt:lpstr>
      <vt:lpstr>Z_BP_05_O</vt:lpstr>
      <vt:lpstr>Z_BP_05_P</vt:lpstr>
      <vt:lpstr>Z_BP_05_S</vt:lpstr>
      <vt:lpstr>Z_BP_06_CS</vt:lpstr>
      <vt:lpstr>Z_BP_06_D</vt:lpstr>
      <vt:lpstr>Z_BP_06_E</vt:lpstr>
      <vt:lpstr>Z_BP_06_F</vt:lpstr>
      <vt:lpstr>Z_BP_06_I</vt:lpstr>
      <vt:lpstr>Z_BP_06_O</vt:lpstr>
      <vt:lpstr>Z_BP_06_P</vt:lpstr>
      <vt:lpstr>Z_BP_06_S</vt:lpstr>
      <vt:lpstr>Z_BP_07_CS</vt:lpstr>
      <vt:lpstr>Z_BP_07_D</vt:lpstr>
      <vt:lpstr>Z_BP_07_E</vt:lpstr>
      <vt:lpstr>Z_BP_07_F</vt:lpstr>
      <vt:lpstr>Z_BP_07_I</vt:lpstr>
      <vt:lpstr>Z_BP_07_O</vt:lpstr>
      <vt:lpstr>Z_BP_07_P</vt:lpstr>
      <vt:lpstr>Z_BP_07_S</vt:lpstr>
      <vt:lpstr>Z_BP_08_CS</vt:lpstr>
      <vt:lpstr>Z_BP_08_D</vt:lpstr>
      <vt:lpstr>Z_BP_08_E</vt:lpstr>
      <vt:lpstr>Z_BP_08_F</vt:lpstr>
      <vt:lpstr>Z_BP_08_I</vt:lpstr>
      <vt:lpstr>Z_BP_08_O</vt:lpstr>
      <vt:lpstr>Z_BP_08_P</vt:lpstr>
      <vt:lpstr>Z_BP_08_S</vt:lpstr>
      <vt:lpstr>Z_BP_09_CS</vt:lpstr>
      <vt:lpstr>Z_BP_09_D</vt:lpstr>
      <vt:lpstr>Z_BP_09_E</vt:lpstr>
      <vt:lpstr>Z_BP_09_F</vt:lpstr>
      <vt:lpstr>Z_BP_09_I</vt:lpstr>
      <vt:lpstr>Z_BP_09_O</vt:lpstr>
      <vt:lpstr>Z_BP_09_P</vt:lpstr>
      <vt:lpstr>Z_BP_09_S</vt:lpstr>
      <vt:lpstr>Z_BP_10_CS</vt:lpstr>
      <vt:lpstr>Z_BP_10_D</vt:lpstr>
      <vt:lpstr>Z_BP_10_E</vt:lpstr>
      <vt:lpstr>Z_BP_10_F</vt:lpstr>
      <vt:lpstr>Z_BP_10_I</vt:lpstr>
      <vt:lpstr>Z_BP_10_O</vt:lpstr>
      <vt:lpstr>Z_BP_10_P</vt:lpstr>
      <vt:lpstr>Z_BP_10_S</vt:lpstr>
      <vt:lpstr>Z_BP_11_CS</vt:lpstr>
      <vt:lpstr>Z_BP_11_D</vt:lpstr>
      <vt:lpstr>Z_BP_11_E</vt:lpstr>
      <vt:lpstr>Z_BP_11_F</vt:lpstr>
      <vt:lpstr>Z_BP_11_I</vt:lpstr>
      <vt:lpstr>Z_BP_11_O</vt:lpstr>
      <vt:lpstr>Z_BP_11_P</vt:lpstr>
      <vt:lpstr>Z_BP_11_S</vt:lpstr>
      <vt:lpstr>Z_BP_12_CS</vt:lpstr>
      <vt:lpstr>Z_BP_12_D</vt:lpstr>
      <vt:lpstr>Z_BP_12_E</vt:lpstr>
      <vt:lpstr>Z_BP_12_F</vt:lpstr>
      <vt:lpstr>Z_BP_12_I</vt:lpstr>
      <vt:lpstr>Z_BP_12_O</vt:lpstr>
      <vt:lpstr>Z_BP_12_P</vt:lpstr>
      <vt:lpstr>Z_BP_12_S</vt:lpstr>
      <vt:lpstr>Z_BP_13_CS</vt:lpstr>
      <vt:lpstr>Z_BP_13_D</vt:lpstr>
      <vt:lpstr>Z_BP_13_E</vt:lpstr>
      <vt:lpstr>Z_BP_13_F</vt:lpstr>
      <vt:lpstr>Z_BP_13_I</vt:lpstr>
      <vt:lpstr>Z_BP_13_O</vt:lpstr>
      <vt:lpstr>Z_BP_13_P</vt:lpstr>
      <vt:lpstr>Z_BP_13_S</vt:lpstr>
      <vt:lpstr>Z_BP_14_CS</vt:lpstr>
      <vt:lpstr>Z_BP_14_D</vt:lpstr>
      <vt:lpstr>Z_BP_14_E</vt:lpstr>
      <vt:lpstr>Z_BP_14_F</vt:lpstr>
      <vt:lpstr>Z_BP_14_I</vt:lpstr>
      <vt:lpstr>Z_BP_14_O</vt:lpstr>
      <vt:lpstr>Z_BP_14_P</vt:lpstr>
      <vt:lpstr>Z_BP_14_S</vt:lpstr>
      <vt:lpstr>Z_BP_15_CS</vt:lpstr>
      <vt:lpstr>Z_BP_15_D</vt:lpstr>
      <vt:lpstr>Z_BP_15_E</vt:lpstr>
      <vt:lpstr>Z_BP_15_F</vt:lpstr>
      <vt:lpstr>Z_BP_15_I</vt:lpstr>
      <vt:lpstr>Z_BP_15_O</vt:lpstr>
      <vt:lpstr>Z_BP_15_P</vt:lpstr>
      <vt:lpstr>Z_BP_15_S</vt:lpstr>
      <vt:lpstr>Z_BP_16_CS</vt:lpstr>
      <vt:lpstr>Z_BP_16_D</vt:lpstr>
      <vt:lpstr>Z_BP_16_E</vt:lpstr>
      <vt:lpstr>Z_BP_16_F</vt:lpstr>
      <vt:lpstr>Z_BP_16_I</vt:lpstr>
      <vt:lpstr>Z_BP_16_O</vt:lpstr>
      <vt:lpstr>Z_BP_16_P</vt:lpstr>
      <vt:lpstr>Z_BP_16_S</vt:lpstr>
      <vt:lpstr>Z_BP_17_CS</vt:lpstr>
      <vt:lpstr>Z_BP_17_D</vt:lpstr>
      <vt:lpstr>Z_BP_17_E</vt:lpstr>
      <vt:lpstr>Z_BP_17_F</vt:lpstr>
      <vt:lpstr>Z_BP_17_I</vt:lpstr>
      <vt:lpstr>Z_BP_17_O</vt:lpstr>
      <vt:lpstr>Z_BP_17_P</vt:lpstr>
      <vt:lpstr>Z_BP_17_S</vt:lpstr>
      <vt:lpstr>Z_BP_18_CS</vt:lpstr>
      <vt:lpstr>Z_BP_18_D</vt:lpstr>
      <vt:lpstr>Z_BP_18_E</vt:lpstr>
      <vt:lpstr>Z_BP_18_F</vt:lpstr>
      <vt:lpstr>Z_BP_18_I</vt:lpstr>
      <vt:lpstr>Z_BP_18_O</vt:lpstr>
      <vt:lpstr>Z_BP_18_P</vt:lpstr>
      <vt:lpstr>Z_BP_18_S</vt:lpstr>
      <vt:lpstr>Z_BP_19_CS</vt:lpstr>
      <vt:lpstr>Z_BP_19_D</vt:lpstr>
      <vt:lpstr>Z_BP_19_E</vt:lpstr>
      <vt:lpstr>Z_BP_19_F</vt:lpstr>
      <vt:lpstr>Z_BP_19_I</vt:lpstr>
      <vt:lpstr>Z_BP_19_O</vt:lpstr>
      <vt:lpstr>Z_BP_19_P</vt:lpstr>
      <vt:lpstr>Z_BP_19_S</vt:lpstr>
      <vt:lpstr>Z_BP_20_CS</vt:lpstr>
      <vt:lpstr>Z_BP_20_D</vt:lpstr>
      <vt:lpstr>Z_BP_20_E</vt:lpstr>
      <vt:lpstr>Z_BP_20_F</vt:lpstr>
      <vt:lpstr>Z_BP_20_I</vt:lpstr>
      <vt:lpstr>Z_BP_20_O</vt:lpstr>
      <vt:lpstr>Z_BP_20_P</vt:lpstr>
      <vt:lpstr>Z_BP_20_S</vt:lpstr>
      <vt:lpstr>Z_BP_21_CS</vt:lpstr>
      <vt:lpstr>Z_BP_21_D</vt:lpstr>
      <vt:lpstr>Z_BP_21_E</vt:lpstr>
      <vt:lpstr>Z_BP_21_F</vt:lpstr>
      <vt:lpstr>Z_BP_21_I</vt:lpstr>
      <vt:lpstr>Z_BP_21_O</vt:lpstr>
      <vt:lpstr>Z_BP_21_P</vt:lpstr>
      <vt:lpstr>Z_BP_21_S</vt:lpstr>
      <vt:lpstr>Z_BP_22_CS</vt:lpstr>
      <vt:lpstr>Z_BP_22_D</vt:lpstr>
      <vt:lpstr>Z_BP_22_E</vt:lpstr>
      <vt:lpstr>Z_BP_22_F</vt:lpstr>
      <vt:lpstr>Z_BP_22_I</vt:lpstr>
      <vt:lpstr>Z_BP_22_O</vt:lpstr>
      <vt:lpstr>Z_BP_22_P</vt:lpstr>
      <vt:lpstr>Z_BP_22_S</vt:lpstr>
      <vt:lpstr>Z_BP_23_CS</vt:lpstr>
      <vt:lpstr>Z_BP_23_D</vt:lpstr>
      <vt:lpstr>Z_BP_23_E</vt:lpstr>
      <vt:lpstr>Z_BP_23_F</vt:lpstr>
      <vt:lpstr>Z_BP_23_I</vt:lpstr>
      <vt:lpstr>Z_BP_23_O</vt:lpstr>
      <vt:lpstr>Z_BP_23_P</vt:lpstr>
      <vt:lpstr>Z_BP_23_S</vt:lpstr>
      <vt:lpstr>Z_BP_24_CS</vt:lpstr>
      <vt:lpstr>Z_BP_24_D</vt:lpstr>
      <vt:lpstr>Z_BP_24_E</vt:lpstr>
      <vt:lpstr>Z_BP_24_F</vt:lpstr>
      <vt:lpstr>Z_BP_24_I</vt:lpstr>
      <vt:lpstr>Z_BP_24_O</vt:lpstr>
      <vt:lpstr>Z_BP_24_P</vt:lpstr>
      <vt:lpstr>Z_BP_24_S</vt:lpstr>
      <vt:lpstr>Z_BP_25_CS</vt:lpstr>
      <vt:lpstr>Z_BP_25_D</vt:lpstr>
      <vt:lpstr>Z_BP_25_E</vt:lpstr>
      <vt:lpstr>Z_BP_25_F</vt:lpstr>
      <vt:lpstr>Z_BP_25_I</vt:lpstr>
      <vt:lpstr>Z_BP_25_O</vt:lpstr>
      <vt:lpstr>Z_BP_25_P</vt:lpstr>
      <vt:lpstr>Z_BP_25_S</vt:lpstr>
      <vt:lpstr>Z_BP_26_CS</vt:lpstr>
      <vt:lpstr>Z_BP_26_D</vt:lpstr>
      <vt:lpstr>Z_BP_26_E</vt:lpstr>
      <vt:lpstr>Z_BP_26_F</vt:lpstr>
      <vt:lpstr>Z_BP_26_I</vt:lpstr>
      <vt:lpstr>Z_BP_26_O</vt:lpstr>
      <vt:lpstr>Z_BP_26_P</vt:lpstr>
      <vt:lpstr>Z_BP_26_S</vt:lpstr>
      <vt:lpstr>Z_BP_27_CS</vt:lpstr>
      <vt:lpstr>Z_BP_27_D</vt:lpstr>
      <vt:lpstr>Z_BP_27_E</vt:lpstr>
      <vt:lpstr>Z_BP_27_F</vt:lpstr>
      <vt:lpstr>Z_BP_27_I</vt:lpstr>
      <vt:lpstr>Z_BP_27_O</vt:lpstr>
      <vt:lpstr>Z_BP_27_P</vt:lpstr>
      <vt:lpstr>Z_BP_27_S</vt:lpstr>
      <vt:lpstr>Z_BP_28_CS</vt:lpstr>
      <vt:lpstr>Z_BP_28_D</vt:lpstr>
      <vt:lpstr>Z_BP_28_E</vt:lpstr>
      <vt:lpstr>Z_BP_28_F</vt:lpstr>
      <vt:lpstr>Z_BP_28_I</vt:lpstr>
      <vt:lpstr>Z_BP_28_O</vt:lpstr>
      <vt:lpstr>Z_BP_28_P</vt:lpstr>
      <vt:lpstr>Z_BP_28_S</vt:lpstr>
      <vt:lpstr>Z_BP_29_CS</vt:lpstr>
      <vt:lpstr>Z_BP_29_D</vt:lpstr>
      <vt:lpstr>Z_BP_29_E</vt:lpstr>
      <vt:lpstr>Z_BP_29_F</vt:lpstr>
      <vt:lpstr>Z_BP_29_I</vt:lpstr>
      <vt:lpstr>Z_BP_29_O</vt:lpstr>
      <vt:lpstr>Z_BP_29_P</vt:lpstr>
      <vt:lpstr>Z_BP_29_S</vt:lpstr>
      <vt:lpstr>Z_BP_30_CS</vt:lpstr>
      <vt:lpstr>Z_BP_30_D</vt:lpstr>
      <vt:lpstr>Z_BP_30_E</vt:lpstr>
      <vt:lpstr>Z_BP_30_F</vt:lpstr>
      <vt:lpstr>Z_BP_30_I</vt:lpstr>
      <vt:lpstr>Z_BP_30_O</vt:lpstr>
      <vt:lpstr>Z_BP_30_P</vt:lpstr>
      <vt:lpstr>Z_BP_30_S</vt:lpstr>
      <vt:lpstr>Z_BP_31_CS</vt:lpstr>
      <vt:lpstr>Z_BP_31_D</vt:lpstr>
      <vt:lpstr>Z_BP_31_E</vt:lpstr>
      <vt:lpstr>Z_BP_31_F</vt:lpstr>
      <vt:lpstr>Z_BP_31_I</vt:lpstr>
      <vt:lpstr>Z_BP_31_O</vt:lpstr>
      <vt:lpstr>Z_BP_31_P</vt:lpstr>
      <vt:lpstr>Z_BP_31_S</vt:lpstr>
      <vt:lpstr>Z_BP_32_CS</vt:lpstr>
      <vt:lpstr>Z_BP_32_D</vt:lpstr>
      <vt:lpstr>Z_BP_32_E</vt:lpstr>
      <vt:lpstr>Z_BP_32_F</vt:lpstr>
      <vt:lpstr>Z_BP_32_I</vt:lpstr>
      <vt:lpstr>Z_BP_32_O</vt:lpstr>
      <vt:lpstr>Z_BP_32_P</vt:lpstr>
      <vt:lpstr>Z_BP_32_S</vt:lpstr>
      <vt:lpstr>Z_BP_33_CS</vt:lpstr>
      <vt:lpstr>Z_BP_33_D</vt:lpstr>
      <vt:lpstr>Z_BP_33_E</vt:lpstr>
      <vt:lpstr>Z_BP_33_F</vt:lpstr>
      <vt:lpstr>Z_BP_33_I</vt:lpstr>
      <vt:lpstr>Z_BP_33_P</vt:lpstr>
      <vt:lpstr>Z_BP_33_S</vt:lpstr>
      <vt:lpstr>Z_IN_00_CS</vt:lpstr>
      <vt:lpstr>Z_IN_00_D</vt:lpstr>
      <vt:lpstr>Z_IN_00_E</vt:lpstr>
      <vt:lpstr>Z_IN_00_F</vt:lpstr>
      <vt:lpstr>Z_IN_00_I</vt:lpstr>
      <vt:lpstr>Z_IN_00_O</vt:lpstr>
      <vt:lpstr>Z_IN_00_P</vt:lpstr>
      <vt:lpstr>Z_IN_00_S</vt:lpstr>
      <vt:lpstr>Z_IN_01_CS</vt:lpstr>
      <vt:lpstr>Z_IN_01_D</vt:lpstr>
      <vt:lpstr>Z_IN_01_E</vt:lpstr>
      <vt:lpstr>Z_IN_01_F</vt:lpstr>
      <vt:lpstr>Z_IN_01_I</vt:lpstr>
      <vt:lpstr>Z_IN_01_O</vt:lpstr>
      <vt:lpstr>Z_IN_01_P</vt:lpstr>
      <vt:lpstr>Z_IN_01_S</vt:lpstr>
      <vt:lpstr>Z_IN_02_CS</vt:lpstr>
      <vt:lpstr>Z_IN_02_D</vt:lpstr>
      <vt:lpstr>Z_IN_02_E</vt:lpstr>
      <vt:lpstr>Z_IN_02_F</vt:lpstr>
      <vt:lpstr>Z_IN_02_I</vt:lpstr>
      <vt:lpstr>Z_IN_02_O</vt:lpstr>
      <vt:lpstr>Z_IN_02_P</vt:lpstr>
      <vt:lpstr>Z_IN_02_S</vt:lpstr>
      <vt:lpstr>Z_IN_03_CS</vt:lpstr>
      <vt:lpstr>Z_IN_03_D</vt:lpstr>
      <vt:lpstr>Z_IN_03_E</vt:lpstr>
      <vt:lpstr>Z_IN_03_F</vt:lpstr>
      <vt:lpstr>Z_IN_03_I</vt:lpstr>
      <vt:lpstr>Z_IN_03_O</vt:lpstr>
      <vt:lpstr>Z_IN_03_P</vt:lpstr>
      <vt:lpstr>Z_IN_03_S</vt:lpstr>
      <vt:lpstr>Z_IN_04_CS</vt:lpstr>
      <vt:lpstr>Z_IN_04_D</vt:lpstr>
      <vt:lpstr>Z_IN_04_E</vt:lpstr>
      <vt:lpstr>Z_IN_04_F</vt:lpstr>
      <vt:lpstr>Z_IN_04_I</vt:lpstr>
      <vt:lpstr>Z_IN_04_O</vt:lpstr>
      <vt:lpstr>Z_IN_04_P</vt:lpstr>
      <vt:lpstr>Z_IN_04_S</vt:lpstr>
      <vt:lpstr>Z_IN_05_CS</vt:lpstr>
      <vt:lpstr>Z_IN_05_D</vt:lpstr>
      <vt:lpstr>Z_IN_05_E</vt:lpstr>
      <vt:lpstr>Z_IN_05_F</vt:lpstr>
      <vt:lpstr>Z_IN_05_I</vt:lpstr>
      <vt:lpstr>Z_IN_05_O</vt:lpstr>
      <vt:lpstr>Z_IN_05_P</vt:lpstr>
      <vt:lpstr>Z_IN_05_S</vt:lpstr>
      <vt:lpstr>Z_IN_06_CS</vt:lpstr>
      <vt:lpstr>Z_IN_06_D</vt:lpstr>
      <vt:lpstr>Z_IN_06_E</vt:lpstr>
      <vt:lpstr>Z_IN_06_F</vt:lpstr>
      <vt:lpstr>Z_IN_06_I</vt:lpstr>
      <vt:lpstr>Z_IN_06_O</vt:lpstr>
      <vt:lpstr>Z_IN_06_P</vt:lpstr>
      <vt:lpstr>Z_IN_06_S</vt:lpstr>
      <vt:lpstr>Z_IN_07_CS</vt:lpstr>
      <vt:lpstr>Z_IN_07_D</vt:lpstr>
      <vt:lpstr>Z_IN_07_E</vt:lpstr>
      <vt:lpstr>Z_IN_07_F</vt:lpstr>
      <vt:lpstr>Z_IN_07_I</vt:lpstr>
      <vt:lpstr>Z_IN_07_O</vt:lpstr>
      <vt:lpstr>Z_IN_07_P</vt:lpstr>
      <vt:lpstr>Z_IN_07_S</vt:lpstr>
      <vt:lpstr>Z_IN_08_CS</vt:lpstr>
      <vt:lpstr>Z_IN_08_D</vt:lpstr>
      <vt:lpstr>Z_IN_08_E</vt:lpstr>
      <vt:lpstr>Z_IN_08_F</vt:lpstr>
      <vt:lpstr>Z_IN_08_I</vt:lpstr>
      <vt:lpstr>Z_IN_08_O</vt:lpstr>
      <vt:lpstr>Z_IN_08_P</vt:lpstr>
      <vt:lpstr>Z_IN_08_S</vt:lpstr>
      <vt:lpstr>Z_IN_09_CS</vt:lpstr>
      <vt:lpstr>Z_IN_09_D</vt:lpstr>
      <vt:lpstr>Z_IN_09_E</vt:lpstr>
      <vt:lpstr>Z_IN_09_F</vt:lpstr>
      <vt:lpstr>Z_IN_09_I</vt:lpstr>
      <vt:lpstr>Z_IN_09_O</vt:lpstr>
      <vt:lpstr>Z_IN_09_P</vt:lpstr>
      <vt:lpstr>Z_IN_09_S</vt:lpstr>
      <vt:lpstr>Z_IN_10_CS</vt:lpstr>
      <vt:lpstr>Z_IN_10_D</vt:lpstr>
      <vt:lpstr>Z_IN_10_E</vt:lpstr>
      <vt:lpstr>Z_IN_10_F</vt:lpstr>
      <vt:lpstr>Z_IN_10_I</vt:lpstr>
      <vt:lpstr>Z_IN_10_O</vt:lpstr>
      <vt:lpstr>Z_IN_10_P</vt:lpstr>
      <vt:lpstr>Z_IN_10_S</vt:lpstr>
      <vt:lpstr>Z_IN_11_CS</vt:lpstr>
      <vt:lpstr>Z_IN_11_D</vt:lpstr>
      <vt:lpstr>Z_IN_11_E</vt:lpstr>
      <vt:lpstr>Z_IN_11_F</vt:lpstr>
      <vt:lpstr>Z_IN_11_I</vt:lpstr>
      <vt:lpstr>Z_IN_11_O</vt:lpstr>
      <vt:lpstr>Z_IN_11_P</vt:lpstr>
      <vt:lpstr>Z_IN_11_S</vt:lpstr>
      <vt:lpstr>Z_IN_12_CS</vt:lpstr>
      <vt:lpstr>Z_IN_12_D</vt:lpstr>
      <vt:lpstr>Z_IN_12_E</vt:lpstr>
      <vt:lpstr>Z_IN_12_F</vt:lpstr>
      <vt:lpstr>Z_IN_12_I</vt:lpstr>
      <vt:lpstr>Z_IN_12_O</vt:lpstr>
      <vt:lpstr>Z_IN_12_P</vt:lpstr>
      <vt:lpstr>Z_IN_12_S</vt:lpstr>
      <vt:lpstr>Z_IN_13_CS</vt:lpstr>
      <vt:lpstr>Z_IN_13_D</vt:lpstr>
      <vt:lpstr>Z_IN_13_E</vt:lpstr>
      <vt:lpstr>Z_IN_13_F</vt:lpstr>
      <vt:lpstr>Z_IN_13_I</vt:lpstr>
      <vt:lpstr>Z_IN_13_O</vt:lpstr>
      <vt:lpstr>Z_IN_13_P</vt:lpstr>
      <vt:lpstr>Z_IN_13_S</vt:lpstr>
      <vt:lpstr>Z_IN_14_CS</vt:lpstr>
      <vt:lpstr>Z_IN_14_D</vt:lpstr>
      <vt:lpstr>Z_IN_14_E</vt:lpstr>
      <vt:lpstr>Z_IN_14_F</vt:lpstr>
      <vt:lpstr>Z_IN_14_I</vt:lpstr>
      <vt:lpstr>Z_IN_14_O</vt:lpstr>
      <vt:lpstr>Z_IN_14_P</vt:lpstr>
      <vt:lpstr>Z_IN_14_S</vt:lpstr>
      <vt:lpstr>Z_IN_15_CS</vt:lpstr>
      <vt:lpstr>Z_IN_15_D</vt:lpstr>
      <vt:lpstr>Z_IN_15_E</vt:lpstr>
      <vt:lpstr>Z_IN_15_F</vt:lpstr>
      <vt:lpstr>Z_IN_15_I</vt:lpstr>
      <vt:lpstr>Z_IN_15_O</vt:lpstr>
      <vt:lpstr>Z_IN_15_P</vt:lpstr>
      <vt:lpstr>Z_IN_15_S</vt:lpstr>
      <vt:lpstr>Z_IN_16_CS</vt:lpstr>
      <vt:lpstr>Z_IN_16_D</vt:lpstr>
      <vt:lpstr>Z_IN_16_E</vt:lpstr>
      <vt:lpstr>Z_IN_16_F</vt:lpstr>
      <vt:lpstr>Z_IN_16_I</vt:lpstr>
      <vt:lpstr>Z_IN_16_O</vt:lpstr>
      <vt:lpstr>Z_IN_16_P</vt:lpstr>
      <vt:lpstr>Z_IN_16_S</vt:lpstr>
      <vt:lpstr>Z_IN_17_CS</vt:lpstr>
      <vt:lpstr>Z_IN_17_D</vt:lpstr>
      <vt:lpstr>Z_IN_17_E</vt:lpstr>
      <vt:lpstr>Z_IN_17_F</vt:lpstr>
      <vt:lpstr>Z_IN_17_I</vt:lpstr>
      <vt:lpstr>Z_IN_17_O</vt:lpstr>
      <vt:lpstr>Z_IN_17_P</vt:lpstr>
      <vt:lpstr>Z_IN_17_S</vt:lpstr>
      <vt:lpstr>Z_TX_00_0_S</vt:lpstr>
      <vt:lpstr>Z_TX_00_CS</vt:lpstr>
      <vt:lpstr>Z_TX_00_D</vt:lpstr>
      <vt:lpstr>Z_TX_00_E</vt:lpstr>
      <vt:lpstr>Z_TX_00_F</vt:lpstr>
      <vt:lpstr>Z_TX_00_I</vt:lpstr>
      <vt:lpstr>Z_TX_00_O</vt:lpstr>
      <vt:lpstr>Z_TX_00_P</vt:lpstr>
      <vt:lpstr>Z_TX_00_S</vt:lpstr>
      <vt:lpstr>Z_TX_01_CS</vt:lpstr>
      <vt:lpstr>Z_TX_01_D</vt:lpstr>
      <vt:lpstr>Z_TX_01_E</vt:lpstr>
      <vt:lpstr>Z_TX_01_F</vt:lpstr>
      <vt:lpstr>Z_TX_01_I</vt:lpstr>
      <vt:lpstr>Z_TX_01_O</vt:lpstr>
      <vt:lpstr>Z_TX_01_P</vt:lpstr>
      <vt:lpstr>Z_TX_01_S</vt:lpstr>
      <vt:lpstr>Z_TX_92_1_</vt:lpstr>
      <vt:lpstr>Z_TX_92_1_CS</vt:lpstr>
      <vt:lpstr>Z_TX_92_1_D</vt:lpstr>
      <vt:lpstr>Z_TX_92_1_E</vt:lpstr>
      <vt:lpstr>Z_TX_92_1_F</vt:lpstr>
      <vt:lpstr>Z_TX_92_1_I</vt:lpstr>
      <vt:lpstr>Z_TX_92_1_O</vt:lpstr>
      <vt:lpstr>Z_TX_92_1_P</vt:lpstr>
      <vt:lpstr>Z_TX_92_1_S</vt:lpstr>
      <vt:lpstr>Z_TX_92_10_CS</vt:lpstr>
      <vt:lpstr>Z_TX_92_10_D</vt:lpstr>
      <vt:lpstr>Z_TX_92_10_E</vt:lpstr>
      <vt:lpstr>Z_TX_92_10_F</vt:lpstr>
      <vt:lpstr>Z_TX_92_10_I</vt:lpstr>
      <vt:lpstr>Z_TX_92_10_O</vt:lpstr>
      <vt:lpstr>Z_TX_92_10_P</vt:lpstr>
      <vt:lpstr>Z_TX_92_10_S</vt:lpstr>
      <vt:lpstr>Z_TX_92_2_</vt:lpstr>
      <vt:lpstr>Z_TX_92_2_CS</vt:lpstr>
      <vt:lpstr>Z_TX_92_2_D</vt:lpstr>
      <vt:lpstr>Z_TX_92_2_E</vt:lpstr>
      <vt:lpstr>Z_TX_92_2_F</vt:lpstr>
      <vt:lpstr>Z_TX_92_2_I</vt:lpstr>
      <vt:lpstr>Z_TX_92_2_O</vt:lpstr>
      <vt:lpstr>Z_TX_92_2_P</vt:lpstr>
      <vt:lpstr>Z_TX_92_2_S</vt:lpstr>
      <vt:lpstr>Z_TX_92_3_</vt:lpstr>
      <vt:lpstr>Z_TX_92_3_CS</vt:lpstr>
      <vt:lpstr>Z_TX_92_3_D</vt:lpstr>
      <vt:lpstr>Z_TX_92_3_E</vt:lpstr>
      <vt:lpstr>Z_TX_92_3_F</vt:lpstr>
      <vt:lpstr>Z_TX_92_3_I</vt:lpstr>
      <vt:lpstr>Z_TX_92_3_O</vt:lpstr>
      <vt:lpstr>Z_TX_92_3_P</vt:lpstr>
      <vt:lpstr>Z_TX_92_3_S</vt:lpstr>
      <vt:lpstr>Z_TX_92_4_</vt:lpstr>
      <vt:lpstr>Z_TX_92_4_CS</vt:lpstr>
      <vt:lpstr>Z_TX_92_4_D</vt:lpstr>
      <vt:lpstr>Z_TX_92_4_E</vt:lpstr>
      <vt:lpstr>Z_TX_92_4_F</vt:lpstr>
      <vt:lpstr>Z_TX_92_4_I</vt:lpstr>
      <vt:lpstr>Z_TX_92_4_O</vt:lpstr>
      <vt:lpstr>Z_TX_92_4_P</vt:lpstr>
      <vt:lpstr>Z_TX_92_4_S</vt:lpstr>
      <vt:lpstr>Z_TX_92_5_</vt:lpstr>
      <vt:lpstr>Z_TX_92_5_CS</vt:lpstr>
      <vt:lpstr>Z_TX_92_5_D</vt:lpstr>
      <vt:lpstr>Z_TX_92_5_E</vt:lpstr>
      <vt:lpstr>Z_TX_92_5_F</vt:lpstr>
      <vt:lpstr>Z_TX_92_5_I</vt:lpstr>
      <vt:lpstr>Z_TX_92_5_O</vt:lpstr>
      <vt:lpstr>Z_TX_92_5_P</vt:lpstr>
      <vt:lpstr>Z_TX_92_5_S</vt:lpstr>
      <vt:lpstr>Z_TX_92_6_</vt:lpstr>
      <vt:lpstr>Z_TX_92_6_CS</vt:lpstr>
      <vt:lpstr>Z_TX_92_6_D</vt:lpstr>
      <vt:lpstr>Z_TX_92_6_E</vt:lpstr>
      <vt:lpstr>Z_TX_92_6_F</vt:lpstr>
      <vt:lpstr>Z_TX_92_6_I</vt:lpstr>
      <vt:lpstr>Z_TX_92_6_O</vt:lpstr>
      <vt:lpstr>Z_TX_92_6_P</vt:lpstr>
      <vt:lpstr>Z_TX_92_6_S</vt:lpstr>
      <vt:lpstr>Z_TX_92_7_</vt:lpstr>
      <vt:lpstr>Z_TX_92_7_CS</vt:lpstr>
      <vt:lpstr>Z_TX_92_7_D</vt:lpstr>
      <vt:lpstr>Z_TX_92_7_E</vt:lpstr>
      <vt:lpstr>Z_TX_92_7_F</vt:lpstr>
      <vt:lpstr>Z_TX_92_7_I</vt:lpstr>
      <vt:lpstr>Z_TX_92_7_O</vt:lpstr>
      <vt:lpstr>Z_TX_92_7_P</vt:lpstr>
      <vt:lpstr>Z_TX_92_7_S</vt:lpstr>
      <vt:lpstr>Z_TX_92_8_</vt:lpstr>
      <vt:lpstr>Z_TX_92_8_CS</vt:lpstr>
      <vt:lpstr>Z_TX_92_8_D</vt:lpstr>
      <vt:lpstr>Z_TX_92_8_E</vt:lpstr>
      <vt:lpstr>Z_TX_92_8_F</vt:lpstr>
      <vt:lpstr>Z_TX_92_8_I</vt:lpstr>
      <vt:lpstr>Z_TX_92_8_O</vt:lpstr>
      <vt:lpstr>Z_TX_92_8_P</vt:lpstr>
      <vt:lpstr>Z_TX_92_8_S</vt:lpstr>
      <vt:lpstr>Z_TX_92_9_CS</vt:lpstr>
      <vt:lpstr>Z_TX_92_9_D</vt:lpstr>
      <vt:lpstr>Z_TX_92_9_E</vt:lpstr>
      <vt:lpstr>Z_TX_92_9_F</vt:lpstr>
      <vt:lpstr>Z_TX_92_9_I</vt:lpstr>
      <vt:lpstr>Z_TX_92_9_O</vt:lpstr>
      <vt:lpstr>Z_TX_92_9_P</vt:lpstr>
      <vt:lpstr>Z_TX_92_9_S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JMPN</cp:lastModifiedBy>
  <cp:lastPrinted>2021-05-08T09:25:40Z</cp:lastPrinted>
  <dcterms:created xsi:type="dcterms:W3CDTF">2021-02-15T22:57:22Z</dcterms:created>
  <dcterms:modified xsi:type="dcterms:W3CDTF">2022-09-15T17:43:46Z</dcterms:modified>
  <cp:category>DOCENCIA</cp:category>
</cp:coreProperties>
</file>