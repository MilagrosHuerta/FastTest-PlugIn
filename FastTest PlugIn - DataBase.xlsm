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drawings/drawing7.xml" ContentType="application/vnd.openxmlformats-officedocument.drawing+xml"/>
  <Override PartName="/xl/tables/table7.xml" ContentType="application/vnd.openxmlformats-officedocument.spreadsheetml.table+xml"/>
  <Override PartName="/xl/drawings/drawing8.xml" ContentType="application/vnd.openxmlformats-officedocument.drawing+xml"/>
  <Override PartName="/xl/tables/table8.xml" ContentType="application/vnd.openxmlformats-officedocument.spreadsheetml.table+xml"/>
  <Override PartName="/xl/drawings/drawing9.xml" ContentType="application/vnd.openxmlformats-officedocument.drawing+xml"/>
  <Override PartName="/xl/tables/table9.xml" ContentType="application/vnd.openxmlformats-officedocument.spreadsheetml.table+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F:\AHGM\0. APLICACIONES\FastTest PlugIn\"/>
    </mc:Choice>
  </mc:AlternateContent>
  <bookViews>
    <workbookView showHorizontalScroll="0" showSheetTabs="0" xWindow="0" yWindow="0" windowWidth="24000" windowHeight="10920"/>
  </bookViews>
  <sheets>
    <sheet name="INICIO" sheetId="6" r:id="rId1"/>
    <sheet name="Datos OM" sheetId="15" r:id="rId2"/>
    <sheet name="Datos O2" sheetId="16" r:id="rId3"/>
    <sheet name="Datos VF" sheetId="17" r:id="rId4"/>
    <sheet name="Datos EM" sheetId="18" r:id="rId5"/>
    <sheet name="Datos RC" sheetId="19" r:id="rId6"/>
    <sheet name="Datos PP" sheetId="20" r:id="rId7"/>
    <sheet name="Datos EN" sheetId="21" r:id="rId8"/>
    <sheet name="Datos CL" sheetId="22" r:id="rId9"/>
    <sheet name="DICCIONARIO" sheetId="8" r:id="rId10"/>
  </sheets>
  <definedNames>
    <definedName name="APP">"FastTest PlugIn"</definedName>
    <definedName name="AUTOR">INICIO!$I$5</definedName>
    <definedName name="IDIOMA">INICIO!$A$37</definedName>
    <definedName name="LANGUAGE">INICIO!$A$11</definedName>
    <definedName name="Z_BP_00_D">DICCIONARIO!$K$21</definedName>
    <definedName name="Z_BP_00_E">DICCIONARIO!$G$21</definedName>
    <definedName name="Z_BP_00_F">DICCIONARIO!$H$21</definedName>
    <definedName name="Z_BP_00_I">DICCIONARIO!$J$21</definedName>
    <definedName name="Z_BP_00_O">DICCIONARIO!$E$21</definedName>
    <definedName name="Z_BP_00_P">DICCIONARIO!$I$21</definedName>
    <definedName name="Z_BP_00_S">DICCIONARIO!$F$21</definedName>
    <definedName name="Z_BP_01_D">DICCIONARIO!$K$22</definedName>
    <definedName name="Z_BP_01_E">DICCIONARIO!$G$22</definedName>
    <definedName name="Z_BP_01_F">DICCIONARIO!$H$22</definedName>
    <definedName name="Z_BP_01_I">DICCIONARIO!$J$22</definedName>
    <definedName name="Z_BP_01_O">DICCIONARIO!$E$22</definedName>
    <definedName name="Z_BP_01_P">DICCIONARIO!$I$22</definedName>
    <definedName name="Z_BP_01_S">DICCIONARIO!$F$22</definedName>
    <definedName name="Z_BP_02_D">DICCIONARIO!$K$23</definedName>
    <definedName name="Z_BP_02_E">DICCIONARIO!$G$23</definedName>
    <definedName name="Z_BP_02_F">DICCIONARIO!$H$23</definedName>
    <definedName name="Z_BP_02_I">DICCIONARIO!$J$23</definedName>
    <definedName name="Z_BP_02_O">DICCIONARIO!$E$23</definedName>
    <definedName name="Z_BP_02_P">DICCIONARIO!$I$23</definedName>
    <definedName name="Z_BP_02_S">DICCIONARIO!$F$23</definedName>
    <definedName name="Z_BP_03_D">DICCIONARIO!$K$24</definedName>
    <definedName name="Z_BP_03_E">DICCIONARIO!$G$24</definedName>
    <definedName name="Z_BP_03_F">DICCIONARIO!$H$24</definedName>
    <definedName name="Z_BP_03_I">DICCIONARIO!$J$24</definedName>
    <definedName name="Z_BP_03_O">DICCIONARIO!$E$24</definedName>
    <definedName name="Z_BP_03_P">DICCIONARIO!$I$24</definedName>
    <definedName name="Z_BP_03_S">DICCIONARIO!$F$24</definedName>
    <definedName name="Z_BP_04_D">DICCIONARIO!$K$25</definedName>
    <definedName name="Z_BP_04_E">DICCIONARIO!$G$25</definedName>
    <definedName name="Z_BP_04_F">DICCIONARIO!$H$25</definedName>
    <definedName name="Z_BP_04_I">DICCIONARIO!$J$25</definedName>
    <definedName name="Z_BP_04_O">DICCIONARIO!$E$25</definedName>
    <definedName name="Z_BP_04_P">DICCIONARIO!$I$25</definedName>
    <definedName name="Z_BP_04_S">DICCIONARIO!$F$25</definedName>
    <definedName name="Z_BP_05_D">DICCIONARIO!$K$26</definedName>
    <definedName name="Z_BP_05_E">DICCIONARIO!$G$26</definedName>
    <definedName name="Z_BP_05_F">DICCIONARIO!$H$26</definedName>
    <definedName name="Z_BP_05_I">DICCIONARIO!$J$26</definedName>
    <definedName name="Z_BP_05_O">DICCIONARIO!$E$26</definedName>
    <definedName name="Z_BP_05_P">DICCIONARIO!$I$26</definedName>
    <definedName name="Z_BP_05_S">DICCIONARIO!$F$26</definedName>
    <definedName name="Z_BP_06_D">DICCIONARIO!$K$27</definedName>
    <definedName name="Z_BP_06_E">DICCIONARIO!$G$27</definedName>
    <definedName name="Z_BP_06_F">DICCIONARIO!$H$27</definedName>
    <definedName name="Z_BP_06_I">DICCIONARIO!$J$27</definedName>
    <definedName name="Z_BP_06_O">DICCIONARIO!$E$27</definedName>
    <definedName name="Z_BP_06_P">DICCIONARIO!$I$27</definedName>
    <definedName name="Z_BP_06_S">DICCIONARIO!$F$27</definedName>
    <definedName name="Z_BP_07_D">DICCIONARIO!$K$28</definedName>
    <definedName name="Z_BP_07_E">DICCIONARIO!$G$28</definedName>
    <definedName name="Z_BP_07_F">DICCIONARIO!$H$28</definedName>
    <definedName name="Z_BP_07_I">DICCIONARIO!$J$28</definedName>
    <definedName name="Z_BP_07_O">DICCIONARIO!$E$28</definedName>
    <definedName name="Z_BP_07_P">DICCIONARIO!$I$28</definedName>
    <definedName name="Z_BP_07_S">DICCIONARIO!$F$28</definedName>
    <definedName name="Z_BP_08_D">DICCIONARIO!$K$29</definedName>
    <definedName name="Z_BP_08_E">DICCIONARIO!$G$29</definedName>
    <definedName name="Z_BP_08_F">DICCIONARIO!$H$29</definedName>
    <definedName name="Z_BP_08_I">DICCIONARIO!$J$29</definedName>
    <definedName name="Z_BP_08_O">DICCIONARIO!$E$29</definedName>
    <definedName name="Z_BP_08_P">DICCIONARIO!$I$29</definedName>
    <definedName name="Z_BP_08_S">DICCIONARIO!$F$29</definedName>
    <definedName name="Z_BP_09_D">DICCIONARIO!$K$30</definedName>
    <definedName name="Z_BP_09_E">DICCIONARIO!$G$30</definedName>
    <definedName name="Z_BP_09_F">DICCIONARIO!$H$30</definedName>
    <definedName name="Z_BP_09_I">DICCIONARIO!$J$30</definedName>
    <definedName name="Z_BP_09_O">DICCIONARIO!$E$30</definedName>
    <definedName name="Z_BP_09_P">DICCIONARIO!$I$30</definedName>
    <definedName name="Z_BP_09_S">DICCIONARIO!$F$30</definedName>
    <definedName name="Z_BP_10_D">DICCIONARIO!$K$31</definedName>
    <definedName name="Z_BP_10_E">DICCIONARIO!$G$31</definedName>
    <definedName name="Z_BP_10_F">DICCIONARIO!$H$31</definedName>
    <definedName name="Z_BP_10_I">DICCIONARIO!$J$31</definedName>
    <definedName name="Z_BP_10_O">DICCIONARIO!$E$31</definedName>
    <definedName name="Z_BP_10_P">DICCIONARIO!$I$31</definedName>
    <definedName name="Z_BP_10_S">DICCIONARIO!$F$31</definedName>
    <definedName name="Z_BP_11_D">DICCIONARIO!$K$32</definedName>
    <definedName name="Z_BP_11_E">DICCIONARIO!$G$32</definedName>
    <definedName name="Z_BP_11_F">DICCIONARIO!$H$32</definedName>
    <definedName name="Z_BP_11_I">DICCIONARIO!$J$32</definedName>
    <definedName name="Z_BP_11_O">DICCIONARIO!$E$32</definedName>
    <definedName name="Z_BP_11_P">DICCIONARIO!$I$32</definedName>
    <definedName name="Z_BP_11_S">DICCIONARIO!$F$32</definedName>
    <definedName name="Z_BP_12_D">DICCIONARIO!$K$33</definedName>
    <definedName name="Z_BP_12_E">DICCIONARIO!$G$33</definedName>
    <definedName name="Z_BP_12_F">DICCIONARIO!$H$33</definedName>
    <definedName name="Z_BP_12_I">DICCIONARIO!$J$33</definedName>
    <definedName name="Z_BP_12_O">DICCIONARIO!$E$33</definedName>
    <definedName name="Z_BP_12_P">DICCIONARIO!$I$33</definedName>
    <definedName name="Z_BP_12_S">DICCIONARIO!$F$33</definedName>
    <definedName name="Z_BP_13_D">DICCIONARIO!$K$34</definedName>
    <definedName name="Z_BP_13_E">DICCIONARIO!$G$34</definedName>
    <definedName name="Z_BP_13_F">DICCIONARIO!$H$34</definedName>
    <definedName name="Z_BP_13_I">DICCIONARIO!$J$34</definedName>
    <definedName name="Z_BP_13_O">DICCIONARIO!$E$34</definedName>
    <definedName name="Z_BP_13_P">DICCIONARIO!$I$34</definedName>
    <definedName name="Z_BP_13_S">DICCIONARIO!$F$34</definedName>
    <definedName name="Z_BP_14_D">DICCIONARIO!$K$35</definedName>
    <definedName name="Z_BP_14_E">DICCIONARIO!$G$35</definedName>
    <definedName name="Z_BP_14_F">DICCIONARIO!$H$35</definedName>
    <definedName name="Z_BP_14_I">DICCIONARIO!$J$35</definedName>
    <definedName name="Z_BP_14_O">DICCIONARIO!$E$35</definedName>
    <definedName name="Z_BP_14_P">DICCIONARIO!$I$35</definedName>
    <definedName name="Z_BP_14_S">DICCIONARIO!$F$35</definedName>
    <definedName name="Z_BP_15_D">DICCIONARIO!$K$36</definedName>
    <definedName name="Z_BP_15_E">DICCIONARIO!$G$36</definedName>
    <definedName name="Z_BP_15_F">DICCIONARIO!$H$36</definedName>
    <definedName name="Z_BP_15_I">DICCIONARIO!$J$36</definedName>
    <definedName name="Z_BP_15_O">DICCIONARIO!$E$36</definedName>
    <definedName name="Z_BP_15_P">DICCIONARIO!$I$36</definedName>
    <definedName name="Z_BP_15_S">DICCIONARIO!$F$36</definedName>
    <definedName name="Z_BP_16_D">DICCIONARIO!$K$37</definedName>
    <definedName name="Z_BP_16_E">DICCIONARIO!$G$37</definedName>
    <definedName name="Z_BP_16_F">DICCIONARIO!$H$37</definedName>
    <definedName name="Z_BP_16_I">DICCIONARIO!$J$37</definedName>
    <definedName name="Z_BP_16_O">DICCIONARIO!$E$37</definedName>
    <definedName name="Z_BP_16_P">DICCIONARIO!$I$37</definedName>
    <definedName name="Z_BP_16_S">DICCIONARIO!$F$37</definedName>
    <definedName name="Z_BP_17_D">DICCIONARIO!$K$38</definedName>
    <definedName name="Z_BP_17_E">DICCIONARIO!$G$38</definedName>
    <definedName name="Z_BP_17_F">DICCIONARIO!$H$38</definedName>
    <definedName name="Z_BP_17_I">DICCIONARIO!$J$38</definedName>
    <definedName name="Z_BP_17_O">DICCIONARIO!$E$38</definedName>
    <definedName name="Z_BP_17_P">DICCIONARIO!$I$38</definedName>
    <definedName name="Z_BP_17_S">DICCIONARIO!$F$38</definedName>
    <definedName name="Z_BP_18_D">DICCIONARIO!$K$39</definedName>
    <definedName name="Z_BP_18_E">DICCIONARIO!$G$39</definedName>
    <definedName name="Z_BP_18_F">DICCIONARIO!$H$39</definedName>
    <definedName name="Z_BP_18_I">DICCIONARIO!$J$39</definedName>
    <definedName name="Z_BP_18_O">DICCIONARIO!$E$39</definedName>
    <definedName name="Z_BP_18_P">DICCIONARIO!$I$39</definedName>
    <definedName name="Z_BP_18_S">DICCIONARIO!$F$39</definedName>
    <definedName name="Z_BP_19_D">DICCIONARIO!$K$40</definedName>
    <definedName name="Z_BP_19_E">DICCIONARIO!$G$40</definedName>
    <definedName name="Z_BP_19_F">DICCIONARIO!$H$40</definedName>
    <definedName name="Z_BP_19_I">DICCIONARIO!$J$40</definedName>
    <definedName name="Z_BP_19_O">DICCIONARIO!$E$40</definedName>
    <definedName name="Z_BP_19_P">DICCIONARIO!$I$40</definedName>
    <definedName name="Z_BP_19_S">DICCIONARIO!$F$40</definedName>
    <definedName name="Z_BP_20_D">DICCIONARIO!$K$41</definedName>
    <definedName name="Z_BP_20_E">DICCIONARIO!$G$41</definedName>
    <definedName name="Z_BP_20_F">DICCIONARIO!$H$41</definedName>
    <definedName name="Z_BP_20_I">DICCIONARIO!$J$41</definedName>
    <definedName name="Z_BP_20_O">DICCIONARIO!$E$41</definedName>
    <definedName name="Z_BP_20_P">DICCIONARIO!$I$41</definedName>
    <definedName name="Z_BP_20_S">DICCIONARIO!$F$41</definedName>
    <definedName name="Z_BP_21_D">DICCIONARIO!$K$42</definedName>
    <definedName name="Z_BP_21_E">DICCIONARIO!$G$42</definedName>
    <definedName name="Z_BP_21_F">DICCIONARIO!$H$42</definedName>
    <definedName name="Z_BP_21_I">DICCIONARIO!$J$42</definedName>
    <definedName name="Z_BP_21_O">DICCIONARIO!$E$42</definedName>
    <definedName name="Z_BP_21_P">DICCIONARIO!$I$42</definedName>
    <definedName name="Z_BP_21_S">DICCIONARIO!$F$42</definedName>
    <definedName name="Z_BP_22_D">DICCIONARIO!$K$43</definedName>
    <definedName name="Z_BP_22_E">DICCIONARIO!$G$43</definedName>
    <definedName name="Z_BP_22_F">DICCIONARIO!$H$43</definedName>
    <definedName name="Z_BP_22_I">DICCIONARIO!$J$43</definedName>
    <definedName name="Z_BP_22_O">DICCIONARIO!$E$43</definedName>
    <definedName name="Z_BP_22_P">DICCIONARIO!$I$43</definedName>
    <definedName name="Z_BP_22_S">DICCIONARIO!$F$43</definedName>
    <definedName name="Z_BP_23_D">DICCIONARIO!$K$44</definedName>
    <definedName name="Z_BP_23_E">DICCIONARIO!$G$44</definedName>
    <definedName name="Z_BP_23_F">DICCIONARIO!$H$44</definedName>
    <definedName name="Z_BP_23_I">DICCIONARIO!$J$44</definedName>
    <definedName name="Z_BP_23_O">DICCIONARIO!$E$44</definedName>
    <definedName name="Z_BP_23_P">DICCIONARIO!$I$44</definedName>
    <definedName name="Z_BP_23_S">DICCIONARIO!$F$44</definedName>
    <definedName name="Z_BP_24_D">DICCIONARIO!$K$45</definedName>
    <definedName name="Z_BP_24_E">DICCIONARIO!$G$45</definedName>
    <definedName name="Z_BP_24_F">DICCIONARIO!$H$45</definedName>
    <definedName name="Z_BP_24_I">DICCIONARIO!$J$45</definedName>
    <definedName name="Z_BP_24_O">DICCIONARIO!$E$45</definedName>
    <definedName name="Z_BP_24_P">DICCIONARIO!$I$45</definedName>
    <definedName name="Z_BP_24_S">DICCIONARIO!$F$45</definedName>
    <definedName name="Z_BP_25_D">DICCIONARIO!$K$46</definedName>
    <definedName name="Z_BP_25_E">DICCIONARIO!$G$46</definedName>
    <definedName name="Z_BP_25_F">DICCIONARIO!$H$46</definedName>
    <definedName name="Z_BP_25_I">DICCIONARIO!$J$46</definedName>
    <definedName name="Z_BP_25_O">DICCIONARIO!$E$46</definedName>
    <definedName name="Z_BP_25_P">DICCIONARIO!$I$46</definedName>
    <definedName name="Z_BP_25_S">DICCIONARIO!$F$46</definedName>
    <definedName name="Z_BP_26_D">DICCIONARIO!$K$47</definedName>
    <definedName name="Z_BP_26_E">DICCIONARIO!$G$47</definedName>
    <definedName name="Z_BP_26_F">DICCIONARIO!$H$47</definedName>
    <definedName name="Z_BP_26_I">DICCIONARIO!$J$47</definedName>
    <definedName name="Z_BP_26_O">DICCIONARIO!$E$47</definedName>
    <definedName name="Z_BP_26_P">DICCIONARIO!$I$47</definedName>
    <definedName name="Z_BP_26_S">DICCIONARIO!$F$47</definedName>
    <definedName name="Z_BP_27_D">DICCIONARIO!$K$48</definedName>
    <definedName name="Z_BP_27_E">DICCIONARIO!$G$48</definedName>
    <definedName name="Z_BP_27_F">DICCIONARIO!$H$48</definedName>
    <definedName name="Z_BP_27_I">DICCIONARIO!$J$48</definedName>
    <definedName name="Z_BP_27_O">DICCIONARIO!$E$48</definedName>
    <definedName name="Z_BP_27_P">DICCIONARIO!$I$48</definedName>
    <definedName name="Z_BP_27_S">DICCIONARIO!$F$48</definedName>
    <definedName name="Z_BP_28_D">DICCIONARIO!$K$49</definedName>
    <definedName name="Z_BP_28_E">DICCIONARIO!$G$49</definedName>
    <definedName name="Z_BP_28_F">DICCIONARIO!$H$49</definedName>
    <definedName name="Z_BP_28_I">DICCIONARIO!$J$49</definedName>
    <definedName name="Z_BP_28_O">DICCIONARIO!$E$49</definedName>
    <definedName name="Z_BP_28_P">DICCIONARIO!$I$49</definedName>
    <definedName name="Z_BP_28_S">DICCIONARIO!$F$49</definedName>
    <definedName name="Z_BP_29_D">DICCIONARIO!$K$50</definedName>
    <definedName name="Z_BP_29_E">DICCIONARIO!$G$50</definedName>
    <definedName name="Z_BP_29_F">DICCIONARIO!$H$50</definedName>
    <definedName name="Z_BP_29_I">DICCIONARIO!$J$50</definedName>
    <definedName name="Z_BP_29_O">DICCIONARIO!$E$50</definedName>
    <definedName name="Z_BP_29_P">DICCIONARIO!$I$50</definedName>
    <definedName name="Z_BP_29_S">DICCIONARIO!$F$50</definedName>
    <definedName name="Z_BP_30_D">DICCIONARIO!$K$51</definedName>
    <definedName name="Z_BP_30_E">DICCIONARIO!$G$51</definedName>
    <definedName name="Z_BP_30_F">DICCIONARIO!$H$51</definedName>
    <definedName name="Z_BP_30_I">DICCIONARIO!$J$51</definedName>
    <definedName name="Z_BP_30_O">DICCIONARIO!$E$51</definedName>
    <definedName name="Z_BP_30_P">DICCIONARIO!$I$51</definedName>
    <definedName name="Z_BP_30_S">DICCIONARIO!$F$51</definedName>
    <definedName name="Z_BP_31_D">DICCIONARIO!$K$52</definedName>
    <definedName name="Z_BP_31_E">DICCIONARIO!$G$52</definedName>
    <definedName name="Z_BP_31_F">DICCIONARIO!$H$52</definedName>
    <definedName name="Z_BP_31_I">DICCIONARIO!$J$52</definedName>
    <definedName name="Z_BP_31_O">DICCIONARIO!$E$52</definedName>
    <definedName name="Z_BP_31_P">DICCIONARIO!$I$52</definedName>
    <definedName name="Z_BP_31_S">DICCIONARIO!$F$52</definedName>
    <definedName name="Z_BP_32_D">DICCIONARIO!$K$53</definedName>
    <definedName name="Z_BP_32_E">DICCIONARIO!$G$53</definedName>
    <definedName name="Z_BP_32_F">DICCIONARIO!$H$53</definedName>
    <definedName name="Z_BP_32_I">DICCIONARIO!$J$53</definedName>
    <definedName name="Z_BP_32_O">DICCIONARIO!$E$53</definedName>
    <definedName name="Z_BP_32_P">DICCIONARIO!$I$53</definedName>
    <definedName name="Z_BP_32_S">DICCIONARIO!$F$53</definedName>
    <definedName name="Z_IN_00_D">DICCIONARIO!$K$3</definedName>
    <definedName name="Z_IN_00_E">DICCIONARIO!$G$3</definedName>
    <definedName name="Z_IN_00_F">DICCIONARIO!$H$3</definedName>
    <definedName name="Z_IN_00_I">DICCIONARIO!$J$3</definedName>
    <definedName name="Z_IN_00_O">DICCIONARIO!$E$3</definedName>
    <definedName name="Z_IN_00_P">DICCIONARIO!$I$3</definedName>
    <definedName name="Z_IN_00_S">DICCIONARIO!$F$3</definedName>
    <definedName name="Z_IN_01_D">DICCIONARIO!$K$4</definedName>
    <definedName name="Z_IN_01_E">DICCIONARIO!$G$4</definedName>
    <definedName name="Z_IN_01_F">DICCIONARIO!$H$4</definedName>
    <definedName name="Z_IN_01_I">DICCIONARIO!$J$4</definedName>
    <definedName name="Z_IN_01_O">DICCIONARIO!$E$4</definedName>
    <definedName name="Z_IN_01_P">DICCIONARIO!$I$4</definedName>
    <definedName name="Z_IN_01_S">DICCIONARIO!$F$4</definedName>
    <definedName name="Z_IN_02_D">DICCIONARIO!$K$5</definedName>
    <definedName name="Z_IN_02_E">DICCIONARIO!$G$5</definedName>
    <definedName name="Z_IN_02_F">DICCIONARIO!$H$5</definedName>
    <definedName name="Z_IN_02_I">DICCIONARIO!$J$5</definedName>
    <definedName name="Z_IN_02_O">DICCIONARIO!$E$5</definedName>
    <definedName name="Z_IN_02_P">DICCIONARIO!$I$5</definedName>
    <definedName name="Z_IN_02_S">DICCIONARIO!$F$5</definedName>
    <definedName name="Z_IN_03_D">DICCIONARIO!$K$6</definedName>
    <definedName name="Z_IN_03_E">DICCIONARIO!$G$6</definedName>
    <definedName name="Z_IN_03_F">DICCIONARIO!$H$6</definedName>
    <definedName name="Z_IN_03_I">DICCIONARIO!$J$6</definedName>
    <definedName name="Z_IN_03_O">DICCIONARIO!$E$6</definedName>
    <definedName name="Z_IN_03_P">DICCIONARIO!$I$6</definedName>
    <definedName name="Z_IN_03_S">DICCIONARIO!$F$6</definedName>
    <definedName name="Z_IN_04_D">DICCIONARIO!$K$7</definedName>
    <definedName name="Z_IN_04_E">DICCIONARIO!$G$7</definedName>
    <definedName name="Z_IN_04_F">DICCIONARIO!$H$7</definedName>
    <definedName name="Z_IN_04_I">DICCIONARIO!$J$7</definedName>
    <definedName name="Z_IN_04_O">DICCIONARIO!$E$7</definedName>
    <definedName name="Z_IN_04_P">DICCIONARIO!$I$7</definedName>
    <definedName name="Z_IN_04_S">DICCIONARIO!$F$7</definedName>
    <definedName name="Z_IN_05_D">DICCIONARIO!$K$8</definedName>
    <definedName name="Z_IN_05_E">DICCIONARIO!$G$8</definedName>
    <definedName name="Z_IN_05_F">DICCIONARIO!$H$8</definedName>
    <definedName name="Z_IN_05_I">DICCIONARIO!$J$8</definedName>
    <definedName name="Z_IN_05_O">DICCIONARIO!$E$8</definedName>
    <definedName name="Z_IN_05_P">DICCIONARIO!$I$8</definedName>
    <definedName name="Z_IN_05_S">DICCIONARIO!$F$8</definedName>
    <definedName name="Z_IN_06_D">DICCIONARIO!$K$9</definedName>
    <definedName name="Z_IN_06_E">DICCIONARIO!$G$9</definedName>
    <definedName name="Z_IN_06_F">DICCIONARIO!$H$9</definedName>
    <definedName name="Z_IN_06_I">DICCIONARIO!$J$9</definedName>
    <definedName name="Z_IN_06_O">DICCIONARIO!$E$9</definedName>
    <definedName name="Z_IN_06_P">DICCIONARIO!$I$9</definedName>
    <definedName name="Z_IN_06_S">DICCIONARIO!$F$9</definedName>
    <definedName name="Z_IN_07_D">DICCIONARIO!$K$10</definedName>
    <definedName name="Z_IN_07_E">DICCIONARIO!$G$10</definedName>
    <definedName name="Z_IN_07_F">DICCIONARIO!$H$10</definedName>
    <definedName name="Z_IN_07_I">DICCIONARIO!$J$10</definedName>
    <definedName name="Z_IN_07_O">DICCIONARIO!$E$10</definedName>
    <definedName name="Z_IN_07_P">DICCIONARIO!$I$10</definedName>
    <definedName name="Z_IN_07_S">DICCIONARIO!$F$10</definedName>
    <definedName name="Z_IN_08_D">DICCIONARIO!$K$11</definedName>
    <definedName name="Z_IN_08_E">DICCIONARIO!$G$11</definedName>
    <definedName name="Z_IN_08_F">DICCIONARIO!$H$11</definedName>
    <definedName name="Z_IN_08_I">DICCIONARIO!$J$11</definedName>
    <definedName name="Z_IN_08_O">DICCIONARIO!$E$11</definedName>
    <definedName name="Z_IN_08_P">DICCIONARIO!$I$11</definedName>
    <definedName name="Z_IN_08_S">DICCIONARIO!$F$11</definedName>
    <definedName name="Z_IN_09_D">DICCIONARIO!$K$12</definedName>
    <definedName name="Z_IN_09_E">DICCIONARIO!$G$12</definedName>
    <definedName name="Z_IN_09_F">DICCIONARIO!$H$12</definedName>
    <definedName name="Z_IN_09_I">DICCIONARIO!$J$12</definedName>
    <definedName name="Z_IN_09_O">DICCIONARIO!$E$12</definedName>
    <definedName name="Z_IN_09_P">DICCIONARIO!$I$12</definedName>
    <definedName name="Z_IN_09_S">DICCIONARIO!$F$12</definedName>
    <definedName name="Z_IN_10_D">DICCIONARIO!$K$13</definedName>
    <definedName name="Z_IN_10_E">DICCIONARIO!$G$13</definedName>
    <definedName name="Z_IN_10_F">DICCIONARIO!$H$13</definedName>
    <definedName name="Z_IN_10_I">DICCIONARIO!$J$13</definedName>
    <definedName name="Z_IN_10_O">DICCIONARIO!$E$13</definedName>
    <definedName name="Z_IN_10_P">DICCIONARIO!$I$13</definedName>
    <definedName name="Z_IN_10_S">DICCIONARIO!$F$13</definedName>
    <definedName name="Z_IN_11_D">DICCIONARIO!$K$14</definedName>
    <definedName name="Z_IN_11_E">DICCIONARIO!$G$14</definedName>
    <definedName name="Z_IN_11_F">DICCIONARIO!$H$14</definedName>
    <definedName name="Z_IN_11_I">DICCIONARIO!$J$14</definedName>
    <definedName name="Z_IN_11_O">DICCIONARIO!$E$14</definedName>
    <definedName name="Z_IN_11_P">DICCIONARIO!$I$14</definedName>
    <definedName name="Z_IN_11_S">DICCIONARIO!$F$14</definedName>
    <definedName name="Z_IN_12_D">DICCIONARIO!$K$15</definedName>
    <definedName name="Z_IN_12_E">DICCIONARIO!$G$15</definedName>
    <definedName name="Z_IN_12_F">DICCIONARIO!$H$15</definedName>
    <definedName name="Z_IN_12_I">DICCIONARIO!$J$15</definedName>
    <definedName name="Z_IN_12_O">DICCIONARIO!$E$15</definedName>
    <definedName name="Z_IN_12_P">DICCIONARIO!$I$15</definedName>
    <definedName name="Z_IN_12_S">DICCIONARIO!$F$15</definedName>
    <definedName name="Z_IN_13_D">DICCIONARIO!$K$16</definedName>
    <definedName name="Z_IN_13_E">DICCIONARIO!$G$16</definedName>
    <definedName name="Z_IN_13_F">DICCIONARIO!$H$16</definedName>
    <definedName name="Z_IN_13_I">DICCIONARIO!$J$16</definedName>
    <definedName name="Z_IN_13_O">DICCIONARIO!$E$16</definedName>
    <definedName name="Z_IN_13_P">DICCIONARIO!$I$16</definedName>
    <definedName name="Z_IN_13_S">DICCIONARIO!$F$16</definedName>
    <definedName name="Z_IN_14_D">DICCIONARIO!$K$17</definedName>
    <definedName name="Z_IN_14_E">DICCIONARIO!$G$17</definedName>
    <definedName name="Z_IN_14_F">DICCIONARIO!$H$17</definedName>
    <definedName name="Z_IN_14_I">DICCIONARIO!$J$17</definedName>
    <definedName name="Z_IN_14_O">DICCIONARIO!$E$17</definedName>
    <definedName name="Z_IN_14_P">DICCIONARIO!$I$17</definedName>
    <definedName name="Z_IN_14_S">DICCIONARIO!$F$17</definedName>
    <definedName name="Z_IN_15_D">DICCIONARIO!$K$18</definedName>
    <definedName name="Z_IN_15_E">DICCIONARIO!$G$18</definedName>
    <definedName name="Z_IN_15_F">DICCIONARIO!$H$18</definedName>
    <definedName name="Z_IN_15_I">DICCIONARIO!$J$18</definedName>
    <definedName name="Z_IN_15_O">DICCIONARIO!$E$18</definedName>
    <definedName name="Z_IN_15_P">DICCIONARIO!$I$18</definedName>
    <definedName name="Z_IN_15_S">DICCIONARIO!$F$18</definedName>
    <definedName name="Z_IN_16_D">DICCIONARIO!$K$19</definedName>
    <definedName name="Z_IN_16_E">DICCIONARIO!$G$19</definedName>
    <definedName name="Z_IN_16_F">DICCIONARIO!$H$19</definedName>
    <definedName name="Z_IN_16_I">DICCIONARIO!$J$19</definedName>
    <definedName name="Z_IN_16_O">DICCIONARIO!$E$19</definedName>
    <definedName name="Z_IN_16_P">DICCIONARIO!$I$19</definedName>
    <definedName name="Z_IN_16_S">DICCIONARIO!$F$19</definedName>
    <definedName name="Z_IN_17_D">DICCIONARIO!$K$20</definedName>
    <definedName name="Z_IN_17_E">DICCIONARIO!$G$20</definedName>
    <definedName name="Z_IN_17_F">DICCIONARIO!$H$20</definedName>
    <definedName name="Z_IN_17_I">DICCIONARIO!$J$20</definedName>
    <definedName name="Z_IN_17_O">DICCIONARIO!$E$20</definedName>
    <definedName name="Z_IN_17_P">DICCIONARIO!$I$20</definedName>
    <definedName name="Z_IN_17_S">DICCIONARIO!$F$20</definedName>
    <definedName name="Z_TX_00_D">DICCIONARIO!$K$54</definedName>
    <definedName name="Z_TX_00_E">DICCIONARIO!$G$54</definedName>
    <definedName name="Z_TX_00_F">DICCIONARIO!$H$54</definedName>
    <definedName name="Z_TX_00_I">DICCIONARIO!$J$54</definedName>
    <definedName name="Z_TX_00_O">DICCIONARIO!$E$54</definedName>
    <definedName name="Z_TX_00_P">DICCIONARIO!$I$54</definedName>
    <definedName name="Z_TX_00_S">DICCIONARIO!$F$54</definedName>
    <definedName name="Z_TX_01_D">DICCIONARIO!$K$55</definedName>
    <definedName name="Z_TX_01_E">DICCIONARIO!$G$55</definedName>
    <definedName name="Z_TX_01_F">DICCIONARIO!$H$55</definedName>
    <definedName name="Z_TX_01_I">DICCIONARIO!$J$55</definedName>
    <definedName name="Z_TX_01_O">DICCIONARIO!$E$55</definedName>
    <definedName name="Z_TX_01_P">DICCIONARIO!$I$55</definedName>
    <definedName name="Z_TX_01_S">DICCIONARIO!$F$55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5" i="19" l="1"/>
  <c r="A5" i="16"/>
  <c r="A55" i="8" l="1"/>
  <c r="A54" i="8"/>
  <c r="A5" i="20" l="1"/>
  <c r="A5" i="18"/>
  <c r="B5" i="16"/>
  <c r="A5" i="15"/>
  <c r="B5" i="15" s="1"/>
  <c r="G2" i="22" l="1"/>
  <c r="G2" i="21"/>
  <c r="G2" i="20"/>
  <c r="G2" i="19"/>
  <c r="G2" i="18"/>
  <c r="G2" i="17"/>
  <c r="G2" i="16"/>
  <c r="G2" i="15"/>
  <c r="A17" i="6" l="1"/>
  <c r="E1" i="8"/>
  <c r="A45" i="6" l="1"/>
  <c r="A37" i="6" l="1"/>
  <c r="E2" i="8" s="1"/>
  <c r="E11" i="8" s="1"/>
  <c r="D2" i="8"/>
  <c r="E55" i="8" l="1"/>
  <c r="E51" i="8"/>
  <c r="E47" i="8"/>
  <c r="E43" i="8"/>
  <c r="E39" i="8"/>
  <c r="E31" i="8"/>
  <c r="E23" i="8"/>
  <c r="E15" i="8"/>
  <c r="E7" i="8"/>
  <c r="E3" i="8"/>
  <c r="E54" i="8"/>
  <c r="E50" i="8"/>
  <c r="E46" i="8"/>
  <c r="E42" i="8"/>
  <c r="E38" i="8"/>
  <c r="E30" i="8"/>
  <c r="E26" i="8"/>
  <c r="E22" i="8"/>
  <c r="E18" i="8"/>
  <c r="E14" i="8"/>
  <c r="E6" i="8"/>
  <c r="E34" i="8"/>
  <c r="E53" i="8"/>
  <c r="E49" i="8"/>
  <c r="E45" i="8"/>
  <c r="E41" i="8"/>
  <c r="E37" i="8"/>
  <c r="E33" i="8"/>
  <c r="E29" i="8"/>
  <c r="E25" i="8"/>
  <c r="E21" i="8"/>
  <c r="E17" i="8"/>
  <c r="E13" i="8"/>
  <c r="E9" i="8"/>
  <c r="E5" i="8"/>
  <c r="E52" i="8"/>
  <c r="E48" i="8"/>
  <c r="E44" i="8"/>
  <c r="E40" i="8"/>
  <c r="E36" i="8"/>
  <c r="E32" i="8"/>
  <c r="E28" i="8"/>
  <c r="E24" i="8"/>
  <c r="E20" i="8"/>
  <c r="E16" i="8"/>
  <c r="E12" i="8"/>
  <c r="E8" i="8"/>
  <c r="E4" i="8"/>
  <c r="E35" i="8"/>
  <c r="E27" i="8"/>
  <c r="E19" i="8"/>
  <c r="E10" i="8"/>
  <c r="AI3" i="22"/>
  <c r="AI3" i="21"/>
  <c r="AI3" i="20"/>
  <c r="AI3" i="19"/>
  <c r="AI3" i="18"/>
  <c r="AI3" i="16"/>
  <c r="AI3" i="17"/>
  <c r="F1" i="15"/>
  <c r="D1" i="8"/>
  <c r="F2" i="15"/>
  <c r="F1" i="22" l="1"/>
  <c r="F2" i="22"/>
  <c r="B22" i="8"/>
  <c r="A22" i="8" s="1"/>
  <c r="A21" i="8"/>
  <c r="B4" i="8"/>
  <c r="A4" i="8" s="1"/>
  <c r="A3" i="8"/>
  <c r="B23" i="8" l="1"/>
  <c r="B5" i="8"/>
  <c r="A3" i="20"/>
  <c r="V3" i="16"/>
  <c r="I23" i="6"/>
  <c r="G3" i="6"/>
  <c r="G3" i="22"/>
  <c r="AC3" i="19"/>
  <c r="R3" i="20"/>
  <c r="G1" i="18"/>
  <c r="M3" i="15"/>
  <c r="K3" i="21"/>
  <c r="O23" i="6"/>
  <c r="I3" i="16"/>
  <c r="N3" i="20"/>
  <c r="J3" i="20"/>
  <c r="G1" i="15"/>
  <c r="D3" i="19"/>
  <c r="A3" i="16"/>
  <c r="P6" i="6"/>
  <c r="K3" i="15"/>
  <c r="M3" i="16"/>
  <c r="H3" i="15"/>
  <c r="AF3" i="16"/>
  <c r="E3" i="16"/>
  <c r="C26" i="6"/>
  <c r="J3" i="16"/>
  <c r="Q24" i="6"/>
  <c r="T3" i="19"/>
  <c r="C23" i="6"/>
  <c r="AD3" i="20"/>
  <c r="P3" i="20"/>
  <c r="AG3" i="15"/>
  <c r="M23" i="6"/>
  <c r="W3" i="15"/>
  <c r="E3" i="15"/>
  <c r="R3" i="16"/>
  <c r="L3" i="20"/>
  <c r="X3" i="16"/>
  <c r="S3" i="15"/>
  <c r="R3" i="19"/>
  <c r="K3" i="19"/>
  <c r="G26" i="6"/>
  <c r="B3" i="15"/>
  <c r="P3" i="16"/>
  <c r="J3" i="21"/>
  <c r="I24" i="6"/>
  <c r="L3" i="15"/>
  <c r="W3" i="19"/>
  <c r="M24" i="6"/>
  <c r="AE3" i="15"/>
  <c r="Q23" i="6"/>
  <c r="A3" i="18"/>
  <c r="X3" i="20"/>
  <c r="G24" i="6"/>
  <c r="K23" i="6"/>
  <c r="O24" i="6"/>
  <c r="W3" i="16"/>
  <c r="L3" i="21"/>
  <c r="Z3" i="20"/>
  <c r="L3" i="19"/>
  <c r="I26" i="6"/>
  <c r="AA3" i="19"/>
  <c r="J3" i="15"/>
  <c r="B3" i="16"/>
  <c r="I3" i="19"/>
  <c r="O3" i="19"/>
  <c r="C24" i="6"/>
  <c r="G1" i="20"/>
  <c r="Q26" i="6"/>
  <c r="N3" i="16"/>
  <c r="D11" i="6"/>
  <c r="D27" i="6"/>
  <c r="N3" i="15"/>
  <c r="M26" i="6"/>
  <c r="L3" i="16"/>
  <c r="K24" i="6"/>
  <c r="G1" i="16"/>
  <c r="AH3" i="16"/>
  <c r="H3" i="16"/>
  <c r="G23" i="6"/>
  <c r="G1" i="22"/>
  <c r="G1" i="19"/>
  <c r="H3" i="21"/>
  <c r="R3" i="15"/>
  <c r="U3" i="19"/>
  <c r="T3" i="15"/>
  <c r="S3" i="16"/>
  <c r="T3" i="16"/>
  <c r="E26" i="6"/>
  <c r="I7" i="6"/>
  <c r="Q3" i="19"/>
  <c r="C9" i="6"/>
  <c r="X3" i="19"/>
  <c r="E3" i="17"/>
  <c r="G1" i="21"/>
  <c r="E24" i="6"/>
  <c r="K26" i="6"/>
  <c r="E23" i="6"/>
  <c r="Q3" i="15"/>
  <c r="AF3" i="15"/>
  <c r="X3" i="15"/>
  <c r="G3" i="15"/>
  <c r="O3" i="15"/>
  <c r="AB3" i="20"/>
  <c r="H3" i="20"/>
  <c r="K3" i="16"/>
  <c r="P3" i="15"/>
  <c r="G3" i="16"/>
  <c r="Q3" i="16"/>
  <c r="I3" i="15"/>
  <c r="H3" i="19"/>
  <c r="T3" i="20"/>
  <c r="O26" i="6"/>
  <c r="N3" i="19"/>
  <c r="AD3" i="19"/>
  <c r="U3" i="16"/>
  <c r="M3" i="21"/>
  <c r="U3" i="15"/>
  <c r="AE3" i="16"/>
  <c r="Z3" i="19"/>
  <c r="V3" i="15"/>
  <c r="V3" i="20"/>
  <c r="AH3" i="15"/>
  <c r="I3" i="21"/>
  <c r="A3" i="15"/>
  <c r="AG3" i="16"/>
  <c r="A3" i="19"/>
  <c r="G1" i="17"/>
  <c r="O3" i="16"/>
  <c r="F1" i="21" l="1"/>
  <c r="F2" i="21"/>
  <c r="F1" i="20"/>
  <c r="F2" i="20"/>
  <c r="F1" i="19"/>
  <c r="F2" i="19"/>
  <c r="F1" i="18"/>
  <c r="F2" i="18"/>
  <c r="F1" i="17"/>
  <c r="F2" i="17"/>
  <c r="F2" i="16"/>
  <c r="F1" i="16"/>
  <c r="Y3" i="19"/>
  <c r="S3" i="19"/>
  <c r="V3" i="19"/>
  <c r="M3" i="19"/>
  <c r="J3" i="19"/>
  <c r="AB3" i="19"/>
  <c r="G3" i="19"/>
  <c r="P3" i="19"/>
  <c r="AE3" i="22"/>
  <c r="AH3" i="22"/>
  <c r="AG3" i="22"/>
  <c r="AF3" i="22"/>
  <c r="E3" i="22"/>
  <c r="E3" i="21"/>
  <c r="AE3" i="20"/>
  <c r="AH3" i="20"/>
  <c r="AG3" i="20"/>
  <c r="AF3" i="20"/>
  <c r="E3" i="20"/>
  <c r="E3" i="19"/>
  <c r="AE3" i="19"/>
  <c r="AH3" i="19"/>
  <c r="AG3" i="19"/>
  <c r="AF3" i="19"/>
  <c r="AD3" i="18"/>
  <c r="N3" i="18"/>
  <c r="Y3" i="18"/>
  <c r="I3" i="18"/>
  <c r="T3" i="18"/>
  <c r="S3" i="18"/>
  <c r="AA3" i="18"/>
  <c r="L3" i="18"/>
  <c r="R3" i="18"/>
  <c r="M3" i="18"/>
  <c r="G3" i="18"/>
  <c r="Z3" i="18"/>
  <c r="J3" i="18"/>
  <c r="U3" i="18"/>
  <c r="W3" i="18"/>
  <c r="P3" i="18"/>
  <c r="O3" i="18"/>
  <c r="V3" i="18"/>
  <c r="Q3" i="18"/>
  <c r="AB3" i="18"/>
  <c r="K3" i="18"/>
  <c r="AC3" i="18"/>
  <c r="X3" i="18"/>
  <c r="H3" i="18"/>
  <c r="H3" i="17"/>
  <c r="G3" i="17"/>
  <c r="E3" i="18"/>
  <c r="I3" i="17"/>
  <c r="AE3" i="17"/>
  <c r="AE3" i="18"/>
  <c r="AH3" i="18"/>
  <c r="AH3" i="17"/>
  <c r="AG3" i="18"/>
  <c r="AG3" i="17"/>
  <c r="AF3" i="18"/>
  <c r="AF3" i="17"/>
  <c r="B24" i="8"/>
  <c r="A23" i="8"/>
  <c r="A5" i="8"/>
  <c r="B6" i="8"/>
  <c r="AA3" i="20"/>
  <c r="F3" i="22"/>
  <c r="M3" i="20"/>
  <c r="O3" i="20"/>
  <c r="F3" i="19"/>
  <c r="F3" i="16"/>
  <c r="Q3" i="20"/>
  <c r="F3" i="15"/>
  <c r="I3" i="20"/>
  <c r="AC3" i="20"/>
  <c r="W3" i="20"/>
  <c r="Y3" i="20"/>
  <c r="U3" i="20"/>
  <c r="F3" i="21"/>
  <c r="G3" i="20"/>
  <c r="K3" i="20"/>
  <c r="F3" i="18"/>
  <c r="F3" i="20"/>
  <c r="F3" i="17"/>
  <c r="G3" i="21"/>
  <c r="S3" i="20"/>
  <c r="A24" i="8" l="1"/>
  <c r="B25" i="8"/>
  <c r="A6" i="8"/>
  <c r="B7" i="8"/>
  <c r="B26" i="8" l="1"/>
  <c r="A25" i="8"/>
  <c r="A7" i="8"/>
  <c r="B8" i="8"/>
  <c r="B27" i="8" l="1"/>
  <c r="A26" i="8"/>
  <c r="A8" i="8"/>
  <c r="B9" i="8"/>
  <c r="B28" i="8" l="1"/>
  <c r="A27" i="8"/>
  <c r="A9" i="8"/>
  <c r="B10" i="8"/>
  <c r="A28" i="8" l="1"/>
  <c r="B29" i="8"/>
  <c r="A10" i="8"/>
  <c r="B11" i="8"/>
  <c r="B30" i="8" l="1"/>
  <c r="A29" i="8"/>
  <c r="A11" i="8"/>
  <c r="B12" i="8"/>
  <c r="B31" i="8" l="1"/>
  <c r="A30" i="8"/>
  <c r="A12" i="8"/>
  <c r="B13" i="8"/>
  <c r="B32" i="8" l="1"/>
  <c r="A31" i="8"/>
  <c r="A13" i="8"/>
  <c r="B14" i="8"/>
  <c r="B33" i="8" l="1"/>
  <c r="A32" i="8"/>
  <c r="A14" i="8"/>
  <c r="B15" i="8"/>
  <c r="B34" i="8" l="1"/>
  <c r="A33" i="8"/>
  <c r="A15" i="8"/>
  <c r="B16" i="8"/>
  <c r="B35" i="8" l="1"/>
  <c r="A34" i="8"/>
  <c r="A16" i="8"/>
  <c r="B17" i="8"/>
  <c r="B36" i="8" l="1"/>
  <c r="A35" i="8"/>
  <c r="A17" i="8"/>
  <c r="B18" i="8"/>
  <c r="A18" i="8" l="1"/>
  <c r="B19" i="8"/>
  <c r="B37" i="8"/>
  <c r="A36" i="8"/>
  <c r="A19" i="8" l="1"/>
  <c r="B20" i="8"/>
  <c r="A20" i="8" s="1"/>
  <c r="A37" i="8"/>
  <c r="B38" i="8"/>
  <c r="B39" i="8" l="1"/>
  <c r="A38" i="8"/>
  <c r="B40" i="8" l="1"/>
  <c r="A39" i="8"/>
  <c r="B41" i="8" l="1"/>
  <c r="A40" i="8"/>
  <c r="B42" i="8" l="1"/>
  <c r="A41" i="8"/>
  <c r="B43" i="8" l="1"/>
  <c r="A42" i="8"/>
  <c r="B44" i="8" l="1"/>
  <c r="A43" i="8"/>
  <c r="A44" i="8" l="1"/>
  <c r="B45" i="8"/>
  <c r="A45" i="8" l="1"/>
  <c r="B46" i="8"/>
  <c r="A46" i="8" l="1"/>
  <c r="B47" i="8"/>
  <c r="B48" i="8" l="1"/>
  <c r="A47" i="8"/>
  <c r="B49" i="8" l="1"/>
  <c r="A48" i="8"/>
  <c r="A49" i="8" l="1"/>
  <c r="B50" i="8"/>
  <c r="B51" i="8" l="1"/>
  <c r="A50" i="8"/>
  <c r="A51" i="8" l="1"/>
  <c r="B52" i="8"/>
  <c r="A52" i="8" l="1"/>
  <c r="B53" i="8"/>
  <c r="A53" i="8" s="1"/>
</calcChain>
</file>

<file path=xl/sharedStrings.xml><?xml version="1.0" encoding="utf-8"?>
<sst xmlns="http://schemas.openxmlformats.org/spreadsheetml/2006/main" count="712" uniqueCount="481">
  <si>
    <t>MILAGROS HUERTA GÓMEZ DE MERODIO</t>
  </si>
  <si>
    <t>Universidad de Cádiz</t>
  </si>
  <si>
    <t>LEER CON ATENCIÓN</t>
  </si>
  <si>
    <t>Mayúsculas</t>
  </si>
  <si>
    <t>Esta Aplicación ha sido desarrollada, en la primera versión, por:</t>
  </si>
  <si>
    <t>FastTest PlugIn - DataBase</t>
  </si>
  <si>
    <t>Preguntas</t>
  </si>
  <si>
    <t>Emparejar</t>
  </si>
  <si>
    <t>Respuesta Corta</t>
  </si>
  <si>
    <t>Palabra Perdida</t>
  </si>
  <si>
    <t>fasttestplugin@gmail.com</t>
  </si>
  <si>
    <t>INICIO</t>
  </si>
  <si>
    <t>ESPAÑOL</t>
  </si>
  <si>
    <t>S</t>
  </si>
  <si>
    <t>I</t>
  </si>
  <si>
    <t>F</t>
  </si>
  <si>
    <t>P</t>
  </si>
  <si>
    <t>E</t>
  </si>
  <si>
    <t>Z_</t>
  </si>
  <si>
    <t>ENGLISH</t>
  </si>
  <si>
    <t>FRANÇAIS</t>
  </si>
  <si>
    <t>PORTUGUÊS</t>
  </si>
  <si>
    <t>ITALIEN</t>
  </si>
  <si>
    <t>DEUTSCH</t>
  </si>
  <si>
    <t>D</t>
  </si>
  <si>
    <t>IN</t>
  </si>
  <si>
    <t>00</t>
  </si>
  <si>
    <t>HOME</t>
  </si>
  <si>
    <t>MAISON</t>
  </si>
  <si>
    <t>CASA</t>
  </si>
  <si>
    <t>ANFANG</t>
  </si>
  <si>
    <t xml:space="preserve"> </t>
  </si>
  <si>
    <t>01</t>
  </si>
  <si>
    <t>02</t>
  </si>
  <si>
    <t>NO FUNCIONA CON
VERSIONES DE EXCEL 
ANTERIORES A 2007
NI CON LA ÚLTIMA ACTUALIZACIÓN DE MAC</t>
  </si>
  <si>
    <t xml:space="preserve">DOES NOT WORK WITH
EXCEL VERSIONS
BEFORE 2007
NOT WITH THE LATEST MAC UPDATE </t>
  </si>
  <si>
    <t xml:space="preserve">NE FONCTIONNE PAS AVEC
VERSIONS EXCEL
AVANT 2007
PAS AVEC LA DERNIÈRE MISE À JOUR MAC </t>
  </si>
  <si>
    <t xml:space="preserve">NÃO FUNCIONA COM
VERSÕES EXCEL
ANTES DE 2007
NÃO COM A ÚLTIMA ATUALIZAÇÃO DO MAC </t>
  </si>
  <si>
    <t xml:space="preserve">NON FUNZIONA CON
VERSIONI EXCEL
PRIMA DEL 2007
NON CON L'ULTIMO AGGIORNAMENTO DEL MAC </t>
  </si>
  <si>
    <t>ARBEITET NICHT MIT
EXCEL-VERSIONEN
VOR 2007
NICHT MIT DEM NEUESTEN MAC-UPDATE</t>
  </si>
  <si>
    <t>03</t>
  </si>
  <si>
    <t>READ CAREFULLY</t>
  </si>
  <si>
    <t>LIRE ATTENTIVEMENT</t>
  </si>
  <si>
    <t>LEIA CUIDADOSAMENTE</t>
  </si>
  <si>
    <t>LEGGI ATTENTAMENTE</t>
  </si>
  <si>
    <t>GRÜNDLICH DURCHLESEN</t>
  </si>
  <si>
    <t>04</t>
  </si>
  <si>
    <t>This Application has been developed, in the first version, by:</t>
  </si>
  <si>
    <t>Cette application a été développée, dans la première version, par:</t>
  </si>
  <si>
    <t>Este Aplicativo foi desenvolvido, na primeira versão, por:</t>
  </si>
  <si>
    <t>Questa Applicazione è stata sviluppata, nella prima versione, da:</t>
  </si>
  <si>
    <t>Diese Anwendung wurde in der ersten Version entwickelt von:</t>
  </si>
  <si>
    <t>05</t>
  </si>
  <si>
    <t>Cadiz University</t>
  </si>
  <si>
    <t>Université de Cadix</t>
  </si>
  <si>
    <t>Universidade de Cádiz</t>
  </si>
  <si>
    <t>Università di Cadice</t>
  </si>
  <si>
    <t>Cadiz Universität</t>
  </si>
  <si>
    <t>06</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</si>
  <si>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t>
  </si>
  <si>
    <t>1. This application has been developed thanks to a Teaching Innovation Project approved by the Teaching Innovation Unit of the University of Cádiz.
2. The end user is the teacher who wants to use the QUESTIONNAIRES of the Moodle platform. It can also be used by anyone who wants to have their Question Banks stored in one place and in order.
3. The application serves to facilitate the creation of a BANK OF QUESTIONS for the questionnaires, the end user must check that the questions are imported correctly (at least the first times) as well as if they have filled in the data appropriately, as if was doing in Moodle.
Click on the TYPE OF QUESTION on which you want to CONSULT the stored questions.</t>
  </si>
  <si>
    <t>1. Cette application a été développée grâce à un projet d'innovation pédagogique approuvé par l'Unité d'innovation pédagogique de l'Université de Cadix.
2. L'utilisateur final est l'enseignant qui souhaite utiliser les QUESTIONNAIRES de la plateforme Moodle. Il peut également être utilisé par toute personne souhaitant conserver ses banques de questions au même endroit et dans le même ordre.
3. L'application sert à faciliter la création d'une BANQUE DE QUESTIONS pour les questionnaires, l'utilisateur final doit vérifier que les questions sont importées correctement (au moins les premières fois) ainsi que si elles ont correctement rempli les données, comme si faisait dans Moodle.
Cliquez sur le TYPE DE QUESTION sur lequel vous souhaitez CONSULTER les questions enregistrées.</t>
  </si>
  <si>
    <t>1. Esta aplicação foi desenvolvida graças a um Projeto de Inovação em Ensino aprovado pela Unidade de Inovação em Ensino da Universidade de Cádiz.
2. O usuário final é o professor que deseja utilizar os QUESTIONÁRIOS da plataforma Moodle. Também pode ser usado por qualquer pessoa que queira ter seus Bancos de Perguntas armazenados no mesmo lugar e na ordem.
3. O aplicativo serve para facilitar a criação de um BANCO DE PERGUNTAS para os questionários, o usuário final deve verificar se as questões foram importadas corretamente (pelo menos nas primeiras vezes) bem como se preencheram os dados corretamente, como se estava fazendo no Moodle.
Clique no TIPO DE PERGUNTA sobre a qual deseja CONSULTAR as questões armazenadas.</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</si>
  <si>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conservare le proprie Banche delle domande nello stesso luogo e in ordine.
3. L'applicazione serve per facilitare la creazione di una BANCA DELLE DOMANDE per i questionari, l'utente finale deve verificare che le domande siano importate correttamente (almeno le prime volte) nonché che abbiano compilato correttamente i dati, come se stava facendo in Moodle.
Clicca sul TIPO DI DOMANDA su cui vuoi CONSULTARE le domande memorizzate.</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</si>
  <si>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möchte, dass seine Fragenbanken am selben Ort und in der richtigen Reihenfolge gespeichert werden.
3. Die Anwendung dient dazu, die Erstellung einer BANK OF QUESTIONS für die Fragebögen zu erleichtern. Der Endbenutzer muss überprüfen, ob die Fragen korrekt importiert wurden (zumindest beim ersten Mal) und ob sie die Daten ordnungsgemäß ausgefüllt haben, als ob war in Moodle.
Klicken Sie auf die Art der Frage, auf der Sie die gespeicherten Fragen konsultieren möchten.</t>
  </si>
  <si>
    <t>07</t>
  </si>
  <si>
    <t>08</t>
  </si>
  <si>
    <t xml:space="preserve">Opción Múltiple 1R </t>
  </si>
  <si>
    <t>Choix Multiple 1R</t>
  </si>
  <si>
    <t>Múltipla Escolha 1R</t>
  </si>
  <si>
    <t>09</t>
  </si>
  <si>
    <t>10</t>
  </si>
  <si>
    <t>11</t>
  </si>
  <si>
    <t>Jogo</t>
  </si>
  <si>
    <t>12</t>
  </si>
  <si>
    <t>Short Answer</t>
  </si>
  <si>
    <t>13</t>
  </si>
  <si>
    <t>Missing Word</t>
  </si>
  <si>
    <t>14</t>
  </si>
  <si>
    <t>Cloze</t>
  </si>
  <si>
    <t>Lückentext</t>
  </si>
  <si>
    <t>15</t>
  </si>
  <si>
    <t>Questions</t>
  </si>
  <si>
    <t>Perguntas</t>
  </si>
  <si>
    <t>Domande</t>
  </si>
  <si>
    <t>Fragen</t>
  </si>
  <si>
    <t>BP</t>
  </si>
  <si>
    <t>Banco de preguntas</t>
  </si>
  <si>
    <t>Question database</t>
  </si>
  <si>
    <t>Banque de questions</t>
  </si>
  <si>
    <t>Banco de questões</t>
  </si>
  <si>
    <t>Banca delle domande</t>
  </si>
  <si>
    <t>Fragenbank</t>
  </si>
  <si>
    <t>Preguntas Almacenadas</t>
  </si>
  <si>
    <t>Saved Questions</t>
  </si>
  <si>
    <t>Questions Eenregistrées</t>
  </si>
  <si>
    <t>Perguntas Armazenadas</t>
  </si>
  <si>
    <t>Domande Memorizzate</t>
  </si>
  <si>
    <t>Gespeicherte Fragen</t>
  </si>
  <si>
    <t>Enunciado de la pregunta</t>
  </si>
  <si>
    <t>Question statement</t>
  </si>
  <si>
    <t>Énoncé de question</t>
  </si>
  <si>
    <t>Declaração de pregunta</t>
  </si>
  <si>
    <t>Dichiarazione di domanda</t>
  </si>
  <si>
    <t>Fragestellung</t>
  </si>
  <si>
    <t>Descripción</t>
  </si>
  <si>
    <t>Description</t>
  </si>
  <si>
    <t>Descrição</t>
  </si>
  <si>
    <t>Descrizione</t>
  </si>
  <si>
    <t>Beschreibung</t>
  </si>
  <si>
    <t>Respuesta Correcta</t>
  </si>
  <si>
    <t>Right Answer</t>
  </si>
  <si>
    <t>Bonne Réponse</t>
  </si>
  <si>
    <t>Resposta Correta</t>
  </si>
  <si>
    <t>Risposta Corretta</t>
  </si>
  <si>
    <t>Richtige Antwort</t>
  </si>
  <si>
    <t>Respuesta Incorrecta</t>
  </si>
  <si>
    <t>Wrong Answer</t>
  </si>
  <si>
    <t>Mauvaise Réponse</t>
  </si>
  <si>
    <t>Resposta Incorreta</t>
  </si>
  <si>
    <t>Risposta Sbagliata</t>
  </si>
  <si>
    <t>Falsche Antwort</t>
  </si>
  <si>
    <t>Retroalim.</t>
  </si>
  <si>
    <t>Feedback</t>
  </si>
  <si>
    <t>Retour d'inform.</t>
  </si>
  <si>
    <t>Comentários</t>
  </si>
  <si>
    <t>Risposta</t>
  </si>
  <si>
    <t>Pista</t>
  </si>
  <si>
    <t>Hint</t>
  </si>
  <si>
    <t>Indice</t>
  </si>
  <si>
    <t>Dica</t>
  </si>
  <si>
    <t>Traccia</t>
  </si>
  <si>
    <t>Hinweis</t>
  </si>
  <si>
    <t>Puntos</t>
  </si>
  <si>
    <t>Points</t>
  </si>
  <si>
    <t>Pontos</t>
  </si>
  <si>
    <t>Punti</t>
  </si>
  <si>
    <t>Punkte</t>
  </si>
  <si>
    <t>OM 1R</t>
  </si>
  <si>
    <t>CM 1R</t>
  </si>
  <si>
    <t>ME 1R</t>
  </si>
  <si>
    <t>SM 1R</t>
  </si>
  <si>
    <t>MC 1R</t>
  </si>
  <si>
    <t>VF</t>
  </si>
  <si>
    <t>TF</t>
  </si>
  <si>
    <t>WF</t>
  </si>
  <si>
    <t>EM</t>
  </si>
  <si>
    <t>MA</t>
  </si>
  <si>
    <t>CO</t>
  </si>
  <si>
    <t>JO</t>
  </si>
  <si>
    <t>SP</t>
  </si>
  <si>
    <t>RC</t>
  </si>
  <si>
    <t>SA</t>
  </si>
  <si>
    <t>RB</t>
  </si>
  <si>
    <t>KA</t>
  </si>
  <si>
    <t>PP</t>
  </si>
  <si>
    <t>MW</t>
  </si>
  <si>
    <t>MP</t>
  </si>
  <si>
    <t>VW</t>
  </si>
  <si>
    <t>16</t>
  </si>
  <si>
    <t>CL</t>
  </si>
  <si>
    <t>17</t>
  </si>
  <si>
    <t xml:space="preserve">Pareja </t>
  </si>
  <si>
    <t xml:space="preserve">Pair </t>
  </si>
  <si>
    <t>Coupler</t>
  </si>
  <si>
    <t>Casal</t>
  </si>
  <si>
    <t>Coppia</t>
  </si>
  <si>
    <t>Partner</t>
  </si>
  <si>
    <t>18</t>
  </si>
  <si>
    <t>Capitalization</t>
  </si>
  <si>
    <t>Majuscules</t>
  </si>
  <si>
    <t>Maiúsculas</t>
  </si>
  <si>
    <t>Maiuscola</t>
  </si>
  <si>
    <t>Großbuchstaben</t>
  </si>
  <si>
    <t>19</t>
  </si>
  <si>
    <t>Respuesta</t>
  </si>
  <si>
    <t>Answer</t>
  </si>
  <si>
    <t>Répondre</t>
  </si>
  <si>
    <t>Responda</t>
  </si>
  <si>
    <t>Antworten</t>
  </si>
  <si>
    <t>20</t>
  </si>
  <si>
    <t xml:space="preserve">Palabra </t>
  </si>
  <si>
    <t xml:space="preserve">Word </t>
  </si>
  <si>
    <t>Mot</t>
  </si>
  <si>
    <t>Palavra</t>
  </si>
  <si>
    <t>parola</t>
  </si>
  <si>
    <t>Wort</t>
  </si>
  <si>
    <t>21</t>
  </si>
  <si>
    <t>VERDADERO</t>
  </si>
  <si>
    <t>TRUE</t>
  </si>
  <si>
    <t>VRAI</t>
  </si>
  <si>
    <t>VERDADEIRO</t>
  </si>
  <si>
    <t>VERO</t>
  </si>
  <si>
    <t>WAHR</t>
  </si>
  <si>
    <t>22</t>
  </si>
  <si>
    <t>FALSO</t>
  </si>
  <si>
    <t>FALSE</t>
  </si>
  <si>
    <t>FAUX</t>
  </si>
  <si>
    <t>FALSCH</t>
  </si>
  <si>
    <t>23</t>
  </si>
  <si>
    <t xml:space="preserve">Grupo </t>
  </si>
  <si>
    <t xml:space="preserve">Group </t>
  </si>
  <si>
    <t>Grouper</t>
  </si>
  <si>
    <t>Grupo</t>
  </si>
  <si>
    <t>Gruppo</t>
  </si>
  <si>
    <t>Gruppe</t>
  </si>
  <si>
    <t>Ensayo</t>
  </si>
  <si>
    <t>Essay</t>
  </si>
  <si>
    <t>Composition</t>
  </si>
  <si>
    <t>Ensaios</t>
  </si>
  <si>
    <t>Componimento</t>
  </si>
  <si>
    <t>EN</t>
  </si>
  <si>
    <t>Formato de la Respuesta</t>
  </si>
  <si>
    <t>Response format</t>
  </si>
  <si>
    <t>Format de réponse</t>
  </si>
  <si>
    <t>Formato de resposta</t>
  </si>
  <si>
    <t>Formato della risposta</t>
  </si>
  <si>
    <t>Antwortformat</t>
  </si>
  <si>
    <t>Requerir texto</t>
  </si>
  <si>
    <t>Require text</t>
  </si>
  <si>
    <t>Exiger du texte</t>
  </si>
  <si>
    <t>Requer texto</t>
  </si>
  <si>
    <t>Richiedi testo</t>
  </si>
  <si>
    <t>Text erforderlich</t>
  </si>
  <si>
    <t>Tamaño de la caja de entrada</t>
  </si>
  <si>
    <t>Input box size</t>
  </si>
  <si>
    <t>Taille de la boîte de saisie</t>
  </si>
  <si>
    <t>Tamanho da caixa de entrada</t>
  </si>
  <si>
    <t>Dimensioni della casella di input</t>
  </si>
  <si>
    <t>Eingabefeldgröße</t>
  </si>
  <si>
    <t>Permitir archivos adjuntos</t>
  </si>
  <si>
    <t>Allow attachments</t>
  </si>
  <si>
    <t>Autoriser les pièces jointes</t>
  </si>
  <si>
    <t>Permitir anexos</t>
  </si>
  <si>
    <t>Consenti allegati</t>
  </si>
  <si>
    <t>Anhänge zulassen</t>
  </si>
  <si>
    <t>Archivos adjuntos requeridos</t>
  </si>
  <si>
    <t>Require attachments</t>
  </si>
  <si>
    <t>Exiger des pièces jointes</t>
  </si>
  <si>
    <t>Requer anexos</t>
  </si>
  <si>
    <t>Richiedi allegati</t>
  </si>
  <si>
    <t>Anhänge erforderlich</t>
  </si>
  <si>
    <t>Plantilla de Respuesta</t>
  </si>
  <si>
    <t>Response template</t>
  </si>
  <si>
    <t>Modèle de réponse</t>
  </si>
  <si>
    <t>Modelo de resposta</t>
  </si>
  <si>
    <t>Modello di risposta</t>
  </si>
  <si>
    <t>Antwortvorlage</t>
  </si>
  <si>
    <t>Información para el evaluador</t>
  </si>
  <si>
    <t>Information for graders</t>
  </si>
  <si>
    <t>Informations pour les niveleuses</t>
  </si>
  <si>
    <t>Informações para classificadores</t>
  </si>
  <si>
    <t>Informazioni per i selezionatori</t>
  </si>
  <si>
    <t>Informationen für Grader</t>
  </si>
  <si>
    <t>24</t>
  </si>
  <si>
    <t>25</t>
  </si>
  <si>
    <t>26</t>
  </si>
  <si>
    <t>27</t>
  </si>
  <si>
    <t>28</t>
  </si>
  <si>
    <t>29</t>
  </si>
  <si>
    <t>30</t>
  </si>
  <si>
    <t>31</t>
  </si>
  <si>
    <t>ES</t>
  </si>
  <si>
    <t>CM</t>
  </si>
  <si>
    <t>FR</t>
  </si>
  <si>
    <t>Réponse Courte</t>
  </si>
  <si>
    <t>Resposta Curta</t>
  </si>
  <si>
    <t>Risposta Breve</t>
  </si>
  <si>
    <t>Palavra Perdida</t>
  </si>
  <si>
    <t>Ancho RC</t>
  </si>
  <si>
    <t>Width SA</t>
  </si>
  <si>
    <t>Largeur RC</t>
  </si>
  <si>
    <t>Largura RC</t>
  </si>
  <si>
    <t>Larghezza RB</t>
  </si>
  <si>
    <t>Breite KA</t>
  </si>
  <si>
    <t>Pista 1</t>
  </si>
  <si>
    <t>Pista 2</t>
  </si>
  <si>
    <t>Pista 3</t>
  </si>
  <si>
    <t>Pista 4</t>
  </si>
  <si>
    <t>Imagen</t>
  </si>
  <si>
    <t>Respuesta 1</t>
  </si>
  <si>
    <t>Respuesta 2</t>
  </si>
  <si>
    <t>Respuesta 3</t>
  </si>
  <si>
    <t>Respuesta 4</t>
  </si>
  <si>
    <t>Respuesta 5</t>
  </si>
  <si>
    <t>Respuesta 6</t>
  </si>
  <si>
    <t>Retroalim. 1</t>
  </si>
  <si>
    <t>Retroalim. 2</t>
  </si>
  <si>
    <t>Retroalim. 3</t>
  </si>
  <si>
    <t>Retroalim. 4</t>
  </si>
  <si>
    <t>Retroalim. 5</t>
  </si>
  <si>
    <t>Retroalim. 6</t>
  </si>
  <si>
    <t>Puntos 1</t>
  </si>
  <si>
    <t>Puntos 2</t>
  </si>
  <si>
    <t>Puntos 3</t>
  </si>
  <si>
    <t>Puntos 4</t>
  </si>
  <si>
    <t>Puntos 5</t>
  </si>
  <si>
    <t>Puntos 6</t>
  </si>
  <si>
    <t>Columna1</t>
  </si>
  <si>
    <t>Columna2</t>
  </si>
  <si>
    <t>Columna3</t>
  </si>
  <si>
    <t>Columna4</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</si>
  <si>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</si>
  <si>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</si>
  <si>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</si>
  <si>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</si>
  <si>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</si>
  <si>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</si>
  <si>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</si>
  <si>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</si>
  <si>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</si>
  <si>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</si>
  <si>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</si>
  <si>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</si>
  <si>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</si>
  <si>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</si>
  <si>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</si>
  <si>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</si>
  <si>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</si>
  <si>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</si>
  <si>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</si>
  <si>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</si>
  <si>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</si>
  <si>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</si>
  <si>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</si>
  <si>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</si>
  <si>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</si>
  <si>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</si>
  <si>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</si>
  <si>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</si>
  <si>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</si>
  <si>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</si>
  <si>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</si>
  <si>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</si>
  <si>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</si>
  <si>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</si>
  <si>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</si>
  <si>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</si>
  <si>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</si>
  <si>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</si>
  <si>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</si>
  <si>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</si>
  <si>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</si>
  <si>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</si>
  <si>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</si>
  <si>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</si>
  <si>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12.14</t>
  </si>
  <si>
    <t>Respuesta 01</t>
  </si>
  <si>
    <t>Puntos 01</t>
  </si>
  <si>
    <t>Retroalim. 01</t>
  </si>
  <si>
    <t>Respuesta 02</t>
  </si>
  <si>
    <t>Puntos 02</t>
  </si>
  <si>
    <t>Retroalim. 02</t>
  </si>
  <si>
    <t>Respuesta 03</t>
  </si>
  <si>
    <t>Puntos 03</t>
  </si>
  <si>
    <t>Retroalim. 03</t>
  </si>
  <si>
    <t>Respuesta 04</t>
  </si>
  <si>
    <t>Puntos 04</t>
  </si>
  <si>
    <t>Retroalim. 04</t>
  </si>
  <si>
    <t>Respuesta 05</t>
  </si>
  <si>
    <t>Puntos 05</t>
  </si>
  <si>
    <t>Retroalim. 05</t>
  </si>
  <si>
    <t>Respuesta 06</t>
  </si>
  <si>
    <t>Puntos 06</t>
  </si>
  <si>
    <t>Retroalim. 06</t>
  </si>
  <si>
    <t>Respuesta 07</t>
  </si>
  <si>
    <t>Puntos 07</t>
  </si>
  <si>
    <t>Retroalim. 07</t>
  </si>
  <si>
    <t>Respuesta 08</t>
  </si>
  <si>
    <t>Puntos 08</t>
  </si>
  <si>
    <t>Retroalim. 08</t>
  </si>
  <si>
    <t>Puntos 7</t>
  </si>
  <si>
    <t>Puntos 8</t>
  </si>
  <si>
    <t>Puntos 9</t>
  </si>
  <si>
    <t>Puntos 10</t>
  </si>
  <si>
    <t>Puntos 11</t>
  </si>
  <si>
    <t>Puntos 12</t>
  </si>
  <si>
    <t>FastTest PlugIn - ENSAYO
Enunciado de la pregunta</t>
  </si>
  <si>
    <t>Formato de la Respuesta
Requerir texto</t>
  </si>
  <si>
    <t>C1</t>
  </si>
  <si>
    <t>C2</t>
  </si>
  <si>
    <t>Esta HOJA sirve para almacenar las preguntas y poder reutilizarlas cuando sea necesario, sin tener que volver a escribirlas para un nuevo BANCO DE PREGUNTAS.</t>
  </si>
  <si>
    <t>This SHEET is used to store the questions and to be able to reuse them when necessary, without having to retype them for a new BANK OF QUESTIONS.</t>
  </si>
  <si>
    <t>Cette FEUILLE permet de stocker les questions et de pouvoir les réutiliser si nécessaire, sans avoir à les retaper pour une nouvelle BANQUE DE QUESTIONS.</t>
  </si>
  <si>
    <t>Esta FOLHA serve para armazenar as questões e poder reutilizá-las quando necessário, sem ter que redigitá-las para um novo BANCO DE PERGUNTAS.</t>
  </si>
  <si>
    <t>Questo FOGLIO viene utilizzato per memorizzare le domande e per poterle riutilizzare quando necessario, senza doverle riscrivere per una nuova BANCA DELLE DOMANDE.</t>
  </si>
  <si>
    <t>Dieses BLATT wird verwendet, um die Fragen zu speichern und sie bei Bedarf wiederzuverwenden, ohne sie für eine neue BANK OF QUESTIONS erneut eingeben zu müssen.</t>
  </si>
  <si>
    <t xml:space="preserve"> IDIOMA
 LANGUAGE
 LANGUE
 IDIOMA
 LINGUA
 SPRACHE</t>
  </si>
  <si>
    <t>O</t>
  </si>
  <si>
    <t>NOMBRE</t>
  </si>
  <si>
    <t>SIGLA</t>
  </si>
  <si>
    <t>DICCIONARIO</t>
  </si>
  <si>
    <t>DICTIONARY</t>
  </si>
  <si>
    <t>PERSONALIZAR DICCIONARIO</t>
  </si>
  <si>
    <t>CUSTOM DICTIONARY</t>
  </si>
  <si>
    <t>DICTIONAIRE PERSONNALISÉ</t>
  </si>
  <si>
    <t>DICIONÁRIO PERSONALIZADO</t>
  </si>
  <si>
    <t>DIZIONARIO PERSONALIZZATO</t>
  </si>
  <si>
    <t>PERSOENLICHES WOERTERBUCH</t>
  </si>
  <si>
    <t>DICTIONAIRE</t>
  </si>
  <si>
    <t>DICIONÁRIO</t>
  </si>
  <si>
    <t>DIZIONARIO</t>
  </si>
  <si>
    <t>WOERTERBUCH</t>
  </si>
  <si>
    <t>CANAL YOUTUBE</t>
  </si>
  <si>
    <t>YOUTUBE CHANNEL</t>
  </si>
  <si>
    <t>CHAÎNE YOUTUBE</t>
  </si>
  <si>
    <t>CANAL DO YOUTUBE</t>
  </si>
  <si>
    <t>CANALE YOUTUBE</t>
  </si>
  <si>
    <t>YOUTUBE KANAL</t>
  </si>
  <si>
    <t>NRC</t>
  </si>
  <si>
    <t>NRI</t>
  </si>
  <si>
    <t>Descripcion</t>
  </si>
  <si>
    <t>Enunciado</t>
  </si>
  <si>
    <t>May</t>
  </si>
  <si>
    <t>NR</t>
  </si>
  <si>
    <t>GP 01</t>
  </si>
  <si>
    <t>P 01</t>
  </si>
  <si>
    <t>GP 02</t>
  </si>
  <si>
    <t>P 02</t>
  </si>
  <si>
    <t>GP 03</t>
  </si>
  <si>
    <t>P 03</t>
  </si>
  <si>
    <t>GP 04</t>
  </si>
  <si>
    <t>P 04</t>
  </si>
  <si>
    <t>GP 05</t>
  </si>
  <si>
    <t>P 06</t>
  </si>
  <si>
    <t>P 05</t>
  </si>
  <si>
    <t>GP 06</t>
  </si>
  <si>
    <t>GP 07</t>
  </si>
  <si>
    <t>P 07</t>
  </si>
  <si>
    <t>GP 08</t>
  </si>
  <si>
    <t>P 08</t>
  </si>
  <si>
    <t>GP 09</t>
  </si>
  <si>
    <t>P 09</t>
  </si>
  <si>
    <t>GP 10</t>
  </si>
  <si>
    <t>P 10</t>
  </si>
  <si>
    <t>GP 11</t>
  </si>
  <si>
    <t>P 11</t>
  </si>
  <si>
    <t>GP 12</t>
  </si>
  <si>
    <t>P 12</t>
  </si>
  <si>
    <t>MENSAJES MACROS</t>
  </si>
  <si>
    <t>MACROS MESSAGES</t>
  </si>
  <si>
    <t>MAKROS-NACHRICHTEN</t>
  </si>
  <si>
    <t>Copia el link (Ctrl+C) y 
pega (Ctrl+V) en Internet.</t>
  </si>
  <si>
    <t>Copy the link (Ctrl + C), 
and paste (Ctrl + V) in Internet.</t>
  </si>
  <si>
    <t>Copiez le link (Ctrl + C) 
et collez (Ctrl + V) Internet.</t>
  </si>
  <si>
    <t>Copie o link (Ctrl + C) 
e cole (Ctrl + V) Internet.</t>
  </si>
  <si>
    <t>Copia il testo (Ctrl + C) 
e incolla (Ctrl + V) Internet.</t>
  </si>
  <si>
    <t>Kopieren Sie den Text (Strg + C)
und fügen Sie ein (Strg + V) Internet.</t>
  </si>
  <si>
    <t>TX</t>
  </si>
  <si>
    <t>Hint 4</t>
  </si>
  <si>
    <t>Multiple Choice 1A</t>
  </si>
  <si>
    <t>Risposta Multipla 1R</t>
  </si>
  <si>
    <t xml:space="preserve">Opción Múltiple +R </t>
  </si>
  <si>
    <t>Multiple Choice +A</t>
  </si>
  <si>
    <t>Choix Multiple +R</t>
  </si>
  <si>
    <t>Múltipla Escolha +R</t>
  </si>
  <si>
    <t>Risposta Multipla +R</t>
  </si>
  <si>
    <t>Multiple Choice +R</t>
  </si>
  <si>
    <t>Verdadero/Falso</t>
  </si>
  <si>
    <t>True/False</t>
  </si>
  <si>
    <t>Vrai/Faux</t>
  </si>
  <si>
    <t>Verdadeiro/Falso</t>
  </si>
  <si>
    <t>Vero/Falso</t>
  </si>
  <si>
    <t>Wahr/Falsch</t>
  </si>
  <si>
    <t>Matching</t>
  </si>
  <si>
    <t>Appariement</t>
  </si>
  <si>
    <t>Corrispondenza</t>
  </si>
  <si>
    <t>Zuordnung</t>
  </si>
  <si>
    <t xml:space="preserve"> Kurzantwort</t>
  </si>
  <si>
    <t>Mots Manquants</t>
  </si>
  <si>
    <t>Parole Mancanti</t>
  </si>
  <si>
    <t>Lückentextauswahl</t>
  </si>
  <si>
    <t>Freitext</t>
  </si>
  <si>
    <t>MC 1A</t>
  </si>
  <si>
    <t>CM +R</t>
  </si>
  <si>
    <t>ME +R</t>
  </si>
  <si>
    <t>SM +R</t>
  </si>
  <si>
    <t>MC +R</t>
  </si>
  <si>
    <t>MC +A</t>
  </si>
  <si>
    <t>OM +R</t>
  </si>
  <si>
    <t>V - 5.0  - 29/11/2021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</si>
</sst>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1"/>
      <color theme="1"/>
      <name val="Calibri"/>
      <family val="2"/>
      <scheme val="minor"/>
    </font>
    <font>
      <b/>
      <sz val="11"/>
      <color theme="1"/>
      <name val="Calibri"/>
      <family val="2"/>
      <scheme val="minor"/>
    </font>
    <font>
      <sz val="11"/>
      <color theme="0"/>
      <name val="Calibri"/>
      <family val="2"/>
      <scheme val="minor"/>
    </font>
    <font>
      <b/>
      <sz val="11"/>
      <color rgb="FFFF0000"/>
      <name val="Calibri"/>
      <family val="2"/>
      <scheme val="minor"/>
    </font>
    <font>
      <sz val="10"/>
      <color theme="1"/>
      <name val="Calibri"/>
      <family val="2"/>
      <scheme val="minor"/>
    </font>
    <font>
      <b/>
      <sz val="10"/>
      <color theme="0"/>
      <name val="Calibri"/>
      <family val="2"/>
      <scheme val="minor"/>
    </font>
    <font>
      <b/>
      <sz val="9"/>
      <color theme="0"/>
      <name val="Calibri"/>
      <family val="2"/>
      <scheme val="minor"/>
    </font>
    <font>
      <b/>
      <sz val="9"/>
      <color rgb="FF005877"/>
      <name val="Calibri"/>
      <family val="2"/>
      <scheme val="minor"/>
    </font>
    <font>
      <b/>
      <sz val="8"/>
      <color rgb="FF005877"/>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sz val="11"/>
      <color rgb="FF005877"/>
      <name val="Calibri"/>
      <family val="2"/>
      <scheme val="minor"/>
    </font>
    <font>
      <sz val="11"/>
      <color rgb="FFFF0000"/>
      <name val="Calibri"/>
      <family val="2"/>
      <scheme val="minor"/>
    </font>
    <font>
      <sz val="9"/>
      <color rgb="FF005877"/>
      <name val="Calibri"/>
      <family val="2"/>
      <scheme val="minor"/>
    </font>
    <font>
      <b/>
      <sz val="10"/>
      <color theme="1"/>
      <name val="Calibri"/>
      <family val="2"/>
      <scheme val="minor"/>
    </font>
    <font>
      <b/>
      <sz val="10"/>
      <color rgb="FFE87B00"/>
      <name val="Calibri"/>
      <family val="2"/>
      <scheme val="minor"/>
    </font>
    <font>
      <b/>
      <sz val="11"/>
      <color theme="0"/>
      <name val="Calibri"/>
      <family val="2"/>
      <scheme val="minor"/>
    </font>
    <font>
      <b/>
      <sz val="16"/>
      <color theme="0"/>
      <name val="Calibri"/>
      <family val="2"/>
      <scheme val="minor"/>
    </font>
    <font>
      <b/>
      <sz val="10"/>
      <color rgb="FF005877"/>
      <name val="Calibri"/>
      <family val="2"/>
      <scheme val="minor"/>
    </font>
    <font>
      <b/>
      <sz val="22"/>
      <color theme="0"/>
      <name val="Calibri"/>
      <family val="2"/>
      <scheme val="minor"/>
    </font>
    <font>
      <sz val="11"/>
      <name val="Calibri"/>
      <family val="2"/>
      <scheme val="minor"/>
    </font>
    <font>
      <b/>
      <sz val="9"/>
      <color rgb="FFE87B00"/>
      <name val="Calibri"/>
      <family val="2"/>
      <scheme val="minor"/>
    </font>
    <font>
      <sz val="8"/>
      <color rgb="FF005877"/>
      <name val="Calibri"/>
      <family val="2"/>
      <scheme val="minor"/>
    </font>
    <font>
      <sz val="9"/>
      <color theme="0"/>
      <name val="Calibri"/>
      <family val="2"/>
      <scheme val="minor"/>
    </font>
    <font>
      <sz val="10"/>
      <color rgb="FF005877"/>
      <name val="Calibri"/>
      <family val="2"/>
      <scheme val="minor"/>
    </font>
    <font>
      <b/>
      <sz val="7"/>
      <color theme="0"/>
      <name val="Calibri"/>
      <family val="2"/>
      <scheme val="minor"/>
    </font>
    <font>
      <sz val="9"/>
      <color theme="1"/>
      <name val="Calibri"/>
      <family val="2"/>
      <scheme val="minor"/>
    </font>
    <font>
      <sz val="9"/>
      <color rgb="FFFF0000"/>
      <name val="Calibri"/>
      <family val="2"/>
      <scheme val="minor"/>
    </font>
    <font>
      <b/>
      <sz val="11"/>
      <color rgb="FFFFFFFF"/>
      <name val="Calibri"/>
      <family val="2"/>
      <scheme val="minor"/>
    </font>
  </fonts>
  <fills count="24">
    <fill>
      <patternFill patternType="none"/>
    </fill>
    <fill>
      <patternFill patternType="gray125"/>
    </fill>
    <fill>
      <patternFill patternType="solid">
        <fgColor theme="0"/>
        <bgColor indexed="64"/>
      </patternFill>
    </fill>
    <fill>
      <patternFill patternType="solid">
        <fgColor rgb="FF005877"/>
        <bgColor indexed="64"/>
      </patternFill>
    </fill>
    <fill>
      <patternFill patternType="solid">
        <fgColor rgb="FFE87B00"/>
        <bgColor indexed="64"/>
      </patternFill>
    </fill>
    <fill>
      <patternFill patternType="solid">
        <fgColor rgb="FFFFFF00"/>
        <bgColor indexed="64"/>
      </patternFill>
    </fill>
    <fill>
      <patternFill patternType="solid">
        <fgColor rgb="FFFFC000"/>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5"/>
        <bgColor rgb="FFE87B00"/>
      </patternFill>
    </fill>
    <fill>
      <patternFill patternType="solid">
        <fgColor theme="0" tint="-0.14999847407452621"/>
        <bgColor theme="0" tint="-0.14999847407452621"/>
      </patternFill>
    </fill>
    <fill>
      <patternFill patternType="solid">
        <fgColor theme="7"/>
        <bgColor indexed="64"/>
      </patternFill>
    </fill>
    <fill>
      <patternFill patternType="solid">
        <fgColor theme="7" tint="0.79998168889431442"/>
        <bgColor indexed="64"/>
      </patternFill>
    </fill>
    <fill>
      <patternFill patternType="solid">
        <fgColor rgb="FFED7D31"/>
        <bgColor indexed="64"/>
      </patternFill>
    </fill>
    <fill>
      <patternFill patternType="solid">
        <fgColor rgb="FFD9D9D9"/>
        <bgColor indexed="64"/>
      </patternFill>
    </fill>
  </fills>
  <borders count="33">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thick">
        <color rgb="FF005877"/>
      </right>
      <top/>
      <bottom/>
      <diagonal/>
    </border>
    <border>
      <left style="medium">
        <color rgb="FF005877"/>
      </left>
      <right/>
      <top style="medium">
        <color rgb="FF005877"/>
      </top>
      <bottom/>
      <diagonal/>
    </border>
    <border>
      <left style="medium">
        <color rgb="FF005877"/>
      </left>
      <right/>
      <top/>
      <bottom/>
      <diagonal/>
    </border>
    <border>
      <left style="medium">
        <color rgb="FF005877"/>
      </left>
      <right/>
      <top/>
      <bottom style="medium">
        <color rgb="FF005877"/>
      </bottom>
      <diagonal/>
    </border>
    <border>
      <left/>
      <right style="medium">
        <color rgb="FF005877"/>
      </right>
      <top style="medium">
        <color rgb="FF005877"/>
      </top>
      <bottom/>
      <diagonal/>
    </border>
    <border>
      <left/>
      <right style="medium">
        <color rgb="FF005877"/>
      </right>
      <top/>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right/>
      <top/>
      <bottom style="medium">
        <color rgb="FF005877"/>
      </bottom>
      <diagonal/>
    </border>
    <border>
      <left/>
      <right/>
      <top style="medium">
        <color rgb="FF005877"/>
      </top>
      <bottom/>
      <diagonal/>
    </border>
    <border>
      <left style="medium">
        <color rgb="FF005877"/>
      </left>
      <right style="thick">
        <color rgb="FF005877"/>
      </right>
      <top style="medium">
        <color rgb="FF005877"/>
      </top>
      <bottom/>
      <diagonal/>
    </border>
    <border>
      <left style="medium">
        <color rgb="FF005877"/>
      </left>
      <right style="thick">
        <color rgb="FF005877"/>
      </right>
      <top/>
      <bottom style="medium">
        <color rgb="FF005877"/>
      </bottom>
      <diagonal/>
    </border>
    <border>
      <left style="medium">
        <color theme="0"/>
      </left>
      <right style="medium">
        <color theme="0"/>
      </right>
      <top style="medium">
        <color theme="0"/>
      </top>
      <bottom style="medium">
        <color theme="0"/>
      </bottom>
      <diagonal/>
    </border>
    <border>
      <left style="medium">
        <color rgb="FF005877"/>
      </left>
      <right style="medium">
        <color theme="0"/>
      </right>
      <top style="medium">
        <color rgb="FF005877"/>
      </top>
      <bottom/>
      <diagonal/>
    </border>
    <border>
      <left style="medium">
        <color theme="0"/>
      </left>
      <right style="medium">
        <color theme="0"/>
      </right>
      <top style="medium">
        <color rgb="FF005877"/>
      </top>
      <bottom/>
      <diagonal/>
    </border>
    <border>
      <left style="medium">
        <color theme="0"/>
      </left>
      <right style="medium">
        <color rgb="FF005877"/>
      </right>
      <top style="medium">
        <color rgb="FF005877"/>
      </top>
      <bottom/>
      <diagonal/>
    </border>
    <border>
      <left style="medium">
        <color rgb="FF005877"/>
      </left>
      <right style="medium">
        <color theme="0"/>
      </right>
      <top/>
      <bottom style="medium">
        <color rgb="FF005877"/>
      </bottom>
      <diagonal/>
    </border>
    <border>
      <left style="medium">
        <color theme="0"/>
      </left>
      <right style="medium">
        <color theme="0"/>
      </right>
      <top/>
      <bottom style="medium">
        <color rgb="FF005877"/>
      </bottom>
      <diagonal/>
    </border>
    <border>
      <left style="medium">
        <color theme="0"/>
      </left>
      <right style="medium">
        <color rgb="FF005877"/>
      </right>
      <top/>
      <bottom style="medium">
        <color rgb="FF005877"/>
      </bottom>
      <diagonal/>
    </border>
    <border>
      <left style="medium">
        <color rgb="FFE87B00"/>
      </left>
      <right style="medium">
        <color rgb="FFE87B00"/>
      </right>
      <top/>
      <bottom/>
      <diagonal/>
    </border>
    <border>
      <left style="medium">
        <color rgb="FFE87B00"/>
      </left>
      <right style="medium">
        <color rgb="FFE87B00"/>
      </right>
      <top style="medium">
        <color rgb="FFE87B00"/>
      </top>
      <bottom/>
      <diagonal/>
    </border>
    <border>
      <left style="medium">
        <color rgb="FFE87B00"/>
      </left>
      <right style="medium">
        <color rgb="FFE87B00"/>
      </right>
      <top/>
      <bottom style="medium">
        <color rgb="FFE87B00"/>
      </bottom>
      <diagonal/>
    </border>
  </borders>
  <cellStyleXfs count="2">
    <xf numFmtId="0" fontId="0" fillId="0" borderId="0"/>
    <xf numFmtId="0" fontId="9" fillId="0" borderId="0" applyNumberFormat="0" applyFill="0" applyBorder="0" applyAlignment="0" applyProtection="0"/>
  </cellStyleXfs>
  <cellXfs count="299">
    <xf numFmtId="0" fontId="0" fillId="0" borderId="0" xfId="0"/>
    <xf numFmtId="0" fontId="0" fillId="0" borderId="0" xfId="0" applyBorder="1" applyProtection="1"/>
    <xf numFmtId="0" fontId="3" fillId="2" borderId="0" xfId="0" applyFont="1" applyFill="1" applyBorder="1" applyAlignment="1" applyProtection="1">
      <alignment vertical="center"/>
    </xf>
    <xf numFmtId="0" fontId="4" fillId="0" borderId="0" xfId="0" applyFont="1" applyBorder="1" applyProtection="1"/>
    <xf numFmtId="0" fontId="0" fillId="0" borderId="0" xfId="0" applyBorder="1"/>
    <xf numFmtId="0" fontId="4" fillId="0" borderId="0" xfId="0" applyFont="1" applyBorder="1"/>
    <xf numFmtId="0" fontId="3" fillId="0" borderId="0" xfId="0" applyFont="1" applyBorder="1" applyAlignment="1" applyProtection="1">
      <alignment vertical="center"/>
    </xf>
    <xf numFmtId="0" fontId="0" fillId="17" borderId="4" xfId="0" applyFill="1" applyBorder="1"/>
    <xf numFmtId="0" fontId="0" fillId="17" borderId="0" xfId="0" applyFill="1" applyBorder="1"/>
    <xf numFmtId="0" fontId="0" fillId="17" borderId="5" xfId="0" applyFill="1" applyBorder="1"/>
    <xf numFmtId="0" fontId="12" fillId="17" borderId="0" xfId="0" applyFont="1" applyFill="1" applyBorder="1" applyAlignment="1">
      <alignment vertical="top" wrapText="1"/>
    </xf>
    <xf numFmtId="0" fontId="0" fillId="17" borderId="6" xfId="0" applyFill="1" applyBorder="1"/>
    <xf numFmtId="0" fontId="0" fillId="17" borderId="7" xfId="0" applyFill="1" applyBorder="1"/>
    <xf numFmtId="0" fontId="0" fillId="0" borderId="0" xfId="0" applyProtection="1"/>
    <xf numFmtId="0" fontId="1" fillId="0" borderId="0" xfId="0" applyFont="1" applyAlignment="1" applyProtection="1">
      <alignment horizontal="center" vertical="center" shrinkToFit="1"/>
    </xf>
    <xf numFmtId="0" fontId="0" fillId="0" borderId="0" xfId="0" applyFont="1" applyBorder="1" applyAlignment="1" applyProtection="1"/>
    <xf numFmtId="0" fontId="0" fillId="12" borderId="0" xfId="0" applyFont="1" applyFill="1" applyBorder="1" applyAlignment="1" applyProtection="1">
      <alignment horizontal="left" vertical="center"/>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7" fillId="2" borderId="0" xfId="0" applyFont="1" applyFill="1" applyBorder="1" applyAlignment="1" applyProtection="1">
      <alignment vertical="center"/>
    </xf>
    <xf numFmtId="0" fontId="14" fillId="6" borderId="0" xfId="0" applyFont="1" applyFill="1" applyBorder="1" applyAlignment="1" applyProtection="1">
      <alignment horizontal="left" vertical="center" wrapText="1"/>
    </xf>
    <xf numFmtId="0" fontId="14" fillId="7" borderId="0" xfId="0" applyFont="1" applyFill="1" applyBorder="1" applyAlignment="1" applyProtection="1">
      <alignment horizontal="left" vertical="center" wrapText="1"/>
    </xf>
    <xf numFmtId="0" fontId="14" fillId="8" borderId="0" xfId="0" applyFont="1" applyFill="1" applyBorder="1" applyAlignment="1" applyProtection="1">
      <alignment horizontal="left" vertical="center" wrapText="1"/>
    </xf>
    <xf numFmtId="0" fontId="14" fillId="9" borderId="0" xfId="0" applyFont="1" applyFill="1" applyBorder="1" applyAlignment="1" applyProtection="1">
      <alignment horizontal="left" vertical="center" wrapText="1"/>
    </xf>
    <xf numFmtId="0" fontId="14" fillId="10" borderId="0" xfId="0" applyFont="1" applyFill="1" applyBorder="1" applyAlignment="1" applyProtection="1">
      <alignment horizontal="left" vertical="center" wrapText="1"/>
    </xf>
    <xf numFmtId="0" fontId="14" fillId="11" borderId="0" xfId="0" applyFont="1" applyFill="1" applyBorder="1" applyAlignment="1" applyProtection="1">
      <alignment horizontal="left" vertical="center" wrapText="1"/>
    </xf>
    <xf numFmtId="0" fontId="14" fillId="6" borderId="0" xfId="0" applyFont="1" applyFill="1" applyBorder="1" applyAlignment="1" applyProtection="1">
      <alignment horizontal="left" vertical="center" wrapText="1"/>
      <protection locked="0"/>
    </xf>
    <xf numFmtId="0" fontId="14" fillId="7"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9" borderId="0" xfId="0" applyFont="1" applyFill="1" applyBorder="1" applyAlignment="1" applyProtection="1">
      <alignment horizontal="left" vertical="center" wrapText="1"/>
      <protection locked="0"/>
    </xf>
    <xf numFmtId="0" fontId="14" fillId="10" borderId="0" xfId="0" applyFont="1" applyFill="1" applyBorder="1" applyAlignment="1" applyProtection="1">
      <alignment horizontal="left" vertical="center" wrapText="1"/>
      <protection locked="0"/>
    </xf>
    <xf numFmtId="0" fontId="14" fillId="11" borderId="0" xfId="0" applyFont="1" applyFill="1" applyBorder="1" applyAlignment="1" applyProtection="1">
      <alignment horizontal="left" vertical="center" wrapText="1"/>
      <protection locked="0"/>
    </xf>
    <xf numFmtId="0" fontId="15" fillId="0" borderId="0" xfId="0" applyFont="1" applyBorder="1" applyAlignment="1" applyProtection="1">
      <alignment vertical="center"/>
    </xf>
    <xf numFmtId="0" fontId="3" fillId="0" borderId="0" xfId="0" applyFont="1" applyBorder="1" applyAlignment="1" applyProtection="1">
      <alignment vertical="center"/>
      <protection locked="0"/>
    </xf>
    <xf numFmtId="0" fontId="15" fillId="0" borderId="0" xfId="0" applyFont="1" applyBorder="1" applyAlignment="1" applyProtection="1">
      <alignment vertical="center"/>
      <protection locked="0"/>
    </xf>
    <xf numFmtId="0" fontId="6" fillId="4" borderId="0" xfId="0" applyFont="1" applyFill="1" applyBorder="1" applyAlignment="1" applyProtection="1">
      <alignment horizontal="center" vertical="center"/>
    </xf>
    <xf numFmtId="0" fontId="7" fillId="2" borderId="0" xfId="0" applyFont="1" applyFill="1" applyBorder="1" applyAlignment="1" applyProtection="1">
      <alignment horizontal="left" vertical="center"/>
    </xf>
    <xf numFmtId="0" fontId="14" fillId="6" borderId="0" xfId="0" applyFont="1" applyFill="1" applyBorder="1" applyAlignment="1" applyProtection="1">
      <alignment horizontal="left" vertical="center"/>
    </xf>
    <xf numFmtId="0" fontId="14" fillId="7" borderId="0" xfId="0" applyFont="1" applyFill="1" applyBorder="1" applyAlignment="1" applyProtection="1">
      <alignment horizontal="left" vertical="center"/>
    </xf>
    <xf numFmtId="0" fontId="14" fillId="8" borderId="0" xfId="0" applyFont="1" applyFill="1" applyBorder="1" applyAlignment="1" applyProtection="1">
      <alignment horizontal="left" vertical="center"/>
    </xf>
    <xf numFmtId="0" fontId="14" fillId="9" borderId="0" xfId="0" applyFont="1" applyFill="1" applyBorder="1" applyAlignment="1" applyProtection="1">
      <alignment horizontal="left" vertical="center"/>
    </xf>
    <xf numFmtId="0" fontId="14" fillId="10" borderId="0" xfId="0" applyFont="1" applyFill="1" applyBorder="1" applyAlignment="1" applyProtection="1">
      <alignment horizontal="left" vertical="center"/>
    </xf>
    <xf numFmtId="0" fontId="14" fillId="11" borderId="0" xfId="0" applyFont="1" applyFill="1" applyBorder="1" applyAlignment="1" applyProtection="1">
      <alignment horizontal="left" vertical="center"/>
    </xf>
    <xf numFmtId="0" fontId="14" fillId="12" borderId="0" xfId="0" applyFont="1" applyFill="1" applyBorder="1" applyAlignment="1" applyProtection="1">
      <alignment horizontal="left" vertical="center"/>
    </xf>
    <xf numFmtId="0" fontId="14" fillId="13" borderId="0" xfId="0" applyFont="1" applyFill="1" applyBorder="1" applyAlignment="1" applyProtection="1">
      <alignment horizontal="left" vertical="center"/>
    </xf>
    <xf numFmtId="0" fontId="14" fillId="14" borderId="0" xfId="0" applyFont="1" applyFill="1" applyBorder="1" applyAlignment="1" applyProtection="1">
      <alignment horizontal="left" vertical="center"/>
    </xf>
    <xf numFmtId="0" fontId="14" fillId="15" borderId="0" xfId="0" applyFont="1" applyFill="1" applyBorder="1" applyAlignment="1" applyProtection="1">
      <alignment horizontal="left" vertical="center"/>
    </xf>
    <xf numFmtId="0" fontId="6" fillId="4" borderId="0" xfId="0" applyFont="1" applyFill="1" applyBorder="1" applyAlignment="1" applyProtection="1">
      <alignment horizontal="center" vertical="center"/>
      <protection locked="0"/>
    </xf>
    <xf numFmtId="0" fontId="14" fillId="6" borderId="0" xfId="0" applyFont="1" applyFill="1" applyBorder="1" applyAlignment="1" applyProtection="1">
      <alignment horizontal="left" vertical="center"/>
      <protection locked="0"/>
    </xf>
    <xf numFmtId="0" fontId="14" fillId="7" borderId="0" xfId="0" applyFont="1" applyFill="1" applyBorder="1" applyAlignment="1" applyProtection="1">
      <alignment horizontal="left" vertical="center"/>
      <protection locked="0"/>
    </xf>
    <xf numFmtId="0" fontId="14" fillId="8" borderId="0" xfId="0" applyFont="1" applyFill="1" applyBorder="1" applyAlignment="1" applyProtection="1">
      <alignment horizontal="left" vertical="center"/>
      <protection locked="0"/>
    </xf>
    <xf numFmtId="0" fontId="14" fillId="9" borderId="0" xfId="0" applyFont="1" applyFill="1" applyBorder="1" applyAlignment="1" applyProtection="1">
      <alignment horizontal="left" vertical="center"/>
      <protection locked="0"/>
    </xf>
    <xf numFmtId="0" fontId="14" fillId="10" borderId="0"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2" borderId="0" xfId="0" applyFont="1" applyFill="1" applyBorder="1" applyAlignment="1" applyProtection="1">
      <alignment horizontal="left" vertical="center"/>
      <protection locked="0"/>
    </xf>
    <xf numFmtId="0" fontId="14" fillId="13" borderId="0" xfId="0" applyFont="1" applyFill="1" applyBorder="1" applyAlignment="1" applyProtection="1">
      <alignment horizontal="left" vertical="center"/>
      <protection locked="0"/>
    </xf>
    <xf numFmtId="0" fontId="14" fillId="14" borderId="0" xfId="0" applyFont="1" applyFill="1" applyBorder="1" applyAlignment="1" applyProtection="1">
      <alignment horizontal="left" vertical="center"/>
      <protection locked="0"/>
    </xf>
    <xf numFmtId="0" fontId="14" fillId="15" borderId="0" xfId="0" applyFont="1" applyFill="1" applyBorder="1" applyAlignment="1" applyProtection="1">
      <alignment horizontal="left" vertical="center"/>
      <protection locked="0"/>
    </xf>
    <xf numFmtId="0" fontId="4" fillId="0" borderId="0" xfId="0" applyFont="1" applyBorder="1" applyAlignment="1" applyProtection="1">
      <alignment vertical="center"/>
    </xf>
    <xf numFmtId="0" fontId="0" fillId="6" borderId="0" xfId="0" applyFont="1" applyFill="1" applyBorder="1" applyAlignment="1" applyProtection="1">
      <alignment horizontal="left" vertical="center" wrapText="1"/>
      <protection locked="0"/>
    </xf>
    <xf numFmtId="0" fontId="0" fillId="7" borderId="0" xfId="0" applyFont="1" applyFill="1" applyBorder="1" applyAlignment="1" applyProtection="1">
      <alignment horizontal="left" vertical="center" wrapText="1"/>
      <protection locked="0"/>
    </xf>
    <xf numFmtId="0" fontId="10" fillId="0" borderId="0" xfId="0" applyFont="1" applyBorder="1" applyAlignment="1" applyProtection="1">
      <alignment horizontal="center" vertical="center"/>
    </xf>
    <xf numFmtId="0" fontId="2" fillId="0" borderId="0" xfId="0" applyFont="1" applyBorder="1" applyAlignment="1" applyProtection="1">
      <alignment horizontal="center" vertical="center"/>
    </xf>
    <xf numFmtId="0" fontId="17" fillId="4" borderId="0" xfId="0" applyFont="1" applyFill="1" applyBorder="1" applyAlignment="1" applyProtection="1">
      <alignment horizontal="left" vertical="center" wrapText="1"/>
    </xf>
    <xf numFmtId="0" fontId="1" fillId="5" borderId="0" xfId="0" applyFont="1" applyFill="1" applyAlignment="1">
      <alignment horizontal="center" vertical="center"/>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1" fillId="0" borderId="0" xfId="0" applyFont="1" applyFill="1" applyBorder="1" applyAlignment="1">
      <alignment horizontal="center" vertical="top"/>
    </xf>
    <xf numFmtId="0" fontId="21" fillId="0" borderId="0" xfId="0" applyFont="1" applyFill="1" applyBorder="1" applyAlignment="1">
      <alignment horizontal="right" vertical="top"/>
    </xf>
    <xf numFmtId="0" fontId="10" fillId="0" borderId="0" xfId="0" applyFont="1" applyFill="1" applyBorder="1" applyAlignment="1">
      <alignment vertical="top"/>
    </xf>
    <xf numFmtId="0" fontId="10" fillId="0" borderId="0" xfId="0" applyFont="1" applyFill="1" applyBorder="1" applyAlignment="1">
      <alignment horizontal="left" vertical="top"/>
    </xf>
    <xf numFmtId="0" fontId="21" fillId="0" borderId="0" xfId="0" applyFont="1" applyFill="1" applyBorder="1" applyAlignment="1">
      <alignment vertical="top"/>
    </xf>
    <xf numFmtId="0" fontId="17" fillId="18" borderId="0" xfId="0" applyFont="1" applyFill="1" applyBorder="1" applyAlignment="1">
      <alignment horizontal="center" vertical="top"/>
    </xf>
    <xf numFmtId="0" fontId="17" fillId="18" borderId="0" xfId="0" quotePrefix="1" applyFont="1" applyFill="1" applyBorder="1" applyAlignment="1">
      <alignment horizontal="center" vertical="top"/>
    </xf>
    <xf numFmtId="0" fontId="19" fillId="0" borderId="0" xfId="0" applyFont="1" applyBorder="1" applyAlignment="1" applyProtection="1">
      <alignment horizontal="center" vertical="center" wrapText="1"/>
    </xf>
    <xf numFmtId="0" fontId="8" fillId="16" borderId="0" xfId="0" applyFont="1" applyFill="1" applyBorder="1" applyAlignment="1" applyProtection="1">
      <alignment horizontal="center" vertical="center" textRotation="90" wrapText="1"/>
    </xf>
    <xf numFmtId="0" fontId="6" fillId="4" borderId="0" xfId="0" applyFont="1" applyFill="1" applyBorder="1" applyAlignment="1" applyProtection="1">
      <alignment horizontal="left" vertical="center" textRotation="90" shrinkToFit="1"/>
    </xf>
    <xf numFmtId="0" fontId="12" fillId="17" borderId="0" xfId="0" applyFont="1" applyFill="1" applyBorder="1" applyAlignment="1">
      <alignment horizontal="justify" vertical="center" wrapText="1"/>
    </xf>
    <xf numFmtId="0" fontId="7" fillId="6" borderId="0" xfId="0" applyFont="1" applyFill="1" applyBorder="1" applyAlignment="1" applyProtection="1">
      <alignment horizontal="left" vertical="center" wrapText="1" indent="1"/>
    </xf>
    <xf numFmtId="0" fontId="7" fillId="9" borderId="0" xfId="0" applyFont="1" applyFill="1" applyBorder="1" applyAlignment="1" applyProtection="1">
      <alignment horizontal="left" vertical="center" wrapText="1" indent="1"/>
    </xf>
    <xf numFmtId="0" fontId="7" fillId="10" borderId="0" xfId="0" applyFont="1" applyFill="1" applyBorder="1" applyAlignment="1" applyProtection="1">
      <alignment horizontal="left" vertical="center" wrapText="1" indent="1"/>
    </xf>
    <xf numFmtId="0" fontId="7" fillId="11" borderId="0" xfId="0" applyFont="1" applyFill="1" applyBorder="1" applyAlignment="1" applyProtection="1">
      <alignment horizontal="left" vertical="center" wrapText="1" indent="1"/>
    </xf>
    <xf numFmtId="0" fontId="17" fillId="3" borderId="0" xfId="0" applyFont="1" applyFill="1" applyBorder="1" applyAlignment="1" applyProtection="1">
      <alignment horizontal="left" vertical="center" indent="2" shrinkToFit="1"/>
    </xf>
    <xf numFmtId="0" fontId="17" fillId="3" borderId="0" xfId="0" applyFont="1" applyFill="1" applyBorder="1" applyAlignment="1" applyProtection="1">
      <alignment horizontal="left" vertical="center" indent="2"/>
    </xf>
    <xf numFmtId="0" fontId="7" fillId="16" borderId="0" xfId="0" applyFont="1" applyFill="1" applyBorder="1" applyAlignment="1" applyProtection="1">
      <alignment horizontal="center" vertical="center" textRotation="90"/>
    </xf>
    <xf numFmtId="0" fontId="7" fillId="16" borderId="0" xfId="0" applyFont="1" applyFill="1" applyBorder="1" applyAlignment="1" applyProtection="1">
      <alignment horizontal="center" wrapText="1"/>
    </xf>
    <xf numFmtId="0" fontId="7" fillId="16" borderId="0" xfId="0" applyFont="1" applyFill="1" applyBorder="1" applyAlignment="1" applyProtection="1">
      <alignment horizontal="center" vertical="center"/>
    </xf>
    <xf numFmtId="0" fontId="19" fillId="16" borderId="0" xfId="0" applyFont="1" applyFill="1" applyBorder="1" applyAlignment="1" applyProtection="1">
      <alignment horizontal="center" vertical="center" textRotation="90"/>
    </xf>
    <xf numFmtId="0" fontId="0" fillId="17" borderId="7" xfId="0" applyFill="1" applyBorder="1" applyAlignment="1"/>
    <xf numFmtId="0" fontId="7" fillId="21" borderId="0" xfId="0" applyFont="1" applyFill="1" applyBorder="1" applyAlignment="1" applyProtection="1">
      <alignment horizontal="center" vertical="center" wrapText="1"/>
    </xf>
    <xf numFmtId="0" fontId="7" fillId="21" borderId="0" xfId="0" applyFont="1" applyFill="1" applyBorder="1" applyAlignment="1" applyProtection="1">
      <alignment horizontal="center" vertical="center" wrapText="1"/>
      <protection locked="0"/>
    </xf>
    <xf numFmtId="0" fontId="7" fillId="6" borderId="0" xfId="0" applyFont="1" applyFill="1" applyBorder="1" applyAlignment="1" applyProtection="1">
      <alignment horizontal="left" vertical="center" wrapText="1"/>
    </xf>
    <xf numFmtId="0" fontId="7" fillId="7" borderId="0" xfId="0" applyFont="1" applyFill="1" applyBorder="1" applyAlignment="1" applyProtection="1">
      <alignment horizontal="left" vertical="center" wrapText="1"/>
    </xf>
    <xf numFmtId="0" fontId="7" fillId="8" borderId="0" xfId="0" applyFont="1" applyFill="1" applyBorder="1" applyAlignment="1" applyProtection="1">
      <alignment horizontal="left" vertical="center" wrapText="1"/>
    </xf>
    <xf numFmtId="0" fontId="7" fillId="9" borderId="0" xfId="0" applyFont="1" applyFill="1" applyBorder="1" applyAlignment="1" applyProtection="1">
      <alignment horizontal="left" vertical="center" wrapText="1"/>
    </xf>
    <xf numFmtId="0" fontId="7" fillId="10" borderId="0" xfId="0" applyFont="1" applyFill="1" applyBorder="1" applyAlignment="1" applyProtection="1">
      <alignment horizontal="left" vertical="center" wrapText="1"/>
    </xf>
    <xf numFmtId="0" fontId="7" fillId="11" borderId="0" xfId="0" applyFont="1" applyFill="1" applyBorder="1" applyAlignment="1" applyProtection="1">
      <alignment horizontal="left" vertical="center" wrapText="1"/>
    </xf>
    <xf numFmtId="0" fontId="7" fillId="6" borderId="0" xfId="0" applyFont="1" applyFill="1" applyBorder="1" applyAlignment="1" applyProtection="1">
      <alignment horizontal="left" vertical="center"/>
    </xf>
    <xf numFmtId="0" fontId="7" fillId="7" borderId="0" xfId="0" applyFont="1" applyFill="1" applyBorder="1" applyAlignment="1" applyProtection="1">
      <alignment horizontal="left" vertical="center"/>
    </xf>
    <xf numFmtId="0" fontId="7" fillId="8" borderId="0" xfId="0" applyFont="1" applyFill="1" applyBorder="1" applyAlignment="1" applyProtection="1">
      <alignment horizontal="left" vertical="center"/>
    </xf>
    <xf numFmtId="0" fontId="2" fillId="4" borderId="0" xfId="0" applyFont="1" applyFill="1" applyBorder="1" applyAlignment="1" applyProtection="1">
      <alignment horizontal="left" vertical="center" wrapText="1"/>
      <protection locked="0"/>
    </xf>
    <xf numFmtId="0" fontId="14" fillId="2" borderId="0" xfId="0" applyFont="1" applyFill="1" applyBorder="1" applyAlignment="1" applyProtection="1">
      <alignment horizontal="left" vertical="center"/>
      <protection locked="0"/>
    </xf>
    <xf numFmtId="0" fontId="14" fillId="2" borderId="0" xfId="0" applyFont="1" applyFill="1" applyBorder="1" applyAlignment="1" applyProtection="1">
      <alignment horizontal="left" vertical="center"/>
    </xf>
    <xf numFmtId="0" fontId="2" fillId="4" borderId="0" xfId="0" applyFont="1" applyFill="1" applyBorder="1" applyAlignment="1" applyProtection="1">
      <alignment horizontal="left" vertical="center" wrapText="1"/>
    </xf>
    <xf numFmtId="0" fontId="14" fillId="21" borderId="0" xfId="0" applyFont="1" applyFill="1" applyBorder="1" applyAlignment="1" applyProtection="1">
      <alignment horizontal="center" vertical="center" wrapText="1"/>
    </xf>
    <xf numFmtId="0" fontId="1" fillId="0" borderId="0" xfId="0" applyFont="1" applyBorder="1" applyAlignment="1" applyProtection="1"/>
    <xf numFmtId="0" fontId="7" fillId="9" borderId="0" xfId="0" applyFont="1" applyFill="1" applyBorder="1" applyAlignment="1" applyProtection="1">
      <alignment horizontal="left" vertical="center"/>
    </xf>
    <xf numFmtId="0" fontId="7" fillId="10" borderId="0" xfId="0" applyFont="1" applyFill="1" applyBorder="1" applyAlignment="1" applyProtection="1">
      <alignment horizontal="left" vertical="center"/>
    </xf>
    <xf numFmtId="0" fontId="7" fillId="11" borderId="0" xfId="0" applyFont="1" applyFill="1" applyBorder="1" applyAlignment="1" applyProtection="1">
      <alignment horizontal="left" vertical="center"/>
    </xf>
    <xf numFmtId="0" fontId="7" fillId="12" borderId="0" xfId="0" applyFont="1" applyFill="1" applyBorder="1" applyAlignment="1" applyProtection="1">
      <alignment horizontal="left" vertical="center"/>
    </xf>
    <xf numFmtId="0" fontId="7" fillId="13" borderId="0" xfId="0" applyFont="1" applyFill="1" applyBorder="1" applyAlignment="1" applyProtection="1">
      <alignment horizontal="left" vertical="center"/>
    </xf>
    <xf numFmtId="0" fontId="7" fillId="14" borderId="0" xfId="0" applyFont="1" applyFill="1" applyBorder="1" applyAlignment="1" applyProtection="1">
      <alignment horizontal="left" vertical="center"/>
    </xf>
    <xf numFmtId="0" fontId="7" fillId="15" borderId="0" xfId="0" applyFont="1" applyFill="1" applyBorder="1" applyAlignment="1" applyProtection="1">
      <alignment horizontal="left" vertical="center"/>
    </xf>
    <xf numFmtId="0" fontId="14" fillId="21" borderId="0" xfId="0" applyFont="1" applyFill="1" applyBorder="1" applyAlignment="1" applyProtection="1">
      <alignment horizontal="center" vertical="center" wrapText="1"/>
      <protection locked="0"/>
    </xf>
    <xf numFmtId="0" fontId="12" fillId="6" borderId="0" xfId="0" applyFont="1" applyFill="1" applyBorder="1" applyAlignment="1" applyProtection="1">
      <alignment horizontal="center" vertical="center" wrapText="1"/>
      <protection locked="0"/>
    </xf>
    <xf numFmtId="0" fontId="12" fillId="7" borderId="0" xfId="0" applyFont="1" applyFill="1" applyBorder="1" applyAlignment="1" applyProtection="1">
      <alignment horizontal="center" vertical="center" wrapText="1"/>
      <protection locked="0"/>
    </xf>
    <xf numFmtId="0" fontId="12" fillId="8" borderId="0" xfId="0" applyFont="1" applyFill="1" applyBorder="1" applyAlignment="1" applyProtection="1">
      <alignment horizontal="center" vertical="center" wrapText="1"/>
      <protection locked="0"/>
    </xf>
    <xf numFmtId="0" fontId="12" fillId="9" borderId="0" xfId="0" applyFont="1" applyFill="1" applyBorder="1" applyAlignment="1" applyProtection="1">
      <alignment horizontal="center" vertical="center" wrapText="1"/>
      <protection locked="0"/>
    </xf>
    <xf numFmtId="0" fontId="12" fillId="10" borderId="0" xfId="0" applyFont="1" applyFill="1" applyBorder="1" applyAlignment="1" applyProtection="1">
      <alignment horizontal="center" vertical="center" wrapText="1"/>
      <protection locked="0"/>
    </xf>
    <xf numFmtId="0" fontId="12" fillId="11" borderId="0" xfId="0" applyFont="1" applyFill="1" applyBorder="1" applyAlignment="1" applyProtection="1">
      <alignment horizontal="center" vertical="center" wrapText="1"/>
      <protection locked="0"/>
    </xf>
    <xf numFmtId="0" fontId="12" fillId="12" borderId="0" xfId="0" applyFont="1" applyFill="1" applyBorder="1" applyAlignment="1" applyProtection="1">
      <alignment horizontal="center" vertical="center"/>
      <protection locked="0"/>
    </xf>
    <xf numFmtId="0" fontId="12" fillId="13" borderId="0" xfId="0" applyFont="1" applyFill="1" applyBorder="1" applyAlignment="1" applyProtection="1">
      <alignment horizontal="center" vertical="center"/>
      <protection locked="0"/>
    </xf>
    <xf numFmtId="0" fontId="12" fillId="14" borderId="0" xfId="0" applyFont="1" applyFill="1" applyBorder="1" applyAlignment="1" applyProtection="1">
      <alignment horizontal="center" vertical="center"/>
      <protection locked="0"/>
    </xf>
    <xf numFmtId="0" fontId="12" fillId="15" borderId="0" xfId="0" applyFont="1" applyFill="1" applyBorder="1" applyAlignment="1" applyProtection="1">
      <alignment horizontal="center" vertical="center"/>
      <protection locked="0"/>
    </xf>
    <xf numFmtId="0" fontId="24" fillId="4" borderId="0" xfId="0" applyFont="1" applyFill="1" applyBorder="1" applyAlignment="1" applyProtection="1">
      <alignment horizontal="left" vertical="center" textRotation="90" shrinkToFit="1"/>
    </xf>
    <xf numFmtId="0" fontId="24" fillId="4" borderId="0" xfId="0" applyFont="1" applyFill="1" applyBorder="1" applyAlignment="1" applyProtection="1">
      <alignment horizontal="center" vertical="center" shrinkToFit="1"/>
      <protection locked="0"/>
    </xf>
    <xf numFmtId="0" fontId="12" fillId="6" borderId="0" xfId="0" applyFont="1" applyFill="1" applyBorder="1" applyAlignment="1" applyProtection="1">
      <alignment horizontal="center" vertical="center" wrapText="1"/>
    </xf>
    <xf numFmtId="0" fontId="12" fillId="6" borderId="0" xfId="0" applyFont="1" applyFill="1" applyBorder="1" applyAlignment="1" applyProtection="1">
      <alignment horizontal="center" vertical="center"/>
    </xf>
    <xf numFmtId="0" fontId="12" fillId="7" borderId="0"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xf>
    <xf numFmtId="0" fontId="12" fillId="9" borderId="0" xfId="0" applyFont="1" applyFill="1" applyBorder="1" applyAlignment="1" applyProtection="1">
      <alignment horizontal="center" vertical="center" wrapText="1"/>
    </xf>
    <xf numFmtId="0" fontId="12" fillId="9" borderId="0" xfId="0" applyFont="1" applyFill="1" applyBorder="1" applyAlignment="1" applyProtection="1">
      <alignment horizontal="center" vertical="center"/>
    </xf>
    <xf numFmtId="0" fontId="12" fillId="10" borderId="0" xfId="0" applyFont="1" applyFill="1" applyBorder="1" applyAlignment="1" applyProtection="1">
      <alignment horizontal="center" vertical="center" wrapText="1"/>
    </xf>
    <xf numFmtId="0" fontId="12" fillId="10" borderId="0" xfId="0" applyFont="1" applyFill="1" applyBorder="1" applyAlignment="1" applyProtection="1">
      <alignment horizontal="center" vertical="center"/>
    </xf>
    <xf numFmtId="0" fontId="12" fillId="11" borderId="0" xfId="0" applyFont="1" applyFill="1" applyBorder="1" applyAlignment="1" applyProtection="1">
      <alignment horizontal="center" vertical="center" wrapText="1"/>
    </xf>
    <xf numFmtId="0" fontId="12" fillId="11" borderId="0" xfId="0" applyFont="1" applyFill="1" applyBorder="1" applyAlignment="1" applyProtection="1">
      <alignment horizontal="center" vertical="center"/>
    </xf>
    <xf numFmtId="0" fontId="12" fillId="12"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12" fillId="14" borderId="0" xfId="0" applyFont="1" applyFill="1" applyBorder="1" applyAlignment="1" applyProtection="1">
      <alignment horizontal="center" vertical="center"/>
    </xf>
    <xf numFmtId="0" fontId="12" fillId="15" borderId="0" xfId="0" applyFont="1" applyFill="1" applyBorder="1" applyAlignment="1" applyProtection="1">
      <alignment horizontal="center" vertical="center"/>
    </xf>
    <xf numFmtId="0" fontId="12" fillId="6" borderId="0" xfId="0" applyFont="1" applyFill="1" applyBorder="1" applyAlignment="1" applyProtection="1">
      <alignment horizontal="center" vertical="center"/>
      <protection locked="0"/>
    </xf>
    <xf numFmtId="0" fontId="12" fillId="7" borderId="0" xfId="0" applyFont="1" applyFill="1" applyBorder="1" applyAlignment="1" applyProtection="1">
      <alignment horizontal="center" vertical="center"/>
      <protection locked="0"/>
    </xf>
    <xf numFmtId="0" fontId="12" fillId="9" borderId="0" xfId="0" applyFont="1" applyFill="1" applyBorder="1" applyAlignment="1" applyProtection="1">
      <alignment horizontal="center" vertical="center"/>
      <protection locked="0"/>
    </xf>
    <xf numFmtId="0" fontId="12" fillId="10" borderId="0" xfId="0" applyFont="1" applyFill="1" applyBorder="1" applyAlignment="1" applyProtection="1">
      <alignment horizontal="center" vertical="center"/>
      <protection locked="0"/>
    </xf>
    <xf numFmtId="0" fontId="12" fillId="11" borderId="0" xfId="0" applyFont="1" applyFill="1" applyBorder="1" applyAlignment="1" applyProtection="1">
      <alignment horizontal="center" vertical="center"/>
      <protection locked="0"/>
    </xf>
    <xf numFmtId="0" fontId="10" fillId="6" borderId="0" xfId="0" applyFont="1" applyFill="1" applyBorder="1" applyAlignment="1" applyProtection="1">
      <alignment horizontal="center" vertical="center" wrapText="1"/>
    </xf>
    <xf numFmtId="0" fontId="10" fillId="6" borderId="0" xfId="0" applyFont="1" applyFill="1" applyBorder="1" applyAlignment="1" applyProtection="1">
      <alignment horizontal="center" vertical="center"/>
    </xf>
    <xf numFmtId="0" fontId="10"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center" vertical="center"/>
    </xf>
    <xf numFmtId="0" fontId="10" fillId="10" borderId="0" xfId="0" applyFont="1" applyFill="1" applyBorder="1" applyAlignment="1" applyProtection="1">
      <alignment horizontal="center" vertical="center" wrapText="1"/>
    </xf>
    <xf numFmtId="0" fontId="10" fillId="10" borderId="0" xfId="0" applyFont="1" applyFill="1" applyBorder="1" applyAlignment="1" applyProtection="1">
      <alignment horizontal="center" vertical="center"/>
    </xf>
    <xf numFmtId="0" fontId="10" fillId="11" borderId="0" xfId="0" applyFont="1" applyFill="1" applyBorder="1" applyAlignment="1" applyProtection="1">
      <alignment horizontal="center" vertical="center" wrapText="1"/>
    </xf>
    <xf numFmtId="0" fontId="10" fillId="11" borderId="0" xfId="0" applyFont="1" applyFill="1" applyBorder="1" applyAlignment="1" applyProtection="1">
      <alignment horizontal="center" vertical="center"/>
    </xf>
    <xf numFmtId="0" fontId="10" fillId="12" borderId="0" xfId="0" applyFont="1" applyFill="1" applyBorder="1" applyAlignment="1" applyProtection="1">
      <alignment horizontal="center" vertical="center"/>
    </xf>
    <xf numFmtId="0" fontId="10" fillId="13" borderId="0" xfId="0" applyFont="1" applyFill="1" applyBorder="1" applyAlignment="1" applyProtection="1">
      <alignment horizontal="center" vertical="center"/>
    </xf>
    <xf numFmtId="0" fontId="10" fillId="14" borderId="0" xfId="0" applyFont="1" applyFill="1" applyBorder="1" applyAlignment="1" applyProtection="1">
      <alignment horizontal="center" vertical="center"/>
    </xf>
    <xf numFmtId="0" fontId="10" fillId="15" borderId="0" xfId="0" applyFont="1" applyFill="1" applyBorder="1" applyAlignment="1" applyProtection="1">
      <alignment horizontal="center" vertical="center"/>
    </xf>
    <xf numFmtId="0" fontId="12" fillId="6" borderId="0" xfId="0" applyFont="1" applyFill="1" applyBorder="1" applyAlignment="1" applyProtection="1">
      <alignment horizontal="left" vertical="center" wrapText="1"/>
    </xf>
    <xf numFmtId="0" fontId="12" fillId="7" borderId="0" xfId="0" applyFont="1" applyFill="1" applyBorder="1" applyAlignment="1" applyProtection="1">
      <alignment horizontal="left" vertical="center" wrapText="1"/>
    </xf>
    <xf numFmtId="0" fontId="25" fillId="16" borderId="0" xfId="0" applyFont="1" applyFill="1" applyBorder="1" applyAlignment="1" applyProtection="1">
      <alignment horizontal="center" vertical="center" textRotation="90"/>
    </xf>
    <xf numFmtId="0" fontId="14" fillId="2" borderId="0" xfId="0" applyFont="1" applyFill="1" applyBorder="1" applyAlignment="1" applyProtection="1">
      <alignment vertical="center"/>
    </xf>
    <xf numFmtId="0" fontId="10" fillId="6" borderId="0" xfId="0" applyFont="1" applyFill="1" applyBorder="1" applyAlignment="1" applyProtection="1">
      <alignment horizontal="left" vertical="center" wrapText="1"/>
    </xf>
    <xf numFmtId="0" fontId="10" fillId="7" borderId="0" xfId="0" applyFont="1" applyFill="1" applyBorder="1" applyAlignment="1" applyProtection="1">
      <alignment horizontal="left" vertical="center" wrapText="1"/>
    </xf>
    <xf numFmtId="0" fontId="14" fillId="2" borderId="0" xfId="0" applyFont="1" applyFill="1" applyBorder="1" applyAlignment="1" applyProtection="1">
      <alignment vertical="center"/>
      <protection locked="0"/>
    </xf>
    <xf numFmtId="0" fontId="10" fillId="6" borderId="0" xfId="0" applyFont="1" applyFill="1" applyBorder="1" applyAlignment="1" applyProtection="1">
      <alignment horizontal="left" vertical="center" wrapText="1"/>
      <protection locked="0"/>
    </xf>
    <xf numFmtId="0" fontId="10" fillId="7" borderId="0" xfId="0" applyFont="1" applyFill="1" applyBorder="1" applyAlignment="1" applyProtection="1">
      <alignment horizontal="left" vertical="center" wrapText="1"/>
      <protection locked="0"/>
    </xf>
    <xf numFmtId="0" fontId="14" fillId="6" borderId="0" xfId="0" applyFont="1" applyFill="1" applyBorder="1" applyAlignment="1" applyProtection="1">
      <alignment horizontal="left" vertical="center" wrapText="1" indent="1"/>
    </xf>
    <xf numFmtId="0" fontId="14" fillId="9" borderId="0" xfId="0" applyFont="1" applyFill="1" applyBorder="1" applyAlignment="1" applyProtection="1">
      <alignment horizontal="left" vertical="center" wrapText="1" indent="1"/>
    </xf>
    <xf numFmtId="0" fontId="14" fillId="10" borderId="0" xfId="0" applyFont="1" applyFill="1" applyBorder="1" applyAlignment="1" applyProtection="1">
      <alignment horizontal="left" vertical="center" wrapText="1" indent="1"/>
    </xf>
    <xf numFmtId="0" fontId="14" fillId="11" borderId="0" xfId="0" applyFont="1" applyFill="1" applyBorder="1" applyAlignment="1" applyProtection="1">
      <alignment horizontal="left" vertical="center" wrapText="1" indent="1"/>
    </xf>
    <xf numFmtId="0" fontId="1" fillId="7" borderId="0" xfId="0" applyFont="1" applyFill="1" applyBorder="1" applyAlignment="1" applyProtection="1">
      <alignment horizontal="left" vertical="center" wrapText="1"/>
      <protection locked="0"/>
    </xf>
    <xf numFmtId="0" fontId="1" fillId="6" borderId="0" xfId="0" applyFont="1" applyFill="1" applyBorder="1" applyAlignment="1" applyProtection="1">
      <alignment horizontal="left" vertical="center" wrapText="1"/>
      <protection locked="0"/>
    </xf>
    <xf numFmtId="0" fontId="1" fillId="12" borderId="0" xfId="0" applyFont="1" applyFill="1" applyBorder="1" applyAlignment="1" applyProtection="1">
      <alignment horizontal="left" vertical="center"/>
      <protection locked="0"/>
    </xf>
    <xf numFmtId="0" fontId="1" fillId="13" borderId="0" xfId="0" applyFont="1" applyFill="1" applyBorder="1" applyAlignment="1" applyProtection="1">
      <alignment horizontal="left" vertical="center"/>
      <protection locked="0"/>
    </xf>
    <xf numFmtId="0" fontId="1" fillId="14" borderId="0" xfId="0" applyFont="1" applyFill="1" applyBorder="1" applyAlignment="1" applyProtection="1">
      <alignment horizontal="left" vertical="center"/>
      <protection locked="0"/>
    </xf>
    <xf numFmtId="0" fontId="1" fillId="15" borderId="0" xfId="0" applyFont="1" applyFill="1" applyBorder="1" applyAlignment="1" applyProtection="1">
      <alignment horizontal="left" vertical="center"/>
      <protection locked="0"/>
    </xf>
    <xf numFmtId="0" fontId="14" fillId="6" borderId="0" xfId="0" applyFont="1" applyFill="1" applyBorder="1" applyAlignment="1" applyProtection="1">
      <alignment horizontal="left" vertical="center" wrapText="1" indent="1"/>
      <protection locked="0"/>
    </xf>
    <xf numFmtId="0" fontId="14" fillId="9" borderId="0" xfId="0" applyFont="1" applyFill="1" applyBorder="1" applyAlignment="1" applyProtection="1">
      <alignment horizontal="left" vertical="center" wrapText="1" indent="1"/>
      <protection locked="0"/>
    </xf>
    <xf numFmtId="0" fontId="14" fillId="10" borderId="0" xfId="0" applyFont="1" applyFill="1" applyBorder="1" applyAlignment="1" applyProtection="1">
      <alignment horizontal="left" vertical="center" wrapText="1" indent="1"/>
      <protection locked="0"/>
    </xf>
    <xf numFmtId="0" fontId="14" fillId="11" borderId="0" xfId="0" applyFont="1" applyFill="1" applyBorder="1" applyAlignment="1" applyProtection="1">
      <alignment horizontal="left" vertical="center" wrapText="1" indent="1"/>
      <protection locked="0"/>
    </xf>
    <xf numFmtId="0" fontId="10" fillId="6" borderId="0" xfId="0" applyFont="1" applyFill="1" applyBorder="1" applyAlignment="1">
      <alignment horizontal="center" vertical="center" wrapText="1"/>
    </xf>
    <xf numFmtId="0" fontId="10" fillId="7" borderId="0" xfId="0" applyFont="1" applyFill="1" applyBorder="1" applyAlignment="1">
      <alignment horizontal="center" vertical="center" wrapText="1"/>
    </xf>
    <xf numFmtId="0" fontId="10" fillId="8" borderId="0"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10" fillId="10" borderId="0" xfId="0" applyFont="1" applyFill="1" applyBorder="1" applyAlignment="1">
      <alignment horizontal="center" vertical="center" wrapText="1"/>
    </xf>
    <xf numFmtId="0" fontId="10" fillId="11" borderId="0" xfId="0" applyFont="1" applyFill="1" applyBorder="1" applyAlignment="1">
      <alignment horizontal="center" vertical="center" wrapText="1"/>
    </xf>
    <xf numFmtId="0" fontId="10" fillId="12" borderId="0" xfId="0" applyFont="1" applyFill="1" applyBorder="1" applyAlignment="1">
      <alignment horizontal="center" vertical="center"/>
    </xf>
    <xf numFmtId="0" fontId="10" fillId="13" borderId="0" xfId="0" applyFont="1" applyFill="1" applyBorder="1" applyAlignment="1">
      <alignment horizontal="center" vertical="center"/>
    </xf>
    <xf numFmtId="0" fontId="10" fillId="14" borderId="0" xfId="0" applyFont="1" applyFill="1" applyBorder="1" applyAlignment="1">
      <alignment horizontal="center" vertical="center"/>
    </xf>
    <xf numFmtId="0" fontId="10" fillId="15" borderId="0" xfId="0" applyFont="1" applyFill="1" applyBorder="1" applyAlignment="1">
      <alignment horizontal="center" vertical="center"/>
    </xf>
    <xf numFmtId="0" fontId="10" fillId="20" borderId="0" xfId="0" applyFont="1" applyFill="1" applyBorder="1" applyAlignment="1" applyProtection="1">
      <alignment horizontal="center" vertical="center" wrapText="1"/>
    </xf>
    <xf numFmtId="0" fontId="0" fillId="17" borderId="0" xfId="0" applyFill="1" applyBorder="1" applyAlignment="1"/>
    <xf numFmtId="0" fontId="0" fillId="17" borderId="0" xfId="0" applyFill="1" applyBorder="1" applyAlignment="1">
      <alignment vertical="center"/>
    </xf>
    <xf numFmtId="0" fontId="12" fillId="19" borderId="0" xfId="0" applyFont="1" applyFill="1" applyBorder="1" applyAlignment="1">
      <alignment horizontal="center" vertical="top"/>
    </xf>
    <xf numFmtId="0" fontId="12" fillId="19" borderId="0" xfId="0" quotePrefix="1" applyFont="1" applyFill="1" applyBorder="1" applyAlignment="1">
      <alignment horizontal="center" vertical="top"/>
    </xf>
    <xf numFmtId="0" fontId="12" fillId="0" borderId="0" xfId="0" applyFont="1" applyFill="1" applyBorder="1" applyAlignment="1">
      <alignment horizontal="center" vertical="top"/>
    </xf>
    <xf numFmtId="0" fontId="12" fillId="0" borderId="0" xfId="0" quotePrefix="1" applyFont="1" applyFill="1" applyBorder="1" applyAlignment="1">
      <alignment horizontal="center" vertical="top"/>
    </xf>
    <xf numFmtId="0" fontId="10" fillId="0" borderId="0" xfId="0" applyFont="1" applyFill="1" applyBorder="1" applyAlignment="1">
      <alignment horizontal="center" vertical="top"/>
    </xf>
    <xf numFmtId="0" fontId="17" fillId="4" borderId="0" xfId="0" applyFont="1" applyFill="1" applyBorder="1"/>
    <xf numFmtId="0" fontId="17" fillId="4" borderId="0" xfId="0" applyFont="1" applyFill="1" applyBorder="1" applyAlignment="1">
      <alignment horizontal="right"/>
    </xf>
    <xf numFmtId="0" fontId="17" fillId="3" borderId="0" xfId="0" applyFont="1" applyFill="1" applyAlignment="1">
      <alignment horizontal="center" vertical="center" wrapText="1"/>
    </xf>
    <xf numFmtId="0" fontId="17" fillId="3" borderId="23" xfId="0" applyFont="1" applyFill="1" applyBorder="1" applyAlignment="1">
      <alignment horizontal="center" vertical="center" wrapText="1"/>
    </xf>
    <xf numFmtId="0" fontId="0" fillId="17" borderId="5" xfId="0" applyFill="1" applyBorder="1" applyAlignment="1"/>
    <xf numFmtId="0" fontId="0" fillId="17" borderId="8" xfId="0" applyFill="1" applyBorder="1" applyAlignment="1"/>
    <xf numFmtId="0" fontId="12" fillId="17" borderId="20" xfId="0" applyFont="1" applyFill="1" applyBorder="1" applyAlignment="1">
      <alignment vertical="center" wrapText="1"/>
    </xf>
    <xf numFmtId="0" fontId="12" fillId="17" borderId="0" xfId="0" applyFont="1" applyFill="1" applyBorder="1" applyAlignment="1">
      <alignment vertical="center" wrapText="1"/>
    </xf>
    <xf numFmtId="0" fontId="10" fillId="0" borderId="0" xfId="0" applyFont="1" applyFill="1" applyBorder="1" applyAlignment="1">
      <alignment horizontal="center" vertical="center"/>
    </xf>
    <xf numFmtId="0" fontId="2" fillId="0" borderId="0" xfId="0" applyFont="1" applyFill="1" applyBorder="1" applyAlignment="1">
      <alignment horizontal="center" vertical="center"/>
    </xf>
    <xf numFmtId="0" fontId="17" fillId="18" borderId="30" xfId="0" applyFont="1" applyFill="1" applyBorder="1" applyAlignment="1">
      <alignment vertical="top"/>
    </xf>
    <xf numFmtId="0" fontId="12" fillId="19" borderId="30" xfId="0" applyFont="1" applyFill="1" applyBorder="1" applyAlignment="1">
      <alignment vertical="top"/>
    </xf>
    <xf numFmtId="0" fontId="12" fillId="0" borderId="30" xfId="0" applyFont="1" applyFill="1" applyBorder="1" applyAlignment="1">
      <alignment vertical="top"/>
    </xf>
    <xf numFmtId="0" fontId="12" fillId="19" borderId="31" xfId="0" applyFont="1" applyFill="1" applyBorder="1" applyAlignment="1">
      <alignment vertical="top"/>
    </xf>
    <xf numFmtId="0" fontId="12" fillId="0" borderId="32" xfId="0" applyFont="1" applyFill="1" applyBorder="1" applyAlignment="1">
      <alignment vertical="top"/>
    </xf>
    <xf numFmtId="0" fontId="7" fillId="16" borderId="0" xfId="0" applyFont="1" applyFill="1" applyBorder="1" applyAlignment="1" applyProtection="1">
      <alignment horizontal="center" vertical="center" wrapText="1"/>
    </xf>
    <xf numFmtId="0" fontId="24" fillId="4" borderId="0" xfId="0" applyFont="1" applyFill="1" applyBorder="1" applyAlignment="1" applyProtection="1">
      <alignment horizontal="left" vertical="center" wrapText="1"/>
      <protection locked="0"/>
    </xf>
    <xf numFmtId="0" fontId="12" fillId="6" borderId="0" xfId="0" applyFont="1" applyFill="1" applyBorder="1" applyAlignment="1">
      <alignment horizontal="center" vertical="center" wrapText="1"/>
    </xf>
    <xf numFmtId="0" fontId="12" fillId="7" borderId="0" xfId="0" applyFont="1" applyFill="1" applyBorder="1" applyAlignment="1">
      <alignment horizontal="center" vertical="center" wrapText="1"/>
    </xf>
    <xf numFmtId="0" fontId="12" fillId="8" borderId="0" xfId="0" applyFont="1" applyFill="1" applyBorder="1" applyAlignment="1">
      <alignment horizontal="center" vertical="center" wrapText="1"/>
    </xf>
    <xf numFmtId="0" fontId="12" fillId="9" borderId="0" xfId="0" applyFont="1" applyFill="1" applyBorder="1" applyAlignment="1">
      <alignment horizontal="center" vertical="center" wrapText="1"/>
    </xf>
    <xf numFmtId="0" fontId="12" fillId="10" borderId="0" xfId="0" applyFont="1" applyFill="1" applyBorder="1" applyAlignment="1">
      <alignment horizontal="center" vertical="center" wrapText="1"/>
    </xf>
    <xf numFmtId="0" fontId="12" fillId="11" borderId="0" xfId="0" applyFont="1" applyFill="1" applyBorder="1" applyAlignment="1">
      <alignment horizontal="center" vertical="center" wrapText="1"/>
    </xf>
    <xf numFmtId="0" fontId="12" fillId="12" borderId="0" xfId="0" applyFont="1" applyFill="1" applyBorder="1" applyAlignment="1">
      <alignment horizontal="center" vertical="center"/>
    </xf>
    <xf numFmtId="0" fontId="12" fillId="13" borderId="0" xfId="0" applyFont="1" applyFill="1" applyBorder="1" applyAlignment="1">
      <alignment horizontal="center" vertical="center"/>
    </xf>
    <xf numFmtId="0" fontId="12" fillId="14" borderId="0" xfId="0" applyFont="1" applyFill="1" applyBorder="1" applyAlignment="1">
      <alignment horizontal="center" vertical="center"/>
    </xf>
    <xf numFmtId="0" fontId="12" fillId="15" borderId="0" xfId="0" applyFont="1" applyFill="1" applyBorder="1" applyAlignment="1">
      <alignment horizontal="center" vertical="center"/>
    </xf>
    <xf numFmtId="0" fontId="27" fillId="0" borderId="0" xfId="0" applyFont="1" applyBorder="1" applyAlignment="1" applyProtection="1">
      <alignment vertical="center"/>
      <protection locked="0"/>
    </xf>
    <xf numFmtId="0" fontId="14" fillId="12" borderId="0" xfId="0" applyFont="1" applyFill="1" applyBorder="1" applyAlignment="1" applyProtection="1">
      <alignment horizontal="center" vertical="center"/>
      <protection locked="0"/>
    </xf>
    <xf numFmtId="0" fontId="14" fillId="13" borderId="0" xfId="0" applyFont="1" applyFill="1" applyBorder="1" applyAlignment="1" applyProtection="1">
      <alignment horizontal="center" vertical="center"/>
      <protection locked="0"/>
    </xf>
    <xf numFmtId="0" fontId="14" fillId="14" borderId="0" xfId="0" applyFont="1" applyFill="1" applyBorder="1" applyAlignment="1" applyProtection="1">
      <alignment horizontal="center" vertical="center"/>
      <protection locked="0"/>
    </xf>
    <xf numFmtId="0" fontId="14" fillId="15" borderId="0" xfId="0" applyFont="1" applyFill="1" applyBorder="1" applyAlignment="1" applyProtection="1">
      <alignment horizontal="center" vertical="center"/>
      <protection locked="0"/>
    </xf>
    <xf numFmtId="0" fontId="27" fillId="7" borderId="0" xfId="0" applyFont="1" applyFill="1" applyBorder="1" applyAlignment="1" applyProtection="1">
      <alignment horizontal="left" vertical="center" wrapText="1"/>
      <protection locked="0"/>
    </xf>
    <xf numFmtId="0" fontId="27" fillId="6" borderId="0" xfId="0" applyFont="1" applyFill="1" applyBorder="1" applyAlignment="1" applyProtection="1">
      <alignment horizontal="left" vertical="center" wrapText="1"/>
      <protection locked="0"/>
    </xf>
    <xf numFmtId="0" fontId="27" fillId="12" borderId="0" xfId="0" applyFont="1" applyFill="1" applyBorder="1" applyAlignment="1" applyProtection="1">
      <alignment horizontal="left" vertical="center"/>
      <protection locked="0"/>
    </xf>
    <xf numFmtId="0" fontId="27" fillId="13" borderId="0" xfId="0" applyFont="1" applyFill="1" applyBorder="1" applyAlignment="1" applyProtection="1">
      <alignment horizontal="left" vertical="center"/>
      <protection locked="0"/>
    </xf>
    <xf numFmtId="0" fontId="27" fillId="14" borderId="0" xfId="0" applyFont="1" applyFill="1" applyBorder="1" applyAlignment="1" applyProtection="1">
      <alignment horizontal="left" vertical="center"/>
      <protection locked="0"/>
    </xf>
    <xf numFmtId="0" fontId="27" fillId="15" borderId="0" xfId="0" applyFont="1" applyFill="1" applyBorder="1" applyAlignment="1" applyProtection="1">
      <alignment horizontal="left" vertical="center"/>
      <protection locked="0"/>
    </xf>
    <xf numFmtId="0" fontId="24" fillId="20" borderId="0" xfId="0" applyFont="1" applyFill="1" applyBorder="1" applyAlignment="1" applyProtection="1">
      <alignment horizontal="center" vertical="center" wrapText="1"/>
      <protection locked="0"/>
    </xf>
    <xf numFmtId="0" fontId="27" fillId="12" borderId="0" xfId="0" applyFont="1" applyFill="1" applyBorder="1" applyAlignment="1" applyProtection="1">
      <alignment horizontal="center" vertical="center"/>
      <protection locked="0"/>
    </xf>
    <xf numFmtId="0" fontId="27" fillId="13" borderId="0" xfId="0" applyFont="1" applyFill="1" applyBorder="1" applyAlignment="1" applyProtection="1">
      <alignment horizontal="center" vertical="center"/>
      <protection locked="0"/>
    </xf>
    <xf numFmtId="0" fontId="27" fillId="14" borderId="0" xfId="0" applyFont="1" applyFill="1" applyBorder="1" applyAlignment="1" applyProtection="1">
      <alignment horizontal="center" vertical="center"/>
      <protection locked="0"/>
    </xf>
    <xf numFmtId="0" fontId="27" fillId="15" borderId="0" xfId="0" applyFont="1" applyFill="1" applyBorder="1" applyAlignment="1" applyProtection="1">
      <alignment horizontal="center" vertical="center"/>
      <protection locked="0"/>
    </xf>
    <xf numFmtId="0" fontId="27" fillId="0" borderId="0" xfId="0" applyFont="1" applyBorder="1" applyAlignment="1" applyProtection="1">
      <alignment vertical="center"/>
    </xf>
    <xf numFmtId="0" fontId="6" fillId="4" borderId="0" xfId="0" applyFont="1" applyFill="1" applyBorder="1" applyAlignment="1" applyProtection="1">
      <alignment horizontal="left" vertical="center" wrapText="1"/>
    </xf>
    <xf numFmtId="0" fontId="7" fillId="20"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14" fillId="13" borderId="0" xfId="0" applyFont="1" applyFill="1" applyBorder="1" applyAlignment="1" applyProtection="1">
      <alignment horizontal="center" vertical="center"/>
    </xf>
    <xf numFmtId="0" fontId="14" fillId="14" borderId="0" xfId="0" applyFont="1" applyFill="1" applyBorder="1" applyAlignment="1" applyProtection="1">
      <alignment horizontal="center" vertical="center"/>
    </xf>
    <xf numFmtId="0" fontId="14" fillId="15" borderId="0" xfId="0" applyFont="1" applyFill="1" applyBorder="1" applyAlignment="1" applyProtection="1">
      <alignment horizontal="center" vertical="center"/>
    </xf>
    <xf numFmtId="0" fontId="17" fillId="18" borderId="30" xfId="0" applyFont="1" applyFill="1" applyBorder="1" applyAlignment="1" applyProtection="1">
      <alignment vertical="top"/>
    </xf>
    <xf numFmtId="0" fontId="29" fillId="22" borderId="0" xfId="0" applyFont="1" applyFill="1" applyAlignment="1" applyProtection="1">
      <alignment vertical="top" wrapText="1"/>
      <protection locked="0"/>
    </xf>
    <xf numFmtId="0" fontId="12" fillId="23" borderId="0" xfId="0" applyFont="1" applyFill="1" applyAlignment="1" applyProtection="1">
      <alignment vertical="top" wrapText="1"/>
      <protection locked="0"/>
    </xf>
    <xf numFmtId="0" fontId="12" fillId="0" borderId="0" xfId="0" applyFont="1" applyAlignment="1" applyProtection="1">
      <alignment vertical="top" wrapText="1"/>
      <protection locked="0"/>
    </xf>
    <xf numFmtId="0" fontId="0" fillId="0" borderId="0" xfId="0" applyAlignment="1" applyProtection="1">
      <alignment vertical="top" wrapText="1"/>
      <protection locked="0"/>
    </xf>
    <xf numFmtId="0" fontId="8" fillId="2" borderId="0" xfId="0" applyFont="1" applyFill="1" applyBorder="1" applyAlignment="1" applyProtection="1">
      <alignment horizontal="center" vertical="center" textRotation="90" wrapText="1"/>
    </xf>
    <xf numFmtId="0" fontId="8" fillId="2" borderId="0" xfId="0" applyFont="1" applyFill="1" applyBorder="1" applyAlignment="1" applyProtection="1">
      <alignment horizontal="center" vertical="center" wrapText="1"/>
    </xf>
    <xf numFmtId="0" fontId="13" fillId="2" borderId="0" xfId="0" applyFont="1" applyFill="1" applyBorder="1" applyAlignment="1" applyProtection="1">
      <alignment vertical="center"/>
    </xf>
    <xf numFmtId="0" fontId="12" fillId="2" borderId="0" xfId="0" applyFont="1" applyFill="1" applyBorder="1" applyAlignment="1" applyProtection="1">
      <alignment vertical="center"/>
    </xf>
    <xf numFmtId="0" fontId="8" fillId="2" borderId="0" xfId="0" applyFont="1" applyFill="1" applyBorder="1" applyAlignment="1" applyProtection="1">
      <alignment horizontal="center" vertical="center" textRotation="90"/>
    </xf>
    <xf numFmtId="0" fontId="23" fillId="2" borderId="0" xfId="0" applyFont="1" applyFill="1" applyBorder="1" applyAlignment="1" applyProtection="1">
      <alignment horizontal="center" vertical="center" textRotation="90"/>
    </xf>
    <xf numFmtId="0" fontId="14" fillId="2" borderId="0" xfId="0" applyFont="1" applyFill="1" applyBorder="1" applyAlignment="1" applyProtection="1">
      <alignment horizontal="center" wrapText="1"/>
    </xf>
    <xf numFmtId="0" fontId="28" fillId="2" borderId="0" xfId="0" applyFont="1" applyFill="1" applyBorder="1" applyAlignment="1" applyProtection="1">
      <alignment vertical="center"/>
    </xf>
    <xf numFmtId="0" fontId="19" fillId="2" borderId="21" xfId="0" applyFont="1" applyFill="1" applyBorder="1" applyAlignment="1">
      <alignment horizontal="left" vertical="center" wrapText="1"/>
    </xf>
    <xf numFmtId="0" fontId="19" fillId="2" borderId="9" xfId="0" applyFont="1" applyFill="1" applyBorder="1" applyAlignment="1">
      <alignment horizontal="left" vertical="center" wrapText="1"/>
    </xf>
    <xf numFmtId="0" fontId="19" fillId="2" borderId="22" xfId="0" applyFont="1" applyFill="1" applyBorder="1" applyAlignment="1">
      <alignment horizontal="left" vertical="center" wrapText="1"/>
    </xf>
    <xf numFmtId="0" fontId="26" fillId="3" borderId="5" xfId="0" applyFont="1" applyFill="1" applyBorder="1" applyAlignment="1" applyProtection="1">
      <alignment horizontal="center" vertical="center" wrapText="1" shrinkToFit="1"/>
      <protection locked="0"/>
    </xf>
    <xf numFmtId="0" fontId="26" fillId="3" borderId="5" xfId="0" applyFont="1" applyFill="1" applyBorder="1" applyAlignment="1">
      <alignment horizontal="center" vertical="center" wrapText="1"/>
    </xf>
    <xf numFmtId="0" fontId="12" fillId="17" borderId="20" xfId="0" applyFont="1" applyFill="1" applyBorder="1" applyAlignment="1">
      <alignment horizontal="left" vertical="center" wrapText="1"/>
    </xf>
    <xf numFmtId="0" fontId="12" fillId="17" borderId="0" xfId="0" applyFont="1" applyFill="1" applyBorder="1" applyAlignment="1">
      <alignment horizontal="left" vertical="center" wrapText="1"/>
    </xf>
    <xf numFmtId="0" fontId="0" fillId="17" borderId="0" xfId="0" applyFill="1" applyBorder="1" applyAlignment="1">
      <alignment horizontal="center"/>
    </xf>
    <xf numFmtId="0" fontId="10" fillId="17" borderId="0" xfId="0" applyFont="1" applyFill="1" applyBorder="1" applyAlignment="1">
      <alignment horizontal="center" vertical="center"/>
    </xf>
    <xf numFmtId="0" fontId="22" fillId="2" borderId="0" xfId="1" applyFont="1" applyFill="1" applyBorder="1" applyAlignment="1">
      <alignment horizontal="center" vertical="center"/>
    </xf>
    <xf numFmtId="0" fontId="9" fillId="17" borderId="0" xfId="1" applyFill="1" applyBorder="1" applyAlignment="1">
      <alignment horizontal="center" vertical="center"/>
    </xf>
    <xf numFmtId="0" fontId="18" fillId="3" borderId="0" xfId="0" applyFont="1" applyFill="1" applyAlignment="1">
      <alignment horizontal="center" vertical="center" shrinkToFit="1"/>
    </xf>
    <xf numFmtId="0" fontId="17" fillId="4" borderId="0" xfId="0" applyFont="1" applyFill="1" applyAlignment="1">
      <alignment horizontal="center" vertical="center"/>
    </xf>
    <xf numFmtId="0" fontId="16" fillId="2" borderId="16" xfId="1" applyFont="1" applyFill="1" applyBorder="1" applyAlignment="1">
      <alignment horizontal="center" vertical="center"/>
    </xf>
    <xf numFmtId="0" fontId="16" fillId="2" borderId="18" xfId="1" applyFont="1" applyFill="1" applyBorder="1" applyAlignment="1">
      <alignment horizontal="center" vertical="center"/>
    </xf>
    <xf numFmtId="0" fontId="5" fillId="3" borderId="25" xfId="0" applyFont="1" applyFill="1" applyBorder="1" applyAlignment="1">
      <alignment horizontal="center" vertical="center" shrinkToFit="1"/>
    </xf>
    <xf numFmtId="0" fontId="5" fillId="3" borderId="28" xfId="0" applyFont="1" applyFill="1" applyBorder="1" applyAlignment="1">
      <alignment horizontal="center" vertical="center" shrinkToFit="1"/>
    </xf>
    <xf numFmtId="0" fontId="5" fillId="3" borderId="26" xfId="0" applyFont="1" applyFill="1" applyBorder="1" applyAlignment="1">
      <alignment horizontal="center" vertical="center" shrinkToFit="1"/>
    </xf>
    <xf numFmtId="0" fontId="5" fillId="3" borderId="29" xfId="0" applyFont="1" applyFill="1" applyBorder="1" applyAlignment="1">
      <alignment horizontal="center" vertical="center" shrinkToFit="1"/>
    </xf>
    <xf numFmtId="0" fontId="20" fillId="4" borderId="1" xfId="1" applyFont="1" applyFill="1" applyBorder="1" applyAlignment="1">
      <alignment horizontal="center" vertical="center"/>
    </xf>
    <xf numFmtId="0" fontId="20" fillId="4" borderId="2" xfId="1" applyFont="1" applyFill="1" applyBorder="1" applyAlignment="1">
      <alignment horizontal="center" vertical="center"/>
    </xf>
    <xf numFmtId="0" fontId="20" fillId="4" borderId="3" xfId="1" applyFont="1" applyFill="1" applyBorder="1" applyAlignment="1">
      <alignment horizontal="center" vertical="center"/>
    </xf>
    <xf numFmtId="0" fontId="11" fillId="5" borderId="0" xfId="0" applyFont="1" applyFill="1" applyBorder="1" applyAlignment="1">
      <alignment horizontal="center" vertical="center" shrinkToFit="1"/>
    </xf>
    <xf numFmtId="0" fontId="12" fillId="17" borderId="0" xfId="0" applyFont="1" applyFill="1" applyBorder="1" applyAlignment="1">
      <alignment horizontal="justify" vertical="center" wrapText="1"/>
    </xf>
    <xf numFmtId="0" fontId="16" fillId="2" borderId="17" xfId="1" applyFont="1" applyFill="1" applyBorder="1" applyAlignment="1">
      <alignment horizontal="center" vertical="center"/>
    </xf>
    <xf numFmtId="0" fontId="0" fillId="17" borderId="0" xfId="0" applyFill="1" applyBorder="1" applyAlignment="1">
      <alignment horizontal="center" vertical="center"/>
    </xf>
    <xf numFmtId="0" fontId="16" fillId="2" borderId="12" xfId="1" applyFont="1" applyFill="1" applyBorder="1" applyAlignment="1">
      <alignment horizontal="center" vertical="center"/>
    </xf>
    <xf numFmtId="0" fontId="16" fillId="2" borderId="15" xfId="1" applyFont="1" applyFill="1" applyBorder="1" applyAlignment="1">
      <alignment horizontal="center" vertical="center"/>
    </xf>
    <xf numFmtId="0" fontId="16" fillId="2" borderId="19" xfId="1" applyFont="1" applyFill="1" applyBorder="1" applyAlignment="1">
      <alignment horizontal="center" vertical="center"/>
    </xf>
    <xf numFmtId="0" fontId="5" fillId="3" borderId="24" xfId="0" applyFont="1" applyFill="1" applyBorder="1" applyAlignment="1">
      <alignment horizontal="center" vertical="center" shrinkToFit="1"/>
    </xf>
    <xf numFmtId="0" fontId="5" fillId="3" borderId="27" xfId="0" applyFont="1" applyFill="1" applyBorder="1" applyAlignment="1">
      <alignment horizontal="center" vertical="center" shrinkToFit="1"/>
    </xf>
  </cellXfs>
  <cellStyles count="2">
    <cellStyle name="Hipervínculo" xfId="1" builtinId="8"/>
    <cellStyle name="Normal" xfId="0" builtinId="0"/>
  </cellStyles>
  <dxfs count="290">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FF0000"/>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center" vertical="bottom" textRotation="0" wrapText="1" indent="0" justifyLastLine="0" shrinkToFit="0" readingOrder="0"/>
      <protection locked="1" hidden="0"/>
    </dxf>
    <dxf>
      <font>
        <b val="0"/>
        <strike val="0"/>
        <outline val="0"/>
        <shadow val="0"/>
        <u val="none"/>
        <vertAlign val="baseline"/>
        <sz val="9"/>
        <name val="Calibri"/>
        <scheme val="minor"/>
      </font>
    </dxf>
    <dxf>
      <font>
        <strike val="0"/>
        <outline val="0"/>
        <shadow val="0"/>
        <u val="none"/>
        <vertAlign val="baseline"/>
        <sz val="9"/>
        <name val="Calibri"/>
        <scheme val="minor"/>
      </font>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FF0000"/>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center" vertical="bottom" textRotation="0" wrapText="1" indent="0" justifyLastLine="0" shrinkToFit="0" readingOrder="0"/>
      <protection locked="1" hidden="0"/>
    </dxf>
    <dxf>
      <font>
        <strike val="0"/>
        <outline val="0"/>
        <shadow val="0"/>
        <u val="none"/>
        <vertAlign val="baseline"/>
        <sz val="9"/>
        <name val="Calibri"/>
        <scheme val="minor"/>
      </font>
    </dxf>
    <dxf>
      <fill>
        <patternFill>
          <bgColor theme="0" tint="-0.14996795556505021"/>
        </patternFill>
      </fill>
    </dxf>
    <dxf>
      <fill>
        <patternFill>
          <bgColor theme="0" tint="-4.9989318521683403E-2"/>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bottom" textRotation="0" wrapText="1" indent="0" justifyLastLine="0" shrinkToFit="0" readingOrder="0"/>
      <protection locked="1" hidden="0"/>
    </dxf>
    <dxf>
      <font>
        <b val="0"/>
        <strike val="0"/>
        <outline val="0"/>
        <shadow val="0"/>
        <u val="none"/>
        <vertAlign val="baseline"/>
        <sz val="9"/>
        <name val="Calibri"/>
        <scheme val="minor"/>
      </font>
    </dxf>
    <dxf>
      <font>
        <b val="0"/>
      </font>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0"/>
        <color theme="1"/>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11"/>
        <color rgb="FFFF0000"/>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ill>
        <patternFill patternType="solid">
          <fgColor indexed="64"/>
          <bgColor theme="0"/>
        </patternFill>
      </fill>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bottom"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8"/>
        <color rgb="FF005877"/>
        <name val="Calibri"/>
        <scheme val="minor"/>
      </font>
      <fill>
        <patternFill patternType="solid">
          <fgColor indexed="64"/>
          <bgColor theme="0"/>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8"/>
        <color rgb="FF005877"/>
        <name val="Calibri"/>
        <scheme val="minor"/>
      </font>
      <fill>
        <patternFill patternType="solid">
          <fgColor indexed="64"/>
          <bgColor theme="0"/>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1" indent="0" justifyLastLine="0" shrinkToFit="0" readingOrder="0"/>
      <protection locked="1" hidden="0"/>
    </dxf>
    <dxf>
      <border diagonalUp="0" diagonalDown="0">
        <left/>
        <right style="medium">
          <color rgb="FF005877"/>
        </right>
        <top/>
        <bottom/>
        <vertical/>
        <horizontal/>
      </border>
    </dxf>
    <dxf>
      <border diagonalUp="0" diagonalDown="0">
        <left style="medium">
          <color rgb="FF005877"/>
        </left>
        <right/>
        <top/>
        <bottom/>
        <vertical/>
        <horizontal/>
      </border>
    </dxf>
    <dxf>
      <border outline="0">
        <left style="medium">
          <color rgb="FF005877"/>
        </left>
        <right style="medium">
          <color rgb="FF005877"/>
        </right>
        <top style="medium">
          <color rgb="FF005877"/>
        </top>
      </border>
    </dxf>
  </dxfs>
  <tableStyles count="0" defaultTableStyle="TableStyleMedium2" defaultPivotStyle="PivotStyleLight16"/>
  <colors>
    <mruColors>
      <color rgb="FF005877"/>
      <color rgb="FFE87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hyperlink" Target="https://www.uca.es" TargetMode="External"/><Relationship Id="rId3" Type="http://schemas.openxmlformats.org/officeDocument/2006/relationships/hyperlink" Target="https://www.youtube.com/channel/UCTkOmf2IiTvxn1ch9hYjYQQ" TargetMode="External"/><Relationship Id="rId7"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gnu.org/licenses/agpl-3.0.en.html" TargetMode="External"/><Relationship Id="rId5" Type="http://schemas.openxmlformats.org/officeDocument/2006/relationships/hyperlink" Target="https://udinnovacion.uca.es/" TargetMode="External"/><Relationship Id="rId4" Type="http://schemas.openxmlformats.org/officeDocument/2006/relationships/hyperlink" Target="https://github.com/MilagrosHuerta/FastTest-PlugIn" TargetMode="External"/><Relationship Id="rId9" Type="http://schemas.openxmlformats.org/officeDocument/2006/relationships/image" Target="../media/image4.jpeg"/></Relationships>
</file>

<file path=xl/drawings/_rels/drawing2.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3.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5.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6.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7.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8.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9.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4</xdr:row>
      <xdr:rowOff>0</xdr:rowOff>
    </xdr:from>
    <xdr:to>
      <xdr:col>6</xdr:col>
      <xdr:colOff>488522</xdr:colOff>
      <xdr:row>10</xdr:row>
      <xdr:rowOff>48710</xdr:rowOff>
    </xdr:to>
    <xdr:pic macro="[0]!MOODLE_Haga_clic_en">
      <xdr:nvPicPr>
        <xdr:cNvPr id="31" name="MOODLE"/>
        <xdr:cNvPicPr>
          <a:picLocks noChangeAspect="1"/>
        </xdr:cNvPicPr>
      </xdr:nvPicPr>
      <xdr:blipFill rotWithShape="1">
        <a:blip xmlns:r="http://schemas.openxmlformats.org/officeDocument/2006/relationships" r:embed="rId1"/>
        <a:srcRect l="-14323" r="-1"/>
        <a:stretch/>
      </xdr:blipFill>
      <xdr:spPr>
        <a:xfrm>
          <a:off x="2473657" y="732146"/>
          <a:ext cx="1014528" cy="873262"/>
        </a:xfrm>
        <a:prstGeom prst="rect">
          <a:avLst/>
        </a:prstGeom>
      </xdr:spPr>
    </xdr:pic>
    <xdr:clientData/>
  </xdr:twoCellAnchor>
  <xdr:twoCellAnchor editAs="oneCell">
    <xdr:from>
      <xdr:col>12</xdr:col>
      <xdr:colOff>526007</xdr:colOff>
      <xdr:row>4</xdr:row>
      <xdr:rowOff>0</xdr:rowOff>
    </xdr:from>
    <xdr:to>
      <xdr:col>14</xdr:col>
      <xdr:colOff>449848</xdr:colOff>
      <xdr:row>10</xdr:row>
      <xdr:rowOff>30420</xdr:rowOff>
    </xdr:to>
    <xdr:pic>
      <xdr:nvPicPr>
        <xdr:cNvPr id="30" name="FTP"/>
        <xdr:cNvPicPr>
          <a:picLocks noChangeAspect="1"/>
        </xdr:cNvPicPr>
      </xdr:nvPicPr>
      <xdr:blipFill rotWithShape="1">
        <a:blip xmlns:r="http://schemas.openxmlformats.org/officeDocument/2006/relationships" r:embed="rId2"/>
        <a:srcRect l="-13960" r="-2"/>
        <a:stretch/>
      </xdr:blipFill>
      <xdr:spPr>
        <a:xfrm>
          <a:off x="6681716" y="732146"/>
          <a:ext cx="975856" cy="854972"/>
        </a:xfrm>
        <a:prstGeom prst="rect">
          <a:avLst/>
        </a:prstGeom>
      </xdr:spPr>
    </xdr:pic>
    <xdr:clientData/>
  </xdr:twoCellAnchor>
  <xdr:twoCellAnchor>
    <xdr:from>
      <xdr:col>14</xdr:col>
      <xdr:colOff>511791</xdr:colOff>
      <xdr:row>5</xdr:row>
      <xdr:rowOff>7872</xdr:rowOff>
    </xdr:from>
    <xdr:to>
      <xdr:col>17</xdr:col>
      <xdr:colOff>518901</xdr:colOff>
      <xdr:row>6</xdr:row>
      <xdr:rowOff>173182</xdr:rowOff>
    </xdr:to>
    <xdr:sp macro="" textlink="">
      <xdr:nvSpPr>
        <xdr:cNvPr id="13" name="Enlace YouTube">
          <a:hlinkClick xmlns:r="http://schemas.openxmlformats.org/officeDocument/2006/relationships" r:id="rId3"/>
        </xdr:cNvPr>
        <xdr:cNvSpPr/>
      </xdr:nvSpPr>
      <xdr:spPr>
        <a:xfrm>
          <a:off x="7719515" y="939047"/>
          <a:ext cx="1585132" cy="2435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7109</xdr:colOff>
      <xdr:row>7</xdr:row>
      <xdr:rowOff>78190</xdr:rowOff>
    </xdr:from>
    <xdr:to>
      <xdr:col>17</xdr:col>
      <xdr:colOff>511791</xdr:colOff>
      <xdr:row>9</xdr:row>
      <xdr:rowOff>7107</xdr:rowOff>
    </xdr:to>
    <xdr:sp macro="" textlink="">
      <xdr:nvSpPr>
        <xdr:cNvPr id="19" name="Enlace APP">
          <a:hlinkClick xmlns:r="http://schemas.openxmlformats.org/officeDocument/2006/relationships" r:id="rId4"/>
        </xdr:cNvPr>
        <xdr:cNvSpPr/>
      </xdr:nvSpPr>
      <xdr:spPr>
        <a:xfrm>
          <a:off x="7740840" y="1279477"/>
          <a:ext cx="1556697" cy="1990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528394</xdr:colOff>
      <xdr:row>10</xdr:row>
      <xdr:rowOff>6953</xdr:rowOff>
    </xdr:from>
    <xdr:to>
      <xdr:col>18</xdr:col>
      <xdr:colOff>41716</xdr:colOff>
      <xdr:row>12</xdr:row>
      <xdr:rowOff>139051</xdr:rowOff>
    </xdr:to>
    <xdr:sp macro="" textlink="">
      <xdr:nvSpPr>
        <xdr:cNvPr id="3" name="Enlace INNOVACION">
          <a:hlinkClick xmlns:r="http://schemas.openxmlformats.org/officeDocument/2006/relationships" r:id="rId5"/>
        </xdr:cNvPr>
        <xdr:cNvSpPr/>
      </xdr:nvSpPr>
      <xdr:spPr>
        <a:xfrm>
          <a:off x="1425274" y="1536515"/>
          <a:ext cx="7946770" cy="39629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16</xdr:row>
      <xdr:rowOff>0</xdr:rowOff>
    </xdr:from>
    <xdr:to>
      <xdr:col>0</xdr:col>
      <xdr:colOff>699943</xdr:colOff>
      <xdr:row>18</xdr:row>
      <xdr:rowOff>165966</xdr:rowOff>
    </xdr:to>
    <xdr:sp macro="[0]!IR_DICCIONARIO" textlink="">
      <xdr:nvSpPr>
        <xdr:cNvPr id="32" name="Cualquier Idioma"/>
        <xdr:cNvSpPr/>
      </xdr:nvSpPr>
      <xdr:spPr>
        <a:xfrm>
          <a:off x="0" y="2066925"/>
          <a:ext cx="699943" cy="432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21980</xdr:colOff>
      <xdr:row>22</xdr:row>
      <xdr:rowOff>7327</xdr:rowOff>
    </xdr:from>
    <xdr:to>
      <xdr:col>3</xdr:col>
      <xdr:colOff>523991</xdr:colOff>
      <xdr:row>25</xdr:row>
      <xdr:rowOff>168519</xdr:rowOff>
    </xdr:to>
    <xdr:sp macro="[0]!IR_OM" textlink="">
      <xdr:nvSpPr>
        <xdr:cNvPr id="34" name="OM"/>
        <xdr:cNvSpPr/>
      </xdr:nvSpPr>
      <xdr:spPr>
        <a:xfrm>
          <a:off x="923192" y="3091962"/>
          <a:ext cx="1029549" cy="6081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527538</xdr:colOff>
      <xdr:row>22</xdr:row>
      <xdr:rowOff>0</xdr:rowOff>
    </xdr:from>
    <xdr:to>
      <xdr:col>5</xdr:col>
      <xdr:colOff>520397</xdr:colOff>
      <xdr:row>25</xdr:row>
      <xdr:rowOff>161192</xdr:rowOff>
    </xdr:to>
    <xdr:sp macro="[0]!IR_O2" textlink="">
      <xdr:nvSpPr>
        <xdr:cNvPr id="35" name="O2"/>
        <xdr:cNvSpPr/>
      </xdr:nvSpPr>
      <xdr:spPr>
        <a:xfrm>
          <a:off x="1956288" y="3084635"/>
          <a:ext cx="1047936" cy="6081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6</xdr:col>
      <xdr:colOff>0</xdr:colOff>
      <xdr:row>21</xdr:row>
      <xdr:rowOff>58615</xdr:rowOff>
    </xdr:from>
    <xdr:to>
      <xdr:col>7</xdr:col>
      <xdr:colOff>514763</xdr:colOff>
      <xdr:row>25</xdr:row>
      <xdr:rowOff>168518</xdr:rowOff>
    </xdr:to>
    <xdr:sp macro="[0]!IR_VF" textlink="">
      <xdr:nvSpPr>
        <xdr:cNvPr id="36" name="VF"/>
        <xdr:cNvSpPr/>
      </xdr:nvSpPr>
      <xdr:spPr>
        <a:xfrm>
          <a:off x="3011365" y="3084634"/>
          <a:ext cx="1042302" cy="6154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8</xdr:col>
      <xdr:colOff>0</xdr:colOff>
      <xdr:row>22</xdr:row>
      <xdr:rowOff>0</xdr:rowOff>
    </xdr:from>
    <xdr:to>
      <xdr:col>9</xdr:col>
      <xdr:colOff>504404</xdr:colOff>
      <xdr:row>25</xdr:row>
      <xdr:rowOff>168519</xdr:rowOff>
    </xdr:to>
    <xdr:sp macro="[0]!IR_E" textlink="">
      <xdr:nvSpPr>
        <xdr:cNvPr id="37" name="EM"/>
        <xdr:cNvSpPr/>
      </xdr:nvSpPr>
      <xdr:spPr>
        <a:xfrm>
          <a:off x="4066442" y="3084635"/>
          <a:ext cx="1031943" cy="6154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22</xdr:row>
      <xdr:rowOff>0</xdr:rowOff>
    </xdr:from>
    <xdr:to>
      <xdr:col>11</xdr:col>
      <xdr:colOff>504200</xdr:colOff>
      <xdr:row>25</xdr:row>
      <xdr:rowOff>183173</xdr:rowOff>
    </xdr:to>
    <xdr:sp macro="[0]!IR_RC" textlink="">
      <xdr:nvSpPr>
        <xdr:cNvPr id="38" name="RC"/>
        <xdr:cNvSpPr/>
      </xdr:nvSpPr>
      <xdr:spPr>
        <a:xfrm>
          <a:off x="5121519" y="3084635"/>
          <a:ext cx="1031739" cy="6301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0</xdr:colOff>
      <xdr:row>21</xdr:row>
      <xdr:rowOff>58615</xdr:rowOff>
    </xdr:from>
    <xdr:to>
      <xdr:col>13</xdr:col>
      <xdr:colOff>510025</xdr:colOff>
      <xdr:row>25</xdr:row>
      <xdr:rowOff>183172</xdr:rowOff>
    </xdr:to>
    <xdr:sp macro="[0]!IR_PP" textlink="">
      <xdr:nvSpPr>
        <xdr:cNvPr id="39" name="PP"/>
        <xdr:cNvSpPr/>
      </xdr:nvSpPr>
      <xdr:spPr>
        <a:xfrm>
          <a:off x="6176596" y="3084634"/>
          <a:ext cx="1037564" cy="6301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14</xdr:col>
      <xdr:colOff>0</xdr:colOff>
      <xdr:row>22</xdr:row>
      <xdr:rowOff>0</xdr:rowOff>
    </xdr:from>
    <xdr:to>
      <xdr:col>15</xdr:col>
      <xdr:colOff>503444</xdr:colOff>
      <xdr:row>25</xdr:row>
      <xdr:rowOff>175846</xdr:rowOff>
    </xdr:to>
    <xdr:sp macro="[0]!IR_EN" textlink="">
      <xdr:nvSpPr>
        <xdr:cNvPr id="40" name="EN"/>
        <xdr:cNvSpPr/>
      </xdr:nvSpPr>
      <xdr:spPr>
        <a:xfrm>
          <a:off x="7231673" y="3084635"/>
          <a:ext cx="1030983" cy="6227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22</xdr:row>
      <xdr:rowOff>0</xdr:rowOff>
    </xdr:from>
    <xdr:to>
      <xdr:col>17</xdr:col>
      <xdr:colOff>515160</xdr:colOff>
      <xdr:row>25</xdr:row>
      <xdr:rowOff>175846</xdr:rowOff>
    </xdr:to>
    <xdr:sp macro="[0]!IR_CL" textlink="">
      <xdr:nvSpPr>
        <xdr:cNvPr id="41" name="CL"/>
        <xdr:cNvSpPr/>
      </xdr:nvSpPr>
      <xdr:spPr>
        <a:xfrm>
          <a:off x="8286750" y="3084635"/>
          <a:ext cx="1042698" cy="6227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0</xdr:colOff>
      <xdr:row>26</xdr:row>
      <xdr:rowOff>78190</xdr:rowOff>
    </xdr:from>
    <xdr:to>
      <xdr:col>15</xdr:col>
      <xdr:colOff>504683</xdr:colOff>
      <xdr:row>28</xdr:row>
      <xdr:rowOff>19920</xdr:rowOff>
    </xdr:to>
    <xdr:pic>
      <xdr:nvPicPr>
        <xdr:cNvPr id="18" name="Imagen 17">
          <a:hlinkClick xmlns:r="http://schemas.openxmlformats.org/officeDocument/2006/relationships" r:id="rId6"/>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733731" y="3859757"/>
          <a:ext cx="504683" cy="211842"/>
        </a:xfrm>
        <a:prstGeom prst="rect">
          <a:avLst/>
        </a:prstGeom>
      </xdr:spPr>
    </xdr:pic>
    <xdr:clientData/>
  </xdr:twoCellAnchor>
  <xdr:twoCellAnchor editAs="absolute">
    <xdr:from>
      <xdr:col>15</xdr:col>
      <xdr:colOff>0</xdr:colOff>
      <xdr:row>29</xdr:row>
      <xdr:rowOff>1990</xdr:rowOff>
    </xdr:from>
    <xdr:to>
      <xdr:col>17</xdr:col>
      <xdr:colOff>493900</xdr:colOff>
      <xdr:row>33</xdr:row>
      <xdr:rowOff>65439</xdr:rowOff>
    </xdr:to>
    <xdr:pic>
      <xdr:nvPicPr>
        <xdr:cNvPr id="21" name="UCA">
          <a:hlinkClick xmlns:r="http://schemas.openxmlformats.org/officeDocument/2006/relationships" r:id="rId8"/>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7733731" y="4129869"/>
          <a:ext cx="1545915" cy="605663"/>
        </a:xfrm>
        <a:prstGeom prst="rect">
          <a:avLst/>
        </a:prstGeom>
        <a:ln w="25400">
          <a:solidFill>
            <a:srgbClr val="E87B00"/>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31" name="MENU"/>
        <xdr:cNvGrpSpPr/>
      </xdr:nvGrpSpPr>
      <xdr:grpSpPr>
        <a:xfrm>
          <a:off x="1706880" y="0"/>
          <a:ext cx="5037660" cy="660514"/>
          <a:chOff x="1724476" y="0"/>
          <a:chExt cx="5037660" cy="660514"/>
        </a:xfrm>
      </xdr:grpSpPr>
      <xdr:sp macro="" textlink="">
        <xdr:nvSpPr>
          <xdr:cNvPr id="32"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33" name="FTP-MOODLE"/>
          <xdr:cNvGrpSpPr/>
        </xdr:nvGrpSpPr>
        <xdr:grpSpPr>
          <a:xfrm>
            <a:off x="5320436" y="0"/>
            <a:ext cx="427979" cy="660514"/>
            <a:chOff x="7590235" y="0"/>
            <a:chExt cx="427979" cy="666705"/>
          </a:xfrm>
        </xdr:grpSpPr>
        <xdr:pic>
          <xdr:nvPicPr>
            <xdr:cNvPr id="45"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46"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34"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35"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36" name="TIPO PREGUNTAS"/>
          <xdr:cNvGrpSpPr/>
        </xdr:nvGrpSpPr>
        <xdr:grpSpPr>
          <a:xfrm>
            <a:off x="1724476" y="15241"/>
            <a:ext cx="3589860" cy="610800"/>
            <a:chOff x="1724476" y="15241"/>
            <a:chExt cx="3589860" cy="610800"/>
          </a:xfrm>
        </xdr:grpSpPr>
        <xdr:sp macro="[0]!IR_OM" textlink="">
          <xdr:nvSpPr>
            <xdr:cNvPr id="37"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38"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39"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40"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41"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42"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43"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44"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3"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5" name="MENU"/>
        <xdr:cNvGrpSpPr/>
      </xdr:nvGrpSpPr>
      <xdr:grpSpPr>
        <a:xfrm>
          <a:off x="1706880" y="0"/>
          <a:ext cx="5037660" cy="660514"/>
          <a:chOff x="1724476" y="0"/>
          <a:chExt cx="5037660" cy="660514"/>
        </a:xfrm>
      </xdr:grpSpPr>
      <xdr:sp macro="" textlink="">
        <xdr:nvSpPr>
          <xdr:cNvPr id="16"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7" name="FTP-MOODLE"/>
          <xdr:cNvGrpSpPr/>
        </xdr:nvGrpSpPr>
        <xdr:grpSpPr>
          <a:xfrm>
            <a:off x="5320436" y="0"/>
            <a:ext cx="427979" cy="660514"/>
            <a:chOff x="7590235" y="0"/>
            <a:chExt cx="427979" cy="666705"/>
          </a:xfrm>
        </xdr:grpSpPr>
        <xdr:pic>
          <xdr:nvPicPr>
            <xdr:cNvPr id="29"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0"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8"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19"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0" name="TIPO PREGUNTAS"/>
          <xdr:cNvGrpSpPr/>
        </xdr:nvGrpSpPr>
        <xdr:grpSpPr>
          <a:xfrm>
            <a:off x="1724476" y="15241"/>
            <a:ext cx="3589860" cy="610800"/>
            <a:chOff x="1724476" y="15241"/>
            <a:chExt cx="3589860" cy="610800"/>
          </a:xfrm>
        </xdr:grpSpPr>
        <xdr:sp macro="[0]!IR_OM" textlink="">
          <xdr:nvSpPr>
            <xdr:cNvPr id="21"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2"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3"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4"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5"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6"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7"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8"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31"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8.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9.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31864</xdr:rowOff>
    </xdr:to>
    <xdr:grpSp>
      <xdr:nvGrpSpPr>
        <xdr:cNvPr id="15" name="MENU"/>
        <xdr:cNvGrpSpPr/>
      </xdr:nvGrpSpPr>
      <xdr:grpSpPr>
        <a:xfrm>
          <a:off x="1706880" y="0"/>
          <a:ext cx="5037660" cy="656704"/>
          <a:chOff x="1724476" y="0"/>
          <a:chExt cx="5037660" cy="660514"/>
        </a:xfrm>
      </xdr:grpSpPr>
      <xdr:sp macro="" textlink="">
        <xdr:nvSpPr>
          <xdr:cNvPr id="16"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7"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8"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5</xdr:col>
      <xdr:colOff>4650</xdr:colOff>
      <xdr:row>1</xdr:row>
      <xdr:rowOff>309331</xdr:rowOff>
    </xdr:to>
    <xdr:pic>
      <xdr:nvPicPr>
        <xdr:cNvPr id="32"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5713</xdr:colOff>
      <xdr:row>1</xdr:row>
      <xdr:rowOff>339000</xdr:rowOff>
    </xdr:to>
    <xdr:grpSp>
      <xdr:nvGrpSpPr>
        <xdr:cNvPr id="2" name="MOODLE-FTP"/>
        <xdr:cNvGrpSpPr/>
      </xdr:nvGrpSpPr>
      <xdr:grpSpPr>
        <a:xfrm>
          <a:off x="0" y="0"/>
          <a:ext cx="4389655" cy="717558"/>
          <a:chOff x="0" y="0"/>
          <a:chExt cx="4386037" cy="721176"/>
        </a:xfrm>
      </xdr:grpSpPr>
      <xdr:pic macro="[0]!IR_DICCIONARIO">
        <xdr:nvPicPr>
          <xdr:cNvPr id="3" name="FTP"/>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67931" y="0"/>
            <a:ext cx="718106"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0]!IR_DICCIONARIO">
        <xdr:nvPicPr>
          <xdr:cNvPr id="4" name="MOODLE"/>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403" t="8301" r="8171" b="7941"/>
          <a:stretch/>
        </xdr:blipFill>
        <xdr:spPr>
          <a:xfrm>
            <a:off x="0" y="0"/>
            <a:ext cx="730559"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twoCellAnchor>
    <xdr:from>
      <xdr:col>0</xdr:col>
      <xdr:colOff>0</xdr:colOff>
      <xdr:row>1</xdr:row>
      <xdr:rowOff>0</xdr:rowOff>
    </xdr:from>
    <xdr:to>
      <xdr:col>3</xdr:col>
      <xdr:colOff>4320000</xdr:colOff>
      <xdr:row>1</xdr:row>
      <xdr:rowOff>357656</xdr:rowOff>
    </xdr:to>
    <xdr:sp macro="[0]!Enlace_DICCIONARIO" textlink="">
      <xdr:nvSpPr>
        <xdr:cNvPr id="5" name="LINK DICCIONARIO"/>
        <xdr:cNvSpPr/>
      </xdr:nvSpPr>
      <xdr:spPr>
        <a:xfrm>
          <a:off x="0" y="381000"/>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6" name="INICIO"/>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tables/table1.xml><?xml version="1.0" encoding="utf-8"?>
<table xmlns="http://schemas.openxmlformats.org/spreadsheetml/2006/main" id="9" name="Tabla_ID" displayName="Tabla_ID" ref="A38:B45" totalsRowShown="0" tableBorderDxfId="289">
  <autoFilter ref="A38:B45">
    <filterColumn colId="0" hiddenButton="1"/>
    <filterColumn colId="1" hiddenButton="1"/>
  </autoFilter>
  <tableColumns count="2">
    <tableColumn id="1" name="NOMBRE" dataDxfId="288"/>
    <tableColumn id="2" name="SIGLA" dataDxfId="287"/>
  </tableColumns>
  <tableStyleInfo showFirstColumn="0" showLastColumn="0" showRowStripes="1" showColumnStripes="0"/>
</table>
</file>

<file path=xl/tables/table2.xml><?xml version="1.0" encoding="utf-8"?>
<table xmlns="http://schemas.openxmlformats.org/spreadsheetml/2006/main" id="1" name="Tabla_OM" displayName="Tabla_OM" ref="A4:AI5" totalsRowShown="0">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C" dataDxfId="286">
      <calculatedColumnFormula>IF(COUNTIF(Tabla_OM[[#This Row],[Puntos 1]:[Puntos 6]],"&gt;0")=0,"",COUNTIF(Tabla_OM[[#This Row],[Puntos 1]:[Puntos 6]],"&gt;0"))</calculatedColumnFormula>
    </tableColumn>
    <tableColumn id="2" name="NRI" dataDxfId="285">
      <calculatedColumnFormula>IF(Tabla_OM[[#This Row],[NRC]]="","",COUNTA(Tabla_OM[[#This Row],[Respuesta 1]:[Respuesta 6]])-Tabla_OM[[#This Row],[NRC]])</calculatedColumnFormula>
    </tableColumn>
    <tableColumn id="3" name="Columna1" dataDxfId="284"/>
    <tableColumn id="4" name="Columna2" dataDxfId="283"/>
    <tableColumn id="5" name="Descripcion" dataDxfId="282"/>
    <tableColumn id="6" name="Enunciado" dataDxfId="281"/>
    <tableColumn id="7" name="Respuesta 1" dataDxfId="280"/>
    <tableColumn id="8" name="Respuesta 2" dataDxfId="279"/>
    <tableColumn id="9" name="Respuesta 3" dataDxfId="278"/>
    <tableColumn id="10" name="Respuesta 4" dataDxfId="277"/>
    <tableColumn id="11" name="Respuesta 5" dataDxfId="276"/>
    <tableColumn id="12" name="Respuesta 6" dataDxfId="275"/>
    <tableColumn id="13" name="Retroalim. 1" dataDxfId="274"/>
    <tableColumn id="14" name="Retroalim. 2" dataDxfId="273"/>
    <tableColumn id="15" name="Retroalim. 3" dataDxfId="272"/>
    <tableColumn id="16" name="Retroalim. 4" dataDxfId="271"/>
    <tableColumn id="17" name="Retroalim. 5" dataDxfId="270"/>
    <tableColumn id="18" name="Retroalim. 6" dataDxfId="269"/>
    <tableColumn id="19" name="Puntos 1" dataDxfId="268"/>
    <tableColumn id="20" name="Puntos 2" dataDxfId="267"/>
    <tableColumn id="21" name="Puntos 3" dataDxfId="266"/>
    <tableColumn id="22" name="Puntos 4" dataDxfId="265"/>
    <tableColumn id="23" name="Puntos 5" dataDxfId="264"/>
    <tableColumn id="24" name="Puntos 6" dataDxfId="263"/>
    <tableColumn id="25" name="Puntos 7" dataDxfId="262"/>
    <tableColumn id="26" name="Puntos 8" dataDxfId="261"/>
    <tableColumn id="27" name="Puntos 9" dataDxfId="260"/>
    <tableColumn id="28" name="Puntos 10" dataDxfId="259"/>
    <tableColumn id="29" name="Puntos 11" dataDxfId="258"/>
    <tableColumn id="30" name="Puntos 12" dataDxfId="257"/>
    <tableColumn id="31" name="Pista 1" dataDxfId="256"/>
    <tableColumn id="32" name="Pista 2" dataDxfId="255"/>
    <tableColumn id="33" name="Pista 3" dataDxfId="254"/>
    <tableColumn id="34" name="Pista 4" dataDxfId="253"/>
    <tableColumn id="35" name="Imagen" dataDxfId="252"/>
  </tableColumns>
  <tableStyleInfo name="TableStyleMedium2" showFirstColumn="0" showLastColumn="0" showRowStripes="1" showColumnStripes="0"/>
</table>
</file>

<file path=xl/tables/table3.xml><?xml version="1.0" encoding="utf-8"?>
<table xmlns="http://schemas.openxmlformats.org/spreadsheetml/2006/main" id="2" name="Tabla_O2" displayName="Tabla_O2" ref="A4:AI5" totalsRowShown="0">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C" dataDxfId="251">
      <calculatedColumnFormula>IF(COUNTIF(Tabla_O2[[#This Row],[Puntos 1]:[Puntos 6]],"&gt;0")=0,"",COUNTIF(Tabla_O2[[#This Row],[Puntos 1]:[Puntos 6]],"&gt;0"))</calculatedColumnFormula>
    </tableColumn>
    <tableColumn id="2" name="NRI" dataDxfId="250">
      <calculatedColumnFormula>IF(Tabla_O2[[#This Row],[NRC]]="","",COUNTA(Tabla_O2[[#This Row],[Respuesta 1]:[Respuesta 6]])-Tabla_O2[[#This Row],[NRC]])</calculatedColumnFormula>
    </tableColumn>
    <tableColumn id="3" name="Columna1" dataDxfId="249"/>
    <tableColumn id="4" name="Columna2" dataDxfId="248"/>
    <tableColumn id="5" name="Descripcion" dataDxfId="247"/>
    <tableColumn id="6" name="Enunciado" dataDxfId="246"/>
    <tableColumn id="7" name="Respuesta 1" dataDxfId="245"/>
    <tableColumn id="8" name="Respuesta 2" dataDxfId="244"/>
    <tableColumn id="9" name="Respuesta 3" dataDxfId="243"/>
    <tableColumn id="10" name="Respuesta 4" dataDxfId="242"/>
    <tableColumn id="11" name="Respuesta 5" dataDxfId="241"/>
    <tableColumn id="12" name="Respuesta 6" dataDxfId="240"/>
    <tableColumn id="13" name="Retroalim. 1" dataDxfId="239"/>
    <tableColumn id="14" name="Retroalim. 2" dataDxfId="238"/>
    <tableColumn id="15" name="Retroalim. 3" dataDxfId="237"/>
    <tableColumn id="16" name="Retroalim. 4" dataDxfId="236"/>
    <tableColumn id="17" name="Retroalim. 5" dataDxfId="235"/>
    <tableColumn id="18" name="Retroalim. 6" dataDxfId="234"/>
    <tableColumn id="19" name="Puntos 1" dataDxfId="233"/>
    <tableColumn id="20" name="Puntos 2" dataDxfId="232"/>
    <tableColumn id="21" name="Puntos 3" dataDxfId="231"/>
    <tableColumn id="22" name="Puntos 4" dataDxfId="230"/>
    <tableColumn id="23" name="Puntos 5" dataDxfId="229"/>
    <tableColumn id="24" name="Puntos 6" dataDxfId="228"/>
    <tableColumn id="25" name="Puntos 7" dataDxfId="227"/>
    <tableColumn id="26" name="Puntos 8" dataDxfId="226"/>
    <tableColumn id="27" name="Puntos 9" dataDxfId="225"/>
    <tableColumn id="28" name="Puntos 10" dataDxfId="224"/>
    <tableColumn id="29" name="Puntos 11" dataDxfId="223"/>
    <tableColumn id="30" name="Puntos 12" dataDxfId="222"/>
    <tableColumn id="31" name="Pista 1" dataDxfId="221"/>
    <tableColumn id="32" name="Pista 2" dataDxfId="220"/>
    <tableColumn id="33" name="Pista 3" dataDxfId="219"/>
    <tableColumn id="34" name="Pista 4" dataDxfId="218"/>
    <tableColumn id="35" name="Imagen" dataDxfId="217"/>
  </tableColumns>
  <tableStyleInfo name="TableStyleMedium2" showFirstColumn="0" showLastColumn="0" showRowStripes="1" showColumnStripes="0"/>
</table>
</file>

<file path=xl/tables/table4.xml><?xml version="1.0" encoding="utf-8"?>
<table xmlns="http://schemas.openxmlformats.org/spreadsheetml/2006/main" id="3" name="Tabla_VF" displayName="Tabla_VF" ref="A4:AI5" totalsRowShown="0">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216"/>
    <tableColumn id="2" name="C2" dataDxfId="215"/>
    <tableColumn id="3" name="Columna3" dataDxfId="214"/>
    <tableColumn id="4" name="Columna4" dataDxfId="213"/>
    <tableColumn id="5" name="Descripcion" dataDxfId="212"/>
    <tableColumn id="6" name="Enunciado" dataDxfId="211"/>
    <tableColumn id="7" name="Respuesta 1" dataDxfId="210"/>
    <tableColumn id="8" name="Retroalim. 1" dataDxfId="209"/>
    <tableColumn id="9" name="Retroalim. 2" dataDxfId="208"/>
    <tableColumn id="10" name="Columna5" dataDxfId="207"/>
    <tableColumn id="11" name="Columna6" dataDxfId="206"/>
    <tableColumn id="12" name="Columna7" dataDxfId="205"/>
    <tableColumn id="13" name="Columna8" dataDxfId="204"/>
    <tableColumn id="14" name="Columna9" dataDxfId="203"/>
    <tableColumn id="15" name="Columna10" dataDxfId="202"/>
    <tableColumn id="16" name="Columna11" dataDxfId="201"/>
    <tableColumn id="17" name="Columna12" dataDxfId="200"/>
    <tableColumn id="18" name="Columna13" dataDxfId="199"/>
    <tableColumn id="19" name="Columna14" dataDxfId="198"/>
    <tableColumn id="20" name="Columna15" dataDxfId="197"/>
    <tableColumn id="21" name="Columna16" dataDxfId="196"/>
    <tableColumn id="22" name="Columna17" dataDxfId="195"/>
    <tableColumn id="23" name="Columna18" dataDxfId="194"/>
    <tableColumn id="24" name="Columna19" dataDxfId="193"/>
    <tableColumn id="25" name="Columna20" dataDxfId="192"/>
    <tableColumn id="26" name="Columna21" dataDxfId="191"/>
    <tableColumn id="27" name="Columna22" dataDxfId="190"/>
    <tableColumn id="28" name="Columna23" dataDxfId="189"/>
    <tableColumn id="29" name="Columna24" dataDxfId="188"/>
    <tableColumn id="30" name="Columna25" dataDxfId="187"/>
    <tableColumn id="31" name="Pista 1" dataDxfId="186"/>
    <tableColumn id="32" name="Pista 2" dataDxfId="185"/>
    <tableColumn id="33" name="Pista 3" dataDxfId="184"/>
    <tableColumn id="34" name="Pista 4" dataDxfId="183"/>
    <tableColumn id="35" name="Imagen" dataDxfId="182"/>
  </tableColumns>
  <tableStyleInfo name="TableStyleMedium2" showFirstColumn="0" showLastColumn="0" showRowStripes="1" showColumnStripes="0"/>
</table>
</file>

<file path=xl/tables/table5.xml><?xml version="1.0" encoding="utf-8"?>
<table xmlns="http://schemas.openxmlformats.org/spreadsheetml/2006/main" id="4" name="Tabla_EM" displayName="Tabla_EM" ref="A4:AI5" totalsRowShown="0">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Pareja " dataDxfId="181">
      <calculatedColumnFormula>IF(COUNTA(Tabla_EM[[#This Row],[Pareja  01.1]:[Pareja  12.14]])/2=0,"",COUNTA(Tabla_EM[[#This Row],[Pareja  01.1]:[Pareja  12.14]])/2)</calculatedColumnFormula>
    </tableColumn>
    <tableColumn id="2" name="C1" dataDxfId="180"/>
    <tableColumn id="3" name="Columna2" dataDxfId="179"/>
    <tableColumn id="4" name="Columna3" dataDxfId="178"/>
    <tableColumn id="5" name="Descripcion" dataDxfId="177"/>
    <tableColumn id="6" name="Enunciado" dataDxfId="176"/>
    <tableColumn id="7" name="Pareja  01.1" dataDxfId="175"/>
    <tableColumn id="8" name="Pareja  01.2" dataDxfId="174"/>
    <tableColumn id="9" name="Pareja  02.1" dataDxfId="173"/>
    <tableColumn id="10" name="Pareja  02.2" dataDxfId="172"/>
    <tableColumn id="11" name="Pareja  03.1" dataDxfId="171"/>
    <tableColumn id="12" name="Pareja  03.2" dataDxfId="170"/>
    <tableColumn id="13" name="Pareja  04.1" dataDxfId="169"/>
    <tableColumn id="14" name="Pareja  04.2" dataDxfId="168"/>
    <tableColumn id="15" name="Pareja  05.1" dataDxfId="167"/>
    <tableColumn id="16" name="Pareja  05.2" dataDxfId="166"/>
    <tableColumn id="17" name="Pareja  06.1" dataDxfId="165"/>
    <tableColumn id="18" name="Pareja  06.2" dataDxfId="164"/>
    <tableColumn id="19" name="Pareja  07.1" dataDxfId="163"/>
    <tableColumn id="20" name="Pareja  07.2" dataDxfId="162"/>
    <tableColumn id="21" name="Pareja  08.1" dataDxfId="161"/>
    <tableColumn id="22" name="Pareja  08.2" dataDxfId="160"/>
    <tableColumn id="23" name="Pareja  09.1" dataDxfId="159"/>
    <tableColumn id="24" name="Pareja  09.2" dataDxfId="158"/>
    <tableColumn id="25" name="Pareja  10.1" dataDxfId="157"/>
    <tableColumn id="26" name="Pareja  10.2" dataDxfId="156"/>
    <tableColumn id="27" name="Pareja  11.1" dataDxfId="155"/>
    <tableColumn id="28" name="Pareja  11.2" dataDxfId="154"/>
    <tableColumn id="29" name="Pareja  12.1" dataDxfId="153"/>
    <tableColumn id="30" name="Pareja  12.14" dataDxfId="152"/>
    <tableColumn id="31" name="Pista 1" dataDxfId="151"/>
    <tableColumn id="32" name="Pista 2" dataDxfId="150"/>
    <tableColumn id="33" name="Pista 3" dataDxfId="149"/>
    <tableColumn id="34" name="Pista 4" dataDxfId="148"/>
    <tableColumn id="35" name="Imagen" dataDxfId="147"/>
  </tableColumns>
  <tableStyleInfo name="TableStyleMedium2" showFirstColumn="0" showLastColumn="0" showRowStripes="1" showColumnStripes="0"/>
</table>
</file>

<file path=xl/tables/table6.xml><?xml version="1.0" encoding="utf-8"?>
<table xmlns="http://schemas.openxmlformats.org/spreadsheetml/2006/main" id="5" name="Tabl_RC" displayName="Tabl_RC" ref="A4:AI5" totalsRowShown="0">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 dataDxfId="146">
      <calculatedColumnFormula>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calculatedColumnFormula>
    </tableColumn>
    <tableColumn id="2" name="Columna1" dataDxfId="145"/>
    <tableColumn id="3" name="Columna2" dataDxfId="144"/>
    <tableColumn id="4" name="May" dataDxfId="143"/>
    <tableColumn id="5" name="Descripcion" dataDxfId="142"/>
    <tableColumn id="6" name="Enunciado" dataDxfId="141"/>
    <tableColumn id="7" name="Respuesta 01" dataDxfId="140"/>
    <tableColumn id="8" name="Puntos 01" dataDxfId="139"/>
    <tableColumn id="9" name="Retroalim. 01" dataDxfId="138"/>
    <tableColumn id="10" name="Respuesta 02" dataDxfId="137"/>
    <tableColumn id="11" name="Puntos 02" dataDxfId="136"/>
    <tableColumn id="12" name="Retroalim. 02" dataDxfId="135"/>
    <tableColumn id="13" name="Respuesta 03" dataDxfId="134"/>
    <tableColumn id="14" name="Puntos 03" dataDxfId="133"/>
    <tableColumn id="15" name="Retroalim. 03" dataDxfId="132"/>
    <tableColumn id="16" name="Respuesta 04" dataDxfId="131"/>
    <tableColumn id="17" name="Puntos 04" dataDxfId="130"/>
    <tableColumn id="18" name="Retroalim. 04" dataDxfId="129"/>
    <tableColumn id="19" name="Respuesta 05" dataDxfId="128"/>
    <tableColumn id="20" name="Puntos 05" dataDxfId="127"/>
    <tableColumn id="21" name="Retroalim. 05" dataDxfId="126"/>
    <tableColumn id="22" name="Respuesta 06" dataDxfId="125"/>
    <tableColumn id="23" name="Puntos 06" dataDxfId="124"/>
    <tableColumn id="24" name="Retroalim. 06" dataDxfId="123"/>
    <tableColumn id="25" name="Respuesta 07" dataDxfId="122"/>
    <tableColumn id="26" name="Puntos 07" dataDxfId="121"/>
    <tableColumn id="27" name="Retroalim. 07" dataDxfId="120"/>
    <tableColumn id="28" name="Respuesta 08" dataDxfId="119"/>
    <tableColumn id="29" name="Puntos 08" dataDxfId="118"/>
    <tableColumn id="30" name="Retroalim. 08" dataDxfId="117"/>
    <tableColumn id="31" name="Pista 1" dataDxfId="116"/>
    <tableColumn id="32" name="Pista 2" dataDxfId="115"/>
    <tableColumn id="33" name="Pista 3" dataDxfId="114"/>
    <tableColumn id="34" name="Pista 4" dataDxfId="113"/>
    <tableColumn id="35" name="Imagen" dataDxfId="112"/>
  </tableColumns>
  <tableStyleInfo name="TableStyleMedium2" showFirstColumn="0" showLastColumn="0" showRowStripes="1" showColumnStripes="0"/>
</table>
</file>

<file path=xl/tables/table7.xml><?xml version="1.0" encoding="utf-8"?>
<table xmlns="http://schemas.openxmlformats.org/spreadsheetml/2006/main" id="6" name="Tabla_PP" displayName="Tabla_PP" ref="A4:AI5" totalsRowShown="0" headerRowDxfId="111" dataDxfId="110">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Palabra " dataDxfId="109">
      <calculatedColumnFormula>IF(COUNTA(Tabla_PP[[#This Row],[GP 01]:[P 12]])/2=0,"",COUNTA(Tabla_PP[[#This Row],[GP 01]:[P 12]])/2)</calculatedColumnFormula>
    </tableColumn>
    <tableColumn id="2" name="C1" dataDxfId="108"/>
    <tableColumn id="3" name="Columna2" dataDxfId="107"/>
    <tableColumn id="4" name="Columna3" dataDxfId="106"/>
    <tableColumn id="5" name="Descripcion" dataDxfId="105"/>
    <tableColumn id="6" name="Enunciado" dataDxfId="104"/>
    <tableColumn id="7" name="GP 01" dataDxfId="103"/>
    <tableColumn id="8" name="P 01" dataDxfId="102"/>
    <tableColumn id="9" name="GP 02" dataDxfId="101"/>
    <tableColumn id="10" name="P 02" dataDxfId="100"/>
    <tableColumn id="11" name="GP 03" dataDxfId="99"/>
    <tableColumn id="12" name="P 03" dataDxfId="98"/>
    <tableColumn id="13" name="GP 04" dataDxfId="97"/>
    <tableColumn id="14" name="P 04" dataDxfId="96"/>
    <tableColumn id="15" name="GP 05" dataDxfId="95"/>
    <tableColumn id="16" name="P 05" dataDxfId="94"/>
    <tableColumn id="17" name="GP 06" dataDxfId="93"/>
    <tableColumn id="18" name="P 06" dataDxfId="92"/>
    <tableColumn id="19" name="GP 07" dataDxfId="91"/>
    <tableColumn id="20" name="P 07" dataDxfId="90"/>
    <tableColumn id="21" name="GP 08" dataDxfId="89"/>
    <tableColumn id="22" name="P 08" dataDxfId="88"/>
    <tableColumn id="23" name="GP 09" dataDxfId="87"/>
    <tableColumn id="24" name="P 09" dataDxfId="86"/>
    <tableColumn id="25" name="GP 10" dataDxfId="85"/>
    <tableColumn id="26" name="P 10" dataDxfId="84"/>
    <tableColumn id="27" name="GP 11" dataDxfId="83"/>
    <tableColumn id="28" name="P 11" dataDxfId="82"/>
    <tableColumn id="29" name="GP 12" dataDxfId="81"/>
    <tableColumn id="30" name="P 12" dataDxfId="80"/>
    <tableColumn id="31" name="Pista 1" dataDxfId="79"/>
    <tableColumn id="32" name="Pista 2" dataDxfId="78"/>
    <tableColumn id="33" name="Pista 3" dataDxfId="77"/>
    <tableColumn id="34" name="Pista 4" dataDxfId="76"/>
    <tableColumn id="35" name="Imagen" dataDxfId="75"/>
  </tableColumns>
  <tableStyleInfo name="TableStyleMedium2" showFirstColumn="0" showLastColumn="0" showRowStripes="1" showColumnStripes="0"/>
</table>
</file>

<file path=xl/tables/table8.xml><?xml version="1.0" encoding="utf-8"?>
<table xmlns="http://schemas.openxmlformats.org/spreadsheetml/2006/main" id="7" name="Tabla_EN" displayName="Tabla_EN" ref="A4:AI5" totalsRowShown="0" dataDxfId="72">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71"/>
    <tableColumn id="2" name="C2" dataDxfId="70"/>
    <tableColumn id="3" name="Columna1" dataDxfId="69"/>
    <tableColumn id="4" name="Columna2" dataDxfId="68"/>
    <tableColumn id="5" name="Descripción" dataDxfId="67"/>
    <tableColumn id="6" name="FastTest PlugIn - ENSAYO_x000a__x000a_Enunciado de la pregunta" dataDxfId="66"/>
    <tableColumn id="7" name="Formato de la Respuesta_x000a_Requerir texto" dataDxfId="65"/>
    <tableColumn id="8" name="Requerir texto" dataDxfId="64"/>
    <tableColumn id="9" name="Tamaño de la caja de entrada" dataDxfId="63"/>
    <tableColumn id="10" name="Permitir archivos adjuntos" dataDxfId="62"/>
    <tableColumn id="11" name="Archivos adjuntos requeridos" dataDxfId="61"/>
    <tableColumn id="12" name="Plantilla de Respuesta" dataDxfId="60"/>
    <tableColumn id="13" name="Información para el evaluador" dataDxfId="59"/>
    <tableColumn id="14" name="Columna3" dataDxfId="58"/>
    <tableColumn id="15" name="Columna4" dataDxfId="57"/>
    <tableColumn id="16" name="Columna5" dataDxfId="56"/>
    <tableColumn id="17" name="Columna6" dataDxfId="55"/>
    <tableColumn id="18" name="Columna7" dataDxfId="54"/>
    <tableColumn id="19" name="Columna8" dataDxfId="53"/>
    <tableColumn id="20" name="Columna9" dataDxfId="52"/>
    <tableColumn id="21" name="Columna10" dataDxfId="51"/>
    <tableColumn id="22" name="Columna11" dataDxfId="50"/>
    <tableColumn id="23" name="Columna12" dataDxfId="49"/>
    <tableColumn id="24" name="Columna13" dataDxfId="48"/>
    <tableColumn id="25" name="Columna14" dataDxfId="47"/>
    <tableColumn id="26" name="Columna15" dataDxfId="46"/>
    <tableColumn id="27" name="Columna16" dataDxfId="45"/>
    <tableColumn id="28" name="Columna17" dataDxfId="44"/>
    <tableColumn id="29" name="Columna18" dataDxfId="43"/>
    <tableColumn id="30" name="Columna19" dataDxfId="42"/>
    <tableColumn id="31" name="Columna20" dataDxfId="41"/>
    <tableColumn id="32" name="Columna21" dataDxfId="40"/>
    <tableColumn id="33" name="Columna22" dataDxfId="39"/>
    <tableColumn id="34" name="Columna23" dataDxfId="38"/>
    <tableColumn id="35" name="Imagen" dataDxfId="37"/>
  </tableColumns>
  <tableStyleInfo name="TableStyleMedium2" showFirstColumn="0" showLastColumn="0" showRowStripes="1" showColumnStripes="0"/>
</table>
</file>

<file path=xl/tables/table9.xml><?xml version="1.0" encoding="utf-8"?>
<table xmlns="http://schemas.openxmlformats.org/spreadsheetml/2006/main" id="8" name="Tabla_CL" displayName="Tabla_CL" ref="A4:AI5" totalsRowShown="0" headerRowDxfId="36" dataDxfId="35">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34"/>
    <tableColumn id="2" name="C2" dataDxfId="33"/>
    <tableColumn id="3" name="Columna1" dataDxfId="32"/>
    <tableColumn id="4" name="Columna2" dataDxfId="31"/>
    <tableColumn id="5" name="Descripcion" dataDxfId="30"/>
    <tableColumn id="6" name="Enunciado" dataDxfId="29"/>
    <tableColumn id="7" name="Ancho RC" dataDxfId="28"/>
    <tableColumn id="8" name="Columna3" dataDxfId="27"/>
    <tableColumn id="9" name="Columna4" dataDxfId="26"/>
    <tableColumn id="10" name="Columna5" dataDxfId="25"/>
    <tableColumn id="11" name="Columna6" dataDxfId="24"/>
    <tableColumn id="12" name="Columna7" dataDxfId="23"/>
    <tableColumn id="13" name="Columna8" dataDxfId="22"/>
    <tableColumn id="14" name="Columna9" dataDxfId="21"/>
    <tableColumn id="15" name="Columna10" dataDxfId="20"/>
    <tableColumn id="16" name="Columna11" dataDxfId="19"/>
    <tableColumn id="17" name="Columna12" dataDxfId="18"/>
    <tableColumn id="18" name="Columna13" dataDxfId="17"/>
    <tableColumn id="19" name="Columna14" dataDxfId="16"/>
    <tableColumn id="20" name="Columna15" dataDxfId="15"/>
    <tableColumn id="21" name="Columna16" dataDxfId="14"/>
    <tableColumn id="22" name="Columna17" dataDxfId="13"/>
    <tableColumn id="23" name="Columna18" dataDxfId="12"/>
    <tableColumn id="24" name="Columna19" dataDxfId="11"/>
    <tableColumn id="25" name="Columna20" dataDxfId="10"/>
    <tableColumn id="26" name="Columna21" dataDxfId="9"/>
    <tableColumn id="27" name="Columna22" dataDxfId="8"/>
    <tableColumn id="28" name="Columna23" dataDxfId="7"/>
    <tableColumn id="29" name="Columna24" dataDxfId="6"/>
    <tableColumn id="30" name="Columna25" dataDxfId="5"/>
    <tableColumn id="31" name="Pista 1" dataDxfId="4"/>
    <tableColumn id="32" name="Pista 2" dataDxfId="3"/>
    <tableColumn id="33" name="Pista 3" dataDxfId="2"/>
    <tableColumn id="34" name="Pista 4" dataDxfId="1"/>
    <tableColumn id="35" name="Imagen"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youtube.com/playlist?app=desktop&amp;list=PLBy0dKFd_LuIN21tTezMcUen28a--ebab" TargetMode="External"/><Relationship Id="rId2" Type="http://schemas.openxmlformats.org/officeDocument/2006/relationships/hyperlink" Target="mailto:fasttestplugin@gmail.com" TargetMode="External"/><Relationship Id="rId1" Type="http://schemas.openxmlformats.org/officeDocument/2006/relationships/hyperlink" Target="https://www.youtube.com/playlist?app=desktop&amp;list=PLBy0dKFd_LuIN21tTezMcUen28a--ebab" TargetMode="External"/><Relationship Id="rId6" Type="http://schemas.openxmlformats.org/officeDocument/2006/relationships/table" Target="../tables/table1.xml"/><Relationship Id="rId5" Type="http://schemas.openxmlformats.org/officeDocument/2006/relationships/drawing" Target="../drawings/drawing1.xml"/><Relationship Id="rId4" Type="http://schemas.openxmlformats.org/officeDocument/2006/relationships/hyperlink" Target="https://www.youtube.com/channel/UC8O0Q5YfdpcmcZKuFeYvsow"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00"/>
  <dimension ref="A1:T47"/>
  <sheetViews>
    <sheetView showGridLines="0" showRowColHeaders="0" tabSelected="1" zoomScale="140" zoomScaleNormal="140" workbookViewId="0">
      <pane xSplit="26" ySplit="55" topLeftCell="XFD1048576" activePane="bottomRight" state="frozen"/>
      <selection pane="topRight" activeCell="AF1" sqref="AF1"/>
      <selection pane="bottomLeft" activeCell="A56" sqref="A56"/>
      <selection pane="bottomRight" activeCell="A11" sqref="A11:A13"/>
    </sheetView>
  </sheetViews>
  <sheetFormatPr baseColWidth="10" defaultColWidth="0" defaultRowHeight="15" zeroHeight="1" x14ac:dyDescent="0.25"/>
  <cols>
    <col min="1" max="1" width="10.7109375" customWidth="1"/>
    <col min="2" max="2" width="2.7109375" customWidth="1"/>
    <col min="3" max="18" width="7.85546875" customWidth="1"/>
    <col min="19" max="19" width="2.7109375" customWidth="1"/>
    <col min="20" max="20" width="10.7109375" customWidth="1"/>
    <col min="21" max="16384" width="11.42578125" hidden="1"/>
  </cols>
  <sheetData>
    <row r="1" spans="1:19" ht="29.25" thickTop="1" x14ac:dyDescent="0.25">
      <c r="A1" s="268" t="s">
        <v>387</v>
      </c>
      <c r="B1" s="287" t="s">
        <v>5</v>
      </c>
      <c r="C1" s="288"/>
      <c r="D1" s="288"/>
      <c r="E1" s="288"/>
      <c r="F1" s="288"/>
      <c r="G1" s="288"/>
      <c r="H1" s="288"/>
      <c r="I1" s="288"/>
      <c r="J1" s="288"/>
      <c r="K1" s="288"/>
      <c r="L1" s="288"/>
      <c r="M1" s="288"/>
      <c r="N1" s="288"/>
      <c r="O1" s="288"/>
      <c r="P1" s="288"/>
      <c r="Q1" s="288"/>
      <c r="R1" s="288"/>
      <c r="S1" s="289"/>
    </row>
    <row r="2" spans="1:19" ht="6" customHeight="1" x14ac:dyDescent="0.25">
      <c r="A2" s="269"/>
      <c r="B2" s="7"/>
      <c r="C2" s="8"/>
      <c r="D2" s="8"/>
      <c r="E2" s="8"/>
      <c r="F2" s="8"/>
      <c r="G2" s="8"/>
      <c r="H2" s="8"/>
      <c r="I2" s="8"/>
      <c r="J2" s="8"/>
      <c r="K2" s="8"/>
      <c r="L2" s="8"/>
      <c r="M2" s="8"/>
      <c r="N2" s="8"/>
      <c r="O2" s="8"/>
      <c r="P2" s="8"/>
      <c r="Q2" s="8"/>
      <c r="R2" s="8"/>
      <c r="S2" s="9"/>
    </row>
    <row r="3" spans="1:19" x14ac:dyDescent="0.25">
      <c r="A3" s="269"/>
      <c r="B3" s="7"/>
      <c r="C3" s="8"/>
      <c r="D3" s="8"/>
      <c r="E3" s="8"/>
      <c r="F3" s="8"/>
      <c r="G3" s="276" t="str">
        <f ca="1">INDIRECT("Z_IN_04_"&amp;IDIOMA)</f>
        <v>Esta Aplicación ha sido desarrollada, en la primera versión, por:</v>
      </c>
      <c r="H3" s="276"/>
      <c r="I3" s="276"/>
      <c r="J3" s="276"/>
      <c r="K3" s="276"/>
      <c r="L3" s="276"/>
      <c r="M3" s="276"/>
      <c r="N3" s="276"/>
      <c r="O3" s="8"/>
      <c r="P3" s="8"/>
      <c r="Q3" s="8"/>
      <c r="R3" s="8"/>
      <c r="S3" s="9"/>
    </row>
    <row r="4" spans="1:19" ht="6" customHeight="1" x14ac:dyDescent="0.25">
      <c r="A4" s="269"/>
      <c r="B4" s="7"/>
      <c r="C4" s="8"/>
      <c r="D4" s="8"/>
      <c r="E4" s="8"/>
      <c r="F4" s="8"/>
      <c r="G4" s="8"/>
      <c r="H4" s="8"/>
      <c r="I4" s="8"/>
      <c r="J4" s="8"/>
      <c r="K4" s="8"/>
      <c r="L4" s="8"/>
      <c r="M4" s="8"/>
      <c r="N4" s="8"/>
      <c r="O4" s="8"/>
      <c r="P4" s="8"/>
      <c r="Q4" s="8"/>
      <c r="R4" s="8"/>
      <c r="S4" s="9"/>
    </row>
    <row r="5" spans="1:19" ht="15.75" customHeight="1" x14ac:dyDescent="0.25">
      <c r="A5" s="269"/>
      <c r="B5" s="7"/>
      <c r="C5" s="8"/>
      <c r="D5" s="8"/>
      <c r="E5" s="8"/>
      <c r="F5" s="293"/>
      <c r="G5" s="293"/>
      <c r="H5" s="199"/>
      <c r="I5" s="277" t="s">
        <v>0</v>
      </c>
      <c r="J5" s="277"/>
      <c r="K5" s="277"/>
      <c r="L5" s="277"/>
      <c r="M5" s="198"/>
      <c r="N5" s="275"/>
      <c r="O5" s="275"/>
      <c r="P5" s="8"/>
      <c r="Q5" s="8"/>
      <c r="R5" s="8"/>
      <c r="S5" s="9"/>
    </row>
    <row r="6" spans="1:19" ht="6" customHeight="1" x14ac:dyDescent="0.25">
      <c r="A6" s="269"/>
      <c r="B6" s="7"/>
      <c r="C6" s="8"/>
      <c r="D6" s="8"/>
      <c r="E6" s="8"/>
      <c r="F6" s="293"/>
      <c r="G6" s="293"/>
      <c r="H6" s="199"/>
      <c r="I6" s="8"/>
      <c r="J6" s="8"/>
      <c r="K6" s="8"/>
      <c r="L6" s="8"/>
      <c r="M6" s="198"/>
      <c r="N6" s="275"/>
      <c r="O6" s="275"/>
      <c r="P6" s="279" t="str">
        <f ca="1">INDIRECT("Z_IN_01_"&amp;IDIOMA)</f>
        <v>CANAL YOUTUBE</v>
      </c>
      <c r="Q6" s="279"/>
      <c r="R6" s="279"/>
      <c r="S6" s="9"/>
    </row>
    <row r="7" spans="1:19" ht="15" customHeight="1" x14ac:dyDescent="0.25">
      <c r="A7" s="269"/>
      <c r="B7" s="7"/>
      <c r="C7" s="8"/>
      <c r="D7" s="8"/>
      <c r="E7" s="8"/>
      <c r="F7" s="293"/>
      <c r="G7" s="293"/>
      <c r="H7" s="199"/>
      <c r="I7" s="276" t="str">
        <f ca="1">INDIRECT("Z_IN_05_"&amp;IDIOMA)</f>
        <v>Universidad de Cádiz</v>
      </c>
      <c r="J7" s="276"/>
      <c r="K7" s="276"/>
      <c r="L7" s="276"/>
      <c r="M7" s="198"/>
      <c r="N7" s="275"/>
      <c r="O7" s="275"/>
      <c r="P7" s="279"/>
      <c r="Q7" s="279"/>
      <c r="R7" s="279"/>
      <c r="S7" s="9"/>
    </row>
    <row r="8" spans="1:19" ht="6" customHeight="1" x14ac:dyDescent="0.25">
      <c r="A8" s="269"/>
      <c r="B8" s="7"/>
      <c r="C8" s="8"/>
      <c r="D8" s="8"/>
      <c r="E8" s="8"/>
      <c r="F8" s="293"/>
      <c r="G8" s="293"/>
      <c r="H8" s="199"/>
      <c r="I8" s="8"/>
      <c r="J8" s="8"/>
      <c r="K8" s="8"/>
      <c r="L8" s="8"/>
      <c r="M8" s="198"/>
      <c r="N8" s="275"/>
      <c r="O8" s="275"/>
      <c r="P8" s="8"/>
      <c r="Q8" s="8"/>
      <c r="R8" s="8"/>
      <c r="S8" s="9"/>
    </row>
    <row r="9" spans="1:19" ht="15.75" thickBot="1" x14ac:dyDescent="0.3">
      <c r="A9" s="270"/>
      <c r="B9" s="7"/>
      <c r="C9" s="290" t="str">
        <f ca="1">INDIRECT("Z_IN_03_"&amp;IDIOMA)</f>
        <v>LEER CON ATENCIÓN</v>
      </c>
      <c r="D9" s="290"/>
      <c r="E9" s="8"/>
      <c r="F9" s="293"/>
      <c r="G9" s="293"/>
      <c r="H9" s="199"/>
      <c r="I9" s="278" t="s">
        <v>10</v>
      </c>
      <c r="J9" s="278"/>
      <c r="K9" s="278"/>
      <c r="L9" s="278"/>
      <c r="M9" s="198"/>
      <c r="N9" s="275"/>
      <c r="O9" s="275"/>
      <c r="P9" s="280" t="s">
        <v>480</v>
      </c>
      <c r="Q9" s="280"/>
      <c r="R9" s="280"/>
      <c r="S9" s="9"/>
    </row>
    <row r="10" spans="1:19" ht="6" customHeight="1" x14ac:dyDescent="0.25">
      <c r="B10" s="7"/>
      <c r="C10" s="8"/>
      <c r="D10" s="8"/>
      <c r="E10" s="8"/>
      <c r="F10" s="293"/>
      <c r="G10" s="293"/>
      <c r="H10" s="199"/>
      <c r="I10" s="8"/>
      <c r="J10" s="8"/>
      <c r="K10" s="8"/>
      <c r="L10" s="8"/>
      <c r="M10" s="198"/>
      <c r="N10" s="275"/>
      <c r="O10" s="275"/>
      <c r="P10" s="8"/>
      <c r="Q10" s="8"/>
      <c r="R10" s="8"/>
      <c r="S10" s="9"/>
    </row>
    <row r="11" spans="1:19" ht="15" customHeight="1" x14ac:dyDescent="0.25">
      <c r="A11" s="271" t="s">
        <v>12</v>
      </c>
      <c r="B11" s="7"/>
      <c r="C11" s="8"/>
      <c r="D11" s="291" t="str">
        <f ca="1">INDIRECT("Z_IN_06_"&amp;IDIOMA)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v>
      </c>
      <c r="E11" s="291"/>
      <c r="F11" s="291"/>
      <c r="G11" s="291"/>
      <c r="H11" s="291"/>
      <c r="I11" s="291"/>
      <c r="J11" s="291"/>
      <c r="K11" s="291"/>
      <c r="L11" s="291"/>
      <c r="M11" s="291"/>
      <c r="N11" s="291"/>
      <c r="O11" s="291"/>
      <c r="P11" s="291"/>
      <c r="Q11" s="291"/>
      <c r="R11" s="291"/>
      <c r="S11" s="9"/>
    </row>
    <row r="12" spans="1:19" ht="6" customHeight="1" x14ac:dyDescent="0.25">
      <c r="A12" s="271"/>
      <c r="B12" s="7"/>
      <c r="C12" s="8"/>
      <c r="D12" s="291"/>
      <c r="E12" s="291"/>
      <c r="F12" s="291"/>
      <c r="G12" s="291"/>
      <c r="H12" s="291"/>
      <c r="I12" s="291"/>
      <c r="J12" s="291"/>
      <c r="K12" s="291"/>
      <c r="L12" s="291"/>
      <c r="M12" s="291"/>
      <c r="N12" s="291"/>
      <c r="O12" s="291"/>
      <c r="P12" s="291"/>
      <c r="Q12" s="291"/>
      <c r="R12" s="291"/>
      <c r="S12" s="9"/>
    </row>
    <row r="13" spans="1:19" x14ac:dyDescent="0.25">
      <c r="A13" s="271"/>
      <c r="B13" s="7"/>
      <c r="C13" s="8"/>
      <c r="D13" s="291"/>
      <c r="E13" s="291"/>
      <c r="F13" s="291"/>
      <c r="G13" s="291"/>
      <c r="H13" s="291"/>
      <c r="I13" s="291"/>
      <c r="J13" s="291"/>
      <c r="K13" s="291"/>
      <c r="L13" s="291"/>
      <c r="M13" s="291"/>
      <c r="N13" s="291"/>
      <c r="O13" s="291"/>
      <c r="P13" s="291"/>
      <c r="Q13" s="291"/>
      <c r="R13" s="291"/>
      <c r="S13" s="9"/>
    </row>
    <row r="14" spans="1:19" ht="6" customHeight="1" x14ac:dyDescent="0.25">
      <c r="B14" s="7"/>
      <c r="C14" s="8"/>
      <c r="D14" s="291"/>
      <c r="E14" s="291"/>
      <c r="F14" s="291"/>
      <c r="G14" s="291"/>
      <c r="H14" s="291"/>
      <c r="I14" s="291"/>
      <c r="J14" s="291"/>
      <c r="K14" s="291"/>
      <c r="L14" s="291"/>
      <c r="M14" s="291"/>
      <c r="N14" s="291"/>
      <c r="O14" s="291"/>
      <c r="P14" s="291"/>
      <c r="Q14" s="291"/>
      <c r="R14" s="291"/>
      <c r="S14" s="9"/>
    </row>
    <row r="15" spans="1:19" x14ac:dyDescent="0.25">
      <c r="B15" s="7"/>
      <c r="C15" s="8"/>
      <c r="D15" s="291"/>
      <c r="E15" s="291"/>
      <c r="F15" s="291"/>
      <c r="G15" s="291"/>
      <c r="H15" s="291"/>
      <c r="I15" s="291"/>
      <c r="J15" s="291"/>
      <c r="K15" s="291"/>
      <c r="L15" s="291"/>
      <c r="M15" s="291"/>
      <c r="N15" s="291"/>
      <c r="O15" s="291"/>
      <c r="P15" s="291"/>
      <c r="Q15" s="291"/>
      <c r="R15" s="291"/>
      <c r="S15" s="9"/>
    </row>
    <row r="16" spans="1:19" ht="6" customHeight="1" x14ac:dyDescent="0.25">
      <c r="B16" s="7"/>
      <c r="C16" s="8"/>
      <c r="D16" s="291"/>
      <c r="E16" s="291"/>
      <c r="F16" s="291"/>
      <c r="G16" s="291"/>
      <c r="H16" s="291"/>
      <c r="I16" s="291"/>
      <c r="J16" s="291"/>
      <c r="K16" s="291"/>
      <c r="L16" s="291"/>
      <c r="M16" s="291"/>
      <c r="N16" s="291"/>
      <c r="O16" s="291"/>
      <c r="P16" s="291"/>
      <c r="Q16" s="291"/>
      <c r="R16" s="291"/>
      <c r="S16" s="9"/>
    </row>
    <row r="17" spans="1:19" x14ac:dyDescent="0.25">
      <c r="A17" s="272" t="str">
        <f>IFERROR(HLOOKUP(LANGUAGE,DICCIONARIO!F1:K20,20,0),LANGUAGE)</f>
        <v>PERSONALIZAR DICCIONARIO</v>
      </c>
      <c r="B17" s="7"/>
      <c r="C17" s="8"/>
      <c r="D17" s="291"/>
      <c r="E17" s="291"/>
      <c r="F17" s="291"/>
      <c r="G17" s="291"/>
      <c r="H17" s="291"/>
      <c r="I17" s="291"/>
      <c r="J17" s="291"/>
      <c r="K17" s="291"/>
      <c r="L17" s="291"/>
      <c r="M17" s="291"/>
      <c r="N17" s="291"/>
      <c r="O17" s="291"/>
      <c r="P17" s="291"/>
      <c r="Q17" s="291"/>
      <c r="R17" s="291"/>
      <c r="S17" s="9"/>
    </row>
    <row r="18" spans="1:19" ht="6" customHeight="1" x14ac:dyDescent="0.25">
      <c r="A18" s="272"/>
      <c r="B18" s="7"/>
      <c r="C18" s="8"/>
      <c r="D18" s="291"/>
      <c r="E18" s="291"/>
      <c r="F18" s="291"/>
      <c r="G18" s="291"/>
      <c r="H18" s="291"/>
      <c r="I18" s="291"/>
      <c r="J18" s="291"/>
      <c r="K18" s="291"/>
      <c r="L18" s="291"/>
      <c r="M18" s="291"/>
      <c r="N18" s="291"/>
      <c r="O18" s="291"/>
      <c r="P18" s="291"/>
      <c r="Q18" s="291"/>
      <c r="R18" s="291"/>
      <c r="S18" s="9"/>
    </row>
    <row r="19" spans="1:19" x14ac:dyDescent="0.25">
      <c r="A19" s="272"/>
      <c r="B19" s="7"/>
      <c r="C19" s="8"/>
      <c r="D19" s="291"/>
      <c r="E19" s="291"/>
      <c r="F19" s="291"/>
      <c r="G19" s="291"/>
      <c r="H19" s="291"/>
      <c r="I19" s="291"/>
      <c r="J19" s="291"/>
      <c r="K19" s="291"/>
      <c r="L19" s="291"/>
      <c r="M19" s="291"/>
      <c r="N19" s="291"/>
      <c r="O19" s="291"/>
      <c r="P19" s="291"/>
      <c r="Q19" s="291"/>
      <c r="R19" s="291"/>
      <c r="S19" s="9"/>
    </row>
    <row r="20" spans="1:19" ht="6" customHeight="1" x14ac:dyDescent="0.25">
      <c r="B20" s="7"/>
      <c r="C20" s="8"/>
      <c r="D20" s="291"/>
      <c r="E20" s="291"/>
      <c r="F20" s="291"/>
      <c r="G20" s="291"/>
      <c r="H20" s="291"/>
      <c r="I20" s="291"/>
      <c r="J20" s="291"/>
      <c r="K20" s="291"/>
      <c r="L20" s="291"/>
      <c r="M20" s="291"/>
      <c r="N20" s="291"/>
      <c r="O20" s="291"/>
      <c r="P20" s="291"/>
      <c r="Q20" s="291"/>
      <c r="R20" s="291"/>
      <c r="S20" s="9"/>
    </row>
    <row r="21" spans="1:19" x14ac:dyDescent="0.25">
      <c r="B21" s="7"/>
      <c r="C21" s="8"/>
      <c r="D21" s="291"/>
      <c r="E21" s="291"/>
      <c r="F21" s="291"/>
      <c r="G21" s="291"/>
      <c r="H21" s="291"/>
      <c r="I21" s="291"/>
      <c r="J21" s="291"/>
      <c r="K21" s="291"/>
      <c r="L21" s="291"/>
      <c r="M21" s="291"/>
      <c r="N21" s="291"/>
      <c r="O21" s="291"/>
      <c r="P21" s="291"/>
      <c r="Q21" s="291"/>
      <c r="R21" s="291"/>
      <c r="S21" s="9"/>
    </row>
    <row r="22" spans="1:19" ht="5.0999999999999996" customHeight="1" thickBot="1" x14ac:dyDescent="0.3">
      <c r="B22" s="7"/>
      <c r="C22" s="8"/>
      <c r="D22" s="82"/>
      <c r="E22" s="82"/>
      <c r="F22" s="82"/>
      <c r="G22" s="82"/>
      <c r="H22" s="82"/>
      <c r="I22" s="82"/>
      <c r="J22" s="82"/>
      <c r="K22" s="82"/>
      <c r="L22" s="82"/>
      <c r="M22" s="82"/>
      <c r="N22" s="82"/>
      <c r="O22" s="82"/>
      <c r="P22" s="82"/>
      <c r="Q22" s="82"/>
      <c r="R22" s="82"/>
      <c r="S22" s="9"/>
    </row>
    <row r="23" spans="1:19" ht="15" customHeight="1" thickBot="1" x14ac:dyDescent="0.3">
      <c r="B23" s="7"/>
      <c r="C23" s="281" t="str">
        <f ca="1">INDIRECT("Z_BP_10_"&amp;IDIOMA)</f>
        <v>OM 1R</v>
      </c>
      <c r="D23" s="292"/>
      <c r="E23" s="281" t="str">
        <f ca="1">INDIRECT("Z_BP_11_"&amp;IDIOMA)</f>
        <v>OM +R</v>
      </c>
      <c r="F23" s="282"/>
      <c r="G23" s="281" t="str">
        <f ca="1">INDIRECT("Z_BP_12_"&amp;IDIOMA)</f>
        <v>VF</v>
      </c>
      <c r="H23" s="282"/>
      <c r="I23" s="281" t="str">
        <f ca="1">INDIRECT("Z_BP_13_"&amp;IDIOMA)</f>
        <v>EM</v>
      </c>
      <c r="J23" s="292"/>
      <c r="K23" s="281" t="str">
        <f ca="1">INDIRECT("Z_BP_14_"&amp;IDIOMA)</f>
        <v>RC</v>
      </c>
      <c r="L23" s="282"/>
      <c r="M23" s="281" t="str">
        <f ca="1">INDIRECT("Z_BP_15_"&amp;IDIOMA)</f>
        <v>PP</v>
      </c>
      <c r="N23" s="282"/>
      <c r="O23" s="281" t="str">
        <f ca="1">INDIRECT("Z_BP_31_"&amp;IDIOMA)</f>
        <v>EN</v>
      </c>
      <c r="P23" s="282"/>
      <c r="Q23" s="281" t="str">
        <f ca="1">INDIRECT("Z_BP_16_"&amp;IDIOMA)</f>
        <v>CL</v>
      </c>
      <c r="R23" s="282"/>
      <c r="S23" s="9"/>
    </row>
    <row r="24" spans="1:19" ht="14.45" customHeight="1" x14ac:dyDescent="0.25">
      <c r="B24" s="7"/>
      <c r="C24" s="297" t="str">
        <f ca="1">INDIRECT("Z_IN_08_"&amp;IDIOMA)</f>
        <v xml:space="preserve">Opción Múltiple 1R </v>
      </c>
      <c r="D24" s="283"/>
      <c r="E24" s="283" t="str">
        <f ca="1">INDIRECT("Z_IN_09_"&amp;IDIOMA)</f>
        <v xml:space="preserve">Opción Múltiple +R </v>
      </c>
      <c r="F24" s="283"/>
      <c r="G24" s="283" t="str">
        <f ca="1">INDIRECT("Z_IN_10_"&amp;IDIOMA)</f>
        <v>Verdadero/Falso</v>
      </c>
      <c r="H24" s="283"/>
      <c r="I24" s="283" t="str">
        <f ca="1">INDIRECT("Z_IN_11_"&amp;IDIOMA)</f>
        <v>Emparejar</v>
      </c>
      <c r="J24" s="283"/>
      <c r="K24" s="283" t="str">
        <f ca="1">INDIRECT("Z_IN_12_"&amp;IDIOMA)</f>
        <v>Respuesta Corta</v>
      </c>
      <c r="L24" s="283"/>
      <c r="M24" s="283" t="str">
        <f ca="1">INDIRECT("Z_IN_13_"&amp;IDIOMA)</f>
        <v>Palabra Perdida</v>
      </c>
      <c r="N24" s="283"/>
      <c r="O24" s="283" t="str">
        <f ca="1">INDIRECT("Z_IN_16_"&amp;IDIOMA)</f>
        <v>Ensayo</v>
      </c>
      <c r="P24" s="283"/>
      <c r="Q24" s="283" t="str">
        <f ca="1">INDIRECT("Z_IN_14_"&amp;IDIOMA)</f>
        <v>Cloze</v>
      </c>
      <c r="R24" s="285"/>
      <c r="S24" s="9"/>
    </row>
    <row r="25" spans="1:19" ht="6" customHeight="1" thickBot="1" x14ac:dyDescent="0.3">
      <c r="B25" s="7"/>
      <c r="C25" s="298"/>
      <c r="D25" s="284"/>
      <c r="E25" s="284"/>
      <c r="F25" s="284"/>
      <c r="G25" s="284"/>
      <c r="H25" s="284"/>
      <c r="I25" s="284"/>
      <c r="J25" s="284"/>
      <c r="K25" s="284"/>
      <c r="L25" s="284"/>
      <c r="M25" s="284"/>
      <c r="N25" s="284"/>
      <c r="O25" s="284"/>
      <c r="P25" s="284"/>
      <c r="Q25" s="284"/>
      <c r="R25" s="286"/>
      <c r="S25" s="9"/>
    </row>
    <row r="26" spans="1:19" ht="15" customHeight="1" thickBot="1" x14ac:dyDescent="0.3">
      <c r="B26" s="7"/>
      <c r="C26" s="294" t="str">
        <f ca="1">'Datos OM'!G2&amp;" "&amp;INDIRECT("Z_IN_15_"&amp;IDIOMA)</f>
        <v>0 Preguntas</v>
      </c>
      <c r="D26" s="296"/>
      <c r="E26" s="294" t="str">
        <f ca="1">'Datos O2'!G2&amp;" "&amp;INDIRECT("Z_IN_15_"&amp;IDIOMA)</f>
        <v>0 Preguntas</v>
      </c>
      <c r="F26" s="295"/>
      <c r="G26" s="294" t="str">
        <f ca="1">'Datos VF'!G2&amp;" "&amp;INDIRECT("Z_IN_15_"&amp;IDIOMA)</f>
        <v>0 Preguntas</v>
      </c>
      <c r="H26" s="295"/>
      <c r="I26" s="294" t="str">
        <f ca="1">'Datos EM'!G2&amp;" "&amp;INDIRECT("Z_IN_15_"&amp;IDIOMA)</f>
        <v>0 Preguntas</v>
      </c>
      <c r="J26" s="296"/>
      <c r="K26" s="294" t="str">
        <f ca="1">'Datos RC'!G2&amp;" "&amp;INDIRECT("Z_IN_15_"&amp;IDIOMA)</f>
        <v>0 Preguntas</v>
      </c>
      <c r="L26" s="295"/>
      <c r="M26" s="294" t="str">
        <f ca="1">'Datos PP'!G2&amp;" "&amp;INDIRECT("Z_IN_15_"&amp;IDIOMA)</f>
        <v>0 Preguntas</v>
      </c>
      <c r="N26" s="295"/>
      <c r="O26" s="294" t="str">
        <f ca="1">'Datos EN'!G2&amp;" "&amp;INDIRECT("Z_IN_15_"&amp;IDIOMA)</f>
        <v>0 Preguntas</v>
      </c>
      <c r="P26" s="295"/>
      <c r="Q26" s="294" t="str">
        <f ca="1">'Datos CL'!G2&amp;" "&amp;INDIRECT("Z_IN_15_"&amp;IDIOMA)</f>
        <v>0 Preguntas</v>
      </c>
      <c r="R26" s="295"/>
      <c r="S26" s="9"/>
    </row>
    <row r="27" spans="1:19" ht="6" customHeight="1" x14ac:dyDescent="0.25">
      <c r="B27" s="7"/>
      <c r="C27" s="8"/>
      <c r="D27" s="273" t="str">
        <f ca="1">INDIRECT("Z_IN_07_"&amp;IDIOMA)</f>
        <v>Esta HOJA sirve para almacenar las preguntas y poder reutilizarlas cuando sea necesario, sin tener que volver a escribirlas para un nuevo BANCO DE PREGUNTAS.</v>
      </c>
      <c r="E27" s="273"/>
      <c r="F27" s="273"/>
      <c r="G27" s="273"/>
      <c r="H27" s="273"/>
      <c r="I27" s="273"/>
      <c r="J27" s="273"/>
      <c r="K27" s="273"/>
      <c r="L27" s="273"/>
      <c r="M27" s="273"/>
      <c r="N27" s="211"/>
      <c r="O27" s="10"/>
      <c r="P27" s="10"/>
      <c r="Q27" s="10"/>
      <c r="R27" s="10"/>
      <c r="S27" s="9"/>
    </row>
    <row r="28" spans="1:19" ht="15" customHeight="1" x14ac:dyDescent="0.25">
      <c r="B28" s="7"/>
      <c r="C28" s="8"/>
      <c r="D28" s="274"/>
      <c r="E28" s="274"/>
      <c r="F28" s="274"/>
      <c r="G28" s="274"/>
      <c r="H28" s="274"/>
      <c r="I28" s="274"/>
      <c r="J28" s="274"/>
      <c r="K28" s="274"/>
      <c r="L28" s="274"/>
      <c r="M28" s="274"/>
      <c r="N28" s="212"/>
      <c r="O28" s="198"/>
      <c r="P28" s="275"/>
      <c r="Q28" s="275"/>
      <c r="R28" s="275"/>
      <c r="S28" s="209"/>
    </row>
    <row r="29" spans="1:19" ht="6" customHeight="1" x14ac:dyDescent="0.25">
      <c r="B29" s="7"/>
      <c r="C29" s="8"/>
      <c r="D29" s="274"/>
      <c r="E29" s="274"/>
      <c r="F29" s="274"/>
      <c r="G29" s="274"/>
      <c r="H29" s="274"/>
      <c r="I29" s="274"/>
      <c r="J29" s="274"/>
      <c r="K29" s="274"/>
      <c r="L29" s="274"/>
      <c r="M29" s="274"/>
      <c r="N29" s="212"/>
      <c r="O29" s="198"/>
      <c r="P29" s="275"/>
      <c r="Q29" s="275"/>
      <c r="R29" s="275"/>
      <c r="S29" s="209"/>
    </row>
    <row r="30" spans="1:19" x14ac:dyDescent="0.25">
      <c r="B30" s="7"/>
      <c r="C30" s="8"/>
      <c r="D30" s="274"/>
      <c r="E30" s="274"/>
      <c r="F30" s="274"/>
      <c r="G30" s="274"/>
      <c r="H30" s="274"/>
      <c r="I30" s="274"/>
      <c r="J30" s="274"/>
      <c r="K30" s="274"/>
      <c r="L30" s="274"/>
      <c r="M30" s="274"/>
      <c r="N30" s="212"/>
      <c r="O30" s="198"/>
      <c r="P30" s="275"/>
      <c r="Q30" s="275"/>
      <c r="R30" s="275"/>
      <c r="S30" s="209"/>
    </row>
    <row r="31" spans="1:19" ht="6" customHeight="1" x14ac:dyDescent="0.25">
      <c r="B31" s="7"/>
      <c r="C31" s="8"/>
      <c r="D31" s="274"/>
      <c r="E31" s="274"/>
      <c r="F31" s="274"/>
      <c r="G31" s="274"/>
      <c r="H31" s="274"/>
      <c r="I31" s="274"/>
      <c r="J31" s="274"/>
      <c r="K31" s="274"/>
      <c r="L31" s="274"/>
      <c r="M31" s="274"/>
      <c r="N31" s="212"/>
      <c r="O31" s="198"/>
      <c r="P31" s="275"/>
      <c r="Q31" s="275"/>
      <c r="R31" s="275"/>
      <c r="S31" s="209"/>
    </row>
    <row r="32" spans="1:19" x14ac:dyDescent="0.25">
      <c r="B32" s="7"/>
      <c r="C32" s="8"/>
      <c r="D32" s="274"/>
      <c r="E32" s="274"/>
      <c r="F32" s="274"/>
      <c r="G32" s="274"/>
      <c r="H32" s="274"/>
      <c r="I32" s="274"/>
      <c r="J32" s="274"/>
      <c r="K32" s="274"/>
      <c r="L32" s="274"/>
      <c r="M32" s="274"/>
      <c r="N32" s="212"/>
      <c r="O32" s="198"/>
      <c r="P32" s="275"/>
      <c r="Q32" s="275"/>
      <c r="R32" s="275"/>
      <c r="S32" s="209"/>
    </row>
    <row r="33" spans="1:20" ht="6" customHeight="1" x14ac:dyDescent="0.25">
      <c r="B33" s="7"/>
      <c r="C33" s="8"/>
      <c r="D33" s="274"/>
      <c r="E33" s="274"/>
      <c r="F33" s="274"/>
      <c r="G33" s="274"/>
      <c r="H33" s="274"/>
      <c r="I33" s="274"/>
      <c r="J33" s="274"/>
      <c r="K33" s="274"/>
      <c r="L33" s="274"/>
      <c r="M33" s="274"/>
      <c r="N33" s="212"/>
      <c r="O33" s="198"/>
      <c r="P33" s="275"/>
      <c r="Q33" s="275"/>
      <c r="R33" s="275"/>
      <c r="S33" s="209"/>
    </row>
    <row r="34" spans="1:20" x14ac:dyDescent="0.25">
      <c r="B34" s="7"/>
      <c r="C34" s="8"/>
      <c r="D34" s="274"/>
      <c r="E34" s="274"/>
      <c r="F34" s="274"/>
      <c r="G34" s="274"/>
      <c r="H34" s="274"/>
      <c r="I34" s="274"/>
      <c r="J34" s="274"/>
      <c r="K34" s="274"/>
      <c r="L34" s="274"/>
      <c r="M34" s="274"/>
      <c r="N34" s="212"/>
      <c r="O34" s="198"/>
      <c r="P34" s="275"/>
      <c r="Q34" s="275"/>
      <c r="R34" s="275"/>
      <c r="S34" s="209"/>
    </row>
    <row r="35" spans="1:20" ht="9.9499999999999993" customHeight="1" thickBot="1" x14ac:dyDescent="0.3">
      <c r="B35" s="11"/>
      <c r="C35" s="12"/>
      <c r="D35" s="12"/>
      <c r="E35" s="12"/>
      <c r="F35" s="12"/>
      <c r="G35" s="12"/>
      <c r="H35" s="12"/>
      <c r="I35" s="12"/>
      <c r="J35" s="12"/>
      <c r="K35" s="12"/>
      <c r="L35" s="12"/>
      <c r="M35" s="93"/>
      <c r="N35" s="93"/>
      <c r="O35" s="93"/>
      <c r="P35" s="93"/>
      <c r="Q35" s="93"/>
      <c r="R35" s="93"/>
      <c r="S35" s="210"/>
    </row>
    <row r="36" spans="1:20" ht="15.75" hidden="1" thickTop="1" x14ac:dyDescent="0.25">
      <c r="B36" s="14"/>
      <c r="C36" s="14"/>
      <c r="D36" s="14"/>
      <c r="E36" s="13"/>
      <c r="F36" s="13"/>
      <c r="G36" s="13"/>
      <c r="H36" s="13"/>
      <c r="I36" s="13"/>
      <c r="J36" s="13"/>
      <c r="K36" s="13"/>
      <c r="L36" s="13"/>
      <c r="M36" s="13"/>
      <c r="N36" s="13"/>
      <c r="O36" s="13"/>
      <c r="P36" s="13"/>
      <c r="Q36" s="13"/>
      <c r="R36" s="13"/>
      <c r="S36" s="13"/>
      <c r="T36" s="13"/>
    </row>
    <row r="37" spans="1:20" hidden="1" x14ac:dyDescent="0.25">
      <c r="A37" s="65" t="str">
        <f>IFERROR(VLOOKUP(LANGUAGE,Tabla_ID[],2,0),"")</f>
        <v>S</v>
      </c>
    </row>
    <row r="38" spans="1:20" ht="15.75" hidden="1" thickBot="1" x14ac:dyDescent="0.3">
      <c r="A38" s="205" t="s">
        <v>389</v>
      </c>
      <c r="B38" s="206" t="s">
        <v>390</v>
      </c>
    </row>
    <row r="39" spans="1:20" hidden="1" x14ac:dyDescent="0.25">
      <c r="A39" s="66" t="s">
        <v>12</v>
      </c>
      <c r="B39" s="69" t="s">
        <v>13</v>
      </c>
    </row>
    <row r="40" spans="1:20" hidden="1" x14ac:dyDescent="0.25">
      <c r="A40" s="67" t="s">
        <v>19</v>
      </c>
      <c r="B40" s="70" t="s">
        <v>17</v>
      </c>
    </row>
    <row r="41" spans="1:20" hidden="1" x14ac:dyDescent="0.25">
      <c r="A41" s="67" t="s">
        <v>20</v>
      </c>
      <c r="B41" s="70" t="s">
        <v>15</v>
      </c>
    </row>
    <row r="42" spans="1:20" hidden="1" x14ac:dyDescent="0.25">
      <c r="A42" s="67" t="s">
        <v>21</v>
      </c>
      <c r="B42" s="70" t="s">
        <v>16</v>
      </c>
    </row>
    <row r="43" spans="1:20" hidden="1" x14ac:dyDescent="0.25">
      <c r="A43" s="67" t="s">
        <v>22</v>
      </c>
      <c r="B43" s="70" t="s">
        <v>14</v>
      </c>
    </row>
    <row r="44" spans="1:20" hidden="1" x14ac:dyDescent="0.25">
      <c r="A44" s="67" t="s">
        <v>23</v>
      </c>
      <c r="B44" s="70" t="s">
        <v>24</v>
      </c>
    </row>
    <row r="45" spans="1:20" ht="15.75" hidden="1" thickBot="1" x14ac:dyDescent="0.3">
      <c r="A45" s="68" t="str">
        <f>A17</f>
        <v>PERSONALIZAR DICCIONARIO</v>
      </c>
      <c r="B45" s="71" t="s">
        <v>388</v>
      </c>
    </row>
    <row r="46" spans="1:20" ht="5.0999999999999996" customHeight="1" thickTop="1" x14ac:dyDescent="0.25"/>
    <row r="47" spans="1:20" ht="15" customHeight="1" x14ac:dyDescent="0.25"/>
  </sheetData>
  <sheetProtection algorithmName="SHA-512" hashValue="TsGszwdofMHfphAXoo74dPOUcI/i5R5yKTAlJsYAk0WqWFNABM98Dp6aShTc7rZ4EjIHeLPPePav/yqHmSGRkA==" saltValue="uvISvvIZ5pUHLnQwjYR+Kg==" spinCount="100000" sheet="1" objects="1" scenarios="1" selectLockedCells="1"/>
  <mergeCells count="41">
    <mergeCell ref="P28:R29"/>
    <mergeCell ref="G26:H26"/>
    <mergeCell ref="I26:J26"/>
    <mergeCell ref="K26:L26"/>
    <mergeCell ref="C24:D25"/>
    <mergeCell ref="E24:F25"/>
    <mergeCell ref="G24:H25"/>
    <mergeCell ref="I24:J25"/>
    <mergeCell ref="K24:L25"/>
    <mergeCell ref="O24:P25"/>
    <mergeCell ref="M26:N26"/>
    <mergeCell ref="Q26:R26"/>
    <mergeCell ref="O26:P26"/>
    <mergeCell ref="C26:D26"/>
    <mergeCell ref="E26:F26"/>
    <mergeCell ref="B1:S1"/>
    <mergeCell ref="C9:D9"/>
    <mergeCell ref="D11:R21"/>
    <mergeCell ref="C23:D23"/>
    <mergeCell ref="E23:F23"/>
    <mergeCell ref="G23:H23"/>
    <mergeCell ref="I23:J23"/>
    <mergeCell ref="K23:L23"/>
    <mergeCell ref="N5:O10"/>
    <mergeCell ref="F5:G10"/>
    <mergeCell ref="A1:A9"/>
    <mergeCell ref="A11:A13"/>
    <mergeCell ref="A17:A19"/>
    <mergeCell ref="D27:M34"/>
    <mergeCell ref="P30:R34"/>
    <mergeCell ref="G3:N3"/>
    <mergeCell ref="I5:L5"/>
    <mergeCell ref="I7:L7"/>
    <mergeCell ref="I9:L9"/>
    <mergeCell ref="P6:R7"/>
    <mergeCell ref="P9:R9"/>
    <mergeCell ref="M23:N23"/>
    <mergeCell ref="O23:P23"/>
    <mergeCell ref="Q23:R23"/>
    <mergeCell ref="M24:N25"/>
    <mergeCell ref="Q24:R25"/>
  </mergeCells>
  <dataValidations count="1">
    <dataValidation type="list" allowBlank="1" showInputMessage="1" showErrorMessage="1" sqref="A11:A13">
      <formula1>$A$39:$A$45</formula1>
    </dataValidation>
  </dataValidations>
  <hyperlinks>
    <hyperlink ref="B1:S1" r:id="rId1" display="GENERAR BANCO DE PREGUNTAS PARA MOODLE Versión 3.8"/>
    <hyperlink ref="I9" r:id="rId2"/>
    <hyperlink ref="O1:P1" r:id="rId3" display="GENERAR BANCO DE PREGUNTAS PARA MOODLE Versión 3.8"/>
    <hyperlink ref="H5:K5" r:id="rId4" display="MILAGROS HUERTA GÓMEZ DE MERODIO"/>
  </hyperlinks>
  <pageMargins left="0.7" right="0.7" top="0.75" bottom="0.75" header="0.3" footer="0.3"/>
  <drawing r:id="rId5"/>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1"/>
  <dimension ref="A1:AI5"/>
  <sheetViews>
    <sheetView showGridLines="0" showRowColHeaders="0" zoomScale="125" zoomScaleNormal="125" workbookViewId="0">
      <pane xSplit="6" ySplit="3" topLeftCell="G5" activePane="bottomRight" state="frozen"/>
      <selection pane="topRight" activeCell="G1" sqref="G1"/>
      <selection pane="bottomLeft" activeCell="A4" sqref="A4"/>
      <selection pane="bottomRight" activeCell="H5" sqref="H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24" width="14.28515625" style="4" customWidth="1"/>
    <col min="25"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INDIRECT("Z_BP_10_"&amp;IDIOMA)&amp;"                  "&amp;INDIRECT("Z_BP_11_"&amp;IDIOMA)&amp;"                    "&amp;INDIRECT("Z_BP_12_"&amp;IDIOMA)&amp;"                         "&amp;INDIRECT("Z_BP_13_"&amp;IDIOMA)&amp;"                                "&amp;INDIRECT("Z_IN_00_"&amp;IDIOMA)</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8" t="str">
        <f ca="1">"    "&amp;INDIRECT("Z_BP_14_"&amp;IDIOMA)&amp;"                         "&amp;INDIRECT("Z_BP_15_"&amp;IDIOMA)&amp;"                         "&amp;INDIRECT("Z_BP_31_"&amp;IDIOMA)&amp;"                         "&amp;INDIRECT("Z_BP_16_"&amp;IDIOMA)&amp;"                                 "&amp;INDIRECT("Z_BP_02_"&amp;IDIOMA)</f>
        <v xml:space="preserve">    RC                         PP                         EN                         CL                                 DICCIONARIO</v>
      </c>
      <c r="G2" s="62">
        <f>COUNTA(Tabla_OM[Enunciado])</f>
        <v>0</v>
      </c>
    </row>
    <row r="3" spans="1:35" s="15" customFormat="1" ht="50.1" customHeight="1" x14ac:dyDescent="0.25">
      <c r="A3" s="80" t="str">
        <f ca="1">"N. "&amp;INDIRECT("Z_BP_05_"&amp;IDIOMA)</f>
        <v>N. Respuesta Correcta</v>
      </c>
      <c r="B3" s="80" t="str">
        <f ca="1">"N. "&amp;INDIRECT("Z_BP_06_"&amp;IDIOMA)</f>
        <v>N. Respuesta Incorrecta</v>
      </c>
      <c r="C3" s="110"/>
      <c r="D3" s="36"/>
      <c r="E3" s="37" t="str">
        <f ca="1">INDIRECT("Z_BP_04_"&amp;IDIOMA)</f>
        <v>Descripción</v>
      </c>
      <c r="F3" s="64" t="str">
        <f ca="1">"FastTest PlugIn - "&amp;UPPER(INICIO!C24)&amp;"
"&amp;INDIRECT("Z_BP_03_"&amp;IDIOMA)</f>
        <v>FastTest PlugIn - OPCIÓN MÚLTIPLE 1R 
Enunciado de la pregunta</v>
      </c>
      <c r="G3" s="96" t="str">
        <f ca="1">INDIRECT("Z_BP_19_"&amp;IDIOMA)&amp;" 1"</f>
        <v>Respuesta 1</v>
      </c>
      <c r="H3" s="97" t="str">
        <f ca="1">INDIRECT("Z_BP_19_"&amp;IDIOMA)&amp;" 2"</f>
        <v>Respuesta 2</v>
      </c>
      <c r="I3" s="98" t="str">
        <f ca="1">INDIRECT("Z_BP_19_"&amp;IDIOMA)&amp;" 3"</f>
        <v>Respuesta 3</v>
      </c>
      <c r="J3" s="99" t="str">
        <f ca="1">INDIRECT("Z_BP_19_"&amp;IDIOMA)&amp;" 4"</f>
        <v>Respuesta 4</v>
      </c>
      <c r="K3" s="100" t="str">
        <f ca="1">INDIRECT("Z_BP_19_"&amp;IDIOMA)&amp;" 5"</f>
        <v>Respuesta 5</v>
      </c>
      <c r="L3" s="101" t="str">
        <f ca="1">INDIRECT("Z_BP_19_"&amp;IDIOMA)&amp;" 6"</f>
        <v>Respuesta 6</v>
      </c>
      <c r="M3" s="102" t="str">
        <f ca="1">INDIRECT("Z_BP_07_"&amp;IDIOMA)&amp;" 1"</f>
        <v>Retroalim. 1</v>
      </c>
      <c r="N3" s="103" t="str">
        <f ca="1">INDIRECT("Z_BP_07_"&amp;IDIOMA)&amp;" 2"</f>
        <v>Retroalim. 2</v>
      </c>
      <c r="O3" s="104" t="str">
        <f ca="1">INDIRECT("Z_BP_07_"&amp;IDIOMA)&amp;" 3"</f>
        <v>Retroalim. 3</v>
      </c>
      <c r="P3" s="111" t="str">
        <f ca="1">INDIRECT("Z_BP_07_"&amp;IDIOMA)&amp;" 4"</f>
        <v>Retroalim. 4</v>
      </c>
      <c r="Q3" s="112" t="str">
        <f ca="1">INDIRECT("Z_BP_07_"&amp;IDIOMA)&amp;" 5"</f>
        <v>Retroalim. 5</v>
      </c>
      <c r="R3" s="113" t="str">
        <f ca="1">INDIRECT("Z_BP_07_"&amp;IDIOMA)&amp;" 6"</f>
        <v>Retroalim. 6</v>
      </c>
      <c r="S3" s="102" t="str">
        <f ca="1">INDIRECT("Z_BP_09_"&amp;IDIOMA)&amp;" 1"</f>
        <v>Puntos 1</v>
      </c>
      <c r="T3" s="103" t="str">
        <f ca="1">INDIRECT("Z_BP_09_"&amp;IDIOMA)&amp;" 2"</f>
        <v>Puntos 2</v>
      </c>
      <c r="U3" s="104" t="str">
        <f ca="1">INDIRECT("Z_BP_09_"&amp;IDIOMA)&amp;" 3"</f>
        <v>Puntos 3</v>
      </c>
      <c r="V3" s="111" t="str">
        <f ca="1">INDIRECT("Z_BP_09_"&amp;IDIOMA)&amp;" 4"</f>
        <v>Puntos 4</v>
      </c>
      <c r="W3" s="112" t="str">
        <f ca="1">INDIRECT("Z_BP_09_"&amp;IDIOMA)&amp;" 5"</f>
        <v>Puntos 5</v>
      </c>
      <c r="X3" s="113" t="str">
        <f ca="1">INDIRECT("Z_BP_09_"&amp;IDIOMA)&amp;" 6"</f>
        <v>Puntos 6</v>
      </c>
      <c r="Y3" s="113"/>
      <c r="Z3" s="113"/>
      <c r="AA3" s="113"/>
      <c r="AB3" s="113"/>
      <c r="AC3" s="113"/>
      <c r="AD3" s="113"/>
      <c r="AE3" s="114" t="str">
        <f ca="1">INDIRECT("Z_BP_08_"&amp;IDIOMA)&amp;" 1"</f>
        <v>Pista 1</v>
      </c>
      <c r="AF3" s="115" t="str">
        <f ca="1">INDIRECT("Z_BP_08_"&amp;IDIOMA)&amp;" 2"</f>
        <v>Pista 2</v>
      </c>
      <c r="AG3" s="116" t="str">
        <f ca="1">INDIRECT("Z_BP_08_"&amp;IDIOMA)&amp;" 3"</f>
        <v>Pista 3</v>
      </c>
      <c r="AH3" s="117" t="str">
        <f ca="1">INDIRECT("Z_BP_08_"&amp;IDIOMA)&amp;" 4"</f>
        <v>Pista 4</v>
      </c>
      <c r="AI3" s="94" t="s">
        <v>279</v>
      </c>
    </row>
    <row r="4" spans="1:35" s="15" customFormat="1" ht="50.1" hidden="1" customHeight="1" x14ac:dyDescent="0.25">
      <c r="A4" s="80" t="s">
        <v>409</v>
      </c>
      <c r="B4" s="80" t="s">
        <v>410</v>
      </c>
      <c r="C4" s="15" t="s">
        <v>298</v>
      </c>
      <c r="D4" s="36" t="s">
        <v>299</v>
      </c>
      <c r="E4" s="37" t="s">
        <v>411</v>
      </c>
      <c r="F4" s="64" t="s">
        <v>412</v>
      </c>
      <c r="G4" s="21" t="s">
        <v>280</v>
      </c>
      <c r="H4" s="22" t="s">
        <v>281</v>
      </c>
      <c r="I4" s="23" t="s">
        <v>282</v>
      </c>
      <c r="J4" s="24" t="s">
        <v>283</v>
      </c>
      <c r="K4" s="25" t="s">
        <v>284</v>
      </c>
      <c r="L4" s="26" t="s">
        <v>285</v>
      </c>
      <c r="M4" s="38" t="s">
        <v>286</v>
      </c>
      <c r="N4" s="39" t="s">
        <v>287</v>
      </c>
      <c r="O4" s="40" t="s">
        <v>288</v>
      </c>
      <c r="P4" s="41" t="s">
        <v>289</v>
      </c>
      <c r="Q4" s="42" t="s">
        <v>290</v>
      </c>
      <c r="R4" s="43" t="s">
        <v>291</v>
      </c>
      <c r="S4" s="38" t="s">
        <v>292</v>
      </c>
      <c r="T4" s="39" t="s">
        <v>293</v>
      </c>
      <c r="U4" s="40" t="s">
        <v>294</v>
      </c>
      <c r="V4" s="41" t="s">
        <v>295</v>
      </c>
      <c r="W4" s="42" t="s">
        <v>296</v>
      </c>
      <c r="X4" s="43" t="s">
        <v>297</v>
      </c>
      <c r="Y4" s="43" t="s">
        <v>371</v>
      </c>
      <c r="Z4" s="43" t="s">
        <v>372</v>
      </c>
      <c r="AA4" s="43" t="s">
        <v>373</v>
      </c>
      <c r="AB4" s="43" t="s">
        <v>374</v>
      </c>
      <c r="AC4" s="43" t="s">
        <v>375</v>
      </c>
      <c r="AD4" s="43" t="s">
        <v>376</v>
      </c>
      <c r="AE4" s="44" t="s">
        <v>275</v>
      </c>
      <c r="AF4" s="45" t="s">
        <v>276</v>
      </c>
      <c r="AG4" s="46" t="s">
        <v>277</v>
      </c>
      <c r="AH4" s="47" t="s">
        <v>278</v>
      </c>
      <c r="AI4" s="94" t="s">
        <v>279</v>
      </c>
    </row>
    <row r="5" spans="1:35" s="1" customFormat="1" x14ac:dyDescent="0.25">
      <c r="A5" s="220" t="str">
        <f>IF(COUNTIF(Tabla_OM[[#This Row],[Puntos 1]:[Puntos 6]],"&gt;0")=0,"",COUNTIF(Tabla_OM[[#This Row],[Puntos 1]:[Puntos 6]],"&gt;0"))</f>
        <v/>
      </c>
      <c r="B5" s="220" t="str">
        <f>IF(Tabla_OM[[#This Row],[NRC]]="","",COUNTA(Tabla_OM[[#This Row],[Respuesta 1]:[Respuesta 6]])-Tabla_OM[[#This Row],[NRC]])</f>
        <v/>
      </c>
      <c r="D5" s="48"/>
      <c r="E5" s="106"/>
      <c r="F5" s="105"/>
      <c r="G5" s="27"/>
      <c r="H5" s="28"/>
      <c r="I5" s="29"/>
      <c r="J5" s="30"/>
      <c r="K5" s="31"/>
      <c r="L5" s="32"/>
      <c r="M5" s="49"/>
      <c r="N5" s="50"/>
      <c r="O5" s="51"/>
      <c r="P5" s="52"/>
      <c r="Q5" s="53"/>
      <c r="R5" s="54"/>
      <c r="S5" s="49"/>
      <c r="T5" s="50"/>
      <c r="U5" s="51"/>
      <c r="V5" s="52"/>
      <c r="W5" s="53"/>
      <c r="X5" s="54"/>
      <c r="Y5" s="54"/>
      <c r="Z5" s="54"/>
      <c r="AA5" s="54"/>
      <c r="AB5" s="54"/>
      <c r="AC5" s="54"/>
      <c r="AD5" s="54"/>
      <c r="AE5" s="55"/>
      <c r="AF5" s="56"/>
      <c r="AG5" s="57"/>
      <c r="AH5" s="58"/>
      <c r="AI5" s="118"/>
    </row>
  </sheetData>
  <sheetProtection algorithmName="SHA-512" hashValue="ouhYIMb4oB9269deauopRwZE0mr2Cd2asSKXUzpRiciL7Z4ago8au9UyVama1D9hAi98pCjnEZlnmng0eEHSZw==" saltValue="H2Xyle6i+VrTiUQPpsfJvw==" spinCount="100000" sheet="1" objects="1" scenarios="1" selectLockedCells="1"/>
  <pageMargins left="0.7" right="0.7" top="0.75" bottom="0.75" header="0.3" footer="0.3"/>
  <pageSetup paperSize="9" orientation="portrait" horizontalDpi="1200" verticalDpi="12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dimension ref="A1:AI5"/>
  <sheetViews>
    <sheetView showGridLines="0" showRowColHeaders="0" zoomScale="125" zoomScaleNormal="125" workbookViewId="0">
      <pane xSplit="6" ySplit="3" topLeftCell="G5" activePane="bottomRight" state="frozen"/>
      <selection pane="topRight" activeCell="G1" sqref="G1"/>
      <selection pane="bottomLeft" activeCell="A4" sqref="A4"/>
      <selection pane="bottomRight" activeCell="G5" sqref="G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24" width="14.28515625" style="4" customWidth="1"/>
    <col min="25"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COUNTA(Tabla_O2[Enunciado])</f>
        <v>0</v>
      </c>
    </row>
    <row r="3" spans="1:35" s="15" customFormat="1" ht="50.1" customHeight="1" x14ac:dyDescent="0.25">
      <c r="A3" s="80" t="str">
        <f ca="1">"N. "&amp;INDIRECT("Z_BP_05_"&amp;IDIOMA)</f>
        <v>N. Respuesta Correcta</v>
      </c>
      <c r="B3" s="80" t="str">
        <f ca="1">"N. "&amp;INDIRECT("Z_BP_06_"&amp;IDIOMA)</f>
        <v>N. Respuesta Incorrecta</v>
      </c>
      <c r="C3" s="110"/>
      <c r="D3" s="36"/>
      <c r="E3" s="37" t="str">
        <f ca="1">INDIRECT("Z_BP_04_"&amp;IDIOMA)</f>
        <v>Descripción</v>
      </c>
      <c r="F3" s="64" t="str">
        <f ca="1">"FastTest PlugIn - "&amp;UPPER(INICIO!E24)&amp;"
"&amp;INDIRECT("Z_BP_03_"&amp;IDIOMA)</f>
        <v>FastTest PlugIn - OPCIÓN MÚLTIPLE +R 
Enunciado de la pregunta</v>
      </c>
      <c r="G3" s="96" t="str">
        <f ca="1">INDIRECT("Z_BP_19_"&amp;IDIOMA)&amp;" 1"</f>
        <v>Respuesta 1</v>
      </c>
      <c r="H3" s="97" t="str">
        <f ca="1">INDIRECT("Z_BP_19_"&amp;IDIOMA)&amp;" 2"</f>
        <v>Respuesta 2</v>
      </c>
      <c r="I3" s="98" t="str">
        <f ca="1">INDIRECT("Z_BP_19_"&amp;IDIOMA)&amp;" 3"</f>
        <v>Respuesta 3</v>
      </c>
      <c r="J3" s="99" t="str">
        <f ca="1">INDIRECT("Z_BP_19_"&amp;IDIOMA)&amp;" 4"</f>
        <v>Respuesta 4</v>
      </c>
      <c r="K3" s="100" t="str">
        <f ca="1">INDIRECT("Z_BP_19_"&amp;IDIOMA)&amp;" 5"</f>
        <v>Respuesta 5</v>
      </c>
      <c r="L3" s="101" t="str">
        <f ca="1">INDIRECT("Z_BP_19_"&amp;IDIOMA)&amp;" 6"</f>
        <v>Respuesta 6</v>
      </c>
      <c r="M3" s="102" t="str">
        <f ca="1">INDIRECT("Z_BP_07_"&amp;IDIOMA)&amp;" 1"</f>
        <v>Retroalim. 1</v>
      </c>
      <c r="N3" s="103" t="str">
        <f ca="1">INDIRECT("Z_BP_07_"&amp;IDIOMA)&amp;" 2"</f>
        <v>Retroalim. 2</v>
      </c>
      <c r="O3" s="104" t="str">
        <f ca="1">INDIRECT("Z_BP_07_"&amp;IDIOMA)&amp;" 3"</f>
        <v>Retroalim. 3</v>
      </c>
      <c r="P3" s="111" t="str">
        <f ca="1">INDIRECT("Z_BP_07_"&amp;IDIOMA)&amp;" 4"</f>
        <v>Retroalim. 4</v>
      </c>
      <c r="Q3" s="112" t="str">
        <f ca="1">INDIRECT("Z_BP_07_"&amp;IDIOMA)&amp;" 5"</f>
        <v>Retroalim. 5</v>
      </c>
      <c r="R3" s="113" t="str">
        <f ca="1">INDIRECT("Z_BP_07_"&amp;IDIOMA)&amp;" 6"</f>
        <v>Retroalim. 6</v>
      </c>
      <c r="S3" s="102" t="str">
        <f ca="1">INDIRECT("Z_BP_09_"&amp;IDIOMA)&amp;" 1"</f>
        <v>Puntos 1</v>
      </c>
      <c r="T3" s="103" t="str">
        <f ca="1">INDIRECT("Z_BP_09_"&amp;IDIOMA)&amp;" 2"</f>
        <v>Puntos 2</v>
      </c>
      <c r="U3" s="104" t="str">
        <f ca="1">INDIRECT("Z_BP_09_"&amp;IDIOMA)&amp;" 3"</f>
        <v>Puntos 3</v>
      </c>
      <c r="V3" s="111" t="str">
        <f ca="1">INDIRECT("Z_BP_09_"&amp;IDIOMA)&amp;" 4"</f>
        <v>Puntos 4</v>
      </c>
      <c r="W3" s="112" t="str">
        <f ca="1">INDIRECT("Z_BP_09_"&amp;IDIOMA)&amp;" 5"</f>
        <v>Puntos 5</v>
      </c>
      <c r="X3" s="113" t="str">
        <f ca="1">INDIRECT("Z_BP_09_"&amp;IDIOMA)&amp;" 6"</f>
        <v>Puntos 6</v>
      </c>
      <c r="Y3" s="113"/>
      <c r="Z3" s="113"/>
      <c r="AA3" s="113"/>
      <c r="AB3" s="113"/>
      <c r="AC3" s="113"/>
      <c r="AD3" s="113"/>
      <c r="AE3" s="114" t="str">
        <f ca="1">INDIRECT("Z_BP_08_"&amp;IDIOMA)&amp;" 1"</f>
        <v>Pista 1</v>
      </c>
      <c r="AF3" s="115" t="str">
        <f ca="1">INDIRECT("Z_BP_08_"&amp;IDIOMA)&amp;" 2"</f>
        <v>Pista 2</v>
      </c>
      <c r="AG3" s="116" t="str">
        <f ca="1">INDIRECT("Z_BP_08_"&amp;IDIOMA)&amp;" 3"</f>
        <v>Pista 3</v>
      </c>
      <c r="AH3" s="117" t="str">
        <f ca="1">INDIRECT("Z_BP_08_"&amp;IDIOMA)&amp;" 4"</f>
        <v>Pista 4</v>
      </c>
      <c r="AI3" s="94" t="str">
        <f>'Datos OM'!AI3</f>
        <v>Imagen</v>
      </c>
    </row>
    <row r="4" spans="1:35" s="15" customFormat="1" ht="50.1" hidden="1" customHeight="1" x14ac:dyDescent="0.25">
      <c r="A4" s="80" t="s">
        <v>409</v>
      </c>
      <c r="B4" s="80" t="s">
        <v>410</v>
      </c>
      <c r="C4" s="15" t="s">
        <v>298</v>
      </c>
      <c r="D4" s="36" t="s">
        <v>299</v>
      </c>
      <c r="E4" s="37" t="s">
        <v>411</v>
      </c>
      <c r="F4" s="64" t="s">
        <v>412</v>
      </c>
      <c r="G4" s="21" t="s">
        <v>280</v>
      </c>
      <c r="H4" s="22" t="s">
        <v>281</v>
      </c>
      <c r="I4" s="23" t="s">
        <v>282</v>
      </c>
      <c r="J4" s="24" t="s">
        <v>283</v>
      </c>
      <c r="K4" s="25" t="s">
        <v>284</v>
      </c>
      <c r="L4" s="26" t="s">
        <v>285</v>
      </c>
      <c r="M4" s="38" t="s">
        <v>286</v>
      </c>
      <c r="N4" s="39" t="s">
        <v>287</v>
      </c>
      <c r="O4" s="40" t="s">
        <v>288</v>
      </c>
      <c r="P4" s="41" t="s">
        <v>289</v>
      </c>
      <c r="Q4" s="42" t="s">
        <v>290</v>
      </c>
      <c r="R4" s="43" t="s">
        <v>291</v>
      </c>
      <c r="S4" s="38" t="s">
        <v>292</v>
      </c>
      <c r="T4" s="39" t="s">
        <v>293</v>
      </c>
      <c r="U4" s="40" t="s">
        <v>294</v>
      </c>
      <c r="V4" s="41" t="s">
        <v>295</v>
      </c>
      <c r="W4" s="42" t="s">
        <v>296</v>
      </c>
      <c r="X4" s="43" t="s">
        <v>297</v>
      </c>
      <c r="Y4" s="43" t="s">
        <v>371</v>
      </c>
      <c r="Z4" s="43" t="s">
        <v>372</v>
      </c>
      <c r="AA4" s="43" t="s">
        <v>373</v>
      </c>
      <c r="AB4" s="43" t="s">
        <v>374</v>
      </c>
      <c r="AC4" s="43" t="s">
        <v>375</v>
      </c>
      <c r="AD4" s="43" t="s">
        <v>376</v>
      </c>
      <c r="AE4" s="44" t="s">
        <v>275</v>
      </c>
      <c r="AF4" s="45" t="s">
        <v>276</v>
      </c>
      <c r="AG4" s="46" t="s">
        <v>277</v>
      </c>
      <c r="AH4" s="47" t="s">
        <v>278</v>
      </c>
      <c r="AI4" s="94" t="s">
        <v>279</v>
      </c>
    </row>
    <row r="5" spans="1:35" s="1" customFormat="1" x14ac:dyDescent="0.25">
      <c r="A5" s="220" t="str">
        <f>IF(COUNTIF(Tabla_O2[[#This Row],[Puntos 1]:[Puntos 6]],"&gt;0")=0,"",COUNTIF(Tabla_O2[[#This Row],[Puntos 1]:[Puntos 6]],"&gt;0"))</f>
        <v/>
      </c>
      <c r="B5" s="220" t="str">
        <f>IF(Tabla_O2[[#This Row],[NRC]]="","",COUNTA(Tabla_O2[[#This Row],[Respuesta 1]:[Respuesta 6]])-Tabla_O2[[#This Row],[NRC]])</f>
        <v/>
      </c>
      <c r="D5" s="48"/>
      <c r="E5" s="106"/>
      <c r="F5" s="105"/>
      <c r="G5" s="27"/>
      <c r="H5" s="28"/>
      <c r="I5" s="29"/>
      <c r="J5" s="30"/>
      <c r="K5" s="31"/>
      <c r="L5" s="32"/>
      <c r="M5" s="49"/>
      <c r="N5" s="50"/>
      <c r="O5" s="51"/>
      <c r="P5" s="52"/>
      <c r="Q5" s="53"/>
      <c r="R5" s="54"/>
      <c r="S5" s="49"/>
      <c r="T5" s="50"/>
      <c r="U5" s="51"/>
      <c r="V5" s="52"/>
      <c r="W5" s="53"/>
      <c r="X5" s="54"/>
      <c r="Y5" s="54"/>
      <c r="Z5" s="54"/>
      <c r="AA5" s="54"/>
      <c r="AB5" s="54"/>
      <c r="AC5" s="54"/>
      <c r="AD5" s="54"/>
      <c r="AE5" s="55"/>
      <c r="AF5" s="56"/>
      <c r="AG5" s="57"/>
      <c r="AH5" s="58"/>
      <c r="AI5" s="118"/>
    </row>
  </sheetData>
  <sheetProtection algorithmName="SHA-512" hashValue="ye4Z2ufBnxics0IuIFJ+yvl7VpvbFxz7qa5Au4B4m1Ty5DFQ7OLDg0vT+tzMrzp/DCNGBeZR0e/xaj8aSjYNBQ==" saltValue="L634xcAkHiYDxia2eKcvAg==" spinCount="100000" sheet="1" objects="1" scenarios="1" selectLockedCells="1"/>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3"/>
  <dimension ref="A1:AI5"/>
  <sheetViews>
    <sheetView showGridLines="0" showRowColHeaders="0" zoomScale="125" zoomScaleNormal="125" workbookViewId="0">
      <pane xSplit="6" ySplit="3" topLeftCell="G5" activePane="bottomRight" state="frozen"/>
      <selection pane="topRight" activeCell="G1" sqref="G1"/>
      <selection pane="bottomLeft" activeCell="A4" sqref="A4"/>
      <selection pane="bottomRight" activeCell="G5" sqref="G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9" width="12.5703125" style="4" customWidth="1"/>
    <col min="10" max="12" width="12.5703125" style="4" hidden="1" customWidth="1"/>
    <col min="13"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COUNTA(Tabla_VF[Enunciado])</f>
        <v>0</v>
      </c>
    </row>
    <row r="3" spans="1:35" s="15" customFormat="1" ht="50.1" customHeight="1" x14ac:dyDescent="0.25">
      <c r="A3" s="260"/>
      <c r="B3" s="260"/>
      <c r="C3" s="110"/>
      <c r="D3" s="36"/>
      <c r="E3" s="37" t="str">
        <f ca="1">INDIRECT("Z_BP_04_"&amp;IDIOMA)</f>
        <v>Descripción</v>
      </c>
      <c r="F3" s="64" t="str">
        <f ca="1">"FastTest PlugIn - "&amp;UPPER(INICIO!G24)&amp;"
"&amp;INDIRECT("Z_BP_03_"&amp;IDIOMA)</f>
        <v>FastTest PlugIn - VERDADERO/FALSO
Enunciado de la pregunta</v>
      </c>
      <c r="G3" s="96" t="str">
        <f ca="1">'Datos OM'!G3</f>
        <v>Respuesta 1</v>
      </c>
      <c r="H3" s="103" t="str">
        <f ca="1">'Datos OM'!M3</f>
        <v>Retroalim. 1</v>
      </c>
      <c r="I3" s="104" t="str">
        <f ca="1">'Datos OM'!N3</f>
        <v>Retroalim. 2</v>
      </c>
      <c r="J3" s="111"/>
      <c r="K3" s="112"/>
      <c r="L3" s="113"/>
      <c r="M3" s="102"/>
      <c r="N3" s="103"/>
      <c r="O3" s="104"/>
      <c r="P3" s="111"/>
      <c r="Q3" s="112"/>
      <c r="R3" s="113"/>
      <c r="S3" s="113"/>
      <c r="T3" s="113"/>
      <c r="U3" s="113"/>
      <c r="V3" s="113"/>
      <c r="W3" s="113"/>
      <c r="X3" s="113"/>
      <c r="Y3" s="113"/>
      <c r="Z3" s="113"/>
      <c r="AA3" s="113"/>
      <c r="AB3" s="113"/>
      <c r="AC3" s="113"/>
      <c r="AD3" s="113"/>
      <c r="AE3" s="114" t="str">
        <f ca="1">'Datos OM'!AE3</f>
        <v>Pista 1</v>
      </c>
      <c r="AF3" s="115" t="str">
        <f ca="1">'Datos OM'!AF3</f>
        <v>Pista 2</v>
      </c>
      <c r="AG3" s="116" t="str">
        <f ca="1">'Datos OM'!AG3</f>
        <v>Pista 3</v>
      </c>
      <c r="AH3" s="117" t="str">
        <f ca="1">'Datos OM'!AH3</f>
        <v>Pista 4</v>
      </c>
      <c r="AI3" s="94" t="str">
        <f>'Datos OM'!AI3</f>
        <v>Imagen</v>
      </c>
    </row>
    <row r="4" spans="1:35" s="15" customFormat="1" ht="20.100000000000001" hidden="1" customHeight="1" x14ac:dyDescent="0.25">
      <c r="A4" s="260" t="s">
        <v>379</v>
      </c>
      <c r="B4" s="260" t="s">
        <v>380</v>
      </c>
      <c r="C4" s="15" t="s">
        <v>300</v>
      </c>
      <c r="D4" s="36" t="s">
        <v>301</v>
      </c>
      <c r="E4" s="37" t="s">
        <v>411</v>
      </c>
      <c r="F4" s="64" t="s">
        <v>412</v>
      </c>
      <c r="G4" s="21" t="s">
        <v>280</v>
      </c>
      <c r="H4" s="39" t="s">
        <v>286</v>
      </c>
      <c r="I4" s="40" t="s">
        <v>287</v>
      </c>
      <c r="J4" s="41" t="s">
        <v>302</v>
      </c>
      <c r="K4" s="42" t="s">
        <v>303</v>
      </c>
      <c r="L4" s="43" t="s">
        <v>304</v>
      </c>
      <c r="M4" s="38" t="s">
        <v>305</v>
      </c>
      <c r="N4" s="39" t="s">
        <v>306</v>
      </c>
      <c r="O4" s="40" t="s">
        <v>307</v>
      </c>
      <c r="P4" s="41" t="s">
        <v>308</v>
      </c>
      <c r="Q4" s="42" t="s">
        <v>309</v>
      </c>
      <c r="R4" s="43" t="s">
        <v>310</v>
      </c>
      <c r="S4" s="43" t="s">
        <v>311</v>
      </c>
      <c r="T4" s="43" t="s">
        <v>312</v>
      </c>
      <c r="U4" s="43" t="s">
        <v>313</v>
      </c>
      <c r="V4" s="43" t="s">
        <v>314</v>
      </c>
      <c r="W4" s="43" t="s">
        <v>315</v>
      </c>
      <c r="X4" s="43" t="s">
        <v>316</v>
      </c>
      <c r="Y4" s="43" t="s">
        <v>317</v>
      </c>
      <c r="Z4" s="43" t="s">
        <v>318</v>
      </c>
      <c r="AA4" s="43" t="s">
        <v>319</v>
      </c>
      <c r="AB4" s="43" t="s">
        <v>320</v>
      </c>
      <c r="AC4" s="43" t="s">
        <v>321</v>
      </c>
      <c r="AD4" s="43" t="s">
        <v>322</v>
      </c>
      <c r="AE4" s="44" t="s">
        <v>275</v>
      </c>
      <c r="AF4" s="45" t="s">
        <v>276</v>
      </c>
      <c r="AG4" s="46" t="s">
        <v>277</v>
      </c>
      <c r="AH4" s="47" t="s">
        <v>278</v>
      </c>
      <c r="AI4" s="94" t="s">
        <v>279</v>
      </c>
    </row>
    <row r="5" spans="1:35" s="1" customFormat="1" x14ac:dyDescent="0.25">
      <c r="A5" s="261"/>
      <c r="B5" s="261"/>
      <c r="D5" s="48"/>
      <c r="E5" s="106"/>
      <c r="F5" s="105"/>
      <c r="G5" s="27"/>
      <c r="H5" s="50"/>
      <c r="I5" s="51"/>
      <c r="J5" s="52"/>
      <c r="K5" s="53"/>
      <c r="L5" s="54"/>
      <c r="M5" s="49"/>
      <c r="N5" s="50"/>
      <c r="O5" s="51"/>
      <c r="P5" s="52"/>
      <c r="Q5" s="53"/>
      <c r="R5" s="54"/>
      <c r="S5" s="54"/>
      <c r="T5" s="54"/>
      <c r="U5" s="54"/>
      <c r="V5" s="54"/>
      <c r="W5" s="54"/>
      <c r="X5" s="54"/>
      <c r="Y5" s="54"/>
      <c r="Z5" s="54"/>
      <c r="AA5" s="54"/>
      <c r="AB5" s="54"/>
      <c r="AC5" s="54"/>
      <c r="AD5" s="54"/>
      <c r="AE5" s="55"/>
      <c r="AF5" s="56"/>
      <c r="AG5" s="57"/>
      <c r="AH5" s="58"/>
      <c r="AI5" s="95"/>
    </row>
  </sheetData>
  <sheetProtection algorithmName="SHA-512" hashValue="yevwzehKKLKnIGOInTzHGGGRxBF3OanDcsSSbwFKjBBnKnpEsbz83a2D3nkqEu69y4gRMQPW7Tt19593JtQF2w==" saltValue="DNEg2m5yEpBxWopGG/5ihw==" spinCount="100000" sheet="1" objects="1" scenarios="1" selectLockedCells="1"/>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4"/>
  <dimension ref="A1:AI5"/>
  <sheetViews>
    <sheetView showGridLines="0" showRowColHeaders="0" zoomScale="125" zoomScaleNormal="125" workbookViewId="0">
      <pane xSplit="6" ySplit="3" topLeftCell="G5" activePane="bottomRight" state="frozen"/>
      <selection pane="topRight" activeCell="G1" sqref="G1"/>
      <selection pane="bottomLeft" activeCell="A4" sqref="A4"/>
      <selection pane="bottomRight" activeCell="G5" sqref="G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30" width="14.28515625" style="4" customWidth="1"/>
    <col min="31" max="33" width="11.42578125" style="4" customWidth="1"/>
    <col min="34"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COUNTA(Tabla_EM[Enunciado])</f>
        <v>0</v>
      </c>
    </row>
    <row r="3" spans="1:35" s="15" customFormat="1" ht="50.1" customHeight="1" x14ac:dyDescent="0.25">
      <c r="A3" s="89" t="str">
        <f ca="1">INDIRECT("Z_BP_17_"&amp;IDIOMA)</f>
        <v xml:space="preserve">Pareja </v>
      </c>
      <c r="B3" s="2"/>
      <c r="C3" s="33"/>
      <c r="D3" s="33"/>
      <c r="E3" s="37" t="str">
        <f ca="1">'Datos OM'!E3</f>
        <v>Descripción</v>
      </c>
      <c r="F3" s="64" t="str">
        <f ca="1">"FastTest PlugIn - "&amp;UPPER(INICIO!I24)&amp;"
"&amp;INDIRECT("Z_BP_03_"&amp;IDIOMA)</f>
        <v>FastTest PlugIn - EMPAREJAR
Enunciado de la pregunta</v>
      </c>
      <c r="G3" s="187" t="str">
        <f ca="1">$A$3&amp;" 01.1"</f>
        <v>Pareja  01.1</v>
      </c>
      <c r="H3" s="187" t="str">
        <f ca="1">$A$3&amp;" 01.2"</f>
        <v>Pareja  01.2</v>
      </c>
      <c r="I3" s="188" t="str">
        <f ca="1">$A$3&amp;" 02.1"</f>
        <v>Pareja  02.1</v>
      </c>
      <c r="J3" s="188" t="str">
        <f ca="1">$A$3&amp;" 02.2"</f>
        <v>Pareja  02.2</v>
      </c>
      <c r="K3" s="189" t="str">
        <f ca="1">$A$3&amp;" 03.1"</f>
        <v>Pareja  03.1</v>
      </c>
      <c r="L3" s="189" t="str">
        <f ca="1">$A$3&amp;" 03.2"</f>
        <v>Pareja  03.2</v>
      </c>
      <c r="M3" s="190" t="str">
        <f ca="1">$A$3&amp;" 04.1"</f>
        <v>Pareja  04.1</v>
      </c>
      <c r="N3" s="190" t="str">
        <f ca="1">$A$3&amp;" 04.2"</f>
        <v>Pareja  04.2</v>
      </c>
      <c r="O3" s="191" t="str">
        <f ca="1">$A$3&amp;" 05.1"</f>
        <v>Pareja  05.1</v>
      </c>
      <c r="P3" s="191" t="str">
        <f ca="1">$A$3&amp;" 05.2"</f>
        <v>Pareja  05.2</v>
      </c>
      <c r="Q3" s="192" t="str">
        <f ca="1">$A$3&amp;" 06.1"</f>
        <v>Pareja  06.1</v>
      </c>
      <c r="R3" s="192" t="str">
        <f ca="1">$A$3&amp;" 06.2"</f>
        <v>Pareja  06.2</v>
      </c>
      <c r="S3" s="187" t="str">
        <f ca="1">$A$3&amp;" 07.1"</f>
        <v>Pareja  07.1</v>
      </c>
      <c r="T3" s="187" t="str">
        <f ca="1">$A$3&amp;" 07.2"</f>
        <v>Pareja  07.2</v>
      </c>
      <c r="U3" s="188" t="str">
        <f ca="1">$A$3&amp;" 08.1"</f>
        <v>Pareja  08.1</v>
      </c>
      <c r="V3" s="188" t="str">
        <f ca="1">$A$3&amp;" 08.2"</f>
        <v>Pareja  08.2</v>
      </c>
      <c r="W3" s="189" t="str">
        <f ca="1">$A$3&amp;" 09.1"</f>
        <v>Pareja  09.1</v>
      </c>
      <c r="X3" s="189" t="str">
        <f ca="1">$A$3&amp;" 09.2"</f>
        <v>Pareja  09.2</v>
      </c>
      <c r="Y3" s="190" t="str">
        <f ca="1">$A$3&amp;" 10.1"</f>
        <v>Pareja  10.1</v>
      </c>
      <c r="Z3" s="190" t="str">
        <f ca="1">$A$3&amp;" 10.2"</f>
        <v>Pareja  10.2</v>
      </c>
      <c r="AA3" s="191" t="str">
        <f ca="1">$A$3&amp;" 11.1"</f>
        <v>Pareja  11.1</v>
      </c>
      <c r="AB3" s="191" t="str">
        <f ca="1">$A$3&amp;" 11.2"</f>
        <v>Pareja  11.2</v>
      </c>
      <c r="AC3" s="192" t="str">
        <f ca="1">$A$3&amp;" 12.1"</f>
        <v>Pareja  12.1</v>
      </c>
      <c r="AD3" s="192" t="str">
        <f ca="1">$A$3&amp;" 12.1"</f>
        <v>Pareja  12.1</v>
      </c>
      <c r="AE3" s="193" t="str">
        <f ca="1">'Datos OM'!AE3</f>
        <v>Pista 1</v>
      </c>
      <c r="AF3" s="194" t="str">
        <f ca="1">'Datos OM'!AF3</f>
        <v>Pista 2</v>
      </c>
      <c r="AG3" s="195" t="str">
        <f ca="1">'Datos OM'!AG3</f>
        <v>Pista 3</v>
      </c>
      <c r="AH3" s="196" t="str">
        <f ca="1">'Datos OM'!AH3</f>
        <v>Pista 4</v>
      </c>
      <c r="AI3" s="94" t="str">
        <f>'Datos OM'!AI3</f>
        <v>Imagen</v>
      </c>
    </row>
    <row r="4" spans="1:35" s="15" customFormat="1" ht="30.75" hidden="1" x14ac:dyDescent="0.25">
      <c r="A4" s="89" t="s">
        <v>162</v>
      </c>
      <c r="B4" s="20" t="s">
        <v>379</v>
      </c>
      <c r="C4" s="33" t="s">
        <v>299</v>
      </c>
      <c r="D4" s="33" t="s">
        <v>300</v>
      </c>
      <c r="E4" s="37" t="s">
        <v>411</v>
      </c>
      <c r="F4" s="64" t="s">
        <v>412</v>
      </c>
      <c r="G4" s="222" t="s">
        <v>323</v>
      </c>
      <c r="H4" s="222" t="s">
        <v>324</v>
      </c>
      <c r="I4" s="223" t="s">
        <v>325</v>
      </c>
      <c r="J4" s="223" t="s">
        <v>326</v>
      </c>
      <c r="K4" s="224" t="s">
        <v>327</v>
      </c>
      <c r="L4" s="224" t="s">
        <v>328</v>
      </c>
      <c r="M4" s="225" t="s">
        <v>329</v>
      </c>
      <c r="N4" s="225" t="s">
        <v>330</v>
      </c>
      <c r="O4" s="226" t="s">
        <v>331</v>
      </c>
      <c r="P4" s="226" t="s">
        <v>332</v>
      </c>
      <c r="Q4" s="227" t="s">
        <v>333</v>
      </c>
      <c r="R4" s="227" t="s">
        <v>334</v>
      </c>
      <c r="S4" s="222" t="s">
        <v>335</v>
      </c>
      <c r="T4" s="222" t="s">
        <v>336</v>
      </c>
      <c r="U4" s="223" t="s">
        <v>337</v>
      </c>
      <c r="V4" s="223" t="s">
        <v>338</v>
      </c>
      <c r="W4" s="224" t="s">
        <v>339</v>
      </c>
      <c r="X4" s="224" t="s">
        <v>340</v>
      </c>
      <c r="Y4" s="225" t="s">
        <v>341</v>
      </c>
      <c r="Z4" s="225" t="s">
        <v>342</v>
      </c>
      <c r="AA4" s="226" t="s">
        <v>343</v>
      </c>
      <c r="AB4" s="226" t="s">
        <v>344</v>
      </c>
      <c r="AC4" s="227" t="s">
        <v>345</v>
      </c>
      <c r="AD4" s="227" t="s">
        <v>346</v>
      </c>
      <c r="AE4" s="228" t="s">
        <v>275</v>
      </c>
      <c r="AF4" s="229" t="s">
        <v>276</v>
      </c>
      <c r="AG4" s="230" t="s">
        <v>277</v>
      </c>
      <c r="AH4" s="231" t="s">
        <v>278</v>
      </c>
      <c r="AI4" s="94" t="s">
        <v>279</v>
      </c>
    </row>
    <row r="5" spans="1:35" s="1" customFormat="1" x14ac:dyDescent="0.25">
      <c r="A5" s="90" t="str">
        <f>IF(COUNTA(Tabla_EM[[#This Row],[Pareja  01.1]:[Pareja  12.14]])/2=0,"",COUNTA(Tabla_EM[[#This Row],[Pareja  01.1]:[Pareja  12.14]])/2)</f>
        <v/>
      </c>
      <c r="B5" s="262"/>
      <c r="D5" s="48"/>
      <c r="E5" s="106"/>
      <c r="F5" s="105"/>
      <c r="G5" s="119"/>
      <c r="H5" s="119"/>
      <c r="I5" s="120"/>
      <c r="J5" s="120"/>
      <c r="K5" s="121"/>
      <c r="L5" s="121"/>
      <c r="M5" s="122"/>
      <c r="N5" s="122"/>
      <c r="O5" s="123"/>
      <c r="P5" s="123"/>
      <c r="Q5" s="124"/>
      <c r="R5" s="124"/>
      <c r="S5" s="119"/>
      <c r="T5" s="119"/>
      <c r="U5" s="120"/>
      <c r="V5" s="120"/>
      <c r="W5" s="121"/>
      <c r="X5" s="121"/>
      <c r="Y5" s="122"/>
      <c r="Z5" s="122"/>
      <c r="AA5" s="123"/>
      <c r="AB5" s="123"/>
      <c r="AC5" s="124"/>
      <c r="AD5" s="124"/>
      <c r="AE5" s="55"/>
      <c r="AF5" s="56"/>
      <c r="AG5" s="57"/>
      <c r="AH5" s="58" t="s">
        <v>449</v>
      </c>
      <c r="AI5" s="118"/>
    </row>
  </sheetData>
  <sheetProtection algorithmName="SHA-512" hashValue="QVz/RfopdLDsYn38oyFRKm/MYm0gZjwzfo8oA4g4fxz/EMnKjcC45xxFpTITwXJZ05lbXDiy9rt/m4i0zIsgJA==" saltValue="4BeaBc7UsbBDw1ibH/MhGA==" spinCount="100000" sheet="1" objects="1" scenarios="1" selectLockedCells="1"/>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5"/>
  <dimension ref="A1:AI5"/>
  <sheetViews>
    <sheetView showGridLines="0" showRowColHeaders="0" zoomScale="125" zoomScaleNormal="125" workbookViewId="0">
      <pane xSplit="6" ySplit="3" topLeftCell="G5" activePane="bottomRight" state="frozen"/>
      <selection pane="topRight" activeCell="G1" sqref="G1"/>
      <selection pane="bottomLeft" activeCell="A4" sqref="A4"/>
      <selection pane="bottomRight" activeCell="G5" sqref="G5"/>
    </sheetView>
  </sheetViews>
  <sheetFormatPr baseColWidth="10" defaultColWidth="0" defaultRowHeight="15" x14ac:dyDescent="0.25"/>
  <cols>
    <col min="1" max="1" width="3.7109375" style="5" customWidth="1"/>
    <col min="2" max="2" width="3.7109375" style="5" hidden="1" customWidth="1"/>
    <col min="3" max="3" width="3.7109375" style="4" hidden="1" customWidth="1"/>
    <col min="4" max="4" width="3.7109375" style="4" customWidth="1"/>
    <col min="5" max="5" width="18" style="5" customWidth="1"/>
    <col min="6" max="6" width="75.7109375" style="4" customWidth="1"/>
    <col min="7" max="7" width="13.85546875" style="4" customWidth="1"/>
    <col min="8" max="8" width="12.5703125" style="4" customWidth="1"/>
    <col min="9" max="9" width="14" style="4" customWidth="1"/>
    <col min="10" max="10" width="13.85546875" style="4" customWidth="1"/>
    <col min="11" max="11" width="12.5703125" style="4" customWidth="1"/>
    <col min="12" max="12" width="14" style="4" customWidth="1"/>
    <col min="13" max="30" width="14.28515625" style="4" customWidth="1"/>
    <col min="31" max="32" width="11.42578125" style="4" customWidth="1"/>
    <col min="33"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COUNTA(Tabl_RC[Enunciado])</f>
        <v>0</v>
      </c>
    </row>
    <row r="3" spans="1:35" s="15" customFormat="1" ht="50.1" customHeight="1" x14ac:dyDescent="0.25">
      <c r="A3" s="89" t="str">
        <f ca="1">INDIRECT("Z_BP_19_"&amp;IDIOMA)</f>
        <v>Respuesta</v>
      </c>
      <c r="B3" s="6"/>
      <c r="C3" s="33"/>
      <c r="D3" s="81" t="str">
        <f ca="1">INDIRECT("Z_BP_18_"&amp;IDIOMA)</f>
        <v>Mayúsculas</v>
      </c>
      <c r="E3" s="37" t="str">
        <f ca="1">'Datos OM'!E3</f>
        <v>Descripción</v>
      </c>
      <c r="F3" s="64" t="str">
        <f ca="1">"FastTest PlugIn - "&amp;UPPER(INICIO!K24)&amp;"
"&amp;INDIRECT("Z_BP_03_"&amp;IDIOMA)</f>
        <v>FastTest PlugIn - RESPUESTA CORTA
Enunciado de la pregunta</v>
      </c>
      <c r="G3" s="150" t="str">
        <f ca="1">$A$3&amp;" 01"</f>
        <v>Respuesta 01</v>
      </c>
      <c r="H3" s="151" t="str">
        <f ca="1">INDIRECT("Z_BP_09_"&amp;IDIOMA)&amp;" 01"</f>
        <v>Puntos 01</v>
      </c>
      <c r="I3" s="151" t="str">
        <f ca="1">INDIRECT("Z_BP_07_"&amp;IDIOMA)&amp;" 01"</f>
        <v>Retroalim. 01</v>
      </c>
      <c r="J3" s="152" t="str">
        <f ca="1">$A$3&amp;" 02"</f>
        <v>Respuesta 02</v>
      </c>
      <c r="K3" s="153" t="str">
        <f ca="1">INDIRECT("Z_BP_09_"&amp;IDIOMA)&amp;" 02"</f>
        <v>Puntos 02</v>
      </c>
      <c r="L3" s="153" t="str">
        <f ca="1">INDIRECT("Z_BP_07_"&amp;IDIOMA)&amp;" 02"</f>
        <v>Retroalim. 02</v>
      </c>
      <c r="M3" s="152" t="str">
        <f ca="1">$A$3&amp;" 03"</f>
        <v>Respuesta 03</v>
      </c>
      <c r="N3" s="153" t="str">
        <f ca="1">INDIRECT("Z_BP_09_"&amp;IDIOMA)&amp;" 03"</f>
        <v>Puntos 03</v>
      </c>
      <c r="O3" s="153" t="str">
        <f ca="1">INDIRECT("Z_BP_07_"&amp;IDIOMA)&amp;" 03"</f>
        <v>Retroalim. 03</v>
      </c>
      <c r="P3" s="154" t="str">
        <f ca="1">$A$3&amp;" 04"</f>
        <v>Respuesta 04</v>
      </c>
      <c r="Q3" s="155" t="str">
        <f ca="1">INDIRECT("Z_BP_09_"&amp;IDIOMA)&amp;" 04"</f>
        <v>Puntos 04</v>
      </c>
      <c r="R3" s="155" t="str">
        <f ca="1">INDIRECT("Z_BP_07_"&amp;IDIOMA)&amp;" 04"</f>
        <v>Retroalim. 04</v>
      </c>
      <c r="S3" s="156" t="str">
        <f ca="1">$A$3&amp;" 05"</f>
        <v>Respuesta 05</v>
      </c>
      <c r="T3" s="157" t="str">
        <f ca="1">INDIRECT("Z_BP_09_"&amp;IDIOMA)&amp;" 05"</f>
        <v>Puntos 05</v>
      </c>
      <c r="U3" s="157" t="str">
        <f ca="1">INDIRECT("Z_BP_07_"&amp;IDIOMA)&amp;" 05"</f>
        <v>Retroalim. 05</v>
      </c>
      <c r="V3" s="158" t="str">
        <f ca="1">$A$3&amp;" 06"</f>
        <v>Respuesta 06</v>
      </c>
      <c r="W3" s="159" t="str">
        <f ca="1">INDIRECT("Z_BP_09_"&amp;IDIOMA)&amp;" 06"</f>
        <v>Puntos 06</v>
      </c>
      <c r="X3" s="159" t="str">
        <f ca="1">INDIRECT("Z_BP_07_"&amp;IDIOMA)&amp;" 06"</f>
        <v>Retroalim. 06</v>
      </c>
      <c r="Y3" s="150" t="str">
        <f ca="1">$A$3&amp;" 07"</f>
        <v>Respuesta 07</v>
      </c>
      <c r="Z3" s="151" t="str">
        <f ca="1">INDIRECT("Z_BP_09_"&amp;IDIOMA)&amp;" 07"</f>
        <v>Puntos 07</v>
      </c>
      <c r="AA3" s="151" t="str">
        <f ca="1">INDIRECT("Z_BP_07_"&amp;IDIOMA)&amp;" 07"</f>
        <v>Retroalim. 07</v>
      </c>
      <c r="AB3" s="152" t="str">
        <f ca="1">$A$3&amp;" 08"</f>
        <v>Respuesta 08</v>
      </c>
      <c r="AC3" s="153" t="str">
        <f ca="1">INDIRECT("Z_BP_09_"&amp;IDIOMA)&amp;" 08"</f>
        <v>Puntos 08</v>
      </c>
      <c r="AD3" s="153" t="str">
        <f ca="1">INDIRECT("Z_BP_07_"&amp;IDIOMA)&amp;" 08"</f>
        <v>Retroalim. 08</v>
      </c>
      <c r="AE3" s="160" t="str">
        <f ca="1">'Datos OM'!AE3</f>
        <v>Pista 1</v>
      </c>
      <c r="AF3" s="161" t="str">
        <f ca="1">'Datos OM'!AF3</f>
        <v>Pista 2</v>
      </c>
      <c r="AG3" s="162" t="str">
        <f ca="1">'Datos OM'!AG3</f>
        <v>Pista 3</v>
      </c>
      <c r="AH3" s="163" t="str">
        <f ca="1">'Datos OM'!AH3</f>
        <v>Pista 4</v>
      </c>
      <c r="AI3" s="94" t="str">
        <f>'Datos OM'!AI3</f>
        <v>Imagen</v>
      </c>
    </row>
    <row r="4" spans="1:35" s="15" customFormat="1" ht="21.75" hidden="1" x14ac:dyDescent="0.25">
      <c r="A4" s="89" t="s">
        <v>414</v>
      </c>
      <c r="B4" s="6" t="s">
        <v>298</v>
      </c>
      <c r="C4" s="33" t="s">
        <v>299</v>
      </c>
      <c r="D4" s="129" t="s">
        <v>413</v>
      </c>
      <c r="E4" s="107" t="s">
        <v>411</v>
      </c>
      <c r="F4" s="108" t="s">
        <v>412</v>
      </c>
      <c r="G4" s="131" t="s">
        <v>347</v>
      </c>
      <c r="H4" s="132" t="s">
        <v>348</v>
      </c>
      <c r="I4" s="132" t="s">
        <v>349</v>
      </c>
      <c r="J4" s="133" t="s">
        <v>350</v>
      </c>
      <c r="K4" s="134" t="s">
        <v>351</v>
      </c>
      <c r="L4" s="134" t="s">
        <v>352</v>
      </c>
      <c r="M4" s="133" t="s">
        <v>353</v>
      </c>
      <c r="N4" s="134" t="s">
        <v>354</v>
      </c>
      <c r="O4" s="134" t="s">
        <v>355</v>
      </c>
      <c r="P4" s="135" t="s">
        <v>356</v>
      </c>
      <c r="Q4" s="136" t="s">
        <v>357</v>
      </c>
      <c r="R4" s="136" t="s">
        <v>358</v>
      </c>
      <c r="S4" s="137" t="s">
        <v>359</v>
      </c>
      <c r="T4" s="138" t="s">
        <v>360</v>
      </c>
      <c r="U4" s="138" t="s">
        <v>361</v>
      </c>
      <c r="V4" s="139" t="s">
        <v>362</v>
      </c>
      <c r="W4" s="140" t="s">
        <v>363</v>
      </c>
      <c r="X4" s="140" t="s">
        <v>364</v>
      </c>
      <c r="Y4" s="131" t="s">
        <v>365</v>
      </c>
      <c r="Z4" s="132" t="s">
        <v>366</v>
      </c>
      <c r="AA4" s="132" t="s">
        <v>367</v>
      </c>
      <c r="AB4" s="133" t="s">
        <v>368</v>
      </c>
      <c r="AC4" s="134" t="s">
        <v>369</v>
      </c>
      <c r="AD4" s="134" t="s">
        <v>370</v>
      </c>
      <c r="AE4" s="141" t="s">
        <v>275</v>
      </c>
      <c r="AF4" s="142" t="s">
        <v>276</v>
      </c>
      <c r="AG4" s="143" t="s">
        <v>277</v>
      </c>
      <c r="AH4" s="144" t="s">
        <v>278</v>
      </c>
      <c r="AI4" s="109" t="s">
        <v>279</v>
      </c>
    </row>
    <row r="5" spans="1:35" s="1" customFormat="1" x14ac:dyDescent="0.25">
      <c r="A5" s="91" t="str">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
      </c>
      <c r="B5" s="34"/>
      <c r="C5" s="35"/>
      <c r="D5" s="130"/>
      <c r="E5" s="106"/>
      <c r="F5" s="105"/>
      <c r="G5" s="119"/>
      <c r="H5" s="145"/>
      <c r="I5" s="145"/>
      <c r="J5" s="120"/>
      <c r="K5" s="146"/>
      <c r="L5" s="146"/>
      <c r="M5" s="120"/>
      <c r="N5" s="146"/>
      <c r="O5" s="146"/>
      <c r="P5" s="122"/>
      <c r="Q5" s="147"/>
      <c r="R5" s="147"/>
      <c r="S5" s="123"/>
      <c r="T5" s="148"/>
      <c r="U5" s="148"/>
      <c r="V5" s="124"/>
      <c r="W5" s="149"/>
      <c r="X5" s="149"/>
      <c r="Y5" s="119"/>
      <c r="Z5" s="145"/>
      <c r="AA5" s="145"/>
      <c r="AB5" s="120"/>
      <c r="AC5" s="146"/>
      <c r="AD5" s="146"/>
      <c r="AE5" s="125"/>
      <c r="AF5" s="126"/>
      <c r="AG5" s="127"/>
      <c r="AH5" s="128"/>
      <c r="AI5" s="118"/>
    </row>
  </sheetData>
  <sheetProtection algorithmName="SHA-512" hashValue="S0ce8iTNCRHnesRWF0wHhe3EQHYgnN4JlWDEB3CVNFfHmHIYLggDbaBXzHwWQUq/pPhvvVaDBWML93U1kYwr2Q==" saltValue="vTHH3jfFYQU24h1+lKAANQ==" spinCount="100000" sheet="1" objects="1" scenarios="1" selectLockedCells="1"/>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6"/>
  <dimension ref="A1:AI5"/>
  <sheetViews>
    <sheetView showGridLines="0" showRowColHeaders="0" zoomScale="125" zoomScaleNormal="125" workbookViewId="0">
      <pane xSplit="6" ySplit="3" topLeftCell="G5" activePane="bottomRight" state="frozen"/>
      <selection activeCell="G18" sqref="G18"/>
      <selection pane="topRight" activeCell="G18" sqref="G18"/>
      <selection pane="bottomLeft" activeCell="G18" sqref="G18"/>
      <selection pane="bottomRight" activeCell="G5" sqref="G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30" width="14.28515625" style="4" customWidth="1"/>
    <col min="31" max="33" width="11.42578125" style="4" customWidth="1"/>
    <col min="34"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COUNTA(Tabla_PP[Enunciado])</f>
        <v>0</v>
      </c>
    </row>
    <row r="3" spans="1:35" s="15" customFormat="1" ht="50.1" customHeight="1" x14ac:dyDescent="0.25">
      <c r="A3" s="92" t="str">
        <f ca="1">INDIRECT("Z_BP_20_"&amp;IDIOMA)</f>
        <v xml:space="preserve">Palabra </v>
      </c>
      <c r="B3" s="2"/>
      <c r="C3" s="33"/>
      <c r="D3" s="33"/>
      <c r="E3" s="20" t="str">
        <f ca="1">'Datos OM'!E3</f>
        <v>Descripción</v>
      </c>
      <c r="F3" s="64" t="str">
        <f ca="1">"FastTest PlugIn - "&amp;UPPER(INICIO!M24)&amp;"
"&amp;INDIRECT("Z_BP_03_"&amp;IDIOMA)</f>
        <v>FastTest PlugIn - PALABRA PERDIDA
Enunciado de la pregunta</v>
      </c>
      <c r="G3" s="168" t="str">
        <f ca="1">INDIRECT("Z_BP_23_"&amp;IDIOMA)&amp;"
"&amp;H3</f>
        <v>Grupo 
Palabra  01</v>
      </c>
      <c r="H3" s="168" t="str">
        <f ca="1">INDIRECT("Z_BP_20_"&amp;IDIOMA)&amp;" 01"</f>
        <v>Palabra  01</v>
      </c>
      <c r="I3" s="169" t="str">
        <f ca="1">INDIRECT("Z_BP_23_"&amp;IDIOMA)&amp;"
"&amp;J3</f>
        <v>Grupo 
Palabra  02</v>
      </c>
      <c r="J3" s="169" t="str">
        <f ca="1">INDIRECT("Z_BP_20_"&amp;IDIOMA)&amp;" 02"</f>
        <v>Palabra  02</v>
      </c>
      <c r="K3" s="168" t="str">
        <f ca="1">INDIRECT("Z_BP_23_"&amp;IDIOMA)&amp;"
"&amp;L3</f>
        <v>Grupo 
Palabra  03</v>
      </c>
      <c r="L3" s="168" t="str">
        <f ca="1">INDIRECT("Z_BP_20_"&amp;IDIOMA)&amp;" 03"</f>
        <v>Palabra  03</v>
      </c>
      <c r="M3" s="169" t="str">
        <f ca="1">INDIRECT("Z_BP_23_"&amp;IDIOMA)&amp;"
"&amp;N3</f>
        <v>Grupo 
Palabra  04</v>
      </c>
      <c r="N3" s="169" t="str">
        <f ca="1">INDIRECT("Z_BP_20_"&amp;IDIOMA)&amp;" 04"</f>
        <v>Palabra  04</v>
      </c>
      <c r="O3" s="168" t="str">
        <f ca="1">INDIRECT("Z_BP_23_"&amp;IDIOMA)&amp;"
"&amp;P3</f>
        <v>Grupo 
Palabra  05</v>
      </c>
      <c r="P3" s="168" t="str">
        <f ca="1">INDIRECT("Z_BP_20_"&amp;IDIOMA)&amp;" 05"</f>
        <v>Palabra  05</v>
      </c>
      <c r="Q3" s="169" t="str">
        <f ca="1">INDIRECT("Z_BP_23_"&amp;IDIOMA)&amp;"
"&amp;R3</f>
        <v>Grupo 
Palabra  06</v>
      </c>
      <c r="R3" s="169" t="str">
        <f ca="1">INDIRECT("Z_BP_20_"&amp;IDIOMA)&amp;" 06"</f>
        <v>Palabra  06</v>
      </c>
      <c r="S3" s="168" t="str">
        <f ca="1">INDIRECT("Z_BP_23_"&amp;IDIOMA)&amp;"
"&amp;T3</f>
        <v>Grupo 
Palabra  07</v>
      </c>
      <c r="T3" s="168" t="str">
        <f ca="1">INDIRECT("Z_BP_20_"&amp;IDIOMA)&amp;" 07"</f>
        <v>Palabra  07</v>
      </c>
      <c r="U3" s="169" t="str">
        <f ca="1">INDIRECT("Z_BP_23_"&amp;IDIOMA)&amp;"
"&amp;V3</f>
        <v>Grupo 
Palabra  08</v>
      </c>
      <c r="V3" s="169" t="str">
        <f ca="1">INDIRECT("Z_BP_20_"&amp;IDIOMA)&amp;" 08"</f>
        <v>Palabra  08</v>
      </c>
      <c r="W3" s="168" t="str">
        <f ca="1">INDIRECT("Z_BP_23_"&amp;IDIOMA)&amp;"
"&amp;X3</f>
        <v>Grupo 
Palabra  09</v>
      </c>
      <c r="X3" s="168" t="str">
        <f ca="1">INDIRECT("Z_BP_20_"&amp;IDIOMA)&amp;" 09"</f>
        <v>Palabra  09</v>
      </c>
      <c r="Y3" s="169" t="str">
        <f ca="1">INDIRECT("Z_BP_23_"&amp;IDIOMA)&amp;"
"&amp;Z3</f>
        <v>Grupo 
Palabra  10</v>
      </c>
      <c r="Z3" s="169" t="str">
        <f ca="1">INDIRECT("Z_BP_20_"&amp;IDIOMA)&amp;" 10"</f>
        <v>Palabra  10</v>
      </c>
      <c r="AA3" s="168" t="str">
        <f ca="1">INDIRECT("Z_BP_23_"&amp;IDIOMA)&amp;"
"&amp;AB3</f>
        <v>Grupo 
Palabra  11</v>
      </c>
      <c r="AB3" s="168" t="str">
        <f ca="1">INDIRECT("Z_BP_20_"&amp;IDIOMA)&amp;" 11"</f>
        <v>Palabra  11</v>
      </c>
      <c r="AC3" s="169" t="str">
        <f ca="1">INDIRECT("Z_BP_23_"&amp;IDIOMA)&amp;"
"&amp;AD3</f>
        <v>Grupo 
Palabra  12</v>
      </c>
      <c r="AD3" s="169" t="str">
        <f ca="1">INDIRECT("Z_BP_20_"&amp;IDIOMA)&amp;" 12"</f>
        <v>Palabra  12</v>
      </c>
      <c r="AE3" s="160" t="str">
        <f ca="1">'Datos OM'!AE3</f>
        <v>Pista 1</v>
      </c>
      <c r="AF3" s="161" t="str">
        <f ca="1">'Datos OM'!AF3</f>
        <v>Pista 2</v>
      </c>
      <c r="AG3" s="162" t="str">
        <f ca="1">'Datos OM'!AG3</f>
        <v>Pista 3</v>
      </c>
      <c r="AH3" s="163" t="str">
        <f ca="1">'Datos OM'!AH3</f>
        <v>Pista 4</v>
      </c>
      <c r="AI3" s="94" t="str">
        <f>'Datos OM'!AI3</f>
        <v>Imagen</v>
      </c>
    </row>
    <row r="4" spans="1:35" s="15" customFormat="1" ht="37.5" hidden="1" x14ac:dyDescent="0.25">
      <c r="A4" s="166" t="s">
        <v>181</v>
      </c>
      <c r="B4" s="263" t="s">
        <v>379</v>
      </c>
      <c r="C4" s="59" t="s">
        <v>299</v>
      </c>
      <c r="D4" s="59" t="s">
        <v>300</v>
      </c>
      <c r="E4" s="167" t="s">
        <v>411</v>
      </c>
      <c r="F4" s="108" t="s">
        <v>412</v>
      </c>
      <c r="G4" s="164" t="s">
        <v>415</v>
      </c>
      <c r="H4" s="164" t="s">
        <v>416</v>
      </c>
      <c r="I4" s="165" t="s">
        <v>417</v>
      </c>
      <c r="J4" s="165" t="s">
        <v>418</v>
      </c>
      <c r="K4" s="164" t="s">
        <v>419</v>
      </c>
      <c r="L4" s="164" t="s">
        <v>420</v>
      </c>
      <c r="M4" s="165" t="s">
        <v>421</v>
      </c>
      <c r="N4" s="165" t="s">
        <v>422</v>
      </c>
      <c r="O4" s="164" t="s">
        <v>423</v>
      </c>
      <c r="P4" s="164" t="s">
        <v>425</v>
      </c>
      <c r="Q4" s="165" t="s">
        <v>426</v>
      </c>
      <c r="R4" s="165" t="s">
        <v>424</v>
      </c>
      <c r="S4" s="164" t="s">
        <v>427</v>
      </c>
      <c r="T4" s="164" t="s">
        <v>428</v>
      </c>
      <c r="U4" s="165" t="s">
        <v>429</v>
      </c>
      <c r="V4" s="165" t="s">
        <v>430</v>
      </c>
      <c r="W4" s="164" t="s">
        <v>431</v>
      </c>
      <c r="X4" s="164" t="s">
        <v>432</v>
      </c>
      <c r="Y4" s="165" t="s">
        <v>433</v>
      </c>
      <c r="Z4" s="165" t="s">
        <v>434</v>
      </c>
      <c r="AA4" s="164" t="s">
        <v>435</v>
      </c>
      <c r="AB4" s="164" t="s">
        <v>436</v>
      </c>
      <c r="AC4" s="165" t="s">
        <v>437</v>
      </c>
      <c r="AD4" s="165" t="s">
        <v>438</v>
      </c>
      <c r="AE4" s="141" t="s">
        <v>275</v>
      </c>
      <c r="AF4" s="142" t="s">
        <v>276</v>
      </c>
      <c r="AG4" s="143" t="s">
        <v>277</v>
      </c>
      <c r="AH4" s="144" t="s">
        <v>278</v>
      </c>
      <c r="AI4" s="109" t="s">
        <v>279</v>
      </c>
    </row>
    <row r="5" spans="1:35" s="1" customFormat="1" x14ac:dyDescent="0.25">
      <c r="A5" s="90" t="str">
        <f>IF(COUNTA(Tabla_PP[[#This Row],[GP 01]:[P 12]])/2=0,"",COUNTA(Tabla_PP[[#This Row],[GP 01]:[P 12]])/2)</f>
        <v/>
      </c>
      <c r="B5" s="20"/>
      <c r="C5" s="232"/>
      <c r="D5" s="232"/>
      <c r="E5" s="170"/>
      <c r="F5" s="221"/>
      <c r="G5" s="27"/>
      <c r="H5" s="27"/>
      <c r="I5" s="28"/>
      <c r="J5" s="28"/>
      <c r="K5" s="27"/>
      <c r="L5" s="27"/>
      <c r="M5" s="28"/>
      <c r="N5" s="28"/>
      <c r="O5" s="27"/>
      <c r="P5" s="27"/>
      <c r="Q5" s="28"/>
      <c r="R5" s="28"/>
      <c r="S5" s="27"/>
      <c r="T5" s="27"/>
      <c r="U5" s="28"/>
      <c r="V5" s="28"/>
      <c r="W5" s="27"/>
      <c r="X5" s="27"/>
      <c r="Y5" s="28"/>
      <c r="Z5" s="28"/>
      <c r="AA5" s="27"/>
      <c r="AB5" s="27"/>
      <c r="AC5" s="28"/>
      <c r="AD5" s="28"/>
      <c r="AE5" s="233"/>
      <c r="AF5" s="234"/>
      <c r="AG5" s="235"/>
      <c r="AH5" s="236"/>
      <c r="AI5" s="118"/>
    </row>
  </sheetData>
  <sheetProtection algorithmName="SHA-512" hashValue="a9azfx3G8pSVILJqZDySBvTVaX43C+fNsh9y09SWfArWnI+RAG9hUPhOKu/j4/xWC67ir1sl11yIg9z+vX3CLQ==" saltValue="Sojxw5cC1AgFemxg0eUa+Q==" spinCount="100000" sheet="1" objects="1" scenarios="1" selectLockedCells="1"/>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7"/>
  <dimension ref="A1:AI5"/>
  <sheetViews>
    <sheetView showGridLines="0" showRowColHeaders="0" zoomScale="125" zoomScaleNormal="125" workbookViewId="0">
      <pane xSplit="6" ySplit="3" topLeftCell="G5" activePane="bottomRight" state="frozen"/>
      <selection activeCell="G18" sqref="G18"/>
      <selection pane="topRight" activeCell="G18" sqref="G18"/>
      <selection pane="bottomLeft" activeCell="G18" sqref="G18"/>
      <selection pane="bottomRight" activeCell="G5" sqref="G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7" width="12.5703125" style="4" customWidth="1"/>
    <col min="8" max="8" width="12.85546875" style="4" customWidth="1"/>
    <col min="9" max="9" width="23" style="4" customWidth="1"/>
    <col min="10" max="10" width="22.28515625" style="4" customWidth="1"/>
    <col min="11" max="11" width="24.42578125" style="4" customWidth="1"/>
    <col min="12" max="12" width="19.42578125" style="4" customWidth="1"/>
    <col min="13" max="13" width="24.85546875" style="4" customWidth="1"/>
    <col min="14" max="30" width="14.28515625" style="4" hidden="1" customWidth="1"/>
    <col min="31" max="34" width="0"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COUNTA(Tabla_EN[FastTest PlugIn - ENSAYO
Enunciado de la pregunta])</f>
        <v>0</v>
      </c>
    </row>
    <row r="3" spans="1:35" s="15" customFormat="1" ht="50.1" customHeight="1" x14ac:dyDescent="0.25">
      <c r="A3" s="264"/>
      <c r="B3" s="2"/>
      <c r="C3" s="33"/>
      <c r="D3" s="33"/>
      <c r="E3" s="20" t="str">
        <f ca="1">'Datos OM'!E3</f>
        <v>Descripción</v>
      </c>
      <c r="F3" s="64" t="str">
        <f ca="1">"FastTest PlugIn - "&amp;UPPER(INICIO!O24)&amp;"
"&amp;INDIRECT("Z_BP_03_"&amp;IDIOMA)</f>
        <v>FastTest PlugIn - ENSAYO
Enunciado de la pregunta</v>
      </c>
      <c r="G3" s="83" t="str">
        <f ca="1">INDIRECT("Z_BP_24_"&amp;IDIOMA)&amp;"
"&amp;H3</f>
        <v>Formato de la Respuesta
Requerir texto</v>
      </c>
      <c r="H3" s="103" t="str">
        <f ca="1">INDIRECT("Z_BP_25_"&amp;IDIOMA)</f>
        <v>Requerir texto</v>
      </c>
      <c r="I3" s="98" t="str">
        <f ca="1">INDIRECT("Z_BP_26_"&amp;IDIOMA)</f>
        <v>Tamaño de la caja de entrada</v>
      </c>
      <c r="J3" s="84" t="str">
        <f ca="1">INDIRECT("Z_BP_27_"&amp;IDIOMA)</f>
        <v>Permitir archivos adjuntos</v>
      </c>
      <c r="K3" s="85" t="str">
        <f ca="1">INDIRECT("Z_BP_28_"&amp;IDIOMA)</f>
        <v>Archivos adjuntos requeridos</v>
      </c>
      <c r="L3" s="86" t="str">
        <f ca="1">INDIRECT("Z_BP_29_"&amp;IDIOMA)</f>
        <v>Plantilla de Respuesta</v>
      </c>
      <c r="M3" s="83" t="str">
        <f ca="1">INDIRECT("Z_BP_30_"&amp;IDIOMA)</f>
        <v>Información para el evaluador</v>
      </c>
      <c r="N3" s="177"/>
      <c r="O3" s="178"/>
      <c r="P3" s="178"/>
      <c r="Q3" s="177"/>
      <c r="R3" s="177"/>
      <c r="S3" s="178"/>
      <c r="T3" s="178"/>
      <c r="U3" s="177"/>
      <c r="V3" s="177"/>
      <c r="W3" s="178"/>
      <c r="X3" s="178"/>
      <c r="Y3" s="177"/>
      <c r="Z3" s="177"/>
      <c r="AA3" s="178"/>
      <c r="AB3" s="178"/>
      <c r="AC3" s="177"/>
      <c r="AD3" s="177"/>
      <c r="AE3" s="179"/>
      <c r="AF3" s="180"/>
      <c r="AG3" s="181"/>
      <c r="AH3" s="182"/>
      <c r="AI3" s="94" t="str">
        <f>'Datos OM'!AI3</f>
        <v>Imagen</v>
      </c>
    </row>
    <row r="4" spans="1:35" s="15" customFormat="1" ht="50.1" hidden="1" customHeight="1" x14ac:dyDescent="0.25">
      <c r="A4" s="265" t="s">
        <v>379</v>
      </c>
      <c r="B4" s="262" t="s">
        <v>380</v>
      </c>
      <c r="C4" s="59" t="s">
        <v>298</v>
      </c>
      <c r="D4" s="59" t="s">
        <v>299</v>
      </c>
      <c r="E4" s="167" t="s">
        <v>105</v>
      </c>
      <c r="F4" s="108" t="s">
        <v>377</v>
      </c>
      <c r="G4" s="173" t="s">
        <v>378</v>
      </c>
      <c r="H4" s="39" t="s">
        <v>218</v>
      </c>
      <c r="I4" s="23" t="s">
        <v>224</v>
      </c>
      <c r="J4" s="174" t="s">
        <v>230</v>
      </c>
      <c r="K4" s="175" t="s">
        <v>236</v>
      </c>
      <c r="L4" s="176" t="s">
        <v>242</v>
      </c>
      <c r="M4" s="173" t="s">
        <v>248</v>
      </c>
      <c r="N4" s="61" t="s">
        <v>300</v>
      </c>
      <c r="O4" s="60" t="s">
        <v>301</v>
      </c>
      <c r="P4" s="60" t="s">
        <v>302</v>
      </c>
      <c r="Q4" s="61" t="s">
        <v>303</v>
      </c>
      <c r="R4" s="61" t="s">
        <v>304</v>
      </c>
      <c r="S4" s="60" t="s">
        <v>305</v>
      </c>
      <c r="T4" s="60" t="s">
        <v>306</v>
      </c>
      <c r="U4" s="61" t="s">
        <v>307</v>
      </c>
      <c r="V4" s="61" t="s">
        <v>308</v>
      </c>
      <c r="W4" s="60" t="s">
        <v>309</v>
      </c>
      <c r="X4" s="60" t="s">
        <v>310</v>
      </c>
      <c r="Y4" s="61" t="s">
        <v>311</v>
      </c>
      <c r="Z4" s="61" t="s">
        <v>312</v>
      </c>
      <c r="AA4" s="60" t="s">
        <v>313</v>
      </c>
      <c r="AB4" s="60" t="s">
        <v>314</v>
      </c>
      <c r="AC4" s="61" t="s">
        <v>315</v>
      </c>
      <c r="AD4" s="61" t="s">
        <v>316</v>
      </c>
      <c r="AE4" s="16" t="s">
        <v>317</v>
      </c>
      <c r="AF4" s="17" t="s">
        <v>318</v>
      </c>
      <c r="AG4" s="18" t="s">
        <v>319</v>
      </c>
      <c r="AH4" s="19" t="s">
        <v>320</v>
      </c>
      <c r="AI4" s="109" t="s">
        <v>279</v>
      </c>
    </row>
    <row r="5" spans="1:35" s="1" customFormat="1" x14ac:dyDescent="0.25">
      <c r="A5" s="266"/>
      <c r="B5" s="267"/>
      <c r="C5" s="232"/>
      <c r="D5" s="232"/>
      <c r="E5" s="170"/>
      <c r="F5" s="221"/>
      <c r="G5" s="183"/>
      <c r="H5" s="50"/>
      <c r="I5" s="29"/>
      <c r="J5" s="184"/>
      <c r="K5" s="185"/>
      <c r="L5" s="186"/>
      <c r="M5" s="183"/>
      <c r="N5" s="237"/>
      <c r="O5" s="238"/>
      <c r="P5" s="238"/>
      <c r="Q5" s="237"/>
      <c r="R5" s="237"/>
      <c r="S5" s="238"/>
      <c r="T5" s="238"/>
      <c r="U5" s="237"/>
      <c r="V5" s="237"/>
      <c r="W5" s="238"/>
      <c r="X5" s="238"/>
      <c r="Y5" s="237"/>
      <c r="Z5" s="237"/>
      <c r="AA5" s="238"/>
      <c r="AB5" s="238"/>
      <c r="AC5" s="237"/>
      <c r="AD5" s="237"/>
      <c r="AE5" s="239"/>
      <c r="AF5" s="240"/>
      <c r="AG5" s="241"/>
      <c r="AH5" s="242"/>
      <c r="AI5" s="118"/>
    </row>
  </sheetData>
  <sheetProtection algorithmName="SHA-512" hashValue="qW9B/aQx15LEqkS+Ypxg2Xto9/ebAka2AP2px5WN9WH/u67mXOJZd3vodrxIj95GGptT0LS/7IjF6/g28qHBYQ==" saltValue="ACcZLtrUCvCDgSAYERJqsA==" spinCount="100000" sheet="1" objects="1" scenarios="1" selectLockedCells="1"/>
  <conditionalFormatting sqref="G5:K5">
    <cfRule type="cellIs" dxfId="74" priority="3" operator="equal">
      <formula>""</formula>
    </cfRule>
    <cfRule type="cellIs" dxfId="73" priority="4" operator="equal">
      <formula>0</formula>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8"/>
  <dimension ref="A1:AI5"/>
  <sheetViews>
    <sheetView showGridLines="0" showRowColHeaders="0" zoomScale="125" zoomScaleNormal="125" workbookViewId="0">
      <pane xSplit="6" ySplit="3" topLeftCell="AE5" activePane="bottomRight" state="frozen"/>
      <selection activeCell="G18" sqref="G18"/>
      <selection pane="topRight" activeCell="G18" sqref="G18"/>
      <selection pane="bottomLeft" activeCell="G18" sqref="G18"/>
      <selection pane="bottomRight" activeCell="AE5" sqref="AE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135.5703125" style="4" customWidth="1"/>
    <col min="7" max="7" width="12.5703125" style="4" customWidth="1"/>
    <col min="8" max="12" width="12.5703125" style="4" hidden="1" customWidth="1"/>
    <col min="13"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F1" s="63"/>
      <c r="AG1" s="63"/>
      <c r="AH1" s="63"/>
    </row>
    <row r="2" spans="1:35" s="1" customFormat="1" ht="24.95" customHeight="1" x14ac:dyDescent="0.25">
      <c r="A2" s="3"/>
      <c r="B2" s="3"/>
      <c r="D2" s="2"/>
      <c r="F2" s="88" t="str">
        <f ca="1">'Datos OM'!F2</f>
        <v xml:space="preserve">    RC                         PP                         EN                         CL                                 DICCIONARIO</v>
      </c>
      <c r="G2" s="62">
        <f>COUNTA(Tabla_CL[Enunciado])</f>
        <v>0</v>
      </c>
    </row>
    <row r="3" spans="1:35" s="15" customFormat="1" ht="50.1" customHeight="1" x14ac:dyDescent="0.25">
      <c r="A3" s="264"/>
      <c r="B3" s="2"/>
      <c r="C3" s="33"/>
      <c r="D3" s="33"/>
      <c r="E3" s="37" t="str">
        <f ca="1">'Datos OM'!E3</f>
        <v>Descripción</v>
      </c>
      <c r="F3" s="64" t="str">
        <f ca="1">"FastTest PlugIn - "&amp;UPPER(INICIO!Q24)&amp;"
"&amp;INDIRECT("Z_BP_03_"&amp;IDIOMA)</f>
        <v>FastTest PlugIn - CLOZE
Enunciado de la pregunta</v>
      </c>
      <c r="G3" s="197" t="str">
        <f ca="1">INDIRECT("Z_BP_32_"&amp;IDIOMA)</f>
        <v>Ancho RC</v>
      </c>
      <c r="H3" s="103"/>
      <c r="I3" s="98"/>
      <c r="J3" s="84"/>
      <c r="K3" s="85"/>
      <c r="L3" s="86"/>
      <c r="M3" s="83"/>
      <c r="N3" s="172"/>
      <c r="O3" s="171"/>
      <c r="P3" s="171"/>
      <c r="Q3" s="172"/>
      <c r="R3" s="172"/>
      <c r="S3" s="171"/>
      <c r="T3" s="171"/>
      <c r="U3" s="172"/>
      <c r="V3" s="172"/>
      <c r="W3" s="171"/>
      <c r="X3" s="171"/>
      <c r="Y3" s="172"/>
      <c r="Z3" s="172"/>
      <c r="AA3" s="171"/>
      <c r="AB3" s="171"/>
      <c r="AC3" s="172"/>
      <c r="AD3" s="172"/>
      <c r="AE3" s="160" t="str">
        <f ca="1">'Datos OM'!AE3</f>
        <v>Pista 1</v>
      </c>
      <c r="AF3" s="161" t="str">
        <f ca="1">'Datos OM'!AF3</f>
        <v>Pista 2</v>
      </c>
      <c r="AG3" s="162" t="str">
        <f ca="1">'Datos OM'!AG3</f>
        <v>Pista 3</v>
      </c>
      <c r="AH3" s="163" t="str">
        <f ca="1">'Datos OM'!AH3</f>
        <v>Pista 4</v>
      </c>
      <c r="AI3" s="94" t="str">
        <f>'Datos OM'!AI3</f>
        <v>Imagen</v>
      </c>
    </row>
    <row r="4" spans="1:35" s="15" customFormat="1" hidden="1" x14ac:dyDescent="0.25">
      <c r="A4" s="167" t="s">
        <v>379</v>
      </c>
      <c r="B4" s="167" t="s">
        <v>380</v>
      </c>
      <c r="C4" s="248" t="s">
        <v>298</v>
      </c>
      <c r="D4" s="248" t="s">
        <v>299</v>
      </c>
      <c r="E4" s="37" t="s">
        <v>411</v>
      </c>
      <c r="F4" s="249" t="s">
        <v>412</v>
      </c>
      <c r="G4" s="250" t="s">
        <v>269</v>
      </c>
      <c r="H4" s="39" t="s">
        <v>300</v>
      </c>
      <c r="I4" s="23" t="s">
        <v>301</v>
      </c>
      <c r="J4" s="84" t="s">
        <v>302</v>
      </c>
      <c r="K4" s="85" t="s">
        <v>303</v>
      </c>
      <c r="L4" s="86" t="s">
        <v>304</v>
      </c>
      <c r="M4" s="83" t="s">
        <v>305</v>
      </c>
      <c r="N4" s="28" t="s">
        <v>306</v>
      </c>
      <c r="O4" s="27" t="s">
        <v>307</v>
      </c>
      <c r="P4" s="27" t="s">
        <v>308</v>
      </c>
      <c r="Q4" s="28" t="s">
        <v>309</v>
      </c>
      <c r="R4" s="28" t="s">
        <v>310</v>
      </c>
      <c r="S4" s="27" t="s">
        <v>311</v>
      </c>
      <c r="T4" s="27" t="s">
        <v>312</v>
      </c>
      <c r="U4" s="28" t="s">
        <v>313</v>
      </c>
      <c r="V4" s="28" t="s">
        <v>314</v>
      </c>
      <c r="W4" s="27" t="s">
        <v>315</v>
      </c>
      <c r="X4" s="27" t="s">
        <v>316</v>
      </c>
      <c r="Y4" s="28" t="s">
        <v>317</v>
      </c>
      <c r="Z4" s="28" t="s">
        <v>318</v>
      </c>
      <c r="AA4" s="27" t="s">
        <v>319</v>
      </c>
      <c r="AB4" s="27" t="s">
        <v>320</v>
      </c>
      <c r="AC4" s="28" t="s">
        <v>321</v>
      </c>
      <c r="AD4" s="28" t="s">
        <v>322</v>
      </c>
      <c r="AE4" s="251" t="s">
        <v>275</v>
      </c>
      <c r="AF4" s="252" t="s">
        <v>276</v>
      </c>
      <c r="AG4" s="253" t="s">
        <v>277</v>
      </c>
      <c r="AH4" s="254" t="s">
        <v>278</v>
      </c>
      <c r="AI4" s="94" t="s">
        <v>279</v>
      </c>
    </row>
    <row r="5" spans="1:35" s="1" customFormat="1" x14ac:dyDescent="0.25">
      <c r="A5" s="266"/>
      <c r="B5" s="267"/>
      <c r="C5" s="232"/>
      <c r="D5" s="232"/>
      <c r="E5" s="106"/>
      <c r="F5" s="221"/>
      <c r="G5" s="243"/>
      <c r="H5" s="50"/>
      <c r="I5" s="29"/>
      <c r="J5" s="184"/>
      <c r="K5" s="185"/>
      <c r="L5" s="186"/>
      <c r="M5" s="183"/>
      <c r="N5" s="237"/>
      <c r="O5" s="238"/>
      <c r="P5" s="238"/>
      <c r="Q5" s="237"/>
      <c r="R5" s="237"/>
      <c r="S5" s="238"/>
      <c r="T5" s="238"/>
      <c r="U5" s="237"/>
      <c r="V5" s="237"/>
      <c r="W5" s="238"/>
      <c r="X5" s="238"/>
      <c r="Y5" s="237"/>
      <c r="Z5" s="237"/>
      <c r="AA5" s="238"/>
      <c r="AB5" s="238"/>
      <c r="AC5" s="237"/>
      <c r="AD5" s="237"/>
      <c r="AE5" s="244"/>
      <c r="AF5" s="245"/>
      <c r="AG5" s="246"/>
      <c r="AH5" s="247"/>
      <c r="AI5" s="118"/>
    </row>
  </sheetData>
  <sheetProtection algorithmName="SHA-512" hashValue="HPhC4Oea8my50Nu+LQLvaRyLBnqVnf/A4GeFllOucjO6Kh95tfqdXGPl6S2IJrMPWU1cObUry9f3XqKHeKQO3Q==" saltValue="9BeH2V0Xn3+e15dXzXvDBg==" spinCount="100000" sheet="1" objects="1" scenarios="1" selectLockedCells="1"/>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50"/>
  <dimension ref="A1:M57"/>
  <sheetViews>
    <sheetView showGridLines="0" showRowColHeaders="0" topLeftCell="D1" zoomScale="156" zoomScaleNormal="156" workbookViewId="0">
      <pane ySplit="3" topLeftCell="A4" activePane="bottomLeft" state="frozen"/>
      <selection pane="bottomLeft" activeCell="D6" sqref="D6"/>
    </sheetView>
  </sheetViews>
  <sheetFormatPr baseColWidth="10" defaultColWidth="0" defaultRowHeight="15" zeroHeight="1" outlineLevelRow="1" outlineLevelCol="1" x14ac:dyDescent="0.25"/>
  <cols>
    <col min="1" max="1" width="11.42578125" hidden="1" customWidth="1" outlineLevel="1"/>
    <col min="2" max="3" width="6" hidden="1" customWidth="1" outlineLevel="1"/>
    <col min="4" max="4" width="65.7109375" customWidth="1" collapsed="1"/>
    <col min="5" max="5" width="65.7109375" customWidth="1"/>
    <col min="6" max="11" width="29" hidden="1" customWidth="1" outlineLevel="1"/>
    <col min="12" max="12" width="2.7109375" customWidth="1" collapsed="1"/>
    <col min="13" max="13" width="0" hidden="1" customWidth="1"/>
    <col min="14" max="16384" width="11.42578125" hidden="1"/>
  </cols>
  <sheetData>
    <row r="1" spans="1:13" ht="30" customHeight="1" thickBot="1" x14ac:dyDescent="0.3">
      <c r="A1" s="204" t="s">
        <v>18</v>
      </c>
      <c r="B1" s="72"/>
      <c r="C1" s="73"/>
      <c r="D1" s="207" t="str">
        <f ca="1">INDIRECT("Z_IN_00_"&amp;IDIOMA)</f>
        <v>INICIO</v>
      </c>
      <c r="E1" s="213" t="str">
        <f>LANGUAGE</f>
        <v>ESPAÑOL</v>
      </c>
      <c r="F1" s="74" t="s">
        <v>12</v>
      </c>
      <c r="G1" s="74" t="s">
        <v>19</v>
      </c>
      <c r="H1" s="74" t="s">
        <v>20</v>
      </c>
      <c r="I1" s="74" t="s">
        <v>21</v>
      </c>
      <c r="J1" s="74" t="s">
        <v>22</v>
      </c>
      <c r="K1" s="74" t="s">
        <v>23</v>
      </c>
    </row>
    <row r="2" spans="1:13" ht="30" customHeight="1" thickBot="1" x14ac:dyDescent="0.3">
      <c r="A2" s="204" t="s">
        <v>24</v>
      </c>
      <c r="B2" s="72"/>
      <c r="C2" s="72"/>
      <c r="D2" s="208" t="str">
        <f>"LINK "&amp;INICIO!A45</f>
        <v>LINK PERSONALIZAR DICCIONARIO</v>
      </c>
      <c r="E2" s="214" t="str">
        <f>IFERROR(INDEX(F2:K20,1,MATCH(E1,F20:K20,0)),IDIOMA)</f>
        <v>S</v>
      </c>
      <c r="F2" s="75" t="s">
        <v>13</v>
      </c>
      <c r="G2" s="75" t="s">
        <v>17</v>
      </c>
      <c r="H2" s="75" t="s">
        <v>15</v>
      </c>
      <c r="I2" s="75" t="s">
        <v>16</v>
      </c>
      <c r="J2" s="75" t="s">
        <v>14</v>
      </c>
      <c r="K2" s="75" t="s">
        <v>24</v>
      </c>
    </row>
    <row r="3" spans="1:13" ht="15.75" thickBot="1" x14ac:dyDescent="0.3">
      <c r="A3" s="74" t="str">
        <f t="shared" ref="A3:A44" si="0">$A$1&amp;B3&amp;"_"&amp;C3&amp;"_"&amp;$A$2</f>
        <v>Z_IN_00_D</v>
      </c>
      <c r="B3" s="77" t="s">
        <v>25</v>
      </c>
      <c r="C3" s="78" t="s">
        <v>26</v>
      </c>
      <c r="D3" s="256"/>
      <c r="E3" s="215" t="str">
        <f>IFERROR(IF(D3&lt;&gt;"",D3,HLOOKUP($E$2,$F$2:K3,ROW(D3)-1,0)),F3)</f>
        <v>INICIO</v>
      </c>
      <c r="F3" s="215" t="s">
        <v>11</v>
      </c>
      <c r="G3" s="215" t="s">
        <v>27</v>
      </c>
      <c r="H3" s="215" t="s">
        <v>28</v>
      </c>
      <c r="I3" s="215" t="s">
        <v>29</v>
      </c>
      <c r="J3" s="215" t="s">
        <v>27</v>
      </c>
      <c r="K3" s="215" t="s">
        <v>30</v>
      </c>
      <c r="L3" s="76" t="s">
        <v>31</v>
      </c>
    </row>
    <row r="4" spans="1:13" outlineLevel="1" x14ac:dyDescent="0.25">
      <c r="A4" s="74" t="str">
        <f t="shared" si="0"/>
        <v>Z_IN_01_D</v>
      </c>
      <c r="B4" s="200" t="str">
        <f t="shared" ref="B4:B20" si="1">B3</f>
        <v>IN</v>
      </c>
      <c r="C4" s="201" t="s">
        <v>32</v>
      </c>
      <c r="D4" s="257"/>
      <c r="E4" s="218" t="str">
        <f>IFERROR(IF(D4&lt;&gt;"",D4,HLOOKUP($E$2,$F$2:K4,ROW(D4)-1,0)),F4)</f>
        <v>CANAL YOUTUBE</v>
      </c>
      <c r="F4" s="216" t="s">
        <v>403</v>
      </c>
      <c r="G4" s="216" t="s">
        <v>404</v>
      </c>
      <c r="H4" s="216" t="s">
        <v>405</v>
      </c>
      <c r="I4" s="216" t="s">
        <v>406</v>
      </c>
      <c r="J4" s="216" t="s">
        <v>407</v>
      </c>
      <c r="K4" s="216" t="s">
        <v>408</v>
      </c>
      <c r="L4" s="76"/>
      <c r="M4" t="s">
        <v>31</v>
      </c>
    </row>
    <row r="5" spans="1:13" outlineLevel="1" x14ac:dyDescent="0.25">
      <c r="A5" s="74" t="str">
        <f t="shared" si="0"/>
        <v>Z_IN_02_D</v>
      </c>
      <c r="B5" s="202" t="str">
        <f t="shared" si="1"/>
        <v>IN</v>
      </c>
      <c r="C5" s="203" t="s">
        <v>33</v>
      </c>
      <c r="D5" s="258"/>
      <c r="E5" s="217" t="str">
        <f>IFERROR(IF(D5&lt;&gt;"",D5,HLOOKUP($E$2,$F$2:K5,ROW(D5)-1,0)),F5)</f>
        <v>NO FUNCIONA CON
VERSIONES DE EXCEL 
ANTERIORES A 2007
NI CON LA ÚLTIMA ACTUALIZACIÓN DE MAC</v>
      </c>
      <c r="F5" s="217" t="s">
        <v>34</v>
      </c>
      <c r="G5" s="217" t="s">
        <v>35</v>
      </c>
      <c r="H5" s="217" t="s">
        <v>36</v>
      </c>
      <c r="I5" s="217" t="s">
        <v>37</v>
      </c>
      <c r="J5" s="217" t="s">
        <v>38</v>
      </c>
      <c r="K5" s="217" t="s">
        <v>39</v>
      </c>
      <c r="L5" s="76" t="s">
        <v>31</v>
      </c>
    </row>
    <row r="6" spans="1:13" outlineLevel="1" x14ac:dyDescent="0.25">
      <c r="A6" s="74" t="str">
        <f t="shared" si="0"/>
        <v>Z_IN_03_D</v>
      </c>
      <c r="B6" s="200" t="str">
        <f t="shared" si="1"/>
        <v>IN</v>
      </c>
      <c r="C6" s="201" t="s">
        <v>40</v>
      </c>
      <c r="D6" s="257"/>
      <c r="E6" s="216" t="str">
        <f>IFERROR(IF(D6&lt;&gt;"",D6,HLOOKUP($E$2,$F$2:K6,ROW(D6)-1,0)),F6)</f>
        <v>LEER CON ATENCIÓN</v>
      </c>
      <c r="F6" s="216" t="s">
        <v>2</v>
      </c>
      <c r="G6" s="216" t="s">
        <v>41</v>
      </c>
      <c r="H6" s="216" t="s">
        <v>42</v>
      </c>
      <c r="I6" s="216" t="s">
        <v>43</v>
      </c>
      <c r="J6" s="216" t="s">
        <v>44</v>
      </c>
      <c r="K6" s="216" t="s">
        <v>45</v>
      </c>
      <c r="L6" s="76" t="s">
        <v>31</v>
      </c>
    </row>
    <row r="7" spans="1:13" outlineLevel="1" x14ac:dyDescent="0.25">
      <c r="A7" s="74" t="str">
        <f t="shared" si="0"/>
        <v>Z_IN_04_D</v>
      </c>
      <c r="B7" s="202" t="str">
        <f t="shared" si="1"/>
        <v>IN</v>
      </c>
      <c r="C7" s="203" t="s">
        <v>46</v>
      </c>
      <c r="D7" s="258"/>
      <c r="E7" s="217" t="str">
        <f>IFERROR(IF(D7&lt;&gt;"",D7,HLOOKUP($E$2,$F$2:K7,ROW(D7)-1,0)),F7)</f>
        <v>Esta Aplicación ha sido desarrollada, en la primera versión, por:</v>
      </c>
      <c r="F7" s="217" t="s">
        <v>4</v>
      </c>
      <c r="G7" s="217" t="s">
        <v>47</v>
      </c>
      <c r="H7" s="217" t="s">
        <v>48</v>
      </c>
      <c r="I7" s="217" t="s">
        <v>49</v>
      </c>
      <c r="J7" s="217" t="s">
        <v>50</v>
      </c>
      <c r="K7" s="217" t="s">
        <v>51</v>
      </c>
      <c r="L7" s="76" t="s">
        <v>31</v>
      </c>
    </row>
    <row r="8" spans="1:13" outlineLevel="1" x14ac:dyDescent="0.25">
      <c r="A8" s="74" t="str">
        <f t="shared" si="0"/>
        <v>Z_IN_05_D</v>
      </c>
      <c r="B8" s="200" t="str">
        <f t="shared" si="1"/>
        <v>IN</v>
      </c>
      <c r="C8" s="201" t="s">
        <v>52</v>
      </c>
      <c r="D8" s="257"/>
      <c r="E8" s="216" t="str">
        <f>IFERROR(IF(D8&lt;&gt;"",D8,HLOOKUP($E$2,$F$2:K8,ROW(D8)-1,0)),F8)</f>
        <v>Universidad de Cádiz</v>
      </c>
      <c r="F8" s="216" t="s">
        <v>1</v>
      </c>
      <c r="G8" s="216" t="s">
        <v>53</v>
      </c>
      <c r="H8" s="216" t="s">
        <v>54</v>
      </c>
      <c r="I8" s="216" t="s">
        <v>55</v>
      </c>
      <c r="J8" s="216" t="s">
        <v>56</v>
      </c>
      <c r="K8" s="216" t="s">
        <v>57</v>
      </c>
      <c r="L8" s="76" t="s">
        <v>31</v>
      </c>
    </row>
    <row r="9" spans="1:13" outlineLevel="1" x14ac:dyDescent="0.25">
      <c r="A9" s="74" t="str">
        <f t="shared" si="0"/>
        <v>Z_IN_06_D</v>
      </c>
      <c r="B9" s="202" t="str">
        <f t="shared" si="1"/>
        <v>IN</v>
      </c>
      <c r="C9" s="203" t="s">
        <v>58</v>
      </c>
      <c r="D9" s="258"/>
      <c r="E9" s="217" t="str">
        <f>IFERROR(IF(D9&lt;&gt;"",D9,HLOOKUP($E$2,$F$2:K9,ROW(D9)-1,0)),F9)</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v>
      </c>
      <c r="F9" s="217" t="s">
        <v>59</v>
      </c>
      <c r="G9" s="217" t="s">
        <v>60</v>
      </c>
      <c r="H9" s="217" t="s">
        <v>61</v>
      </c>
      <c r="I9" s="217" t="s">
        <v>62</v>
      </c>
      <c r="J9" s="217" t="s">
        <v>63</v>
      </c>
      <c r="K9" s="217" t="s">
        <v>64</v>
      </c>
      <c r="L9" s="76" t="s">
        <v>31</v>
      </c>
    </row>
    <row r="10" spans="1:13" outlineLevel="1" x14ac:dyDescent="0.25">
      <c r="A10" s="74" t="str">
        <f t="shared" si="0"/>
        <v>Z_IN_07_D</v>
      </c>
      <c r="B10" s="200" t="str">
        <f t="shared" si="1"/>
        <v>IN</v>
      </c>
      <c r="C10" s="201" t="s">
        <v>65</v>
      </c>
      <c r="D10" s="257"/>
      <c r="E10" s="216" t="str">
        <f>IFERROR(IF(D10&lt;&gt;"",D10,HLOOKUP($E$2,$F$2:K10,ROW(D10)-1,0)),F10)</f>
        <v>Esta HOJA sirve para almacenar las preguntas y poder reutilizarlas cuando sea necesario, sin tener que volver a escribirlas para un nuevo BANCO DE PREGUNTAS.</v>
      </c>
      <c r="F10" s="216" t="s">
        <v>381</v>
      </c>
      <c r="G10" s="216" t="s">
        <v>382</v>
      </c>
      <c r="H10" s="216" t="s">
        <v>383</v>
      </c>
      <c r="I10" s="216" t="s">
        <v>384</v>
      </c>
      <c r="J10" s="216" t="s">
        <v>385</v>
      </c>
      <c r="K10" s="216" t="s">
        <v>386</v>
      </c>
      <c r="L10" s="76" t="s">
        <v>31</v>
      </c>
    </row>
    <row r="11" spans="1:13" outlineLevel="1" x14ac:dyDescent="0.25">
      <c r="A11" s="74" t="str">
        <f t="shared" si="0"/>
        <v>Z_IN_08_D</v>
      </c>
      <c r="B11" s="202" t="str">
        <f t="shared" si="1"/>
        <v>IN</v>
      </c>
      <c r="C11" s="203" t="s">
        <v>66</v>
      </c>
      <c r="D11" s="258"/>
      <c r="E11" s="217" t="str">
        <f>IFERROR(IF(D11&lt;&gt;"",D11,HLOOKUP($E$2,$F$2:K11,ROW(D11)-1,0)),F11)</f>
        <v xml:space="preserve">Opción Múltiple 1R </v>
      </c>
      <c r="F11" s="217" t="s">
        <v>67</v>
      </c>
      <c r="G11" s="217" t="s">
        <v>450</v>
      </c>
      <c r="H11" s="217" t="s">
        <v>68</v>
      </c>
      <c r="I11" s="217" t="s">
        <v>69</v>
      </c>
      <c r="J11" s="217" t="s">
        <v>451</v>
      </c>
      <c r="K11" s="217" t="s">
        <v>450</v>
      </c>
      <c r="L11" s="76" t="s">
        <v>31</v>
      </c>
    </row>
    <row r="12" spans="1:13" outlineLevel="1" x14ac:dyDescent="0.25">
      <c r="A12" s="74" t="str">
        <f t="shared" si="0"/>
        <v>Z_IN_09_D</v>
      </c>
      <c r="B12" s="200" t="str">
        <f t="shared" si="1"/>
        <v>IN</v>
      </c>
      <c r="C12" s="201" t="s">
        <v>70</v>
      </c>
      <c r="D12" s="257"/>
      <c r="E12" s="216" t="str">
        <f>IFERROR(IF(D12&lt;&gt;"",D12,HLOOKUP($E$2,$F$2:K12,ROW(D12)-1,0)),F12)</f>
        <v xml:space="preserve">Opción Múltiple +R </v>
      </c>
      <c r="F12" s="216" t="s">
        <v>452</v>
      </c>
      <c r="G12" s="216" t="s">
        <v>453</v>
      </c>
      <c r="H12" s="216" t="s">
        <v>454</v>
      </c>
      <c r="I12" s="216" t="s">
        <v>455</v>
      </c>
      <c r="J12" s="216" t="s">
        <v>456</v>
      </c>
      <c r="K12" s="216" t="s">
        <v>457</v>
      </c>
      <c r="L12" s="76" t="s">
        <v>31</v>
      </c>
    </row>
    <row r="13" spans="1:13" outlineLevel="1" x14ac:dyDescent="0.25">
      <c r="A13" s="74" t="str">
        <f t="shared" si="0"/>
        <v>Z_IN_10_D</v>
      </c>
      <c r="B13" s="202" t="str">
        <f t="shared" si="1"/>
        <v>IN</v>
      </c>
      <c r="C13" s="203" t="s">
        <v>71</v>
      </c>
      <c r="D13" s="258"/>
      <c r="E13" s="217" t="str">
        <f>IFERROR(IF(D13&lt;&gt;"",D13,HLOOKUP($E$2,$F$2:K13,ROW(D13)-1,0)),F13)</f>
        <v>Verdadero/Falso</v>
      </c>
      <c r="F13" s="217" t="s">
        <v>458</v>
      </c>
      <c r="G13" s="217" t="s">
        <v>459</v>
      </c>
      <c r="H13" s="217" t="s">
        <v>460</v>
      </c>
      <c r="I13" s="217" t="s">
        <v>461</v>
      </c>
      <c r="J13" s="217" t="s">
        <v>462</v>
      </c>
      <c r="K13" s="217" t="s">
        <v>463</v>
      </c>
      <c r="L13" s="76" t="s">
        <v>31</v>
      </c>
    </row>
    <row r="14" spans="1:13" outlineLevel="1" x14ac:dyDescent="0.25">
      <c r="A14" s="74" t="str">
        <f t="shared" si="0"/>
        <v>Z_IN_11_D</v>
      </c>
      <c r="B14" s="200" t="str">
        <f t="shared" si="1"/>
        <v>IN</v>
      </c>
      <c r="C14" s="201" t="s">
        <v>72</v>
      </c>
      <c r="D14" s="257"/>
      <c r="E14" s="216" t="str">
        <f>IFERROR(IF(D14&lt;&gt;"",D14,HLOOKUP($E$2,$F$2:K14,ROW(D14)-1,0)),F14)</f>
        <v>Emparejar</v>
      </c>
      <c r="F14" s="216" t="s">
        <v>7</v>
      </c>
      <c r="G14" s="216" t="s">
        <v>464</v>
      </c>
      <c r="H14" s="216" t="s">
        <v>465</v>
      </c>
      <c r="I14" s="216" t="s">
        <v>73</v>
      </c>
      <c r="J14" s="216" t="s">
        <v>466</v>
      </c>
      <c r="K14" s="216" t="s">
        <v>467</v>
      </c>
      <c r="L14" s="76" t="s">
        <v>31</v>
      </c>
    </row>
    <row r="15" spans="1:13" outlineLevel="1" x14ac:dyDescent="0.25">
      <c r="A15" s="74" t="str">
        <f t="shared" si="0"/>
        <v>Z_IN_12_D</v>
      </c>
      <c r="B15" s="202" t="str">
        <f t="shared" si="1"/>
        <v>IN</v>
      </c>
      <c r="C15" s="203" t="s">
        <v>74</v>
      </c>
      <c r="D15" s="258"/>
      <c r="E15" s="217" t="str">
        <f>IFERROR(IF(D15&lt;&gt;"",D15,HLOOKUP($E$2,$F$2:K15,ROW(D15)-1,0)),F15)</f>
        <v>Respuesta Corta</v>
      </c>
      <c r="F15" s="217" t="s">
        <v>8</v>
      </c>
      <c r="G15" s="217" t="s">
        <v>75</v>
      </c>
      <c r="H15" s="217" t="s">
        <v>265</v>
      </c>
      <c r="I15" s="217" t="s">
        <v>266</v>
      </c>
      <c r="J15" s="217" t="s">
        <v>267</v>
      </c>
      <c r="K15" s="217" t="s">
        <v>468</v>
      </c>
      <c r="L15" s="76" t="s">
        <v>31</v>
      </c>
    </row>
    <row r="16" spans="1:13" outlineLevel="1" x14ac:dyDescent="0.25">
      <c r="A16" s="74" t="str">
        <f t="shared" si="0"/>
        <v>Z_IN_13_D</v>
      </c>
      <c r="B16" s="200" t="str">
        <f t="shared" si="1"/>
        <v>IN</v>
      </c>
      <c r="C16" s="201" t="s">
        <v>76</v>
      </c>
      <c r="D16" s="257"/>
      <c r="E16" s="216" t="str">
        <f>IFERROR(IF(D16&lt;&gt;"",D16,HLOOKUP($E$2,$F$2:K16,ROW(D16)-1,0)),F16)</f>
        <v>Palabra Perdida</v>
      </c>
      <c r="F16" s="216" t="s">
        <v>9</v>
      </c>
      <c r="G16" s="216" t="s">
        <v>77</v>
      </c>
      <c r="H16" s="216" t="s">
        <v>469</v>
      </c>
      <c r="I16" s="216" t="s">
        <v>268</v>
      </c>
      <c r="J16" s="216" t="s">
        <v>470</v>
      </c>
      <c r="K16" s="216" t="s">
        <v>471</v>
      </c>
      <c r="L16" s="76" t="s">
        <v>31</v>
      </c>
    </row>
    <row r="17" spans="1:13" outlineLevel="1" x14ac:dyDescent="0.25">
      <c r="A17" s="74" t="str">
        <f t="shared" si="0"/>
        <v>Z_IN_14_D</v>
      </c>
      <c r="B17" s="202" t="str">
        <f t="shared" si="1"/>
        <v>IN</v>
      </c>
      <c r="C17" s="203" t="s">
        <v>78</v>
      </c>
      <c r="D17" s="258"/>
      <c r="E17" s="217" t="str">
        <f>IFERROR(IF(D17&lt;&gt;"",D17,HLOOKUP($E$2,$F$2:K17,ROW(D17)-1,0)),F17)</f>
        <v>Cloze</v>
      </c>
      <c r="F17" s="217" t="s">
        <v>79</v>
      </c>
      <c r="G17" s="217" t="s">
        <v>79</v>
      </c>
      <c r="H17" s="217" t="s">
        <v>79</v>
      </c>
      <c r="I17" s="217" t="s">
        <v>79</v>
      </c>
      <c r="J17" s="217" t="s">
        <v>79</v>
      </c>
      <c r="K17" s="217" t="s">
        <v>80</v>
      </c>
      <c r="L17" s="76" t="s">
        <v>31</v>
      </c>
    </row>
    <row r="18" spans="1:13" outlineLevel="1" x14ac:dyDescent="0.25">
      <c r="A18" s="74" t="str">
        <f t="shared" si="0"/>
        <v>Z_IN_15_D</v>
      </c>
      <c r="B18" s="200" t="str">
        <f t="shared" si="1"/>
        <v>IN</v>
      </c>
      <c r="C18" s="201" t="s">
        <v>81</v>
      </c>
      <c r="D18" s="257"/>
      <c r="E18" s="216" t="str">
        <f>IFERROR(IF(D18&lt;&gt;"",D18,HLOOKUP($E$2,$F$2:K18,ROW(D18)-1,0)),F18)</f>
        <v>Preguntas</v>
      </c>
      <c r="F18" s="216" t="s">
        <v>6</v>
      </c>
      <c r="G18" s="216" t="s">
        <v>82</v>
      </c>
      <c r="H18" s="216" t="s">
        <v>82</v>
      </c>
      <c r="I18" s="216" t="s">
        <v>83</v>
      </c>
      <c r="J18" s="216" t="s">
        <v>84</v>
      </c>
      <c r="K18" s="216" t="s">
        <v>85</v>
      </c>
      <c r="L18" s="76" t="s">
        <v>31</v>
      </c>
    </row>
    <row r="19" spans="1:13" outlineLevel="1" x14ac:dyDescent="0.25">
      <c r="A19" s="74" t="str">
        <f t="shared" ref="A19:A20" si="2">$A$1&amp;B19&amp;"_"&amp;C19&amp;"_"&amp;$A$2</f>
        <v>Z_IN_16_D</v>
      </c>
      <c r="B19" s="202" t="str">
        <f t="shared" si="1"/>
        <v>IN</v>
      </c>
      <c r="C19" s="203" t="s">
        <v>159</v>
      </c>
      <c r="D19" s="258"/>
      <c r="E19" s="217" t="str">
        <f>IFERROR(IF(D19&lt;&gt;"",D19,HLOOKUP($E$2,$F$2:K19,ROW(D19)-1,0)),F19)</f>
        <v>Ensayo</v>
      </c>
      <c r="F19" s="217" t="s">
        <v>206</v>
      </c>
      <c r="G19" s="217" t="s">
        <v>207</v>
      </c>
      <c r="H19" s="217" t="s">
        <v>208</v>
      </c>
      <c r="I19" s="217" t="s">
        <v>209</v>
      </c>
      <c r="J19" s="217" t="s">
        <v>210</v>
      </c>
      <c r="K19" s="217" t="s">
        <v>472</v>
      </c>
      <c r="L19" s="76" t="s">
        <v>31</v>
      </c>
    </row>
    <row r="20" spans="1:13" outlineLevel="1" x14ac:dyDescent="0.25">
      <c r="A20" s="74" t="str">
        <f t="shared" si="2"/>
        <v>Z_IN_17_D</v>
      </c>
      <c r="B20" s="200" t="str">
        <f t="shared" si="1"/>
        <v>IN</v>
      </c>
      <c r="C20" s="201">
        <v>17</v>
      </c>
      <c r="D20" s="257"/>
      <c r="E20" s="216" t="str">
        <f>IFERROR(IF(D20&lt;&gt;"",D20,HLOOKUP($E$2,$F$2:K20,ROW(D20)-1,0)),F20)</f>
        <v>PERSONALIZAR DICCIONARIO</v>
      </c>
      <c r="F20" s="216" t="s">
        <v>393</v>
      </c>
      <c r="G20" s="216" t="s">
        <v>394</v>
      </c>
      <c r="H20" s="216" t="s">
        <v>395</v>
      </c>
      <c r="I20" s="216" t="s">
        <v>396</v>
      </c>
      <c r="J20" s="216" t="s">
        <v>397</v>
      </c>
      <c r="K20" s="216" t="s">
        <v>398</v>
      </c>
      <c r="L20" s="76"/>
      <c r="M20" t="s">
        <v>31</v>
      </c>
    </row>
    <row r="21" spans="1:13" x14ac:dyDescent="0.25">
      <c r="A21" s="76" t="str">
        <f t="shared" si="0"/>
        <v>Z_BP_00_D</v>
      </c>
      <c r="B21" s="77" t="s">
        <v>86</v>
      </c>
      <c r="C21" s="78" t="s">
        <v>26</v>
      </c>
      <c r="D21" s="256"/>
      <c r="E21" s="215" t="str">
        <f>IFERROR(IF(D21&lt;&gt;"",D21,HLOOKUP($E$2,$F$2:K21,ROW(D21)-1,0)),F21)</f>
        <v>Banco de preguntas</v>
      </c>
      <c r="F21" s="215" t="s">
        <v>87</v>
      </c>
      <c r="G21" s="215" t="s">
        <v>88</v>
      </c>
      <c r="H21" s="215" t="s">
        <v>89</v>
      </c>
      <c r="I21" s="215" t="s">
        <v>90</v>
      </c>
      <c r="J21" s="215" t="s">
        <v>91</v>
      </c>
      <c r="K21" s="215" t="s">
        <v>92</v>
      </c>
      <c r="L21" s="76" t="s">
        <v>31</v>
      </c>
    </row>
    <row r="22" spans="1:13" outlineLevel="1" x14ac:dyDescent="0.25">
      <c r="A22" s="74" t="str">
        <f t="shared" si="0"/>
        <v>Z_BP_01_D</v>
      </c>
      <c r="B22" s="200" t="str">
        <f t="shared" ref="B22:B53" si="3">B21</f>
        <v>BP</v>
      </c>
      <c r="C22" s="201" t="s">
        <v>32</v>
      </c>
      <c r="D22" s="257"/>
      <c r="E22" s="216" t="str">
        <f>IFERROR(IF(D22&lt;&gt;"",D22,HLOOKUP($E$2,$F$2:K22,ROW(D22)-1,0)),F22)</f>
        <v>Preguntas Almacenadas</v>
      </c>
      <c r="F22" s="216" t="s">
        <v>93</v>
      </c>
      <c r="G22" s="216" t="s">
        <v>94</v>
      </c>
      <c r="H22" s="216" t="s">
        <v>95</v>
      </c>
      <c r="I22" s="216" t="s">
        <v>96</v>
      </c>
      <c r="J22" s="216" t="s">
        <v>97</v>
      </c>
      <c r="K22" s="216" t="s">
        <v>98</v>
      </c>
      <c r="L22" s="76" t="s">
        <v>31</v>
      </c>
    </row>
    <row r="23" spans="1:13" outlineLevel="1" x14ac:dyDescent="0.25">
      <c r="A23" s="74" t="str">
        <f t="shared" si="0"/>
        <v>Z_BP_02_D</v>
      </c>
      <c r="B23" s="202" t="str">
        <f t="shared" si="3"/>
        <v>BP</v>
      </c>
      <c r="C23" s="203" t="s">
        <v>33</v>
      </c>
      <c r="D23" s="258"/>
      <c r="E23" s="217" t="str">
        <f>IFERROR(IF(D23&lt;&gt;"",D23,HLOOKUP($E$2,$F$2:K23,ROW(D23)-1,0)),F23)</f>
        <v>DICCIONARIO</v>
      </c>
      <c r="F23" s="217" t="s">
        <v>391</v>
      </c>
      <c r="G23" s="217" t="s">
        <v>392</v>
      </c>
      <c r="H23" s="217" t="s">
        <v>399</v>
      </c>
      <c r="I23" s="217" t="s">
        <v>400</v>
      </c>
      <c r="J23" s="217" t="s">
        <v>401</v>
      </c>
      <c r="K23" s="217" t="s">
        <v>402</v>
      </c>
      <c r="M23" t="s">
        <v>31</v>
      </c>
    </row>
    <row r="24" spans="1:13" outlineLevel="1" x14ac:dyDescent="0.25">
      <c r="A24" s="74" t="str">
        <f t="shared" si="0"/>
        <v>Z_BP_03_D</v>
      </c>
      <c r="B24" s="200" t="str">
        <f t="shared" si="3"/>
        <v>BP</v>
      </c>
      <c r="C24" s="201" t="s">
        <v>40</v>
      </c>
      <c r="D24" s="257"/>
      <c r="E24" s="216" t="str">
        <f>IFERROR(IF(D24&lt;&gt;"",D24,HLOOKUP($E$2,$F$2:K24,ROW(D24)-1,0)),F24)</f>
        <v>Enunciado de la pregunta</v>
      </c>
      <c r="F24" s="216" t="s">
        <v>99</v>
      </c>
      <c r="G24" s="216" t="s">
        <v>100</v>
      </c>
      <c r="H24" s="216" t="s">
        <v>101</v>
      </c>
      <c r="I24" s="216" t="s">
        <v>102</v>
      </c>
      <c r="J24" s="216" t="s">
        <v>103</v>
      </c>
      <c r="K24" s="216" t="s">
        <v>104</v>
      </c>
    </row>
    <row r="25" spans="1:13" outlineLevel="1" x14ac:dyDescent="0.25">
      <c r="A25" s="74" t="str">
        <f t="shared" si="0"/>
        <v>Z_BP_04_D</v>
      </c>
      <c r="B25" s="202" t="str">
        <f t="shared" si="3"/>
        <v>BP</v>
      </c>
      <c r="C25" s="203" t="s">
        <v>46</v>
      </c>
      <c r="D25" s="258"/>
      <c r="E25" s="217" t="str">
        <f>IFERROR(IF(D25&lt;&gt;"",D25,HLOOKUP($E$2,$F$2:K25,ROW(D25)-1,0)),F25)</f>
        <v>Descripción</v>
      </c>
      <c r="F25" s="217" t="s">
        <v>105</v>
      </c>
      <c r="G25" s="217" t="s">
        <v>106</v>
      </c>
      <c r="H25" s="217" t="s">
        <v>106</v>
      </c>
      <c r="I25" s="217" t="s">
        <v>107</v>
      </c>
      <c r="J25" s="217" t="s">
        <v>108</v>
      </c>
      <c r="K25" s="217" t="s">
        <v>109</v>
      </c>
    </row>
    <row r="26" spans="1:13" outlineLevel="1" x14ac:dyDescent="0.25">
      <c r="A26" s="74" t="str">
        <f t="shared" si="0"/>
        <v>Z_BP_05_D</v>
      </c>
      <c r="B26" s="200" t="str">
        <f t="shared" si="3"/>
        <v>BP</v>
      </c>
      <c r="C26" s="201" t="s">
        <v>52</v>
      </c>
      <c r="D26" s="257"/>
      <c r="E26" s="216" t="str">
        <f>IFERROR(IF(D26&lt;&gt;"",D26,HLOOKUP($E$2,$F$2:K26,ROW(D26)-1,0)),F26)</f>
        <v>Respuesta Correcta</v>
      </c>
      <c r="F26" s="216" t="s">
        <v>110</v>
      </c>
      <c r="G26" s="216" t="s">
        <v>111</v>
      </c>
      <c r="H26" s="216" t="s">
        <v>112</v>
      </c>
      <c r="I26" s="216" t="s">
        <v>113</v>
      </c>
      <c r="J26" s="216" t="s">
        <v>114</v>
      </c>
      <c r="K26" s="216" t="s">
        <v>115</v>
      </c>
    </row>
    <row r="27" spans="1:13" outlineLevel="1" x14ac:dyDescent="0.25">
      <c r="A27" s="74" t="str">
        <f t="shared" si="0"/>
        <v>Z_BP_06_D</v>
      </c>
      <c r="B27" s="202" t="str">
        <f t="shared" si="3"/>
        <v>BP</v>
      </c>
      <c r="C27" s="203" t="s">
        <v>58</v>
      </c>
      <c r="D27" s="258"/>
      <c r="E27" s="217" t="str">
        <f>IFERROR(IF(D27&lt;&gt;"",D27,HLOOKUP($E$2,$F$2:K27,ROW(D27)-1,0)),F27)</f>
        <v>Respuesta Incorrecta</v>
      </c>
      <c r="F27" s="217" t="s">
        <v>116</v>
      </c>
      <c r="G27" s="217" t="s">
        <v>117</v>
      </c>
      <c r="H27" s="217" t="s">
        <v>118</v>
      </c>
      <c r="I27" s="217" t="s">
        <v>119</v>
      </c>
      <c r="J27" s="217" t="s">
        <v>120</v>
      </c>
      <c r="K27" s="217" t="s">
        <v>121</v>
      </c>
    </row>
    <row r="28" spans="1:13" outlineLevel="1" x14ac:dyDescent="0.25">
      <c r="A28" s="74" t="str">
        <f t="shared" si="0"/>
        <v>Z_BP_07_D</v>
      </c>
      <c r="B28" s="200" t="str">
        <f t="shared" si="3"/>
        <v>BP</v>
      </c>
      <c r="C28" s="201" t="s">
        <v>65</v>
      </c>
      <c r="D28" s="257"/>
      <c r="E28" s="216" t="str">
        <f>IFERROR(IF(D28&lt;&gt;"",D28,HLOOKUP($E$2,$F$2:K28,ROW(D28)-1,0)),F28)</f>
        <v>Retroalim.</v>
      </c>
      <c r="F28" s="216" t="s">
        <v>122</v>
      </c>
      <c r="G28" s="216" t="s">
        <v>123</v>
      </c>
      <c r="H28" s="216" t="s">
        <v>124</v>
      </c>
      <c r="I28" s="216" t="s">
        <v>125</v>
      </c>
      <c r="J28" s="216" t="s">
        <v>126</v>
      </c>
      <c r="K28" s="216" t="s">
        <v>123</v>
      </c>
    </row>
    <row r="29" spans="1:13" outlineLevel="1" x14ac:dyDescent="0.25">
      <c r="A29" s="74" t="str">
        <f t="shared" si="0"/>
        <v>Z_BP_08_D</v>
      </c>
      <c r="B29" s="202" t="str">
        <f t="shared" si="3"/>
        <v>BP</v>
      </c>
      <c r="C29" s="203" t="s">
        <v>66</v>
      </c>
      <c r="D29" s="258"/>
      <c r="E29" s="217" t="str">
        <f>IFERROR(IF(D29&lt;&gt;"",D29,HLOOKUP($E$2,$F$2:K29,ROW(D29)-1,0)),F29)</f>
        <v>Pista</v>
      </c>
      <c r="F29" s="217" t="s">
        <v>127</v>
      </c>
      <c r="G29" s="217" t="s">
        <v>128</v>
      </c>
      <c r="H29" s="217" t="s">
        <v>129</v>
      </c>
      <c r="I29" s="217" t="s">
        <v>130</v>
      </c>
      <c r="J29" s="217" t="s">
        <v>131</v>
      </c>
      <c r="K29" s="217" t="s">
        <v>132</v>
      </c>
    </row>
    <row r="30" spans="1:13" outlineLevel="1" x14ac:dyDescent="0.25">
      <c r="A30" s="74" t="str">
        <f t="shared" si="0"/>
        <v>Z_BP_09_D</v>
      </c>
      <c r="B30" s="200" t="str">
        <f t="shared" si="3"/>
        <v>BP</v>
      </c>
      <c r="C30" s="201" t="s">
        <v>70</v>
      </c>
      <c r="D30" s="257"/>
      <c r="E30" s="216" t="str">
        <f>IFERROR(IF(D30&lt;&gt;"",D30,HLOOKUP($E$2,$F$2:K30,ROW(D30)-1,0)),F30)</f>
        <v>Puntos</v>
      </c>
      <c r="F30" s="216" t="s">
        <v>133</v>
      </c>
      <c r="G30" s="216" t="s">
        <v>134</v>
      </c>
      <c r="H30" s="216" t="s">
        <v>134</v>
      </c>
      <c r="I30" s="216" t="s">
        <v>135</v>
      </c>
      <c r="J30" s="216" t="s">
        <v>136</v>
      </c>
      <c r="K30" s="216" t="s">
        <v>137</v>
      </c>
    </row>
    <row r="31" spans="1:13" outlineLevel="1" x14ac:dyDescent="0.25">
      <c r="A31" s="74" t="str">
        <f t="shared" si="0"/>
        <v>Z_BP_10_D</v>
      </c>
      <c r="B31" s="202" t="str">
        <f t="shared" si="3"/>
        <v>BP</v>
      </c>
      <c r="C31" s="203" t="s">
        <v>71</v>
      </c>
      <c r="D31" s="258"/>
      <c r="E31" s="217" t="str">
        <f>IFERROR(IF(D31&lt;&gt;"",D31,HLOOKUP($E$2,$F$2:K31,ROW(D31)-1,0)),F31)</f>
        <v>OM 1R</v>
      </c>
      <c r="F31" s="217" t="s">
        <v>138</v>
      </c>
      <c r="G31" s="217" t="s">
        <v>473</v>
      </c>
      <c r="H31" s="217" t="s">
        <v>139</v>
      </c>
      <c r="I31" s="217" t="s">
        <v>140</v>
      </c>
      <c r="J31" s="217" t="s">
        <v>141</v>
      </c>
      <c r="K31" s="217" t="s">
        <v>142</v>
      </c>
    </row>
    <row r="32" spans="1:13" outlineLevel="1" x14ac:dyDescent="0.25">
      <c r="A32" s="74" t="str">
        <f t="shared" si="0"/>
        <v>Z_BP_11_D</v>
      </c>
      <c r="B32" s="200" t="str">
        <f t="shared" si="3"/>
        <v>BP</v>
      </c>
      <c r="C32" s="201" t="s">
        <v>72</v>
      </c>
      <c r="D32" s="257"/>
      <c r="E32" s="216" t="str">
        <f>IFERROR(IF(D32&lt;&gt;"",D32,HLOOKUP($E$2,$F$2:K32,ROW(D32)-1,0)),F32)</f>
        <v>OM +R</v>
      </c>
      <c r="F32" s="216" t="s">
        <v>479</v>
      </c>
      <c r="G32" s="216" t="s">
        <v>478</v>
      </c>
      <c r="H32" s="216" t="s">
        <v>474</v>
      </c>
      <c r="I32" s="216" t="s">
        <v>475</v>
      </c>
      <c r="J32" s="216" t="s">
        <v>476</v>
      </c>
      <c r="K32" s="216" t="s">
        <v>477</v>
      </c>
    </row>
    <row r="33" spans="1:12" outlineLevel="1" x14ac:dyDescent="0.25">
      <c r="A33" s="74" t="str">
        <f t="shared" si="0"/>
        <v>Z_BP_12_D</v>
      </c>
      <c r="B33" s="202" t="str">
        <f t="shared" si="3"/>
        <v>BP</v>
      </c>
      <c r="C33" s="203" t="s">
        <v>74</v>
      </c>
      <c r="D33" s="258"/>
      <c r="E33" s="217" t="str">
        <f>IFERROR(IF(D33&lt;&gt;"",D33,HLOOKUP($E$2,$F$2:K33,ROW(D33)-1,0)),F33)</f>
        <v>VF</v>
      </c>
      <c r="F33" s="217" t="s">
        <v>143</v>
      </c>
      <c r="G33" s="217" t="s">
        <v>144</v>
      </c>
      <c r="H33" s="217" t="s">
        <v>143</v>
      </c>
      <c r="I33" s="217" t="s">
        <v>143</v>
      </c>
      <c r="J33" s="217" t="s">
        <v>143</v>
      </c>
      <c r="K33" s="217" t="s">
        <v>145</v>
      </c>
    </row>
    <row r="34" spans="1:12" outlineLevel="1" x14ac:dyDescent="0.25">
      <c r="A34" s="74" t="str">
        <f t="shared" si="0"/>
        <v>Z_BP_13_D</v>
      </c>
      <c r="B34" s="200" t="str">
        <f t="shared" si="3"/>
        <v>BP</v>
      </c>
      <c r="C34" s="201" t="s">
        <v>76</v>
      </c>
      <c r="D34" s="257"/>
      <c r="E34" s="216" t="str">
        <f>IFERROR(IF(D34&lt;&gt;"",D34,HLOOKUP($E$2,$F$2:K34,ROW(D34)-1,0)),F34)</f>
        <v>EM</v>
      </c>
      <c r="F34" s="216" t="s">
        <v>146</v>
      </c>
      <c r="G34" s="216" t="s">
        <v>147</v>
      </c>
      <c r="H34" s="216" t="s">
        <v>148</v>
      </c>
      <c r="I34" s="216" t="s">
        <v>149</v>
      </c>
      <c r="J34" s="216" t="s">
        <v>25</v>
      </c>
      <c r="K34" s="216" t="s">
        <v>150</v>
      </c>
    </row>
    <row r="35" spans="1:12" outlineLevel="1" x14ac:dyDescent="0.25">
      <c r="A35" s="74" t="str">
        <f t="shared" si="0"/>
        <v>Z_BP_14_D</v>
      </c>
      <c r="B35" s="202" t="str">
        <f t="shared" si="3"/>
        <v>BP</v>
      </c>
      <c r="C35" s="203" t="s">
        <v>78</v>
      </c>
      <c r="D35" s="258"/>
      <c r="E35" s="217" t="str">
        <f>IFERROR(IF(D35&lt;&gt;"",D35,HLOOKUP($E$2,$F$2:K35,ROW(D35)-1,0)),F35)</f>
        <v>RC</v>
      </c>
      <c r="F35" s="217" t="s">
        <v>151</v>
      </c>
      <c r="G35" s="217" t="s">
        <v>152</v>
      </c>
      <c r="H35" s="217" t="s">
        <v>151</v>
      </c>
      <c r="I35" s="217" t="s">
        <v>151</v>
      </c>
      <c r="J35" s="217" t="s">
        <v>153</v>
      </c>
      <c r="K35" s="217" t="s">
        <v>154</v>
      </c>
    </row>
    <row r="36" spans="1:12" outlineLevel="1" x14ac:dyDescent="0.25">
      <c r="A36" s="74" t="str">
        <f t="shared" si="0"/>
        <v>Z_BP_15_D</v>
      </c>
      <c r="B36" s="200" t="str">
        <f t="shared" si="3"/>
        <v>BP</v>
      </c>
      <c r="C36" s="201" t="s">
        <v>81</v>
      </c>
      <c r="D36" s="257"/>
      <c r="E36" s="216" t="str">
        <f>IFERROR(IF(D36&lt;&gt;"",D36,HLOOKUP($E$2,$F$2:K36,ROW(D36)-1,0)),F36)</f>
        <v>PP</v>
      </c>
      <c r="F36" s="216" t="s">
        <v>155</v>
      </c>
      <c r="G36" s="216" t="s">
        <v>156</v>
      </c>
      <c r="H36" s="216" t="s">
        <v>157</v>
      </c>
      <c r="I36" s="216" t="s">
        <v>155</v>
      </c>
      <c r="J36" s="216" t="s">
        <v>155</v>
      </c>
      <c r="K36" s="216" t="s">
        <v>158</v>
      </c>
    </row>
    <row r="37" spans="1:12" outlineLevel="1" x14ac:dyDescent="0.25">
      <c r="A37" s="74" t="str">
        <f t="shared" si="0"/>
        <v>Z_BP_16_D</v>
      </c>
      <c r="B37" s="202" t="str">
        <f>B36</f>
        <v>BP</v>
      </c>
      <c r="C37" s="203">
        <v>16</v>
      </c>
      <c r="D37" s="258"/>
      <c r="E37" s="217" t="str">
        <f>IFERROR(IF(D37&lt;&gt;"",D37,HLOOKUP($E$2,$F$2:K37,ROW(D37)-1,0)),F37)</f>
        <v>CL</v>
      </c>
      <c r="F37" s="217" t="s">
        <v>160</v>
      </c>
      <c r="G37" s="217" t="s">
        <v>160</v>
      </c>
      <c r="H37" s="217" t="s">
        <v>160</v>
      </c>
      <c r="I37" s="217" t="s">
        <v>160</v>
      </c>
      <c r="J37" s="217" t="s">
        <v>160</v>
      </c>
      <c r="K37" s="217" t="s">
        <v>160</v>
      </c>
    </row>
    <row r="38" spans="1:12" outlineLevel="1" x14ac:dyDescent="0.25">
      <c r="A38" s="74" t="str">
        <f t="shared" si="0"/>
        <v>Z_BP_17_D</v>
      </c>
      <c r="B38" s="200" t="str">
        <f t="shared" si="3"/>
        <v>BP</v>
      </c>
      <c r="C38" s="201" t="s">
        <v>161</v>
      </c>
      <c r="D38" s="257"/>
      <c r="E38" s="216" t="str">
        <f>IFERROR(IF(D38&lt;&gt;"",D38,HLOOKUP($E$2,$F$2:K38,ROW(D38)-1,0)),F38)</f>
        <v xml:space="preserve">Pareja </v>
      </c>
      <c r="F38" s="216" t="s">
        <v>162</v>
      </c>
      <c r="G38" s="216" t="s">
        <v>163</v>
      </c>
      <c r="H38" s="216" t="s">
        <v>164</v>
      </c>
      <c r="I38" s="216" t="s">
        <v>165</v>
      </c>
      <c r="J38" s="216" t="s">
        <v>166</v>
      </c>
      <c r="K38" s="216" t="s">
        <v>167</v>
      </c>
    </row>
    <row r="39" spans="1:12" outlineLevel="1" x14ac:dyDescent="0.25">
      <c r="A39" s="74" t="str">
        <f t="shared" si="0"/>
        <v>Z_BP_18_D</v>
      </c>
      <c r="B39" s="202" t="str">
        <f t="shared" si="3"/>
        <v>BP</v>
      </c>
      <c r="C39" s="203" t="s">
        <v>168</v>
      </c>
      <c r="D39" s="258"/>
      <c r="E39" s="217" t="str">
        <f>IFERROR(IF(D39&lt;&gt;"",D39,HLOOKUP($E$2,$F$2:K39,ROW(D39)-1,0)),F39)</f>
        <v>Mayúsculas</v>
      </c>
      <c r="F39" s="217" t="s">
        <v>3</v>
      </c>
      <c r="G39" s="217" t="s">
        <v>169</v>
      </c>
      <c r="H39" s="217" t="s">
        <v>170</v>
      </c>
      <c r="I39" s="217" t="s">
        <v>171</v>
      </c>
      <c r="J39" s="217" t="s">
        <v>172</v>
      </c>
      <c r="K39" s="217" t="s">
        <v>173</v>
      </c>
    </row>
    <row r="40" spans="1:12" outlineLevel="1" x14ac:dyDescent="0.25">
      <c r="A40" s="74" t="str">
        <f t="shared" si="0"/>
        <v>Z_BP_19_D</v>
      </c>
      <c r="B40" s="200" t="str">
        <f t="shared" si="3"/>
        <v>BP</v>
      </c>
      <c r="C40" s="201" t="s">
        <v>174</v>
      </c>
      <c r="D40" s="257"/>
      <c r="E40" s="216" t="str">
        <f>IFERROR(IF(D40&lt;&gt;"",D40,HLOOKUP($E$2,$F$2:K40,ROW(D40)-1,0)),F40)</f>
        <v>Respuesta</v>
      </c>
      <c r="F40" s="216" t="s">
        <v>175</v>
      </c>
      <c r="G40" s="216" t="s">
        <v>176</v>
      </c>
      <c r="H40" s="216" t="s">
        <v>177</v>
      </c>
      <c r="I40" s="216" t="s">
        <v>178</v>
      </c>
      <c r="J40" s="216" t="s">
        <v>126</v>
      </c>
      <c r="K40" s="216" t="s">
        <v>179</v>
      </c>
    </row>
    <row r="41" spans="1:12" outlineLevel="1" x14ac:dyDescent="0.25">
      <c r="A41" s="74" t="str">
        <f t="shared" si="0"/>
        <v>Z_BP_20_D</v>
      </c>
      <c r="B41" s="202" t="str">
        <f t="shared" si="3"/>
        <v>BP</v>
      </c>
      <c r="C41" s="203" t="s">
        <v>180</v>
      </c>
      <c r="D41" s="258"/>
      <c r="E41" s="217" t="str">
        <f>IFERROR(IF(D41&lt;&gt;"",D41,HLOOKUP($E$2,$F$2:K41,ROW(D41)-1,0)),F41)</f>
        <v xml:space="preserve">Palabra </v>
      </c>
      <c r="F41" s="217" t="s">
        <v>181</v>
      </c>
      <c r="G41" s="217" t="s">
        <v>182</v>
      </c>
      <c r="H41" s="217" t="s">
        <v>183</v>
      </c>
      <c r="I41" s="217" t="s">
        <v>184</v>
      </c>
      <c r="J41" s="217" t="s">
        <v>185</v>
      </c>
      <c r="K41" s="217" t="s">
        <v>186</v>
      </c>
    </row>
    <row r="42" spans="1:12" outlineLevel="1" x14ac:dyDescent="0.25">
      <c r="A42" s="74" t="str">
        <f t="shared" si="0"/>
        <v>Z_BP_21_D</v>
      </c>
      <c r="B42" s="200" t="str">
        <f t="shared" si="3"/>
        <v>BP</v>
      </c>
      <c r="C42" s="201" t="s">
        <v>187</v>
      </c>
      <c r="D42" s="257"/>
      <c r="E42" s="216" t="str">
        <f>IFERROR(IF(D42&lt;&gt;"",D42,HLOOKUP($E$2,$F$2:K42,ROW(D42)-1,0)),F42)</f>
        <v>VERDADERO</v>
      </c>
      <c r="F42" s="216" t="s">
        <v>188</v>
      </c>
      <c r="G42" s="216" t="s">
        <v>189</v>
      </c>
      <c r="H42" s="216" t="s">
        <v>190</v>
      </c>
      <c r="I42" s="216" t="s">
        <v>191</v>
      </c>
      <c r="J42" s="216" t="s">
        <v>192</v>
      </c>
      <c r="K42" s="216" t="s">
        <v>193</v>
      </c>
    </row>
    <row r="43" spans="1:12" outlineLevel="1" x14ac:dyDescent="0.25">
      <c r="A43" s="74" t="str">
        <f t="shared" si="0"/>
        <v>Z_BP_22_D</v>
      </c>
      <c r="B43" s="202" t="str">
        <f t="shared" si="3"/>
        <v>BP</v>
      </c>
      <c r="C43" s="203" t="s">
        <v>194</v>
      </c>
      <c r="D43" s="258"/>
      <c r="E43" s="217" t="str">
        <f>IFERROR(IF(D43&lt;&gt;"",D43,HLOOKUP($E$2,$F$2:K43,ROW(D43)-1,0)),F43)</f>
        <v>FALSO</v>
      </c>
      <c r="F43" s="217" t="s">
        <v>195</v>
      </c>
      <c r="G43" s="217" t="s">
        <v>196</v>
      </c>
      <c r="H43" s="217" t="s">
        <v>197</v>
      </c>
      <c r="I43" s="217" t="s">
        <v>195</v>
      </c>
      <c r="J43" s="217" t="s">
        <v>195</v>
      </c>
      <c r="K43" s="217" t="s">
        <v>198</v>
      </c>
    </row>
    <row r="44" spans="1:12" outlineLevel="1" x14ac:dyDescent="0.25">
      <c r="A44" s="74" t="str">
        <f t="shared" si="0"/>
        <v>Z_BP_23_D</v>
      </c>
      <c r="B44" s="200" t="str">
        <f t="shared" si="3"/>
        <v>BP</v>
      </c>
      <c r="C44" s="201" t="s">
        <v>199</v>
      </c>
      <c r="D44" s="257"/>
      <c r="E44" s="216" t="str">
        <f>IFERROR(IF(D44&lt;&gt;"",D44,HLOOKUP($E$2,$F$2:K44,ROW(D44)-1,0)),F44)</f>
        <v xml:space="preserve">Grupo </v>
      </c>
      <c r="F44" s="216" t="s">
        <v>200</v>
      </c>
      <c r="G44" s="216" t="s">
        <v>201</v>
      </c>
      <c r="H44" s="216" t="s">
        <v>202</v>
      </c>
      <c r="I44" s="216" t="s">
        <v>203</v>
      </c>
      <c r="J44" s="216" t="s">
        <v>204</v>
      </c>
      <c r="K44" s="216" t="s">
        <v>205</v>
      </c>
      <c r="L44" t="s">
        <v>31</v>
      </c>
    </row>
    <row r="45" spans="1:12" outlineLevel="1" x14ac:dyDescent="0.25">
      <c r="A45" s="74" t="str">
        <f t="shared" ref="A45:A52" si="4">$A$1&amp;B45&amp;"_"&amp;C45&amp;"_"&amp;$A$2</f>
        <v>Z_BP_24_D</v>
      </c>
      <c r="B45" s="202" t="str">
        <f t="shared" si="3"/>
        <v>BP</v>
      </c>
      <c r="C45" s="203" t="s">
        <v>254</v>
      </c>
      <c r="D45" s="258"/>
      <c r="E45" s="217" t="str">
        <f>IFERROR(IF(D45&lt;&gt;"",D45,HLOOKUP($E$2,$F$2:K45,ROW(D45)-1,0)),F45)</f>
        <v>Formato de la Respuesta</v>
      </c>
      <c r="F45" s="217" t="s">
        <v>212</v>
      </c>
      <c r="G45" s="217" t="s">
        <v>213</v>
      </c>
      <c r="H45" s="217" t="s">
        <v>214</v>
      </c>
      <c r="I45" s="217" t="s">
        <v>215</v>
      </c>
      <c r="J45" s="217" t="s">
        <v>216</v>
      </c>
      <c r="K45" s="217" t="s">
        <v>217</v>
      </c>
    </row>
    <row r="46" spans="1:12" outlineLevel="1" x14ac:dyDescent="0.25">
      <c r="A46" s="74" t="str">
        <f t="shared" si="4"/>
        <v>Z_BP_25_D</v>
      </c>
      <c r="B46" s="200" t="str">
        <f t="shared" si="3"/>
        <v>BP</v>
      </c>
      <c r="C46" s="201" t="s">
        <v>255</v>
      </c>
      <c r="D46" s="257"/>
      <c r="E46" s="216" t="str">
        <f>IFERROR(IF(D46&lt;&gt;"",D46,HLOOKUP($E$2,$F$2:K46,ROW(D46)-1,0)),F46)</f>
        <v>Requerir texto</v>
      </c>
      <c r="F46" s="216" t="s">
        <v>218</v>
      </c>
      <c r="G46" s="216" t="s">
        <v>219</v>
      </c>
      <c r="H46" s="216" t="s">
        <v>220</v>
      </c>
      <c r="I46" s="216" t="s">
        <v>221</v>
      </c>
      <c r="J46" s="216" t="s">
        <v>222</v>
      </c>
      <c r="K46" s="216" t="s">
        <v>223</v>
      </c>
    </row>
    <row r="47" spans="1:12" outlineLevel="1" x14ac:dyDescent="0.25">
      <c r="A47" s="74" t="str">
        <f t="shared" si="4"/>
        <v>Z_BP_26_D</v>
      </c>
      <c r="B47" s="202" t="str">
        <f t="shared" si="3"/>
        <v>BP</v>
      </c>
      <c r="C47" s="203" t="s">
        <v>256</v>
      </c>
      <c r="D47" s="258"/>
      <c r="E47" s="217" t="str">
        <f>IFERROR(IF(D47&lt;&gt;"",D47,HLOOKUP($E$2,$F$2:K47,ROW(D47)-1,0)),F47)</f>
        <v>Tamaño de la caja de entrada</v>
      </c>
      <c r="F47" s="217" t="s">
        <v>224</v>
      </c>
      <c r="G47" s="217" t="s">
        <v>225</v>
      </c>
      <c r="H47" s="217" t="s">
        <v>226</v>
      </c>
      <c r="I47" s="217" t="s">
        <v>227</v>
      </c>
      <c r="J47" s="217" t="s">
        <v>228</v>
      </c>
      <c r="K47" s="217" t="s">
        <v>229</v>
      </c>
    </row>
    <row r="48" spans="1:12" outlineLevel="1" x14ac:dyDescent="0.25">
      <c r="A48" s="74" t="str">
        <f t="shared" si="4"/>
        <v>Z_BP_27_D</v>
      </c>
      <c r="B48" s="200" t="str">
        <f t="shared" si="3"/>
        <v>BP</v>
      </c>
      <c r="C48" s="201" t="s">
        <v>257</v>
      </c>
      <c r="D48" s="257"/>
      <c r="E48" s="216" t="str">
        <f>IFERROR(IF(D48&lt;&gt;"",D48,HLOOKUP($E$2,$F$2:K48,ROW(D48)-1,0)),F48)</f>
        <v>Permitir archivos adjuntos</v>
      </c>
      <c r="F48" s="216" t="s">
        <v>230</v>
      </c>
      <c r="G48" s="216" t="s">
        <v>231</v>
      </c>
      <c r="H48" s="216" t="s">
        <v>232</v>
      </c>
      <c r="I48" s="216" t="s">
        <v>233</v>
      </c>
      <c r="J48" s="216" t="s">
        <v>234</v>
      </c>
      <c r="K48" s="216" t="s">
        <v>235</v>
      </c>
    </row>
    <row r="49" spans="1:12" outlineLevel="1" x14ac:dyDescent="0.25">
      <c r="A49" s="74" t="str">
        <f t="shared" si="4"/>
        <v>Z_BP_28_D</v>
      </c>
      <c r="B49" s="202" t="str">
        <f t="shared" si="3"/>
        <v>BP</v>
      </c>
      <c r="C49" s="203" t="s">
        <v>258</v>
      </c>
      <c r="D49" s="258"/>
      <c r="E49" s="217" t="str">
        <f>IFERROR(IF(D49&lt;&gt;"",D49,HLOOKUP($E$2,$F$2:K49,ROW(D49)-1,0)),F49)</f>
        <v>Archivos adjuntos requeridos</v>
      </c>
      <c r="F49" s="217" t="s">
        <v>236</v>
      </c>
      <c r="G49" s="217" t="s">
        <v>237</v>
      </c>
      <c r="H49" s="217" t="s">
        <v>238</v>
      </c>
      <c r="I49" s="217" t="s">
        <v>239</v>
      </c>
      <c r="J49" s="217" t="s">
        <v>240</v>
      </c>
      <c r="K49" s="217" t="s">
        <v>241</v>
      </c>
    </row>
    <row r="50" spans="1:12" outlineLevel="1" x14ac:dyDescent="0.25">
      <c r="A50" s="74" t="str">
        <f t="shared" si="4"/>
        <v>Z_BP_29_D</v>
      </c>
      <c r="B50" s="200" t="str">
        <f t="shared" si="3"/>
        <v>BP</v>
      </c>
      <c r="C50" s="201" t="s">
        <v>259</v>
      </c>
      <c r="D50" s="257"/>
      <c r="E50" s="216" t="str">
        <f>IFERROR(IF(D50&lt;&gt;"",D50,HLOOKUP($E$2,$F$2:K50,ROW(D50)-1,0)),F50)</f>
        <v>Plantilla de Respuesta</v>
      </c>
      <c r="F50" s="216" t="s">
        <v>242</v>
      </c>
      <c r="G50" s="216" t="s">
        <v>243</v>
      </c>
      <c r="H50" s="216" t="s">
        <v>244</v>
      </c>
      <c r="I50" s="216" t="s">
        <v>245</v>
      </c>
      <c r="J50" s="216" t="s">
        <v>246</v>
      </c>
      <c r="K50" s="216" t="s">
        <v>247</v>
      </c>
    </row>
    <row r="51" spans="1:12" outlineLevel="1" x14ac:dyDescent="0.25">
      <c r="A51" s="74" t="str">
        <f t="shared" si="4"/>
        <v>Z_BP_30_D</v>
      </c>
      <c r="B51" s="202" t="str">
        <f t="shared" si="3"/>
        <v>BP</v>
      </c>
      <c r="C51" s="203" t="s">
        <v>260</v>
      </c>
      <c r="D51" s="258"/>
      <c r="E51" s="217" t="str">
        <f>IFERROR(IF(D51&lt;&gt;"",D51,HLOOKUP($E$2,$F$2:K51,ROW(D51)-1,0)),F51)</f>
        <v>Información para el evaluador</v>
      </c>
      <c r="F51" s="217" t="s">
        <v>248</v>
      </c>
      <c r="G51" s="217" t="s">
        <v>249</v>
      </c>
      <c r="H51" s="217" t="s">
        <v>250</v>
      </c>
      <c r="I51" s="217" t="s">
        <v>251</v>
      </c>
      <c r="J51" s="217" t="s">
        <v>252</v>
      </c>
      <c r="K51" s="217" t="s">
        <v>253</v>
      </c>
    </row>
    <row r="52" spans="1:12" outlineLevel="1" x14ac:dyDescent="0.25">
      <c r="A52" s="74" t="str">
        <f t="shared" si="4"/>
        <v>Z_BP_31_D</v>
      </c>
      <c r="B52" s="200" t="str">
        <f t="shared" si="3"/>
        <v>BP</v>
      </c>
      <c r="C52" s="201" t="s">
        <v>261</v>
      </c>
      <c r="D52" s="257"/>
      <c r="E52" s="216" t="str">
        <f>IFERROR(IF(D52&lt;&gt;"",D52,HLOOKUP($E$2,$F$2:K52,ROW(D52)-1,0)),F52)</f>
        <v>EN</v>
      </c>
      <c r="F52" s="216" t="s">
        <v>211</v>
      </c>
      <c r="G52" s="216" t="s">
        <v>262</v>
      </c>
      <c r="H52" s="216" t="s">
        <v>263</v>
      </c>
      <c r="I52" s="216" t="s">
        <v>211</v>
      </c>
      <c r="J52" s="216" t="s">
        <v>263</v>
      </c>
      <c r="K52" s="216" t="s">
        <v>264</v>
      </c>
    </row>
    <row r="53" spans="1:12" ht="15.75" outlineLevel="1" thickBot="1" x14ac:dyDescent="0.3">
      <c r="A53" s="74" t="str">
        <f t="shared" ref="A53:A55" si="5">$A$1&amp;B53&amp;"_"&amp;C53&amp;"_"&amp;$A$2</f>
        <v>Z_BP_32_D</v>
      </c>
      <c r="B53" s="202" t="str">
        <f t="shared" si="3"/>
        <v>BP</v>
      </c>
      <c r="C53" s="203">
        <v>32</v>
      </c>
      <c r="D53" s="258"/>
      <c r="E53" s="219" t="str">
        <f>IFERROR(IF(D53&lt;&gt;"",D53,HLOOKUP($E$2,$F$2:K53,ROW(D53)-1,0)),F53)</f>
        <v>Ancho RC</v>
      </c>
      <c r="F53" s="217" t="s">
        <v>269</v>
      </c>
      <c r="G53" s="217" t="s">
        <v>270</v>
      </c>
      <c r="H53" s="217" t="s">
        <v>271</v>
      </c>
      <c r="I53" s="217" t="s">
        <v>272</v>
      </c>
      <c r="J53" s="217" t="s">
        <v>273</v>
      </c>
      <c r="K53" s="217" t="s">
        <v>274</v>
      </c>
    </row>
    <row r="54" spans="1:12" x14ac:dyDescent="0.25">
      <c r="A54" s="74" t="str">
        <f t="shared" si="5"/>
        <v>Z_TX_00_D</v>
      </c>
      <c r="B54" s="77" t="s">
        <v>448</v>
      </c>
      <c r="C54" s="78" t="s">
        <v>26</v>
      </c>
      <c r="D54" s="256"/>
      <c r="E54" s="215" t="str">
        <f>IFERROR(IF(D54&lt;&gt;"",D54,HLOOKUP($E$2,$F$2:K54,ROW(D54)-1,0)),F54)</f>
        <v>MENSAJES MACROS</v>
      </c>
      <c r="F54" s="255" t="s">
        <v>439</v>
      </c>
      <c r="G54" s="255" t="s">
        <v>440</v>
      </c>
      <c r="H54" s="255" t="s">
        <v>439</v>
      </c>
      <c r="I54" s="255" t="s">
        <v>439</v>
      </c>
      <c r="J54" s="255" t="s">
        <v>439</v>
      </c>
      <c r="K54" s="255" t="s">
        <v>441</v>
      </c>
      <c r="L54" s="76" t="s">
        <v>31</v>
      </c>
    </row>
    <row r="55" spans="1:12" outlineLevel="1" x14ac:dyDescent="0.25">
      <c r="A55" s="74" t="str">
        <f t="shared" si="5"/>
        <v>Z_TX_01_D</v>
      </c>
      <c r="B55" s="200" t="s">
        <v>448</v>
      </c>
      <c r="C55" s="201" t="s">
        <v>32</v>
      </c>
      <c r="D55" s="257"/>
      <c r="E55" s="216" t="str">
        <f>IFERROR(IF(D55&lt;&gt;"",D55,HLOOKUP($E$2,$F$2:K55,ROW(D55)-1,0)),F55)</f>
        <v>Copia el link (Ctrl+C) y 
pega (Ctrl+V) en Internet.</v>
      </c>
      <c r="F55" s="216" t="s">
        <v>442</v>
      </c>
      <c r="G55" s="216" t="s">
        <v>443</v>
      </c>
      <c r="H55" s="216" t="s">
        <v>444</v>
      </c>
      <c r="I55" s="216" t="s">
        <v>445</v>
      </c>
      <c r="J55" s="216" t="s">
        <v>446</v>
      </c>
      <c r="K55" s="216" t="s">
        <v>447</v>
      </c>
    </row>
    <row r="56" spans="1:12" x14ac:dyDescent="0.25">
      <c r="D56" s="259"/>
    </row>
    <row r="57" spans="1:12" x14ac:dyDescent="0.25"/>
  </sheetData>
  <sheetProtection algorithmName="SHA-512" hashValue="ZMWS55BbJMm32fcsl3tRLtEYOOpsYW4gOvlaJFki+6+Kx7FJ5rltKuk6RVpUyI+quuKFdZzmSyge85LlNfCVcA==" saltValue="byFt2DBtC/Vy3x37ohkIQw==" spinCount="100000" sheet="1" objects="1" scenarios="1" selectLockedCells="1"/>
  <pageMargins left="0.7" right="0.7" top="0.75" bottom="0.75" header="0.3" footer="0.3"/>
  <pageSetup paperSize="9"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374</vt:i4>
      </vt:variant>
    </vt:vector>
  </HeadingPairs>
  <TitlesOfParts>
    <vt:vector size="384" baseType="lpstr">
      <vt:lpstr>INICIO</vt:lpstr>
      <vt:lpstr>Datos OM</vt:lpstr>
      <vt:lpstr>Datos O2</vt:lpstr>
      <vt:lpstr>Datos VF</vt:lpstr>
      <vt:lpstr>Datos EM</vt:lpstr>
      <vt:lpstr>Datos RC</vt:lpstr>
      <vt:lpstr>Datos PP</vt:lpstr>
      <vt:lpstr>Datos EN</vt:lpstr>
      <vt:lpstr>Datos CL</vt:lpstr>
      <vt:lpstr>DICCIONARIO</vt:lpstr>
      <vt:lpstr>AUTOR</vt:lpstr>
      <vt:lpstr>IDIOMA</vt:lpstr>
      <vt:lpstr>LANGUAGE</vt:lpstr>
      <vt:lpstr>Z_BP_00_D</vt:lpstr>
      <vt:lpstr>Z_BP_00_E</vt:lpstr>
      <vt:lpstr>Z_BP_00_F</vt:lpstr>
      <vt:lpstr>Z_BP_00_I</vt:lpstr>
      <vt:lpstr>Z_BP_00_O</vt:lpstr>
      <vt:lpstr>Z_BP_00_P</vt:lpstr>
      <vt:lpstr>Z_BP_00_S</vt:lpstr>
      <vt:lpstr>Z_BP_01_D</vt:lpstr>
      <vt:lpstr>Z_BP_01_E</vt:lpstr>
      <vt:lpstr>Z_BP_01_F</vt:lpstr>
      <vt:lpstr>Z_BP_01_I</vt:lpstr>
      <vt:lpstr>Z_BP_01_O</vt:lpstr>
      <vt:lpstr>Z_BP_01_P</vt:lpstr>
      <vt:lpstr>Z_BP_01_S</vt:lpstr>
      <vt:lpstr>Z_BP_02_D</vt:lpstr>
      <vt:lpstr>Z_BP_02_E</vt:lpstr>
      <vt:lpstr>Z_BP_02_F</vt:lpstr>
      <vt:lpstr>Z_BP_02_I</vt:lpstr>
      <vt:lpstr>Z_BP_02_O</vt:lpstr>
      <vt:lpstr>Z_BP_02_P</vt:lpstr>
      <vt:lpstr>Z_BP_02_S</vt:lpstr>
      <vt:lpstr>Z_BP_03_D</vt:lpstr>
      <vt:lpstr>Z_BP_03_E</vt:lpstr>
      <vt:lpstr>Z_BP_03_F</vt:lpstr>
      <vt:lpstr>Z_BP_03_I</vt:lpstr>
      <vt:lpstr>Z_BP_03_O</vt:lpstr>
      <vt:lpstr>Z_BP_03_P</vt:lpstr>
      <vt:lpstr>Z_BP_03_S</vt:lpstr>
      <vt:lpstr>Z_BP_04_D</vt:lpstr>
      <vt:lpstr>Z_BP_04_E</vt:lpstr>
      <vt:lpstr>Z_BP_04_F</vt:lpstr>
      <vt:lpstr>Z_BP_04_I</vt:lpstr>
      <vt:lpstr>Z_BP_04_O</vt:lpstr>
      <vt:lpstr>Z_BP_04_P</vt:lpstr>
      <vt:lpstr>Z_BP_04_S</vt:lpstr>
      <vt:lpstr>Z_BP_05_D</vt:lpstr>
      <vt:lpstr>Z_BP_05_E</vt:lpstr>
      <vt:lpstr>Z_BP_05_F</vt:lpstr>
      <vt:lpstr>Z_BP_05_I</vt:lpstr>
      <vt:lpstr>Z_BP_05_O</vt:lpstr>
      <vt:lpstr>Z_BP_05_P</vt:lpstr>
      <vt:lpstr>Z_BP_05_S</vt:lpstr>
      <vt:lpstr>Z_BP_06_D</vt:lpstr>
      <vt:lpstr>Z_BP_06_E</vt:lpstr>
      <vt:lpstr>Z_BP_06_F</vt:lpstr>
      <vt:lpstr>Z_BP_06_I</vt:lpstr>
      <vt:lpstr>Z_BP_06_O</vt:lpstr>
      <vt:lpstr>Z_BP_06_P</vt:lpstr>
      <vt:lpstr>Z_BP_06_S</vt:lpstr>
      <vt:lpstr>Z_BP_07_D</vt:lpstr>
      <vt:lpstr>Z_BP_07_E</vt:lpstr>
      <vt:lpstr>Z_BP_07_F</vt:lpstr>
      <vt:lpstr>Z_BP_07_I</vt:lpstr>
      <vt:lpstr>Z_BP_07_O</vt:lpstr>
      <vt:lpstr>Z_BP_07_P</vt:lpstr>
      <vt:lpstr>Z_BP_07_S</vt:lpstr>
      <vt:lpstr>Z_BP_08_D</vt:lpstr>
      <vt:lpstr>Z_BP_08_E</vt:lpstr>
      <vt:lpstr>Z_BP_08_F</vt:lpstr>
      <vt:lpstr>Z_BP_08_I</vt:lpstr>
      <vt:lpstr>Z_BP_08_O</vt:lpstr>
      <vt:lpstr>Z_BP_08_P</vt:lpstr>
      <vt:lpstr>Z_BP_08_S</vt:lpstr>
      <vt:lpstr>Z_BP_09_D</vt:lpstr>
      <vt:lpstr>Z_BP_09_E</vt:lpstr>
      <vt:lpstr>Z_BP_09_F</vt:lpstr>
      <vt:lpstr>Z_BP_09_I</vt:lpstr>
      <vt:lpstr>Z_BP_09_O</vt:lpstr>
      <vt:lpstr>Z_BP_09_P</vt:lpstr>
      <vt:lpstr>Z_BP_09_S</vt:lpstr>
      <vt:lpstr>Z_BP_10_D</vt:lpstr>
      <vt:lpstr>Z_BP_10_E</vt:lpstr>
      <vt:lpstr>Z_BP_10_F</vt:lpstr>
      <vt:lpstr>Z_BP_10_I</vt:lpstr>
      <vt:lpstr>Z_BP_10_O</vt:lpstr>
      <vt:lpstr>Z_BP_10_P</vt:lpstr>
      <vt:lpstr>Z_BP_10_S</vt:lpstr>
      <vt:lpstr>Z_BP_11_D</vt:lpstr>
      <vt:lpstr>Z_BP_11_E</vt:lpstr>
      <vt:lpstr>Z_BP_11_F</vt:lpstr>
      <vt:lpstr>Z_BP_11_I</vt:lpstr>
      <vt:lpstr>Z_BP_11_O</vt:lpstr>
      <vt:lpstr>Z_BP_11_P</vt:lpstr>
      <vt:lpstr>Z_BP_11_S</vt:lpstr>
      <vt:lpstr>Z_BP_12_D</vt:lpstr>
      <vt:lpstr>Z_BP_12_E</vt:lpstr>
      <vt:lpstr>Z_BP_12_F</vt:lpstr>
      <vt:lpstr>Z_BP_12_I</vt:lpstr>
      <vt:lpstr>Z_BP_12_O</vt:lpstr>
      <vt:lpstr>Z_BP_12_P</vt:lpstr>
      <vt:lpstr>Z_BP_12_S</vt:lpstr>
      <vt:lpstr>Z_BP_13_D</vt:lpstr>
      <vt:lpstr>Z_BP_13_E</vt:lpstr>
      <vt:lpstr>Z_BP_13_F</vt:lpstr>
      <vt:lpstr>Z_BP_13_I</vt:lpstr>
      <vt:lpstr>Z_BP_13_O</vt:lpstr>
      <vt:lpstr>Z_BP_13_P</vt:lpstr>
      <vt:lpstr>Z_BP_13_S</vt:lpstr>
      <vt:lpstr>Z_BP_14_D</vt:lpstr>
      <vt:lpstr>Z_BP_14_E</vt:lpstr>
      <vt:lpstr>Z_BP_14_F</vt:lpstr>
      <vt:lpstr>Z_BP_14_I</vt:lpstr>
      <vt:lpstr>Z_BP_14_O</vt:lpstr>
      <vt:lpstr>Z_BP_14_P</vt:lpstr>
      <vt:lpstr>Z_BP_14_S</vt:lpstr>
      <vt:lpstr>Z_BP_15_D</vt:lpstr>
      <vt:lpstr>Z_BP_15_E</vt:lpstr>
      <vt:lpstr>Z_BP_15_F</vt:lpstr>
      <vt:lpstr>Z_BP_15_I</vt:lpstr>
      <vt:lpstr>Z_BP_15_O</vt:lpstr>
      <vt:lpstr>Z_BP_15_P</vt:lpstr>
      <vt:lpstr>Z_BP_15_S</vt:lpstr>
      <vt:lpstr>Z_BP_16_D</vt:lpstr>
      <vt:lpstr>Z_BP_16_E</vt:lpstr>
      <vt:lpstr>Z_BP_16_F</vt:lpstr>
      <vt:lpstr>Z_BP_16_I</vt:lpstr>
      <vt:lpstr>Z_BP_16_O</vt:lpstr>
      <vt:lpstr>Z_BP_16_P</vt:lpstr>
      <vt:lpstr>Z_BP_16_S</vt:lpstr>
      <vt:lpstr>Z_BP_17_D</vt:lpstr>
      <vt:lpstr>Z_BP_17_E</vt:lpstr>
      <vt:lpstr>Z_BP_17_F</vt:lpstr>
      <vt:lpstr>Z_BP_17_I</vt:lpstr>
      <vt:lpstr>Z_BP_17_O</vt:lpstr>
      <vt:lpstr>Z_BP_17_P</vt:lpstr>
      <vt:lpstr>Z_BP_17_S</vt:lpstr>
      <vt:lpstr>Z_BP_18_D</vt:lpstr>
      <vt:lpstr>Z_BP_18_E</vt:lpstr>
      <vt:lpstr>Z_BP_18_F</vt:lpstr>
      <vt:lpstr>Z_BP_18_I</vt:lpstr>
      <vt:lpstr>Z_BP_18_O</vt:lpstr>
      <vt:lpstr>Z_BP_18_P</vt:lpstr>
      <vt:lpstr>Z_BP_18_S</vt:lpstr>
      <vt:lpstr>Z_BP_19_D</vt:lpstr>
      <vt:lpstr>Z_BP_19_E</vt:lpstr>
      <vt:lpstr>Z_BP_19_F</vt:lpstr>
      <vt:lpstr>Z_BP_19_I</vt:lpstr>
      <vt:lpstr>Z_BP_19_O</vt:lpstr>
      <vt:lpstr>Z_BP_19_P</vt:lpstr>
      <vt:lpstr>Z_BP_19_S</vt:lpstr>
      <vt:lpstr>Z_BP_20_D</vt:lpstr>
      <vt:lpstr>Z_BP_20_E</vt:lpstr>
      <vt:lpstr>Z_BP_20_F</vt:lpstr>
      <vt:lpstr>Z_BP_20_I</vt:lpstr>
      <vt:lpstr>Z_BP_20_O</vt:lpstr>
      <vt:lpstr>Z_BP_20_P</vt:lpstr>
      <vt:lpstr>Z_BP_20_S</vt:lpstr>
      <vt:lpstr>Z_BP_21_D</vt:lpstr>
      <vt:lpstr>Z_BP_21_E</vt:lpstr>
      <vt:lpstr>Z_BP_21_F</vt:lpstr>
      <vt:lpstr>Z_BP_21_I</vt:lpstr>
      <vt:lpstr>Z_BP_21_O</vt:lpstr>
      <vt:lpstr>Z_BP_21_P</vt:lpstr>
      <vt:lpstr>Z_BP_21_S</vt:lpstr>
      <vt:lpstr>Z_BP_22_D</vt:lpstr>
      <vt:lpstr>Z_BP_22_E</vt:lpstr>
      <vt:lpstr>Z_BP_22_F</vt:lpstr>
      <vt:lpstr>Z_BP_22_I</vt:lpstr>
      <vt:lpstr>Z_BP_22_O</vt:lpstr>
      <vt:lpstr>Z_BP_22_P</vt:lpstr>
      <vt:lpstr>Z_BP_22_S</vt:lpstr>
      <vt:lpstr>Z_BP_23_D</vt:lpstr>
      <vt:lpstr>Z_BP_23_E</vt:lpstr>
      <vt:lpstr>Z_BP_23_F</vt:lpstr>
      <vt:lpstr>Z_BP_23_I</vt:lpstr>
      <vt:lpstr>Z_BP_23_O</vt:lpstr>
      <vt:lpstr>Z_BP_23_P</vt:lpstr>
      <vt:lpstr>Z_BP_23_S</vt:lpstr>
      <vt:lpstr>Z_BP_24_D</vt:lpstr>
      <vt:lpstr>Z_BP_24_E</vt:lpstr>
      <vt:lpstr>Z_BP_24_F</vt:lpstr>
      <vt:lpstr>Z_BP_24_I</vt:lpstr>
      <vt:lpstr>Z_BP_24_O</vt:lpstr>
      <vt:lpstr>Z_BP_24_P</vt:lpstr>
      <vt:lpstr>Z_BP_24_S</vt:lpstr>
      <vt:lpstr>Z_BP_25_D</vt:lpstr>
      <vt:lpstr>Z_BP_25_E</vt:lpstr>
      <vt:lpstr>Z_BP_25_F</vt:lpstr>
      <vt:lpstr>Z_BP_25_I</vt:lpstr>
      <vt:lpstr>Z_BP_25_O</vt:lpstr>
      <vt:lpstr>Z_BP_25_P</vt:lpstr>
      <vt:lpstr>Z_BP_25_S</vt:lpstr>
      <vt:lpstr>Z_BP_26_D</vt:lpstr>
      <vt:lpstr>Z_BP_26_E</vt:lpstr>
      <vt:lpstr>Z_BP_26_F</vt:lpstr>
      <vt:lpstr>Z_BP_26_I</vt:lpstr>
      <vt:lpstr>Z_BP_26_O</vt:lpstr>
      <vt:lpstr>Z_BP_26_P</vt:lpstr>
      <vt:lpstr>Z_BP_26_S</vt:lpstr>
      <vt:lpstr>Z_BP_27_D</vt:lpstr>
      <vt:lpstr>Z_BP_27_E</vt:lpstr>
      <vt:lpstr>Z_BP_27_F</vt:lpstr>
      <vt:lpstr>Z_BP_27_I</vt:lpstr>
      <vt:lpstr>Z_BP_27_O</vt:lpstr>
      <vt:lpstr>Z_BP_27_P</vt:lpstr>
      <vt:lpstr>Z_BP_27_S</vt:lpstr>
      <vt:lpstr>Z_BP_28_D</vt:lpstr>
      <vt:lpstr>Z_BP_28_E</vt:lpstr>
      <vt:lpstr>Z_BP_28_F</vt:lpstr>
      <vt:lpstr>Z_BP_28_I</vt:lpstr>
      <vt:lpstr>Z_BP_28_O</vt:lpstr>
      <vt:lpstr>Z_BP_28_P</vt:lpstr>
      <vt:lpstr>Z_BP_28_S</vt:lpstr>
      <vt:lpstr>Z_BP_29_D</vt:lpstr>
      <vt:lpstr>Z_BP_29_E</vt:lpstr>
      <vt:lpstr>Z_BP_29_F</vt:lpstr>
      <vt:lpstr>Z_BP_29_I</vt:lpstr>
      <vt:lpstr>Z_BP_29_O</vt:lpstr>
      <vt:lpstr>Z_BP_29_P</vt:lpstr>
      <vt:lpstr>Z_BP_29_S</vt:lpstr>
      <vt:lpstr>Z_BP_30_D</vt:lpstr>
      <vt:lpstr>Z_BP_30_E</vt:lpstr>
      <vt:lpstr>Z_BP_30_F</vt:lpstr>
      <vt:lpstr>Z_BP_30_I</vt:lpstr>
      <vt:lpstr>Z_BP_30_O</vt:lpstr>
      <vt:lpstr>Z_BP_30_P</vt:lpstr>
      <vt:lpstr>Z_BP_30_S</vt:lpstr>
      <vt:lpstr>Z_BP_31_D</vt:lpstr>
      <vt:lpstr>Z_BP_31_E</vt:lpstr>
      <vt:lpstr>Z_BP_31_F</vt:lpstr>
      <vt:lpstr>Z_BP_31_I</vt:lpstr>
      <vt:lpstr>Z_BP_31_O</vt:lpstr>
      <vt:lpstr>Z_BP_31_P</vt:lpstr>
      <vt:lpstr>Z_BP_31_S</vt:lpstr>
      <vt:lpstr>Z_BP_32_D</vt:lpstr>
      <vt:lpstr>Z_BP_32_E</vt:lpstr>
      <vt:lpstr>Z_BP_32_F</vt:lpstr>
      <vt:lpstr>Z_BP_32_I</vt:lpstr>
      <vt:lpstr>Z_BP_32_O</vt:lpstr>
      <vt:lpstr>Z_BP_32_P</vt:lpstr>
      <vt:lpstr>Z_BP_32_S</vt:lpstr>
      <vt:lpstr>Z_IN_00_D</vt:lpstr>
      <vt:lpstr>Z_IN_00_E</vt:lpstr>
      <vt:lpstr>Z_IN_00_F</vt:lpstr>
      <vt:lpstr>Z_IN_00_I</vt:lpstr>
      <vt:lpstr>Z_IN_00_O</vt:lpstr>
      <vt:lpstr>Z_IN_00_P</vt:lpstr>
      <vt:lpstr>Z_IN_00_S</vt:lpstr>
      <vt:lpstr>Z_IN_01_D</vt:lpstr>
      <vt:lpstr>Z_IN_01_E</vt:lpstr>
      <vt:lpstr>Z_IN_01_F</vt:lpstr>
      <vt:lpstr>Z_IN_01_I</vt:lpstr>
      <vt:lpstr>Z_IN_01_O</vt:lpstr>
      <vt:lpstr>Z_IN_01_P</vt:lpstr>
      <vt:lpstr>Z_IN_01_S</vt:lpstr>
      <vt:lpstr>Z_IN_02_D</vt:lpstr>
      <vt:lpstr>Z_IN_02_E</vt:lpstr>
      <vt:lpstr>Z_IN_02_F</vt:lpstr>
      <vt:lpstr>Z_IN_02_I</vt:lpstr>
      <vt:lpstr>Z_IN_02_O</vt:lpstr>
      <vt:lpstr>Z_IN_02_P</vt:lpstr>
      <vt:lpstr>Z_IN_02_S</vt:lpstr>
      <vt:lpstr>Z_IN_03_D</vt:lpstr>
      <vt:lpstr>Z_IN_03_E</vt:lpstr>
      <vt:lpstr>Z_IN_03_F</vt:lpstr>
      <vt:lpstr>Z_IN_03_I</vt:lpstr>
      <vt:lpstr>Z_IN_03_O</vt:lpstr>
      <vt:lpstr>Z_IN_03_P</vt:lpstr>
      <vt:lpstr>Z_IN_03_S</vt:lpstr>
      <vt:lpstr>Z_IN_04_D</vt:lpstr>
      <vt:lpstr>Z_IN_04_E</vt:lpstr>
      <vt:lpstr>Z_IN_04_F</vt:lpstr>
      <vt:lpstr>Z_IN_04_I</vt:lpstr>
      <vt:lpstr>Z_IN_04_O</vt:lpstr>
      <vt:lpstr>Z_IN_04_P</vt:lpstr>
      <vt:lpstr>Z_IN_04_S</vt:lpstr>
      <vt:lpstr>Z_IN_05_D</vt:lpstr>
      <vt:lpstr>Z_IN_05_E</vt:lpstr>
      <vt:lpstr>Z_IN_05_F</vt:lpstr>
      <vt:lpstr>Z_IN_05_I</vt:lpstr>
      <vt:lpstr>Z_IN_05_O</vt:lpstr>
      <vt:lpstr>Z_IN_05_P</vt:lpstr>
      <vt:lpstr>Z_IN_05_S</vt:lpstr>
      <vt:lpstr>Z_IN_06_D</vt:lpstr>
      <vt:lpstr>Z_IN_06_E</vt:lpstr>
      <vt:lpstr>Z_IN_06_F</vt:lpstr>
      <vt:lpstr>Z_IN_06_I</vt:lpstr>
      <vt:lpstr>Z_IN_06_O</vt:lpstr>
      <vt:lpstr>Z_IN_06_P</vt:lpstr>
      <vt:lpstr>Z_IN_06_S</vt:lpstr>
      <vt:lpstr>Z_IN_07_D</vt:lpstr>
      <vt:lpstr>Z_IN_07_E</vt:lpstr>
      <vt:lpstr>Z_IN_07_F</vt:lpstr>
      <vt:lpstr>Z_IN_07_I</vt:lpstr>
      <vt:lpstr>Z_IN_07_O</vt:lpstr>
      <vt:lpstr>Z_IN_07_P</vt:lpstr>
      <vt:lpstr>Z_IN_07_S</vt:lpstr>
      <vt:lpstr>Z_IN_08_D</vt:lpstr>
      <vt:lpstr>Z_IN_08_E</vt:lpstr>
      <vt:lpstr>Z_IN_08_F</vt:lpstr>
      <vt:lpstr>Z_IN_08_I</vt:lpstr>
      <vt:lpstr>Z_IN_08_O</vt:lpstr>
      <vt:lpstr>Z_IN_08_P</vt:lpstr>
      <vt:lpstr>Z_IN_08_S</vt:lpstr>
      <vt:lpstr>Z_IN_09_D</vt:lpstr>
      <vt:lpstr>Z_IN_09_E</vt:lpstr>
      <vt:lpstr>Z_IN_09_F</vt:lpstr>
      <vt:lpstr>Z_IN_09_I</vt:lpstr>
      <vt:lpstr>Z_IN_09_O</vt:lpstr>
      <vt:lpstr>Z_IN_09_P</vt:lpstr>
      <vt:lpstr>Z_IN_09_S</vt:lpstr>
      <vt:lpstr>Z_IN_10_D</vt:lpstr>
      <vt:lpstr>Z_IN_10_E</vt:lpstr>
      <vt:lpstr>Z_IN_10_F</vt:lpstr>
      <vt:lpstr>Z_IN_10_I</vt:lpstr>
      <vt:lpstr>Z_IN_10_O</vt:lpstr>
      <vt:lpstr>Z_IN_10_P</vt:lpstr>
      <vt:lpstr>Z_IN_10_S</vt:lpstr>
      <vt:lpstr>Z_IN_11_D</vt:lpstr>
      <vt:lpstr>Z_IN_11_E</vt:lpstr>
      <vt:lpstr>Z_IN_11_F</vt:lpstr>
      <vt:lpstr>Z_IN_11_I</vt:lpstr>
      <vt:lpstr>Z_IN_11_O</vt:lpstr>
      <vt:lpstr>Z_IN_11_P</vt:lpstr>
      <vt:lpstr>Z_IN_11_S</vt:lpstr>
      <vt:lpstr>Z_IN_12_D</vt:lpstr>
      <vt:lpstr>Z_IN_12_E</vt:lpstr>
      <vt:lpstr>Z_IN_12_F</vt:lpstr>
      <vt:lpstr>Z_IN_12_I</vt:lpstr>
      <vt:lpstr>Z_IN_12_O</vt:lpstr>
      <vt:lpstr>Z_IN_12_P</vt:lpstr>
      <vt:lpstr>Z_IN_12_S</vt:lpstr>
      <vt:lpstr>Z_IN_13_D</vt:lpstr>
      <vt:lpstr>Z_IN_13_E</vt:lpstr>
      <vt:lpstr>Z_IN_13_F</vt:lpstr>
      <vt:lpstr>Z_IN_13_I</vt:lpstr>
      <vt:lpstr>Z_IN_13_O</vt:lpstr>
      <vt:lpstr>Z_IN_13_P</vt:lpstr>
      <vt:lpstr>Z_IN_13_S</vt:lpstr>
      <vt:lpstr>Z_IN_14_D</vt:lpstr>
      <vt:lpstr>Z_IN_14_E</vt:lpstr>
      <vt:lpstr>Z_IN_14_F</vt:lpstr>
      <vt:lpstr>Z_IN_14_I</vt:lpstr>
      <vt:lpstr>Z_IN_14_O</vt:lpstr>
      <vt:lpstr>Z_IN_14_P</vt:lpstr>
      <vt:lpstr>Z_IN_14_S</vt:lpstr>
      <vt:lpstr>Z_IN_15_D</vt:lpstr>
      <vt:lpstr>Z_IN_15_E</vt:lpstr>
      <vt:lpstr>Z_IN_15_F</vt:lpstr>
      <vt:lpstr>Z_IN_15_I</vt:lpstr>
      <vt:lpstr>Z_IN_15_O</vt:lpstr>
      <vt:lpstr>Z_IN_15_P</vt:lpstr>
      <vt:lpstr>Z_IN_15_S</vt:lpstr>
      <vt:lpstr>Z_IN_16_D</vt:lpstr>
      <vt:lpstr>Z_IN_16_E</vt:lpstr>
      <vt:lpstr>Z_IN_16_F</vt:lpstr>
      <vt:lpstr>Z_IN_16_I</vt:lpstr>
      <vt:lpstr>Z_IN_16_O</vt:lpstr>
      <vt:lpstr>Z_IN_16_P</vt:lpstr>
      <vt:lpstr>Z_IN_16_S</vt:lpstr>
      <vt:lpstr>Z_IN_17_D</vt:lpstr>
      <vt:lpstr>Z_IN_17_E</vt:lpstr>
      <vt:lpstr>Z_IN_17_F</vt:lpstr>
      <vt:lpstr>Z_IN_17_I</vt:lpstr>
      <vt:lpstr>Z_IN_17_O</vt:lpstr>
      <vt:lpstr>Z_IN_17_P</vt:lpstr>
      <vt:lpstr>Z_IN_17_S</vt:lpstr>
      <vt:lpstr>Z_TX_00_D</vt:lpstr>
      <vt:lpstr>Z_TX_00_E</vt:lpstr>
      <vt:lpstr>Z_TX_00_F</vt:lpstr>
      <vt:lpstr>Z_TX_00_I</vt:lpstr>
      <vt:lpstr>Z_TX_00_O</vt:lpstr>
      <vt:lpstr>Z_TX_00_P</vt:lpstr>
      <vt:lpstr>Z_TX_00_S</vt:lpstr>
      <vt:lpstr>Z_TX_01_D</vt:lpstr>
      <vt:lpstr>Z_TX_01_E</vt:lpstr>
      <vt:lpstr>Z_TX_01_F</vt:lpstr>
      <vt:lpstr>Z_TX_01_I</vt:lpstr>
      <vt:lpstr>Z_TX_01_O</vt:lpstr>
      <vt:lpstr>Z_TX_01_P</vt:lpstr>
      <vt:lpstr>Z_TX_01_S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Base de datos de preguntas para MOODLE</dc:title>
  <dc:creator>Milagros Huerta Gómez de Merodio</dc:creator>
  <cp:keywords>MOODLE, DOCENCIA, PREGUNTAS, CUESTIONARIOS</cp:keywords>
  <cp:lastModifiedBy>Milagros Huerta Gómez de Merodio</cp:lastModifiedBy>
  <cp:lastPrinted>2021-05-08T09:25:40Z</cp:lastPrinted>
  <dcterms:created xsi:type="dcterms:W3CDTF">2021-02-15T22:57:22Z</dcterms:created>
  <dcterms:modified xsi:type="dcterms:W3CDTF">2021-11-29T12:06:22Z</dcterms:modified>
  <cp:category>DOCENCIA</cp:category>
</cp:coreProperties>
</file>