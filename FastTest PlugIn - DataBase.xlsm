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5" i="8" l="1"/>
  <c r="B65" i="8"/>
  <c r="A65" i="8"/>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4" i="8" s="1"/>
  <c r="A62" i="8"/>
  <c r="A45" i="6"/>
  <c r="A63" i="8" l="1"/>
  <c r="A37" i="6"/>
  <c r="D2" i="8"/>
  <c r="O13" i="8"/>
  <c r="X13" i="8" l="1"/>
  <c r="AD2" i="8"/>
  <c r="E2" i="8"/>
  <c r="AI3" i="22"/>
  <c r="AI3" i="21"/>
  <c r="AI3" i="20"/>
  <c r="AI3" i="19"/>
  <c r="AI3" i="18"/>
  <c r="AI3" i="16"/>
  <c r="AI3" i="17"/>
  <c r="E3" i="15"/>
  <c r="O4" i="8"/>
  <c r="O3" i="8"/>
  <c r="O10" i="8"/>
  <c r="O17" i="8"/>
  <c r="O24" i="8"/>
  <c r="O27" i="8"/>
  <c r="F2" i="15"/>
  <c r="O7" i="8"/>
  <c r="O23" i="8"/>
  <c r="O6" i="8"/>
  <c r="O16" i="8"/>
  <c r="O25" i="8"/>
  <c r="O11" i="8"/>
  <c r="F1" i="15"/>
  <c r="O28" i="8"/>
  <c r="O19" i="8"/>
  <c r="O20" i="8"/>
  <c r="O15" i="8"/>
  <c r="O18" i="8"/>
  <c r="O14" i="8"/>
  <c r="O12" i="8"/>
  <c r="O5" i="8"/>
  <c r="O26" i="8"/>
  <c r="D1" i="8"/>
  <c r="O8" i="8"/>
  <c r="O9" i="8"/>
  <c r="O29" i="8"/>
  <c r="O22" i="8"/>
  <c r="O21" i="8"/>
  <c r="X7" i="8" l="1"/>
  <c r="Z7" i="8" s="1"/>
  <c r="X16" i="8"/>
  <c r="Z16" i="8" s="1"/>
  <c r="X15" i="8"/>
  <c r="Z15" i="8" s="1"/>
  <c r="X11" i="8"/>
  <c r="Z11" i="8" s="1"/>
  <c r="X6" i="8"/>
  <c r="Z6" i="8" s="1"/>
  <c r="X14" i="8"/>
  <c r="Z14" i="8" s="1"/>
  <c r="X8" i="8"/>
  <c r="Z8" i="8" s="1"/>
  <c r="X4" i="8"/>
  <c r="Y4" i="8" s="1"/>
  <c r="X5" i="8"/>
  <c r="Y5" i="8" s="1"/>
  <c r="X12" i="8"/>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Z12"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24" i="8"/>
  <c r="P15" i="8"/>
  <c r="P29" i="8"/>
  <c r="P28" i="8"/>
  <c r="P6" i="8"/>
  <c r="P23" i="8"/>
  <c r="P5" i="8"/>
  <c r="P8" i="8"/>
  <c r="P14" i="8"/>
  <c r="P11" i="8"/>
  <c r="P12" i="8"/>
  <c r="P26" i="8"/>
  <c r="P7" i="8"/>
  <c r="P4" i="8"/>
  <c r="P21" i="8"/>
  <c r="P9" i="8"/>
  <c r="P27" i="8"/>
  <c r="P25" i="8"/>
  <c r="P10" i="8"/>
  <c r="P22" i="8"/>
  <c r="P16" i="8"/>
  <c r="P3" i="8"/>
  <c r="P19" i="8"/>
  <c r="P20" i="8"/>
  <c r="P18" i="8"/>
  <c r="P13" i="8"/>
  <c r="P17" i="8"/>
  <c r="Z4" i="8" l="1"/>
  <c r="Z29" i="8"/>
  <c r="Z28" i="8"/>
  <c r="Y16" i="8" s="1"/>
  <c r="Z19" i="8"/>
  <c r="Z21" i="8"/>
  <c r="Y15" i="8"/>
  <c r="Y14" i="8"/>
  <c r="Y12" i="8"/>
  <c r="N30" i="8"/>
  <c r="B23" i="8"/>
  <c r="B5" i="8"/>
  <c r="AF3" i="15"/>
  <c r="A3" i="16"/>
  <c r="H3" i="16"/>
  <c r="Q3" i="19"/>
  <c r="Z3" i="19"/>
  <c r="V3" i="16"/>
  <c r="Q26" i="6"/>
  <c r="AH3" i="16"/>
  <c r="J3" i="15"/>
  <c r="E23" i="6"/>
  <c r="A3" i="15"/>
  <c r="O3" i="15"/>
  <c r="X3" i="15"/>
  <c r="K23" i="6"/>
  <c r="I3" i="19"/>
  <c r="M3" i="21"/>
  <c r="G3" i="6"/>
  <c r="I23" i="6"/>
  <c r="M23" i="6"/>
  <c r="G3" i="16"/>
  <c r="R3" i="19"/>
  <c r="X3" i="20"/>
  <c r="G26" i="6"/>
  <c r="K26" i="6"/>
  <c r="A3" i="20"/>
  <c r="X3" i="16"/>
  <c r="D3" i="19"/>
  <c r="J3" i="16"/>
  <c r="O3" i="16"/>
  <c r="G23" i="6"/>
  <c r="A3" i="18"/>
  <c r="I3" i="16"/>
  <c r="AF3" i="16"/>
  <c r="J3" i="20"/>
  <c r="X3" i="19"/>
  <c r="O26" i="6"/>
  <c r="S3" i="15"/>
  <c r="Q24" i="6"/>
  <c r="U3" i="16"/>
  <c r="U3" i="19"/>
  <c r="H3" i="19"/>
  <c r="J3" i="21"/>
  <c r="N3" i="16"/>
  <c r="G3" i="15"/>
  <c r="M3" i="16"/>
  <c r="O24" i="6"/>
  <c r="L3" i="19"/>
  <c r="L3" i="15"/>
  <c r="P6" i="6"/>
  <c r="H3" i="20"/>
  <c r="E3" i="16"/>
  <c r="Q23" i="6"/>
  <c r="AG3" i="16"/>
  <c r="G1" i="20"/>
  <c r="B3" i="15"/>
  <c r="Q3" i="15"/>
  <c r="O3" i="19"/>
  <c r="A3" i="19"/>
  <c r="R3" i="20"/>
  <c r="P3" i="20"/>
  <c r="W3" i="16"/>
  <c r="P3" i="15"/>
  <c r="V3" i="15"/>
  <c r="U3" i="15"/>
  <c r="AE3" i="15"/>
  <c r="W3" i="15"/>
  <c r="I3" i="21"/>
  <c r="AC3" i="19"/>
  <c r="AB3" i="20"/>
  <c r="Q3" i="16"/>
  <c r="AH3" i="15"/>
  <c r="K3" i="15"/>
  <c r="C26" i="6"/>
  <c r="C9" i="6"/>
  <c r="C24" i="6"/>
  <c r="K24" i="6"/>
  <c r="M26" i="6"/>
  <c r="AG3" i="15"/>
  <c r="I26" i="6"/>
  <c r="V3" i="20"/>
  <c r="L3" i="20"/>
  <c r="C23" i="6"/>
  <c r="D11" i="6"/>
  <c r="I7" i="6"/>
  <c r="O23" i="6"/>
  <c r="G1" i="22"/>
  <c r="G1" i="21"/>
  <c r="H3" i="21"/>
  <c r="E3" i="17"/>
  <c r="G1" i="18"/>
  <c r="T3" i="16"/>
  <c r="P3" i="16"/>
  <c r="I24" i="6"/>
  <c r="E26" i="6"/>
  <c r="T3" i="20"/>
  <c r="Z3" i="20"/>
  <c r="I3" i="15"/>
  <c r="AD3" i="19"/>
  <c r="E24" i="6"/>
  <c r="W3" i="19"/>
  <c r="G24" i="6"/>
  <c r="AE3" i="16"/>
  <c r="AA3" i="19"/>
  <c r="G1" i="19"/>
  <c r="G1" i="15"/>
  <c r="N3" i="20"/>
  <c r="G1" i="16"/>
  <c r="D27" i="6"/>
  <c r="K3" i="19"/>
  <c r="R3" i="16"/>
  <c r="G3" i="22"/>
  <c r="S3" i="16"/>
  <c r="N3" i="19"/>
  <c r="T3" i="15"/>
  <c r="R3" i="15"/>
  <c r="L3" i="16"/>
  <c r="G1" i="17"/>
  <c r="K3" i="16"/>
  <c r="K3" i="21"/>
  <c r="M3" i="15"/>
  <c r="N3" i="15"/>
  <c r="L3" i="21"/>
  <c r="B3" i="16"/>
  <c r="T3" i="19"/>
  <c r="AD3" i="20"/>
  <c r="H3" i="15"/>
  <c r="M24" i="6"/>
  <c r="Y13" i="8" l="1"/>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F3" i="19"/>
  <c r="AC3" i="20"/>
  <c r="W3" i="20"/>
  <c r="Y3" i="20"/>
  <c r="O3" i="20"/>
  <c r="G3" i="21"/>
  <c r="S3" i="20"/>
  <c r="K3" i="20"/>
  <c r="F3" i="16"/>
  <c r="F3" i="20"/>
  <c r="F3" i="15"/>
  <c r="F3" i="21"/>
  <c r="F3" i="18"/>
  <c r="F3" i="22"/>
  <c r="I3" i="20"/>
  <c r="F3" i="17"/>
  <c r="Q3" i="20"/>
  <c r="G3" i="20"/>
  <c r="AA3" i="20"/>
  <c r="M3" i="20"/>
  <c r="U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<sst xmlns="http://schemas.openxmlformats.org/spreadsheetml/2006/main" count="969" uniqueCount="662">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</sst>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4"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34">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0" fillId="17" borderId="0" xfId="0" applyFill="1" applyBorder="1" applyAlignment="1">
      <alignment horizontal="center"/>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16" fillId="2" borderId="16" xfId="1" applyFont="1" applyFill="1" applyBorder="1" applyAlignment="1">
      <alignment horizontal="center" vertical="center"/>
    </xf>
    <xf numFmtId="0" fontId="16" fillId="2" borderId="18" xfId="1" applyFont="1" applyFill="1" applyBorder="1" applyAlignment="1">
      <alignment horizontal="center" vertical="center"/>
    </xf>
    <xf numFmtId="0" fontId="5" fillId="3" borderId="25"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7"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52" dataDxfId="151">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11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4"/>
    <tableColumn id="2" name="C2" dataDxfId="113"/>
    <tableColumn id="3" name="Columna1" dataDxfId="112"/>
    <tableColumn id="4" name="Columna2" dataDxfId="111"/>
    <tableColumn id="5" name="Descripción" dataDxfId="110"/>
    <tableColumn id="6" name="FastTest PlugIn - ENSAYO_x000a__x000a_Enunciado de la pregunta" dataDxfId="109"/>
    <tableColumn id="7" name="Formato de la Respuesta_x000a_Requerir texto" dataDxfId="108"/>
    <tableColumn id="8" name="Requerir texto" dataDxfId="107"/>
    <tableColumn id="9" name="Tamaño de la caja de entrada" dataDxfId="106"/>
    <tableColumn id="10" name="Permitir archivos adjuntos" dataDxfId="105"/>
    <tableColumn id="11" name="Archivos adjuntos requeridos" dataDxfId="104"/>
    <tableColumn id="12" name="Plantilla de Respuesta" dataDxfId="103"/>
    <tableColumn id="13" name="Información para el evaluador" dataDxfId="102"/>
    <tableColumn id="14" name="Columna3" dataDxfId="101"/>
    <tableColumn id="15" name="Columna4" dataDxfId="100"/>
    <tableColumn id="16" name="Columna5" dataDxfId="99"/>
    <tableColumn id="17" name="Columna6" dataDxfId="98"/>
    <tableColumn id="18" name="Columna7" dataDxfId="97"/>
    <tableColumn id="19" name="Columna8" dataDxfId="96"/>
    <tableColumn id="20" name="Columna9" dataDxfId="95"/>
    <tableColumn id="21" name="Columna10" dataDxfId="94"/>
    <tableColumn id="22" name="Columna11" dataDxfId="93"/>
    <tableColumn id="23" name="Columna12" dataDxfId="92"/>
    <tableColumn id="24" name="Columna13" dataDxfId="91"/>
    <tableColumn id="25" name="Columna14" dataDxfId="90"/>
    <tableColumn id="26" name="Columna15" dataDxfId="89"/>
    <tableColumn id="27" name="Columna16" dataDxfId="88"/>
    <tableColumn id="28" name="Columna17" dataDxfId="87"/>
    <tableColumn id="29" name="Columna18" dataDxfId="86"/>
    <tableColumn id="30" name="Columna19" dataDxfId="85"/>
    <tableColumn id="31" name="Columna20" dataDxfId="84"/>
    <tableColumn id="32" name="Columna21" dataDxfId="83"/>
    <tableColumn id="33" name="Columna22" dataDxfId="82"/>
    <tableColumn id="34" name="Columna23" dataDxfId="81"/>
    <tableColumn id="35" name="Imagen" dataDxfId="80"/>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9" dataDxfId="78">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7"/>
    <tableColumn id="2" name="C2" dataDxfId="76"/>
    <tableColumn id="3" name="Columna1" dataDxfId="75"/>
    <tableColumn id="4" name="Columna2" dataDxfId="74"/>
    <tableColumn id="5" name="Descripcion" dataDxfId="73"/>
    <tableColumn id="6" name="Enunciado" dataDxfId="72"/>
    <tableColumn id="7" name="Ancho RC" dataDxfId="71"/>
    <tableColumn id="8" name="Columna3" dataDxfId="70"/>
    <tableColumn id="9" name="Columna4" dataDxfId="69"/>
    <tableColumn id="10" name="Columna5" dataDxfId="68"/>
    <tableColumn id="11" name="Columna6" dataDxfId="67"/>
    <tableColumn id="12" name="Columna7" dataDxfId="66"/>
    <tableColumn id="13" name="Columna8" dataDxfId="65"/>
    <tableColumn id="14" name="Columna9" dataDxfId="64"/>
    <tableColumn id="15" name="Columna10" dataDxfId="63"/>
    <tableColumn id="16" name="Columna11" dataDxfId="62"/>
    <tableColumn id="17" name="Columna12" dataDxfId="61"/>
    <tableColumn id="18" name="Columna13" dataDxfId="60"/>
    <tableColumn id="19" name="Columna14" dataDxfId="59"/>
    <tableColumn id="20" name="Columna15" dataDxfId="58"/>
    <tableColumn id="21" name="Columna16" dataDxfId="57"/>
    <tableColumn id="22" name="Columna17" dataDxfId="56"/>
    <tableColumn id="23" name="Columna18" dataDxfId="55"/>
    <tableColumn id="24" name="Columna19" dataDxfId="54"/>
    <tableColumn id="25" name="Columna20" dataDxfId="53"/>
    <tableColumn id="26" name="Columna21" dataDxfId="52"/>
    <tableColumn id="27" name="Columna22" dataDxfId="51"/>
    <tableColumn id="28" name="Columna23" dataDxfId="50"/>
    <tableColumn id="29" name="Columna24" dataDxfId="49"/>
    <tableColumn id="30" name="Columna25" dataDxfId="48"/>
    <tableColumn id="31" name="Pista 1" dataDxfId="47"/>
    <tableColumn id="32" name="Pista 2" dataDxfId="46"/>
    <tableColumn id="33" name="Pista 3" dataDxfId="45"/>
    <tableColumn id="34" name="Pista 4" dataDxfId="44"/>
    <tableColumn id="35" name="Imagen" dataDxfId="43"/>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2" dataDxfId="41" tableBorderDxfId="40">
  <autoFilter ref="N2:AA29"/>
  <tableColumns count="14">
    <tableColumn id="1" name="N Sub" totalsRowFunction="custom" dataDxfId="39" totalsRowDxfId="38">
      <calculatedColumnFormula>IF(Tabla_Menu[[#This Row],[Nivel]]=O2,0,COUNTIF(Tabla_Menu[Nivel],Tabla_Menu[[#This Row],[Nivel]]))</calculatedColumnFormula>
      <totalsRowFormula>COUNTIF(Tabla_Menu[N Sub],"&lt;&gt;0")</totalsRowFormula>
    </tableColumn>
    <tableColumn id="2" name="Nivel" dataDxfId="37" totalsRowDxfId="36">
      <calculatedColumnFormula>IFERROR(INDIRECT(Tabla_Menu[[#This Row],[Nivel 1]]&amp;IDIOMA),"")</calculatedColumnFormula>
    </tableColumn>
    <tableColumn id="3" name="Nombre" dataDxfId="35" totalsRowDxfId="34">
      <calculatedColumnFormula>IFERROR(INDIRECT(Tabla_Menu[[#This Row],[Nivel 2]]&amp;IDIOMA)&amp;IF(Tabla_Menu[[#This Row],[Nivel]]="",""," "&amp;Tabla_Menu[[#This Row],['[Teclas']]]),"")</calculatedColumnFormula>
    </tableColumn>
    <tableColumn id="4" name="On Action" dataDxfId="33" totalsRowDxfId="32"/>
    <tableColumn id="5" name="Face Id" dataDxfId="31" totalsRowDxfId="30"/>
    <tableColumn id="6" name="Begin Group" dataDxfId="29" totalsRowDxfId="28"/>
    <tableColumn id="7" name="Nivel 1" dataDxfId="27" totalsRowDxfId="26"/>
    <tableColumn id="8" name="Nivel 2" dataDxfId="25" totalsRowDxfId="24"/>
    <tableColumn id="11" name="Teclas" dataDxfId="23" totalsRowDxfId="22"/>
    <tableColumn id="15" name="HOJAS NO MUESTRA" dataDxfId="21" totalsRowDxfId="20"/>
    <tableColumn id="10" name="N/A" dataDxfId="19" totalsRowDxfId="18">
      <calculatedColumnFormula>IF(OR(Tabla_Menu[[#This Row],[Nivel]]="",IFERROR(SEARCH(MID(CELL("nombrearchivo"),FIND(".xlsm]",CELL("nombrearchivo"),1)+6,100),Tabla_Menu[[#This Row],[HOJAS NO MUESTRA]],1),0)&gt;0),"N/A","")</calculatedColumnFormula>
    </tableColumn>
    <tableColumn id="14" name="Num N/A" dataDxfId="17" totalsRowDxfId="16">
      <calculatedColumnFormula>IF(Tabla_Menu[[#This Row],[N/A]]="",,COUNTIF(Tabla_Menu[Nivel &amp; Incluir],Tabla_Menu[[#This Row],[Nivel &amp; Incluir]]))</calculatedColumnFormula>
    </tableColumn>
    <tableColumn id="12" name="Nivel &amp; Incluir" dataDxfId="15" totalsRowDxfId="14">
      <calculatedColumnFormula>Tabla_Menu[[#This Row],[Nivel]]&amp;Tabla_Menu[[#This Row],[N/A]]</calculatedColumnFormula>
    </tableColumn>
    <tableColumn id="9" name="[Teclas]" dataDxfId="13" totalsRowDxfId="12"/>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11" dataDxfId="10" totalsRowDxfId="8" tableBorderDxfId="9">
  <autoFilter ref="P37:R43">
    <filterColumn colId="0" hiddenButton="1"/>
    <filterColumn colId="1" hiddenButton="1"/>
    <filterColumn colId="2" hiddenButton="1"/>
  </autoFilter>
  <tableColumns count="3">
    <tableColumn id="1" name="CommandBars" totalsRowFunction="custom" dataDxfId="7" totalsRowDxfId="6">
      <totalsRowFormula>COUNTA(Tabla_Comandos[CommandBars])</totalsRowFormula>
    </tableColumn>
    <tableColumn id="2" name="Cambio" dataDxfId="5" totalsRowDxfId="4"/>
    <tableColumn id="3" name="Activa/Des" dataDxfId="3" totalsRowDxfId="2"/>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43" zoomScaleNormal="143" workbookViewId="0">
      <pane xSplit="26" ySplit="55" topLeftCell="XFD56" activePane="bottomRight" state="frozen"/>
      <selection pane="topRight" activeCell="AF1" sqref="AF1"/>
      <selection pane="bottomLeft" activeCell="A56" sqref="A56"/>
      <selection pane="bottomRight" activeCell="A23" sqref="A2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01" t="s">
        <v>387</v>
      </c>
      <c r="B1" s="320" t="s">
        <v>5</v>
      </c>
      <c r="C1" s="321"/>
      <c r="D1" s="321"/>
      <c r="E1" s="321"/>
      <c r="F1" s="321"/>
      <c r="G1" s="321"/>
      <c r="H1" s="321"/>
      <c r="I1" s="321"/>
      <c r="J1" s="321"/>
      <c r="K1" s="321"/>
      <c r="L1" s="321"/>
      <c r="M1" s="321"/>
      <c r="N1" s="321"/>
      <c r="O1" s="321"/>
      <c r="P1" s="321"/>
      <c r="Q1" s="321"/>
      <c r="R1" s="321"/>
      <c r="S1" s="322"/>
    </row>
    <row r="2" spans="1:19" ht="6" customHeight="1" x14ac:dyDescent="0.25">
      <c r="A2" s="302"/>
      <c r="B2" s="7"/>
      <c r="C2" s="8"/>
      <c r="D2" s="8"/>
      <c r="E2" s="8"/>
      <c r="F2" s="8"/>
      <c r="G2" s="8"/>
      <c r="H2" s="8"/>
      <c r="I2" s="8"/>
      <c r="J2" s="8"/>
      <c r="K2" s="8"/>
      <c r="L2" s="8"/>
      <c r="M2" s="8"/>
      <c r="N2" s="8"/>
      <c r="O2" s="8"/>
      <c r="P2" s="8"/>
      <c r="Q2" s="8"/>
      <c r="R2" s="8"/>
      <c r="S2" s="9"/>
    </row>
    <row r="3" spans="1:19" x14ac:dyDescent="0.25">
      <c r="A3" s="302"/>
      <c r="B3" s="7"/>
      <c r="C3" s="8"/>
      <c r="D3" s="8"/>
      <c r="E3" s="8"/>
      <c r="F3" s="8"/>
      <c r="G3" s="309" t="str">
        <f ca="1">INDIRECT("Z_IN_04_"&amp;IDIOMA)</f>
        <v>Esta Aplicación ha sido desarrollada, en la primera versión, por:</v>
      </c>
      <c r="H3" s="309"/>
      <c r="I3" s="309"/>
      <c r="J3" s="309"/>
      <c r="K3" s="309"/>
      <c r="L3" s="309"/>
      <c r="M3" s="309"/>
      <c r="N3" s="309"/>
      <c r="O3" s="8"/>
      <c r="P3" s="8"/>
      <c r="Q3" s="8"/>
      <c r="R3" s="8"/>
      <c r="S3" s="9"/>
    </row>
    <row r="4" spans="1:19" ht="6" customHeight="1" x14ac:dyDescent="0.25">
      <c r="A4" s="302"/>
      <c r="B4" s="7"/>
      <c r="C4" s="8"/>
      <c r="D4" s="8"/>
      <c r="E4" s="8"/>
      <c r="F4" s="8"/>
      <c r="G4" s="8"/>
      <c r="H4" s="8"/>
      <c r="I4" s="8"/>
      <c r="J4" s="8"/>
      <c r="K4" s="8"/>
      <c r="L4" s="8"/>
      <c r="M4" s="8"/>
      <c r="N4" s="8"/>
      <c r="O4" s="8"/>
      <c r="P4" s="8"/>
      <c r="Q4" s="8"/>
      <c r="R4" s="8"/>
      <c r="S4" s="9"/>
    </row>
    <row r="5" spans="1:19" ht="15.75" customHeight="1" x14ac:dyDescent="0.25">
      <c r="A5" s="302"/>
      <c r="B5" s="7"/>
      <c r="C5" s="8"/>
      <c r="D5" s="8"/>
      <c r="E5" s="8"/>
      <c r="F5" s="326"/>
      <c r="G5" s="326"/>
      <c r="H5" s="199"/>
      <c r="I5" s="310" t="s">
        <v>0</v>
      </c>
      <c r="J5" s="310"/>
      <c r="K5" s="310"/>
      <c r="L5" s="310"/>
      <c r="M5" s="198"/>
      <c r="N5" s="308"/>
      <c r="O5" s="308"/>
      <c r="P5" s="327" t="s">
        <v>654</v>
      </c>
      <c r="Q5" s="327"/>
      <c r="R5" s="327"/>
      <c r="S5" s="9"/>
    </row>
    <row r="6" spans="1:19" ht="6" customHeight="1" x14ac:dyDescent="0.25">
      <c r="A6" s="302"/>
      <c r="B6" s="7"/>
      <c r="C6" s="8"/>
      <c r="D6" s="8"/>
      <c r="E6" s="8"/>
      <c r="F6" s="326"/>
      <c r="G6" s="326"/>
      <c r="H6" s="199"/>
      <c r="I6" s="8"/>
      <c r="J6" s="8"/>
      <c r="K6" s="8"/>
      <c r="L6" s="8"/>
      <c r="M6" s="198"/>
      <c r="N6" s="308"/>
      <c r="O6" s="308"/>
      <c r="P6" s="312" t="str">
        <f ca="1">INDIRECT("Z_IN_01_"&amp;IDIOMA)</f>
        <v>CANAL YOUTUBE</v>
      </c>
      <c r="Q6" s="312"/>
      <c r="R6" s="312"/>
      <c r="S6" s="9"/>
    </row>
    <row r="7" spans="1:19" ht="15" customHeight="1" x14ac:dyDescent="0.25">
      <c r="A7" s="302"/>
      <c r="B7" s="7"/>
      <c r="C7" s="8"/>
      <c r="D7" s="8"/>
      <c r="E7" s="8"/>
      <c r="F7" s="326"/>
      <c r="G7" s="326"/>
      <c r="H7" s="199"/>
      <c r="I7" s="309" t="str">
        <f ca="1">INDIRECT("Z_IN_05_"&amp;IDIOMA)</f>
        <v>Universidad de Cádiz</v>
      </c>
      <c r="J7" s="309"/>
      <c r="K7" s="309"/>
      <c r="L7" s="309"/>
      <c r="M7" s="198"/>
      <c r="N7" s="308"/>
      <c r="O7" s="308"/>
      <c r="P7" s="312"/>
      <c r="Q7" s="312"/>
      <c r="R7" s="312"/>
      <c r="S7" s="9"/>
    </row>
    <row r="8" spans="1:19" ht="6" customHeight="1" x14ac:dyDescent="0.25">
      <c r="A8" s="302"/>
      <c r="B8" s="7"/>
      <c r="C8" s="8"/>
      <c r="D8" s="8"/>
      <c r="E8" s="8"/>
      <c r="F8" s="326"/>
      <c r="G8" s="326"/>
      <c r="H8" s="199"/>
      <c r="I8" s="8"/>
      <c r="J8" s="8"/>
      <c r="K8" s="8"/>
      <c r="L8" s="8"/>
      <c r="M8" s="198"/>
      <c r="N8" s="308"/>
      <c r="O8" s="308"/>
      <c r="P8" s="8"/>
      <c r="Q8" s="8"/>
      <c r="R8" s="8"/>
      <c r="S8" s="9"/>
    </row>
    <row r="9" spans="1:19" ht="15.75" thickBot="1" x14ac:dyDescent="0.3">
      <c r="A9" s="303"/>
      <c r="B9" s="7"/>
      <c r="C9" s="323" t="str">
        <f ca="1">INDIRECT("Z_IN_03_"&amp;IDIOMA)</f>
        <v>LEER CON ATENCIÓN</v>
      </c>
      <c r="D9" s="323"/>
      <c r="E9" s="8"/>
      <c r="F9" s="326"/>
      <c r="G9" s="326"/>
      <c r="H9" s="199"/>
      <c r="I9" s="311" t="s">
        <v>10</v>
      </c>
      <c r="J9" s="311"/>
      <c r="K9" s="311"/>
      <c r="L9" s="311"/>
      <c r="M9" s="198"/>
      <c r="N9" s="308"/>
      <c r="O9" s="308"/>
      <c r="P9" s="313" t="s">
        <v>653</v>
      </c>
      <c r="Q9" s="313"/>
      <c r="R9" s="313"/>
      <c r="S9" s="9"/>
    </row>
    <row r="10" spans="1:19" ht="6" customHeight="1" x14ac:dyDescent="0.25">
      <c r="B10" s="7"/>
      <c r="C10" s="8"/>
      <c r="D10" s="8"/>
      <c r="E10" s="8"/>
      <c r="F10" s="326"/>
      <c r="G10" s="326"/>
      <c r="H10" s="199"/>
      <c r="I10" s="8"/>
      <c r="J10" s="8"/>
      <c r="K10" s="8"/>
      <c r="L10" s="8"/>
      <c r="M10" s="198"/>
      <c r="N10" s="308"/>
      <c r="O10" s="308"/>
      <c r="P10" s="8"/>
      <c r="Q10" s="8"/>
      <c r="R10" s="8"/>
      <c r="S10" s="9"/>
    </row>
    <row r="11" spans="1:19" ht="15" customHeight="1" x14ac:dyDescent="0.25">
      <c r="A11" s="304" t="s">
        <v>12</v>
      </c>
      <c r="B11" s="7"/>
      <c r="C11" s="8"/>
      <c r="D11" s="324"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24"/>
      <c r="F11" s="324"/>
      <c r="G11" s="324"/>
      <c r="H11" s="324"/>
      <c r="I11" s="324"/>
      <c r="J11" s="324"/>
      <c r="K11" s="324"/>
      <c r="L11" s="324"/>
      <c r="M11" s="324"/>
      <c r="N11" s="324"/>
      <c r="O11" s="324"/>
      <c r="P11" s="324"/>
      <c r="Q11" s="324"/>
      <c r="R11" s="324"/>
      <c r="S11" s="9"/>
    </row>
    <row r="12" spans="1:19" ht="6" customHeight="1" x14ac:dyDescent="0.25">
      <c r="A12" s="304"/>
      <c r="B12" s="7"/>
      <c r="C12" s="8"/>
      <c r="D12" s="324"/>
      <c r="E12" s="324"/>
      <c r="F12" s="324"/>
      <c r="G12" s="324"/>
      <c r="H12" s="324"/>
      <c r="I12" s="324"/>
      <c r="J12" s="324"/>
      <c r="K12" s="324"/>
      <c r="L12" s="324"/>
      <c r="M12" s="324"/>
      <c r="N12" s="324"/>
      <c r="O12" s="324"/>
      <c r="P12" s="324"/>
      <c r="Q12" s="324"/>
      <c r="R12" s="324"/>
      <c r="S12" s="9"/>
    </row>
    <row r="13" spans="1:19" x14ac:dyDescent="0.25">
      <c r="A13" s="304"/>
      <c r="B13" s="7"/>
      <c r="C13" s="8"/>
      <c r="D13" s="324"/>
      <c r="E13" s="324"/>
      <c r="F13" s="324"/>
      <c r="G13" s="324"/>
      <c r="H13" s="324"/>
      <c r="I13" s="324"/>
      <c r="J13" s="324"/>
      <c r="K13" s="324"/>
      <c r="L13" s="324"/>
      <c r="M13" s="324"/>
      <c r="N13" s="324"/>
      <c r="O13" s="324"/>
      <c r="P13" s="324"/>
      <c r="Q13" s="324"/>
      <c r="R13" s="324"/>
      <c r="S13" s="9"/>
    </row>
    <row r="14" spans="1:19" ht="6" customHeight="1" x14ac:dyDescent="0.25">
      <c r="B14" s="7"/>
      <c r="C14" s="8"/>
      <c r="D14" s="324"/>
      <c r="E14" s="324"/>
      <c r="F14" s="324"/>
      <c r="G14" s="324"/>
      <c r="H14" s="324"/>
      <c r="I14" s="324"/>
      <c r="J14" s="324"/>
      <c r="K14" s="324"/>
      <c r="L14" s="324"/>
      <c r="M14" s="324"/>
      <c r="N14" s="324"/>
      <c r="O14" s="324"/>
      <c r="P14" s="324"/>
      <c r="Q14" s="324"/>
      <c r="R14" s="324"/>
      <c r="S14" s="9"/>
    </row>
    <row r="15" spans="1:19" x14ac:dyDescent="0.25">
      <c r="B15" s="7"/>
      <c r="C15" s="8"/>
      <c r="D15" s="324"/>
      <c r="E15" s="324"/>
      <c r="F15" s="324"/>
      <c r="G15" s="324"/>
      <c r="H15" s="324"/>
      <c r="I15" s="324"/>
      <c r="J15" s="324"/>
      <c r="K15" s="324"/>
      <c r="L15" s="324"/>
      <c r="M15" s="324"/>
      <c r="N15" s="324"/>
      <c r="O15" s="324"/>
      <c r="P15" s="324"/>
      <c r="Q15" s="324"/>
      <c r="R15" s="324"/>
      <c r="S15" s="9"/>
    </row>
    <row r="16" spans="1:19" ht="6" customHeight="1" x14ac:dyDescent="0.25">
      <c r="B16" s="7"/>
      <c r="C16" s="8"/>
      <c r="D16" s="324"/>
      <c r="E16" s="324"/>
      <c r="F16" s="324"/>
      <c r="G16" s="324"/>
      <c r="H16" s="324"/>
      <c r="I16" s="324"/>
      <c r="J16" s="324"/>
      <c r="K16" s="324"/>
      <c r="L16" s="324"/>
      <c r="M16" s="324"/>
      <c r="N16" s="324"/>
      <c r="O16" s="324"/>
      <c r="P16" s="324"/>
      <c r="Q16" s="324"/>
      <c r="R16" s="324"/>
      <c r="S16" s="9"/>
    </row>
    <row r="17" spans="1:19" x14ac:dyDescent="0.25">
      <c r="A17" s="305" t="str">
        <f>IFERROR(HLOOKUP(LANGUAGE,DICCIONARIO!F1:K20,20,0),LANGUAGE)</f>
        <v>PERSONALIZAR DICCIONARIO</v>
      </c>
      <c r="B17" s="7"/>
      <c r="C17" s="8"/>
      <c r="D17" s="324"/>
      <c r="E17" s="324"/>
      <c r="F17" s="324"/>
      <c r="G17" s="324"/>
      <c r="H17" s="324"/>
      <c r="I17" s="324"/>
      <c r="J17" s="324"/>
      <c r="K17" s="324"/>
      <c r="L17" s="324"/>
      <c r="M17" s="324"/>
      <c r="N17" s="324"/>
      <c r="O17" s="324"/>
      <c r="P17" s="324"/>
      <c r="Q17" s="324"/>
      <c r="R17" s="324"/>
      <c r="S17" s="9"/>
    </row>
    <row r="18" spans="1:19" ht="6" customHeight="1" x14ac:dyDescent="0.25">
      <c r="A18" s="305"/>
      <c r="B18" s="7"/>
      <c r="C18" s="8"/>
      <c r="D18" s="324"/>
      <c r="E18" s="324"/>
      <c r="F18" s="324"/>
      <c r="G18" s="324"/>
      <c r="H18" s="324"/>
      <c r="I18" s="324"/>
      <c r="J18" s="324"/>
      <c r="K18" s="324"/>
      <c r="L18" s="324"/>
      <c r="M18" s="324"/>
      <c r="N18" s="324"/>
      <c r="O18" s="324"/>
      <c r="P18" s="324"/>
      <c r="Q18" s="324"/>
      <c r="R18" s="324"/>
      <c r="S18" s="9"/>
    </row>
    <row r="19" spans="1:19" x14ac:dyDescent="0.25">
      <c r="A19" s="305"/>
      <c r="B19" s="7"/>
      <c r="C19" s="8"/>
      <c r="D19" s="324"/>
      <c r="E19" s="324"/>
      <c r="F19" s="324"/>
      <c r="G19" s="324"/>
      <c r="H19" s="324"/>
      <c r="I19" s="324"/>
      <c r="J19" s="324"/>
      <c r="K19" s="324"/>
      <c r="L19" s="324"/>
      <c r="M19" s="324"/>
      <c r="N19" s="324"/>
      <c r="O19" s="324"/>
      <c r="P19" s="324"/>
      <c r="Q19" s="324"/>
      <c r="R19" s="324"/>
      <c r="S19" s="9"/>
    </row>
    <row r="20" spans="1:19" ht="6" customHeight="1" x14ac:dyDescent="0.25">
      <c r="B20" s="7"/>
      <c r="C20" s="8"/>
      <c r="D20" s="324"/>
      <c r="E20" s="324"/>
      <c r="F20" s="324"/>
      <c r="G20" s="324"/>
      <c r="H20" s="324"/>
      <c r="I20" s="324"/>
      <c r="J20" s="324"/>
      <c r="K20" s="324"/>
      <c r="L20" s="324"/>
      <c r="M20" s="324"/>
      <c r="N20" s="324"/>
      <c r="O20" s="324"/>
      <c r="P20" s="324"/>
      <c r="Q20" s="324"/>
      <c r="R20" s="324"/>
      <c r="S20" s="9"/>
    </row>
    <row r="21" spans="1:19" x14ac:dyDescent="0.25">
      <c r="B21" s="7"/>
      <c r="C21" s="8"/>
      <c r="D21" s="324"/>
      <c r="E21" s="324"/>
      <c r="F21" s="324"/>
      <c r="G21" s="324"/>
      <c r="H21" s="324"/>
      <c r="I21" s="324"/>
      <c r="J21" s="324"/>
      <c r="K21" s="324"/>
      <c r="L21" s="324"/>
      <c r="M21" s="324"/>
      <c r="N21" s="324"/>
      <c r="O21" s="324"/>
      <c r="P21" s="324"/>
      <c r="Q21" s="324"/>
      <c r="R21" s="324"/>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14" t="str">
        <f ca="1">INDIRECT("Z_BP_10_"&amp;IDIOMA)</f>
        <v>OM 1R</v>
      </c>
      <c r="D23" s="325"/>
      <c r="E23" s="314" t="str">
        <f ca="1">INDIRECT("Z_BP_11_"&amp;IDIOMA)</f>
        <v>OM +R</v>
      </c>
      <c r="F23" s="315"/>
      <c r="G23" s="314" t="str">
        <f ca="1">INDIRECT("Z_BP_12_"&amp;IDIOMA)</f>
        <v>VF</v>
      </c>
      <c r="H23" s="315"/>
      <c r="I23" s="314" t="str">
        <f ca="1">INDIRECT("Z_BP_13_"&amp;IDIOMA)</f>
        <v>EM</v>
      </c>
      <c r="J23" s="325"/>
      <c r="K23" s="314" t="str">
        <f ca="1">INDIRECT("Z_BP_14_"&amp;IDIOMA)</f>
        <v>RC</v>
      </c>
      <c r="L23" s="315"/>
      <c r="M23" s="314" t="str">
        <f ca="1">INDIRECT("Z_BP_15_"&amp;IDIOMA)</f>
        <v>PP</v>
      </c>
      <c r="N23" s="315"/>
      <c r="O23" s="314" t="str">
        <f ca="1">INDIRECT("Z_BP_31_"&amp;IDIOMA)</f>
        <v>EN</v>
      </c>
      <c r="P23" s="315"/>
      <c r="Q23" s="314" t="str">
        <f ca="1">INDIRECT("Z_BP_16_"&amp;IDIOMA)</f>
        <v>CL</v>
      </c>
      <c r="R23" s="315"/>
      <c r="S23" s="9"/>
    </row>
    <row r="24" spans="1:19" ht="14.45" customHeight="1" x14ac:dyDescent="0.25">
      <c r="B24" s="7"/>
      <c r="C24" s="331" t="str">
        <f ca="1">INDIRECT("Z_IN_08_"&amp;IDIOMA)</f>
        <v xml:space="preserve">Opción Múltiple 1R </v>
      </c>
      <c r="D24" s="316"/>
      <c r="E24" s="316" t="str">
        <f ca="1">INDIRECT("Z_IN_09_"&amp;IDIOMA)</f>
        <v xml:space="preserve">Opción Múltiple +R </v>
      </c>
      <c r="F24" s="316"/>
      <c r="G24" s="316" t="str">
        <f ca="1">INDIRECT("Z_IN_10_"&amp;IDIOMA)</f>
        <v>Verdadero/Falso</v>
      </c>
      <c r="H24" s="316"/>
      <c r="I24" s="316" t="str">
        <f ca="1">INDIRECT("Z_IN_11_"&amp;IDIOMA)</f>
        <v>Emparejar</v>
      </c>
      <c r="J24" s="316"/>
      <c r="K24" s="316" t="str">
        <f ca="1">INDIRECT("Z_IN_12_"&amp;IDIOMA)</f>
        <v>Respuesta Corta</v>
      </c>
      <c r="L24" s="316"/>
      <c r="M24" s="316" t="str">
        <f ca="1">INDIRECT("Z_IN_13_"&amp;IDIOMA)</f>
        <v>Palabra Perdida</v>
      </c>
      <c r="N24" s="316"/>
      <c r="O24" s="316" t="str">
        <f ca="1">INDIRECT("Z_IN_16_"&amp;IDIOMA)</f>
        <v>Ensayo</v>
      </c>
      <c r="P24" s="316"/>
      <c r="Q24" s="316" t="str">
        <f ca="1">INDIRECT("Z_IN_14_"&amp;IDIOMA)</f>
        <v>Cloze</v>
      </c>
      <c r="R24" s="318"/>
      <c r="S24" s="9"/>
    </row>
    <row r="25" spans="1:19" ht="6" customHeight="1" thickBot="1" x14ac:dyDescent="0.3">
      <c r="B25" s="7"/>
      <c r="C25" s="332"/>
      <c r="D25" s="317"/>
      <c r="E25" s="317"/>
      <c r="F25" s="317"/>
      <c r="G25" s="317"/>
      <c r="H25" s="317"/>
      <c r="I25" s="317"/>
      <c r="J25" s="317"/>
      <c r="K25" s="317"/>
      <c r="L25" s="317"/>
      <c r="M25" s="317"/>
      <c r="N25" s="317"/>
      <c r="O25" s="317"/>
      <c r="P25" s="317"/>
      <c r="Q25" s="317"/>
      <c r="R25" s="319"/>
      <c r="S25" s="9"/>
    </row>
    <row r="26" spans="1:19" ht="15" customHeight="1" thickBot="1" x14ac:dyDescent="0.3">
      <c r="B26" s="7"/>
      <c r="C26" s="328" t="str">
        <f ca="1">'Datos OM'!G2&amp;" "&amp;INDIRECT("Z_IN_15_"&amp;IDIOMA)</f>
        <v>0 Preguntas</v>
      </c>
      <c r="D26" s="330"/>
      <c r="E26" s="328" t="str">
        <f ca="1">'Datos O2'!G2&amp;" "&amp;INDIRECT("Z_IN_15_"&amp;IDIOMA)</f>
        <v>0 Preguntas</v>
      </c>
      <c r="F26" s="329"/>
      <c r="G26" s="328" t="str">
        <f ca="1">'Datos VF'!G2&amp;" "&amp;INDIRECT("Z_IN_15_"&amp;IDIOMA)</f>
        <v>0 Preguntas</v>
      </c>
      <c r="H26" s="329"/>
      <c r="I26" s="328" t="str">
        <f ca="1">'Datos EM'!G2&amp;" "&amp;INDIRECT("Z_IN_15_"&amp;IDIOMA)</f>
        <v>0 Preguntas</v>
      </c>
      <c r="J26" s="330"/>
      <c r="K26" s="328" t="str">
        <f ca="1">'Datos RC'!G2&amp;" "&amp;INDIRECT("Z_IN_15_"&amp;IDIOMA)</f>
        <v>0 Preguntas</v>
      </c>
      <c r="L26" s="329"/>
      <c r="M26" s="328" t="str">
        <f ca="1">'Datos PP'!G2&amp;" "&amp;INDIRECT("Z_IN_15_"&amp;IDIOMA)</f>
        <v>0 Preguntas</v>
      </c>
      <c r="N26" s="329"/>
      <c r="O26" s="328" t="str">
        <f ca="1">'Datos EN'!G2&amp;" "&amp;INDIRECT("Z_IN_15_"&amp;IDIOMA)</f>
        <v>0 Preguntas</v>
      </c>
      <c r="P26" s="329"/>
      <c r="Q26" s="328" t="str">
        <f ca="1">'Datos CL'!G2&amp;" "&amp;INDIRECT("Z_IN_15_"&amp;IDIOMA)</f>
        <v>0 Preguntas</v>
      </c>
      <c r="R26" s="329"/>
      <c r="S26" s="9"/>
    </row>
    <row r="27" spans="1:19" ht="6" customHeight="1" x14ac:dyDescent="0.25">
      <c r="B27" s="7"/>
      <c r="C27" s="8"/>
      <c r="D27" s="306" t="str">
        <f ca="1">INDIRECT("Z_IN_07_"&amp;IDIOMA)</f>
        <v>Esta HOJA sirve para almacenar las preguntas y poder reutilizarlas cuando sea necesario, sin tener que volver a escribirlas para un nuevo BANCO DE PREGUNTAS.</v>
      </c>
      <c r="E27" s="306"/>
      <c r="F27" s="306"/>
      <c r="G27" s="306"/>
      <c r="H27" s="306"/>
      <c r="I27" s="306"/>
      <c r="J27" s="306"/>
      <c r="K27" s="306"/>
      <c r="L27" s="306"/>
      <c r="M27" s="306"/>
      <c r="N27" s="210"/>
      <c r="O27" s="10"/>
      <c r="P27" s="10"/>
      <c r="Q27" s="10"/>
      <c r="R27" s="10"/>
      <c r="S27" s="9"/>
    </row>
    <row r="28" spans="1:19" ht="15" customHeight="1" x14ac:dyDescent="0.25">
      <c r="B28" s="7"/>
      <c r="C28" s="8"/>
      <c r="D28" s="307"/>
      <c r="E28" s="307"/>
      <c r="F28" s="307"/>
      <c r="G28" s="307"/>
      <c r="H28" s="307"/>
      <c r="I28" s="307"/>
      <c r="J28" s="307"/>
      <c r="K28" s="307"/>
      <c r="L28" s="307"/>
      <c r="M28" s="307"/>
      <c r="N28" s="211"/>
      <c r="O28" s="198"/>
      <c r="P28" s="308"/>
      <c r="Q28" s="308"/>
      <c r="R28" s="308"/>
      <c r="S28" s="208"/>
    </row>
    <row r="29" spans="1:19" ht="6" customHeight="1" x14ac:dyDescent="0.25">
      <c r="B29" s="7"/>
      <c r="C29" s="8"/>
      <c r="D29" s="307"/>
      <c r="E29" s="307"/>
      <c r="F29" s="307"/>
      <c r="G29" s="307"/>
      <c r="H29" s="307"/>
      <c r="I29" s="307"/>
      <c r="J29" s="307"/>
      <c r="K29" s="307"/>
      <c r="L29" s="307"/>
      <c r="M29" s="307"/>
      <c r="N29" s="211"/>
      <c r="O29" s="198"/>
      <c r="P29" s="308"/>
      <c r="Q29" s="308"/>
      <c r="R29" s="308"/>
      <c r="S29" s="208"/>
    </row>
    <row r="30" spans="1:19" x14ac:dyDescent="0.25">
      <c r="B30" s="7"/>
      <c r="C30" s="8"/>
      <c r="D30" s="307"/>
      <c r="E30" s="307"/>
      <c r="F30" s="307"/>
      <c r="G30" s="307"/>
      <c r="H30" s="307"/>
      <c r="I30" s="307"/>
      <c r="J30" s="307"/>
      <c r="K30" s="307"/>
      <c r="L30" s="307"/>
      <c r="M30" s="307"/>
      <c r="N30" s="211"/>
      <c r="O30" s="198"/>
      <c r="P30" s="308"/>
      <c r="Q30" s="308"/>
      <c r="R30" s="308"/>
      <c r="S30" s="208"/>
    </row>
    <row r="31" spans="1:19" ht="6" customHeight="1" x14ac:dyDescent="0.25">
      <c r="B31" s="7"/>
      <c r="C31" s="8"/>
      <c r="D31" s="307"/>
      <c r="E31" s="307"/>
      <c r="F31" s="307"/>
      <c r="G31" s="307"/>
      <c r="H31" s="307"/>
      <c r="I31" s="307"/>
      <c r="J31" s="307"/>
      <c r="K31" s="307"/>
      <c r="L31" s="307"/>
      <c r="M31" s="307"/>
      <c r="N31" s="211"/>
      <c r="O31" s="198"/>
      <c r="P31" s="308"/>
      <c r="Q31" s="308"/>
      <c r="R31" s="308"/>
      <c r="S31" s="208"/>
    </row>
    <row r="32" spans="1:19" x14ac:dyDescent="0.25">
      <c r="B32" s="7"/>
      <c r="C32" s="8"/>
      <c r="D32" s="307"/>
      <c r="E32" s="307"/>
      <c r="F32" s="307"/>
      <c r="G32" s="307"/>
      <c r="H32" s="307"/>
      <c r="I32" s="307"/>
      <c r="J32" s="307"/>
      <c r="K32" s="307"/>
      <c r="L32" s="307"/>
      <c r="M32" s="307"/>
      <c r="N32" s="211"/>
      <c r="O32" s="198"/>
      <c r="P32" s="308"/>
      <c r="Q32" s="308"/>
      <c r="R32" s="308"/>
      <c r="S32" s="208"/>
    </row>
    <row r="33" spans="1:20" ht="6" customHeight="1" x14ac:dyDescent="0.25">
      <c r="B33" s="7"/>
      <c r="C33" s="8"/>
      <c r="D33" s="307"/>
      <c r="E33" s="307"/>
      <c r="F33" s="307"/>
      <c r="G33" s="307"/>
      <c r="H33" s="307"/>
      <c r="I33" s="307"/>
      <c r="J33" s="307"/>
      <c r="K33" s="307"/>
      <c r="L33" s="307"/>
      <c r="M33" s="307"/>
      <c r="N33" s="211"/>
      <c r="O33" s="198"/>
      <c r="P33" s="308"/>
      <c r="Q33" s="308"/>
      <c r="R33" s="308"/>
      <c r="S33" s="208"/>
    </row>
    <row r="34" spans="1:20" x14ac:dyDescent="0.25">
      <c r="B34" s="7"/>
      <c r="C34" s="8"/>
      <c r="D34" s="307"/>
      <c r="E34" s="307"/>
      <c r="F34" s="307"/>
      <c r="G34" s="307"/>
      <c r="H34" s="307"/>
      <c r="I34" s="307"/>
      <c r="J34" s="307"/>
      <c r="K34" s="307"/>
      <c r="L34" s="307"/>
      <c r="M34" s="307"/>
      <c r="N34" s="211"/>
      <c r="O34" s="198"/>
      <c r="P34" s="308"/>
      <c r="Q34" s="308"/>
      <c r="R34" s="308"/>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selectLockedCells="1"/>
  <mergeCells count="42">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 ref="B1:S1"/>
    <mergeCell ref="C9:D9"/>
    <mergeCell ref="D11:R21"/>
    <mergeCell ref="C23:D23"/>
    <mergeCell ref="E23:F23"/>
    <mergeCell ref="G23:H23"/>
    <mergeCell ref="I23:J23"/>
    <mergeCell ref="K23:L23"/>
    <mergeCell ref="N5:O10"/>
    <mergeCell ref="F5:G10"/>
    <mergeCell ref="P5:R5"/>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IF(COUNTIF(Tabla_OM[[#This Row],[Puntos 1]:[Puntos 6]],"&gt;0")=0,"",COUNTIF(Tabla_OM[[#This Row],[Puntos 1]:[Puntos 6]],"&gt;0"))</f>
        <v/>
      </c>
      <c r="B5" s="219"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WZ11mNVRDiE8jUi1FGCI9uzZis0Km3ReWrRRHUn9yJb60yWMnm+9feumMHVCTTDagwFv3f1W7xTyLrLKzUEbNA==" saltValue="m/KgrtB871kT3BSTTa6umg=="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t="str">
        <f>IF(COUNTIF(Tabla_O2[[#This Row],[Puntos 1]:[Puntos 6]],"&gt;0")=0,"",COUNTIF(Tabla_O2[[#This Row],[Puntos 1]:[Puntos 6]],"&gt;0"))</f>
        <v/>
      </c>
      <c r="B5" s="219" t="str">
        <f>IF(Tabla_O2[[#This Row],[NRC]]="","",COUNTA(Tabla_O2[[#This Row],[Respuesta 1]:[Respuesta 6]])-Tabla_O2[[#This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CanIYWNzNh0WrnT8ZvgtrGbAlb9aJ6BW6Xsr70f4X+c8dO/iecwvpIHI/7lL3F2M92wafZctIUqdkK7lF2ML6w==" saltValue="BW/E5auBOKcW+a21ZJTq7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wJFSLU7zaiBBNMIT/R6iY3EDpd9J20dvbgFROQ4V/PRea5mWI8MAOqXM4o9Ttj/u2g+x5kLg7B+xNkkd+PpcCA==" saltValue="s+UHev9mJzYMQ057SfayVg=="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t="str">
        <f>IF(COUNTA(Tabla_EM[[#This Row],[Pareja  01.1]:[Pareja  12.14]])/2=0,"",COUNTA(Tabla_EM[[#This Row],[Pareja  01.1]:[Pareja  12.14]])/2)</f>
        <v/>
      </c>
      <c r="B5" s="261"/>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55"/>
      <c r="AF5" s="56"/>
      <c r="AG5" s="57"/>
      <c r="AH5" s="58"/>
      <c r="AI5" s="118"/>
    </row>
  </sheetData>
  <sheetProtection algorithmName="SHA-512" hashValue="bCmG93MywprfWdoryjNLbb+hV1hAvE507VzH2IeocJV2TZp03xs1d3Q2yIdGK1UayFgZeFBV4+x/1pjL9aAa5Q==" saltValue="qiV6xvY8HnEfiBsis+Sw0Q=="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f4+/mcVLKi4+GGHvBYY/g1uScLQZ3UfUMOON7PTwDR8F3A/2TPBT8IbSKaf9epRfFrOfcUrUZh7I9Ctd4v4R1A==" saltValue="HYTHvB4GS5FvtHAvcljEh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x14ac:dyDescent="0.25">
      <c r="A5" s="90" t="str">
        <f>IF(COUNTA(Tabla_PP[[#This Row],[GP 01]:[P 12]])/2=0,"",COUNTA(Tabla_PP[[#This Row],[GP 01]:[P 12]])/2)</f>
        <v/>
      </c>
      <c r="B5" s="20"/>
      <c r="C5" s="231"/>
      <c r="D5" s="231"/>
      <c r="E5" s="170"/>
      <c r="F5" s="220"/>
      <c r="G5" s="27"/>
      <c r="H5" s="27"/>
      <c r="I5" s="28"/>
      <c r="J5" s="28"/>
      <c r="K5" s="27"/>
      <c r="L5" s="27"/>
      <c r="M5" s="28"/>
      <c r="N5" s="28"/>
      <c r="O5" s="27"/>
      <c r="P5" s="27"/>
      <c r="Q5" s="28"/>
      <c r="R5" s="28"/>
      <c r="S5" s="27"/>
      <c r="T5" s="27"/>
      <c r="U5" s="28"/>
      <c r="V5" s="28"/>
      <c r="W5" s="27"/>
      <c r="X5" s="27"/>
      <c r="Y5" s="28"/>
      <c r="Z5" s="28"/>
      <c r="AA5" s="27"/>
      <c r="AB5" s="27"/>
      <c r="AC5" s="28"/>
      <c r="AD5" s="28"/>
      <c r="AE5" s="232"/>
      <c r="AF5" s="233"/>
      <c r="AG5" s="234"/>
      <c r="AH5" s="235"/>
      <c r="AI5" s="118"/>
    </row>
  </sheetData>
  <sheetProtection algorithmName="SHA-512" hashValue="xFkxXFJAiBQTfQJ6cr2NnsE1zqNyo2dyXTK2lOMGwPK5K9yQlDXP9bU8gNKVM74h8x7xasriGu+MgAeRoYOsBg==" saltValue="jJ7Sz2OaR6QniYX9ls8eZw=="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5"/>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x14ac:dyDescent="0.25">
      <c r="A5" s="265"/>
      <c r="B5" s="266"/>
      <c r="C5" s="231"/>
      <c r="D5" s="231"/>
      <c r="E5" s="170"/>
      <c r="F5" s="220"/>
      <c r="G5" s="183"/>
      <c r="H5" s="50"/>
      <c r="I5" s="29"/>
      <c r="J5" s="184"/>
      <c r="K5" s="185"/>
      <c r="L5" s="186"/>
      <c r="M5" s="183"/>
      <c r="N5" s="236"/>
      <c r="O5" s="237"/>
      <c r="P5" s="237"/>
      <c r="Q5" s="236"/>
      <c r="R5" s="236"/>
      <c r="S5" s="237"/>
      <c r="T5" s="237"/>
      <c r="U5" s="236"/>
      <c r="V5" s="236"/>
      <c r="W5" s="237"/>
      <c r="X5" s="237"/>
      <c r="Y5" s="236"/>
      <c r="Z5" s="236"/>
      <c r="AA5" s="237"/>
      <c r="AB5" s="237"/>
      <c r="AC5" s="236"/>
      <c r="AD5" s="236"/>
      <c r="AE5" s="238"/>
      <c r="AF5" s="239"/>
      <c r="AG5" s="240"/>
      <c r="AH5" s="241"/>
      <c r="AI5" s="118"/>
    </row>
  </sheetData>
  <sheetProtection algorithmName="SHA-512" hashValue="Du2ZIe/kJrM/wDJnS0xA7CSwe/0XUuucrQ1fzprZ8olar6Bu9kMxJ9GjBV7B/yYhJ7AdGe2SWOF+wuXR3qFyoA==" saltValue="iErcJruKrbv2uiSgSKpEIQ==" spinCount="100000" sheet="1" objects="1" scenarios="1" selectLockedCells="1"/>
  <conditionalFormatting sqref="G5:K5">
    <cfRule type="cellIs" dxfId="1" priority="3" operator="equal">
      <formula>""</formula>
    </cfRule>
    <cfRule type="cellIs" dxfId="0"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333"/>
      <c r="B3" s="333"/>
      <c r="C3" s="33"/>
      <c r="D3" s="33"/>
      <c r="E3" s="37" t="str">
        <f ca="1">'Datos OM'!E3</f>
        <v>Descripción</v>
      </c>
      <c r="F3" s="64" t="str">
        <f ca="1">"FastTest PlugIn - V"&amp;MID(Version,5,7)&amp;UPPER(INICIO!Q24)&amp;"
"&amp;INDIRECT("Z_BP_03_"&amp;IDIOMA)</f>
        <v>FastTest PlugIn - V6.0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x14ac:dyDescent="0.25">
      <c r="A5" s="265"/>
      <c r="B5" s="266"/>
      <c r="C5" s="231"/>
      <c r="D5" s="231"/>
      <c r="E5" s="106"/>
      <c r="F5" s="220"/>
      <c r="G5" s="242"/>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nA7SImfYMdpl7Ra1Ws1OlVWL+9+BApSxfZ5vvCLCdd2s6lC0X5w8g7iM21ooyZAwVmLHx0dqXYuOhxnOXCJCzw==" saltValue="4ktC5P3pLeB1rjttTHTiHg=="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MENÚ GENERALN/A</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MENÚ GENERALN/A</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IR A…N/A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IR 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655</v>
      </c>
      <c r="D65" s="280"/>
      <c r="E65" s="281" t="str">
        <f>IFERROR(IF(D65&lt;&gt;"",D65,HLOOKUP($E$2,$F$2:K65,ROW(D65)-1,0)),F65)</f>
        <v>¿Desea guardar los cambios?</v>
      </c>
      <c r="F65" s="282" t="s">
        <v>656</v>
      </c>
      <c r="G65" s="281" t="s">
        <v>657</v>
      </c>
      <c r="H65" s="281" t="s">
        <v>658</v>
      </c>
      <c r="I65" s="281" t="s">
        <v>659</v>
      </c>
      <c r="J65" s="281" t="s">
        <v>660</v>
      </c>
      <c r="K65" s="281" t="s">
        <v>661</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2021-12-30T12:44:00Z</dcterms:modified>
  <cp:category>DOCENCIA</cp:category>
</cp:coreProperties>
</file>