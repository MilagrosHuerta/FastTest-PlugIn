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19" l="1"/>
  <c r="A5" i="16"/>
  <c r="A55" i="8" l="1"/>
  <c r="A54" i="8"/>
  <c r="A5" i="20" l="1"/>
  <c r="A5" i="18"/>
  <c r="B5" i="16"/>
  <c r="A5" i="15"/>
  <c r="B5" i="15" s="1"/>
  <c r="G2" i="22" l="1"/>
  <c r="G2" i="21"/>
  <c r="G2" i="20"/>
  <c r="G2" i="19"/>
  <c r="G2" i="18"/>
  <c r="G2" i="17"/>
  <c r="G2" i="16"/>
  <c r="G2" i="15"/>
  <c r="A17" i="6" l="1"/>
  <c r="E1" i="8"/>
  <c r="A45" i="6" l="1"/>
  <c r="A37" i="6" l="1"/>
  <c r="E2" i="8" s="1"/>
  <c r="E11" i="8" s="1"/>
  <c r="D2" i="8"/>
  <c r="E55" i="8" l="1"/>
  <c r="E51" i="8"/>
  <c r="E47" i="8"/>
  <c r="E43" i="8"/>
  <c r="E39" i="8"/>
  <c r="E31" i="8"/>
  <c r="E23" i="8"/>
  <c r="E15" i="8"/>
  <c r="E7" i="8"/>
  <c r="E3" i="8"/>
  <c r="E54" i="8"/>
  <c r="E50" i="8"/>
  <c r="E46" i="8"/>
  <c r="E42" i="8"/>
  <c r="E38" i="8"/>
  <c r="E30" i="8"/>
  <c r="E26" i="8"/>
  <c r="E22" i="8"/>
  <c r="E18" i="8"/>
  <c r="E14" i="8"/>
  <c r="E6" i="8"/>
  <c r="E34" i="8"/>
  <c r="E53" i="8"/>
  <c r="E49" i="8"/>
  <c r="E45" i="8"/>
  <c r="E41" i="8"/>
  <c r="E37" i="8"/>
  <c r="E33" i="8"/>
  <c r="E29" i="8"/>
  <c r="E25" i="8"/>
  <c r="E21" i="8"/>
  <c r="E17" i="8"/>
  <c r="E13" i="8"/>
  <c r="E9" i="8"/>
  <c r="E5" i="8"/>
  <c r="E52" i="8"/>
  <c r="E48" i="8"/>
  <c r="E44" i="8"/>
  <c r="E40" i="8"/>
  <c r="E36" i="8"/>
  <c r="E32" i="8"/>
  <c r="E28" i="8"/>
  <c r="E24" i="8"/>
  <c r="E20" i="8"/>
  <c r="E16" i="8"/>
  <c r="E12" i="8"/>
  <c r="E8" i="8"/>
  <c r="E4" i="8"/>
  <c r="E35" i="8"/>
  <c r="E27" i="8"/>
  <c r="E19" i="8"/>
  <c r="E10" i="8"/>
  <c r="AI3" i="22"/>
  <c r="AI3" i="21"/>
  <c r="AI3" i="20"/>
  <c r="AI3" i="19"/>
  <c r="AI3" i="18"/>
  <c r="AI3" i="16"/>
  <c r="AI3" i="17"/>
  <c r="F2" i="15"/>
  <c r="F1" i="15"/>
  <c r="D1" i="8"/>
  <c r="F1" i="22" l="1"/>
  <c r="F2" i="22"/>
  <c r="B22" i="8"/>
  <c r="A22" i="8" s="1"/>
  <c r="A21" i="8"/>
  <c r="B4" i="8"/>
  <c r="A4" i="8" s="1"/>
  <c r="A3" i="8"/>
  <c r="B23" i="8" l="1"/>
  <c r="B5" i="8"/>
  <c r="U3" i="19"/>
  <c r="W3" i="19"/>
  <c r="G1" i="19"/>
  <c r="M26" i="6"/>
  <c r="S3" i="16"/>
  <c r="K23" i="6"/>
  <c r="Q3" i="19"/>
  <c r="S3" i="15"/>
  <c r="I3" i="19"/>
  <c r="J3" i="16"/>
  <c r="R3" i="19"/>
  <c r="R3" i="16"/>
  <c r="T3" i="16"/>
  <c r="E23" i="6"/>
  <c r="G23" i="6"/>
  <c r="K3" i="21"/>
  <c r="K3" i="19"/>
  <c r="I3" i="16"/>
  <c r="G26" i="6"/>
  <c r="O23" i="6"/>
  <c r="G1" i="22"/>
  <c r="AA3" i="19"/>
  <c r="AF3" i="16"/>
  <c r="I3" i="21"/>
  <c r="L3" i="19"/>
  <c r="M23" i="6"/>
  <c r="AE3" i="15"/>
  <c r="B3" i="16"/>
  <c r="M3" i="21"/>
  <c r="R3" i="15"/>
  <c r="C9" i="6"/>
  <c r="H3" i="20"/>
  <c r="Q23" i="6"/>
  <c r="C26" i="6"/>
  <c r="E3" i="17"/>
  <c r="E3" i="16"/>
  <c r="X3" i="19"/>
  <c r="U3" i="15"/>
  <c r="Q26" i="6"/>
  <c r="G1" i="17"/>
  <c r="W3" i="16"/>
  <c r="I23" i="6"/>
  <c r="Q3" i="15"/>
  <c r="X3" i="15"/>
  <c r="P6" i="6"/>
  <c r="Q24" i="6"/>
  <c r="N3" i="16"/>
  <c r="A3" i="15"/>
  <c r="AF3" i="15"/>
  <c r="V3" i="16"/>
  <c r="D27" i="6"/>
  <c r="A3" i="20"/>
  <c r="D11" i="6"/>
  <c r="I3" i="15"/>
  <c r="I24" i="6"/>
  <c r="L3" i="21"/>
  <c r="A3" i="16"/>
  <c r="H3" i="21"/>
  <c r="K3" i="15"/>
  <c r="N3" i="19"/>
  <c r="Q3" i="16"/>
  <c r="E24" i="6"/>
  <c r="K26" i="6"/>
  <c r="G3" i="15"/>
  <c r="G1" i="18"/>
  <c r="AD3" i="19"/>
  <c r="Z3" i="19"/>
  <c r="H3" i="19"/>
  <c r="L3" i="16"/>
  <c r="AB3" i="20"/>
  <c r="X3" i="16"/>
  <c r="M3" i="15"/>
  <c r="AG3" i="15"/>
  <c r="T3" i="15"/>
  <c r="T3" i="20"/>
  <c r="M3" i="16"/>
  <c r="P3" i="20"/>
  <c r="G3" i="6"/>
  <c r="P3" i="16"/>
  <c r="O3" i="16"/>
  <c r="I26" i="6"/>
  <c r="AH3" i="16"/>
  <c r="J3" i="21"/>
  <c r="G1" i="16"/>
  <c r="O3" i="15"/>
  <c r="D3" i="19"/>
  <c r="G24" i="6"/>
  <c r="G1" i="15"/>
  <c r="AD3" i="20"/>
  <c r="G1" i="21"/>
  <c r="U3" i="16"/>
  <c r="O3" i="19"/>
  <c r="V3" i="20"/>
  <c r="J3" i="15"/>
  <c r="A3" i="18"/>
  <c r="M24" i="6"/>
  <c r="A3" i="19"/>
  <c r="I7" i="6"/>
  <c r="X3" i="20"/>
  <c r="E26" i="6"/>
  <c r="K3" i="16"/>
  <c r="C23" i="6"/>
  <c r="B3" i="15"/>
  <c r="T3" i="19"/>
  <c r="N3" i="20"/>
  <c r="H3" i="16"/>
  <c r="O24" i="6"/>
  <c r="O26" i="6"/>
  <c r="N3" i="15"/>
  <c r="AG3" i="16"/>
  <c r="W3" i="15"/>
  <c r="AE3" i="16"/>
  <c r="G3" i="16"/>
  <c r="G1" i="20"/>
  <c r="V3" i="15"/>
  <c r="C24" i="6"/>
  <c r="E3" i="15"/>
  <c r="AC3" i="19"/>
  <c r="L3" i="15"/>
  <c r="G3" i="22"/>
  <c r="P3" i="15"/>
  <c r="R3" i="20"/>
  <c r="L3" i="20"/>
  <c r="Z3" i="20"/>
  <c r="J3" i="20"/>
  <c r="K24" i="6"/>
  <c r="H3" i="15"/>
  <c r="AH3" i="15"/>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F3" i="17"/>
  <c r="F3" i="22"/>
  <c r="W3" i="20"/>
  <c r="K3" i="20"/>
  <c r="F3" i="21"/>
  <c r="S3" i="20"/>
  <c r="F3" i="18"/>
  <c r="U3" i="20"/>
  <c r="F3" i="19"/>
  <c r="G3" i="20"/>
  <c r="F3" i="16"/>
  <c r="F3" i="20"/>
  <c r="I3" i="20"/>
  <c r="Y3" i="20"/>
  <c r="M3" i="20"/>
  <c r="F3" i="15"/>
  <c r="G3" i="21"/>
  <c r="AC3" i="20"/>
  <c r="Q3" i="20"/>
  <c r="O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<sst xmlns="http://schemas.openxmlformats.org/spreadsheetml/2006/main" count="712" uniqueCount="481">
  <si>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</si>
  <si>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</si>
  <si>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</si>
  <si>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</si>
  <si>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</si>
  <si>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</si>
  <si>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</si>
  <si>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</si>
  <si>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</si>
  <si>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</si>
  <si>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</si>
  <si>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</si>
  <si>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</si>
  <si>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</si>
  <si>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</si>
  <si>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</si>
  <si>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</si>
  <si>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</si>
  <si>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</si>
  <si>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</si>
  <si>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</si>
  <si>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</si>
  <si>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</si>
  <si>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</si>
  <si>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</si>
  <si>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</si>
  <si>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</si>
  <si>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</si>
  <si>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</si>
  <si>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</si>
  <si>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</si>
  <si>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</si>
  <si>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</si>
  <si>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</si>
  <si>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</si>
  <si>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</si>
  <si>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</si>
  <si>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</si>
  <si>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</si>
  <si>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</si>
  <si>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</si>
  <si>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</si>
  <si>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</si>
  <si>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</si>
  <si>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</si>
  <si>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</si>
  <si>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</si>
  <si>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</si>
  <si>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</si>
  <si>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</si>
  <si>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</si>
  <si>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</si>
  <si>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</si>
  <si>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</si>
  <si>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</si>
  <si>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</si>
  <si>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</si>
  <si>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</si>
  <si>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</si>
  <si>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</si>
  <si>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</si>
  <si>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</si>
  <si>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</si>
  <si>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</si>
  <si>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</si>
  <si>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</si>
  <si>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</si>
  <si>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</si>
  <si>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</si>
  <si>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</si>
  <si>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</si>
  <si>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</si>
  <si>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</si>
  <si>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</si>
  <si>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</si>
  <si>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</si>
  <si>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</si>
  <si>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</si>
  <si>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</si>
  <si>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</si>
  <si>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</si>
  <si>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</si>
  <si>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</si>
  <si>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</si>
  <si>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</si>
  <si>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</si>
  <si>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</si>
  <si>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</si>
  <si>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</si>
  <si>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</si>
  <si>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</si>
  <si>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</si>
  <si>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</si>
  <si>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</si>
  <si>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</si>
  <si>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</si>
  <si>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</si>
  <si>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</si>
  <si>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</si>
  <si>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</si>
  <si>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</si>
  <si>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</si>
  <si>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</si>
  <si>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</si>
  <si>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</si>
  <si>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</si>
  <si>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</si>
  <si>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</si>
  <si>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</si>
  <si>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</si>
  <si>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</si>
  <si>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</si>
  <si>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</si>
  <si>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</si>
  <si>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</si>
  <si>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</si>
  <si>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</si>
  <si>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</si>
  <si>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</si>
  <si>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</si>
  <si>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</si>
  <si>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</si>
  <si>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</si>
  <si>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</si>
  <si>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</si>
  <si>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</si>
  <si>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</si>
  <si>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</si>
  <si>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</si>
  <si>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</si>
  <si>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</si>
  <si>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</si>
  <si>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</si>
  <si>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</si>
  <si>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</si>
  <si>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</si>
  <si>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</si>
  <si>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</si>
  <si>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</si>
  <si>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</si>
  <si>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</si>
  <si>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</si>
  <si>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</si>
  <si>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</si>
  <si>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</si>
  <si>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</si>
  <si>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</si>
  <si>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</si>
  <si>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</si>
  <si>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</si>
  <si>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</si>
  <si>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</si>
  <si>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</si>
  <si>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</si>
  <si>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</si>
  <si>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</si>
  <si>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</si>
  <si>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</si>
  <si>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</si>
  <si>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</si>
  <si>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</si>
  <si>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</si>
  <si>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</si>
  <si>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</si>
  <si>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</si>
  <si>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</si>
  <si>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</si>
  <si>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</si>
  <si>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</si>
  <si>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</si>
  <si>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</si>
  <si>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</si>
  <si>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</si>
  <si>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</si>
  <si>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</si>
  <si>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</si>
  <si>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</si>
  <si>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</si>
  <si>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</si>
  <si>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</si>
  <si>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</si>
  <si>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</si>
  <si>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</si>
  <si>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</si>
  <si>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</si>
  <si>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</si>
  <si>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</si>
  <si>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</si>
  <si>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</si>
  <si>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</si>
  <si>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</si>
  <si>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</si>
  <si>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</si>
  <si>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</si>
  <si>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</si>
  <si>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</si>
  <si>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</si>
  <si>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</si>
  <si>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</si>
  <si>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</si>
  <si>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</si>
  <si>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</si>
  <si>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</si>
  <si>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</si>
  <si>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</si>
  <si>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</si>
  <si>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</si>
  <si>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</si>
  <si>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</si>
  <si>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</si>
  <si>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</si>
  <si>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</si>
  <si>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</si>
  <si>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</si>
  <si>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</si>
  <si>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</si>
  <si>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</si>
  <si>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</si>
  <si>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</si>
  <si>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</si>
  <si>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</si>
  <si>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</si>
  <si>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</si>
  <si>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</si>
  <si>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</si>
  <si>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</si>
  <si>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</si>
  <si>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</si>
  <si>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</si>
  <si>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</si>
  <si>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</si>
  <si>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</si>
  <si>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</si>
  <si>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</si>
  <si>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</si>
  <si>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</si>
  <si>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</si>
  <si>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</si>
  <si>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</si>
  <si>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</si>
  <si>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</si>
  <si>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</si>
  <si>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</si>
  <si>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</si>
  <si>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</si>
  <si>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</si>
  <si>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</si>
  <si>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</si>
  <si>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</si>
  <si>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</si>
  <si>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</si>
  <si>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</si>
  <si>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</si>
  <si>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</si>
  <si>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</si>
  <si>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</si>
  <si>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</si>
  <si>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</si>
  <si>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</si>
  <si>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</si>
  <si>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</si>
  <si>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</si>
  <si>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</si>
  <si>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</si>
  <si>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</si>
  <si>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</si>
  <si>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</si>
  <si>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</si>
  <si>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</si>
  <si>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</si>
  <si>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</si>
  <si>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</si>
  <si>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</si>
  <si>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</si>
  <si>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</si>
  <si>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</si>
  <si>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</si>
  <si>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</si>
  <si>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</si>
  <si>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</si>
  <si>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</si>
  <si>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</si>
  <si>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</si>
  <si>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</si>
  <si>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</si>
  <si>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</si>
  <si>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</si>
  <si>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</si>
  <si>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</si>
  <si>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</si>
  <si>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</si>
  <si>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</si>
  <si>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</si>
  <si>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</si>
  <si>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</si>
  <si>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</si>
  <si>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</si>
  <si>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</si>
  <si>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</si>
  <si>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</si>
  <si>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</si>
  <si>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</si>
  <si>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</si>
  <si>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</si>
  <si>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</si>
  <si>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</si>
  <si>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</si>
  <si>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</si>
  <si>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</si>
  <si>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</si>
  <si>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</si>
  <si>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</si>
  <si>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</si>
  <si>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</si>
  <si>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</si>
  <si>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</si>
  <si>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</si>
  <si>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</si>
  <si>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</si>
  <si>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</si>
  <si>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</si>
  <si>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</si>
  <si>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</si>
  <si>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</si>
  <si>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</si>
  <si>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</si>
  <si>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</si>
  <si>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</si>
  <si>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</si>
  <si>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</si>
  <si>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</si>
  <si>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</si>
  <si>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</si>
  <si>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</si>
  <si>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</si>
  <si>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</si>
  <si>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</si>
  <si>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</si>
  <si>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</si>
  <si>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</si>
  <si>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</si>
  <si>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</si>
  <si>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</si>
  <si>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</si>
  <si>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</si>
  <si>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</si>
  <si>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</si>
  <si>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</si>
  <si>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</si>
  <si>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</si>
  <si>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</si>
  <si>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</si>
  <si>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</si>
  <si>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</si>
  <si>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</si>
  <si>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</si>
  <si>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</si>
  <si>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</si>
  <si>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</si>
  <si>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</si>
  <si>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</si>
  <si>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</si>
  <si>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</si>
  <si>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</si>
  <si>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</si>
  <si>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</si>
  <si>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</si>
  <si>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</si>
  <si>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</si>
  <si>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</si>
  <si>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</si>
  <si>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</si>
  <si>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</si>
  <si>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</si>
  <si>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</si>
  <si>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</si>
  <si>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</si>
  <si>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</si>
  <si>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</si>
  <si>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</si>
  <si>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</si>
  <si>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</si>
  <si>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</si>
  <si>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</si>
  <si>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</si>
  <si>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</si>
  <si>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</si>
  <si>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</si>
  <si>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</si>
  <si>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</si>
  <si>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</si>
  <si>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</si>
  <si>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</si>
  <si>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</si>
  <si>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</si>
  <si>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</si>
  <si>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</si>
  <si>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</si>
  <si>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</si>
  <si>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</si>
  <si>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</si>
  <si>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</si>
  <si>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</si>
  <si>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</si>
  <si>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</si>
  <si>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</si>
  <si>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</si>
  <si>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</si>
  <si>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</si>
  <si>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</si>
  <si>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</si>
  <si>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</si>
  <si>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</si>
  <si>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</si>
  <si>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</si>
  <si>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</si>
  <si>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</si>
  <si>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</si>
  <si>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</si>
  <si>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</si>
  <si>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</si>
  <si>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</si>
  <si>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</si>
  <si>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</si>
  <si>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</si>
  <si>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</si>
  <si>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</si>
  <si>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</si>
  <si>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</si>
  <si>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</si>
  <si>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</si>
  <si>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</si>
  <si>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</si>
  <si>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</si>
  <si>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</si>
  <si>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</si>
  <si>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</si>
  <si>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</si>
  <si>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</si>
  <si>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</si>
  <si>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</si>
  <si>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</si>
  <si>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</si>
  <si>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</si>
  <si>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</si>
  <si>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</si>
  <si>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</si>
  <si>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</si>
  <si>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</si>
  <si>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Hint 4</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</si>
  <si>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</si>
  <si>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</si>
  <si>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</si>
  <si>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</si>
  <si>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</si>
  <si>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</si>
  <si>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</si>
  <si>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</si>
  <si>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</si>
  <si>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</si>
  <si>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</si>
  <si>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</si>
  <si>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</si>
  <si>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</si>
  <si>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</si>
  <si>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</si>
  <si>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</si>
  <si>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</si>
  <si>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</si>
  <si>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</si>
  <si>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</si>
  <si>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</si>
  <si>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</si>
  <si>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</si>
  <si>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</si>
  <si>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</si>
  <si>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</si>
  <si>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</si>
  <si>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V - 4.5  - 08/11/2021</t>
  </si>
  <si>
    <t>MC +A</t>
  </si>
  <si>
    <t>OM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</si>
</sst>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299">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cellXfs>
  <cellStyles count="2">
    <cellStyle name="Hipervínculo" xfId="1" builtinId="8"/>
    <cellStyle name="Normal" xfId="0" builtinId="0"/>
  </cellStyles>
  <dxfs count="290">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https://www.uca.es" TargetMode="External"/><Relationship Id="rId3" Type="http://schemas.openxmlformats.org/officeDocument/2006/relationships/hyperlink" Target="https://www.youtube.com/channel/UCTkOmf2IiTvxn1ch9hYjYQQ" TargetMode="External"/><Relationship Id="rId7"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gnu.org/licenses/agpl-3.0.en.html"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 Id="rId9"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28</xdr:row>
      <xdr:rowOff>78190</xdr:rowOff>
    </xdr:from>
    <xdr:to>
      <xdr:col>17</xdr:col>
      <xdr:colOff>493900</xdr:colOff>
      <xdr:row>33</xdr:row>
      <xdr:rowOff>65439</xdr:rowOff>
    </xdr:to>
    <xdr:pic>
      <xdr:nvPicPr>
        <xdr:cNvPr id="21" name="UCA">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289">
  <autoFilter ref="A38:B45">
    <filterColumn colId="0" hiddenButton="1"/>
    <filterColumn colId="1" hiddenButton="1"/>
  </autoFilter>
  <tableColumns count="2">
    <tableColumn id="1" name="NOMBRE" dataDxfId="288"/>
    <tableColumn id="2" name="SIGLA" dataDxfId="287"/>
  </tableColumns>
  <tableStyleInfo showFirstColumn="0" showLastColumn="0" showRowStripes="1" showColumnStripes="0"/>
</table>
</file>

<file path=xl/tables/table2.xml><?xml version="1.0" encoding="utf-8"?>
<table xmlns="http://schemas.openxmlformats.org/spreadsheetml/2006/main" id="1" name="Tabla_OM" displayName="Tabla_O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6">
      <calculatedColumnFormula>IF(COUNTIF(Tabla_OM[[#This Row],[Puntos 1]:[Puntos 6]],"&gt;0")=0,"",COUNTIF(Tabla_OM[[#This Row],[Puntos 1]:[Puntos 6]],"&gt;0"))</calculatedColumnFormula>
    </tableColumn>
    <tableColumn id="2" name="NRI" dataDxfId="285">
      <calculatedColumnFormula>IF(Tabla_OM[[#This Row],[NRC]]="","",COUNTA(Tabla_OM[[#This Row],[Respuesta 1]:[Respuesta 6]])-Tabla_OM[[#This Row],[NRC]])</calculatedColumnFormula>
    </tableColumn>
    <tableColumn id="3" name="Columna1" dataDxfId="284"/>
    <tableColumn id="4" name="Columna2" dataDxfId="283"/>
    <tableColumn id="5" name="Descripcion" dataDxfId="282"/>
    <tableColumn id="6" name="Enunciado" dataDxfId="281"/>
    <tableColumn id="7" name="Respuesta 1" dataDxfId="280"/>
    <tableColumn id="8" name="Respuesta 2" dataDxfId="279"/>
    <tableColumn id="9" name="Respuesta 3" dataDxfId="278"/>
    <tableColumn id="10" name="Respuesta 4" dataDxfId="277"/>
    <tableColumn id="11" name="Respuesta 5" dataDxfId="276"/>
    <tableColumn id="12" name="Respuesta 6" dataDxfId="275"/>
    <tableColumn id="13" name="Retroalim. 1" dataDxfId="274"/>
    <tableColumn id="14" name="Retroalim. 2" dataDxfId="273"/>
    <tableColumn id="15" name="Retroalim. 3" dataDxfId="272"/>
    <tableColumn id="16" name="Retroalim. 4" dataDxfId="271"/>
    <tableColumn id="17" name="Retroalim. 5" dataDxfId="270"/>
    <tableColumn id="18" name="Retroalim. 6" dataDxfId="269"/>
    <tableColumn id="19" name="Puntos 1" dataDxfId="268"/>
    <tableColumn id="20" name="Puntos 2" dataDxfId="267"/>
    <tableColumn id="21" name="Puntos 3" dataDxfId="266"/>
    <tableColumn id="22" name="Puntos 4" dataDxfId="265"/>
    <tableColumn id="23" name="Puntos 5" dataDxfId="264"/>
    <tableColumn id="24" name="Puntos 6" dataDxfId="263"/>
    <tableColumn id="25" name="Puntos 7" dataDxfId="262"/>
    <tableColumn id="26" name="Puntos 8" dataDxfId="261"/>
    <tableColumn id="27" name="Puntos 9" dataDxfId="260"/>
    <tableColumn id="28" name="Puntos 10" dataDxfId="259"/>
    <tableColumn id="29" name="Puntos 11" dataDxfId="258"/>
    <tableColumn id="30" name="Puntos 12" dataDxfId="257"/>
    <tableColumn id="31" name="Pista 1" dataDxfId="256"/>
    <tableColumn id="32" name="Pista 2" dataDxfId="255"/>
    <tableColumn id="33" name="Pista 3" dataDxfId="254"/>
    <tableColumn id="34" name="Pista 4" dataDxfId="253"/>
    <tableColumn id="35" name="Imagen" dataDxfId="252"/>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51">
      <calculatedColumnFormula>IF(COUNTIF(Tabla_O2[[#This Row],[Puntos 1]:[Puntos 6]],"&gt;0")=0,"",COUNTIF(Tabla_O2[[#This Row],[Puntos 1]:[Puntos 6]],"&gt;0"))</calculatedColumnFormula>
    </tableColumn>
    <tableColumn id="2" name="NRI" dataDxfId="250">
      <calculatedColumnFormula>IF(Tabla_O2[[#This Row],[NRC]]="","",COUNTA(Tabla_O2[[#This Row],[Respuesta 1]:[Respuesta 6]])-Tabla_O2[[#This Row],[NRC]])</calculatedColumnFormula>
    </tableColumn>
    <tableColumn id="3" name="Columna1" dataDxfId="249"/>
    <tableColumn id="4" name="Columna2" dataDxfId="248"/>
    <tableColumn id="5" name="Descripcion" dataDxfId="247"/>
    <tableColumn id="6" name="Enunciado" dataDxfId="246"/>
    <tableColumn id="7" name="Respuesta 1" dataDxfId="245"/>
    <tableColumn id="8" name="Respuesta 2" dataDxfId="244"/>
    <tableColumn id="9" name="Respuesta 3" dataDxfId="243"/>
    <tableColumn id="10" name="Respuesta 4" dataDxfId="242"/>
    <tableColumn id="11" name="Respuesta 5" dataDxfId="241"/>
    <tableColumn id="12" name="Respuesta 6" dataDxfId="240"/>
    <tableColumn id="13" name="Retroalim. 1" dataDxfId="239"/>
    <tableColumn id="14" name="Retroalim. 2" dataDxfId="238"/>
    <tableColumn id="15" name="Retroalim. 3" dataDxfId="237"/>
    <tableColumn id="16" name="Retroalim. 4" dataDxfId="236"/>
    <tableColumn id="17" name="Retroalim. 5" dataDxfId="235"/>
    <tableColumn id="18" name="Retroalim. 6" dataDxfId="234"/>
    <tableColumn id="19" name="Puntos 1" dataDxfId="233"/>
    <tableColumn id="20" name="Puntos 2" dataDxfId="232"/>
    <tableColumn id="21" name="Puntos 3" dataDxfId="231"/>
    <tableColumn id="22" name="Puntos 4" dataDxfId="230"/>
    <tableColumn id="23" name="Puntos 5" dataDxfId="229"/>
    <tableColumn id="24" name="Puntos 6" dataDxfId="228"/>
    <tableColumn id="25" name="Puntos 7" dataDxfId="227"/>
    <tableColumn id="26" name="Puntos 8" dataDxfId="226"/>
    <tableColumn id="27" name="Puntos 9" dataDxfId="225"/>
    <tableColumn id="28" name="Puntos 10" dataDxfId="224"/>
    <tableColumn id="29" name="Puntos 11" dataDxfId="223"/>
    <tableColumn id="30" name="Puntos 12" dataDxfId="222"/>
    <tableColumn id="31" name="Pista 1" dataDxfId="221"/>
    <tableColumn id="32" name="Pista 2" dataDxfId="220"/>
    <tableColumn id="33" name="Pista 3" dataDxfId="219"/>
    <tableColumn id="34" name="Pista 4" dataDxfId="218"/>
    <tableColumn id="35" name="Imagen" dataDxfId="217"/>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16"/>
    <tableColumn id="2" name="C2" dataDxfId="215"/>
    <tableColumn id="3" name="Columna3" dataDxfId="214"/>
    <tableColumn id="4" name="Columna4" dataDxfId="213"/>
    <tableColumn id="5" name="Descripcion" dataDxfId="212"/>
    <tableColumn id="6" name="Enunciado" dataDxfId="211"/>
    <tableColumn id="7" name="Respuesta 1" dataDxfId="210"/>
    <tableColumn id="8" name="Retroalim. 1" dataDxfId="209"/>
    <tableColumn id="9" name="Retroalim. 2" dataDxfId="208"/>
    <tableColumn id="10" name="Columna5" dataDxfId="207"/>
    <tableColumn id="11" name="Columna6" dataDxfId="206"/>
    <tableColumn id="12" name="Columna7" dataDxfId="205"/>
    <tableColumn id="13" name="Columna8" dataDxfId="204"/>
    <tableColumn id="14" name="Columna9" dataDxfId="203"/>
    <tableColumn id="15" name="Columna10" dataDxfId="202"/>
    <tableColumn id="16" name="Columna11" dataDxfId="201"/>
    <tableColumn id="17" name="Columna12" dataDxfId="200"/>
    <tableColumn id="18" name="Columna13" dataDxfId="199"/>
    <tableColumn id="19" name="Columna14" dataDxfId="198"/>
    <tableColumn id="20" name="Columna15" dataDxfId="197"/>
    <tableColumn id="21" name="Columna16" dataDxfId="196"/>
    <tableColumn id="22" name="Columna17" dataDxfId="195"/>
    <tableColumn id="23" name="Columna18" dataDxfId="194"/>
    <tableColumn id="24" name="Columna19" dataDxfId="193"/>
    <tableColumn id="25" name="Columna20" dataDxfId="192"/>
    <tableColumn id="26" name="Columna21" dataDxfId="191"/>
    <tableColumn id="27" name="Columna22" dataDxfId="190"/>
    <tableColumn id="28" name="Columna23" dataDxfId="189"/>
    <tableColumn id="29" name="Columna24" dataDxfId="188"/>
    <tableColumn id="30" name="Columna25" dataDxfId="187"/>
    <tableColumn id="31" name="Pista 1" dataDxfId="186"/>
    <tableColumn id="32" name="Pista 2" dataDxfId="185"/>
    <tableColumn id="33" name="Pista 3" dataDxfId="184"/>
    <tableColumn id="34" name="Pista 4" dataDxfId="183"/>
    <tableColumn id="35" name="Imagen" dataDxfId="182"/>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81">
      <calculatedColumnFormula>IF(COUNTA(Tabla_EM[[#This Row],[Pareja  01.1]:[Pareja  12.14]])/2=0,"",COUNTA(Tabla_EM[[#This Row],[Pareja  01.1]:[Pareja  12.14]])/2)</calculatedColumnFormula>
    </tableColumn>
    <tableColumn id="2" name="C1" dataDxfId="180"/>
    <tableColumn id="3" name="Columna2" dataDxfId="179"/>
    <tableColumn id="4" name="Columna3" dataDxfId="178"/>
    <tableColumn id="5" name="Descripcion" dataDxfId="177"/>
    <tableColumn id="6" name="Enunciado" dataDxfId="176"/>
    <tableColumn id="7" name="Pareja  01.1" dataDxfId="175"/>
    <tableColumn id="8" name="Pareja  01.2" dataDxfId="174"/>
    <tableColumn id="9" name="Pareja  02.1" dataDxfId="173"/>
    <tableColumn id="10" name="Pareja  02.2" dataDxfId="172"/>
    <tableColumn id="11" name="Pareja  03.1" dataDxfId="171"/>
    <tableColumn id="12" name="Pareja  03.2" dataDxfId="170"/>
    <tableColumn id="13" name="Pareja  04.1" dataDxfId="169"/>
    <tableColumn id="14" name="Pareja  04.2" dataDxfId="168"/>
    <tableColumn id="15" name="Pareja  05.1" dataDxfId="167"/>
    <tableColumn id="16" name="Pareja  05.2" dataDxfId="166"/>
    <tableColumn id="17" name="Pareja  06.1" dataDxfId="165"/>
    <tableColumn id="18" name="Pareja  06.2" dataDxfId="164"/>
    <tableColumn id="19" name="Pareja  07.1" dataDxfId="163"/>
    <tableColumn id="20" name="Pareja  07.2" dataDxfId="162"/>
    <tableColumn id="21" name="Pareja  08.1" dataDxfId="161"/>
    <tableColumn id="22" name="Pareja  08.2" dataDxfId="160"/>
    <tableColumn id="23" name="Pareja  09.1" dataDxfId="159"/>
    <tableColumn id="24" name="Pareja  09.2" dataDxfId="158"/>
    <tableColumn id="25" name="Pareja  10.1" dataDxfId="157"/>
    <tableColumn id="26" name="Pareja  10.2" dataDxfId="156"/>
    <tableColumn id="27" name="Pareja  11.1" dataDxfId="155"/>
    <tableColumn id="28" name="Pareja  11.2" dataDxfId="154"/>
    <tableColumn id="29" name="Pareja  12.1" dataDxfId="153"/>
    <tableColumn id="30" name="Pareja  12.14" dataDxfId="152"/>
    <tableColumn id="31" name="Pista 1" dataDxfId="151"/>
    <tableColumn id="32" name="Pista 2" dataDxfId="150"/>
    <tableColumn id="33" name="Pista 3" dataDxfId="149"/>
    <tableColumn id="34" name="Pista 4" dataDxfId="148"/>
    <tableColumn id="35" name="Imagen" dataDxfId="147"/>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46">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5"/>
    <tableColumn id="3" name="Columna2" dataDxfId="144"/>
    <tableColumn id="4" name="May" dataDxfId="143"/>
    <tableColumn id="5" name="Descripcion" dataDxfId="142"/>
    <tableColumn id="6" name="Enunciado" dataDxfId="141"/>
    <tableColumn id="7" name="Respuesta 01" dataDxfId="140"/>
    <tableColumn id="8" name="Puntos 01" dataDxfId="139"/>
    <tableColumn id="9" name="Retroalim. 01" dataDxfId="138"/>
    <tableColumn id="10" name="Respuesta 02" dataDxfId="137"/>
    <tableColumn id="11" name="Puntos 02" dataDxfId="136"/>
    <tableColumn id="12" name="Retroalim. 02" dataDxfId="135"/>
    <tableColumn id="13" name="Respuesta 03" dataDxfId="134"/>
    <tableColumn id="14" name="Puntos 03" dataDxfId="133"/>
    <tableColumn id="15" name="Retroalim. 03" dataDxfId="132"/>
    <tableColumn id="16" name="Respuesta 04" dataDxfId="131"/>
    <tableColumn id="17" name="Puntos 04" dataDxfId="130"/>
    <tableColumn id="18" name="Retroalim. 04" dataDxfId="129"/>
    <tableColumn id="19" name="Respuesta 05" dataDxfId="128"/>
    <tableColumn id="20" name="Puntos 05" dataDxfId="127"/>
    <tableColumn id="21" name="Retroalim. 05" dataDxfId="126"/>
    <tableColumn id="22" name="Respuesta 06" dataDxfId="125"/>
    <tableColumn id="23" name="Puntos 06" dataDxfId="124"/>
    <tableColumn id="24" name="Retroalim. 06" dataDxfId="123"/>
    <tableColumn id="25" name="Respuesta 07" dataDxfId="122"/>
    <tableColumn id="26" name="Puntos 07" dataDxfId="121"/>
    <tableColumn id="27" name="Retroalim. 07" dataDxfId="120"/>
    <tableColumn id="28" name="Respuesta 08" dataDxfId="119"/>
    <tableColumn id="29" name="Puntos 08" dataDxfId="118"/>
    <tableColumn id="30" name="Retroalim. 08" dataDxfId="117"/>
    <tableColumn id="31" name="Pista 1" dataDxfId="116"/>
    <tableColumn id="32" name="Pista 2" dataDxfId="115"/>
    <tableColumn id="33" name="Pista 3" dataDxfId="114"/>
    <tableColumn id="34" name="Pista 4" dataDxfId="113"/>
    <tableColumn id="35" name="Imagen" dataDxfId="112"/>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5" totalsRowShown="0" headerRowDxfId="111" dataDxfId="11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09">
      <calculatedColumnFormula>IF(COUNTA(Tabla_PP[[#This Row],[GP 01]:[P 12]])/2=0,"",COUNTA(Tabla_PP[[#This Row],[GP 01]:[P 12]])/2)</calculatedColumnFormula>
    </tableColumn>
    <tableColumn id="2" name="C1" dataDxfId="108"/>
    <tableColumn id="3" name="Columna2" dataDxfId="107"/>
    <tableColumn id="4" name="Columna3" dataDxfId="106"/>
    <tableColumn id="5" name="Descripcion" dataDxfId="105"/>
    <tableColumn id="6" name="Enunciado" dataDxfId="104"/>
    <tableColumn id="7" name="GP 01" dataDxfId="103"/>
    <tableColumn id="8" name="P 01" dataDxfId="102"/>
    <tableColumn id="9" name="GP 02" dataDxfId="101"/>
    <tableColumn id="10" name="P 02" dataDxfId="100"/>
    <tableColumn id="11" name="GP 03" dataDxfId="99"/>
    <tableColumn id="12" name="P 03" dataDxfId="98"/>
    <tableColumn id="13" name="GP 04" dataDxfId="97"/>
    <tableColumn id="14" name="P 04" dataDxfId="96"/>
    <tableColumn id="15" name="GP 05" dataDxfId="95"/>
    <tableColumn id="16" name="P 05" dataDxfId="94"/>
    <tableColumn id="17" name="GP 06" dataDxfId="93"/>
    <tableColumn id="18" name="P 06" dataDxfId="92"/>
    <tableColumn id="19" name="GP 07" dataDxfId="91"/>
    <tableColumn id="20" name="P 07" dataDxfId="90"/>
    <tableColumn id="21" name="GP 08" dataDxfId="89"/>
    <tableColumn id="22" name="P 08" dataDxfId="88"/>
    <tableColumn id="23" name="GP 09" dataDxfId="87"/>
    <tableColumn id="24" name="P 09" dataDxfId="86"/>
    <tableColumn id="25" name="GP 10" dataDxfId="85"/>
    <tableColumn id="26" name="P 10" dataDxfId="84"/>
    <tableColumn id="27" name="GP 11" dataDxfId="83"/>
    <tableColumn id="28" name="P 11" dataDxfId="82"/>
    <tableColumn id="29" name="GP 12" dataDxfId="81"/>
    <tableColumn id="30" name="P 12" dataDxfId="80"/>
    <tableColumn id="31" name="Pista 1" dataDxfId="79"/>
    <tableColumn id="32" name="Pista 2" dataDxfId="78"/>
    <tableColumn id="33" name="Pista 3" dataDxfId="77"/>
    <tableColumn id="34" name="Pista 4" dataDxfId="76"/>
    <tableColumn id="35" name="Imagen" dataDxfId="75"/>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5" totalsRowShown="0" dataDxfId="74">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3"/>
    <tableColumn id="2" name="C2" dataDxfId="72"/>
    <tableColumn id="3" name="Columna1" dataDxfId="71"/>
    <tableColumn id="4" name="Columna2" dataDxfId="70"/>
    <tableColumn id="5" name="Descripción" dataDxfId="69"/>
    <tableColumn id="6" name="FastTest PlugIn - ENSAYO_x000a__x000a_Enunciado de la pregunta" dataDxfId="68"/>
    <tableColumn id="7" name="Formato de la Respuesta_x000a_Requerir texto" dataDxfId="67"/>
    <tableColumn id="8" name="Requerir texto" dataDxfId="66"/>
    <tableColumn id="9" name="Tamaño de la caja de entrada" dataDxfId="65"/>
    <tableColumn id="10" name="Permitir archivos adjuntos" dataDxfId="64"/>
    <tableColumn id="11" name="Archivos adjuntos requeridos" dataDxfId="63"/>
    <tableColumn id="12" name="Plantilla de Respuesta" dataDxfId="62"/>
    <tableColumn id="13" name="Información para el evaluador" dataDxfId="61"/>
    <tableColumn id="14" name="Columna3" dataDxfId="60"/>
    <tableColumn id="15" name="Columna4" dataDxfId="59"/>
    <tableColumn id="16" name="Columna5" dataDxfId="58"/>
    <tableColumn id="17" name="Columna6" dataDxfId="57"/>
    <tableColumn id="18" name="Columna7" dataDxfId="56"/>
    <tableColumn id="19" name="Columna8" dataDxfId="55"/>
    <tableColumn id="20" name="Columna9" dataDxfId="54"/>
    <tableColumn id="21" name="Columna10" dataDxfId="53"/>
    <tableColumn id="22" name="Columna11" dataDxfId="52"/>
    <tableColumn id="23" name="Columna12" dataDxfId="51"/>
    <tableColumn id="24" name="Columna13" dataDxfId="50"/>
    <tableColumn id="25" name="Columna14" dataDxfId="49"/>
    <tableColumn id="26" name="Columna15" dataDxfId="48"/>
    <tableColumn id="27" name="Columna16" dataDxfId="47"/>
    <tableColumn id="28" name="Columna17" dataDxfId="46"/>
    <tableColumn id="29" name="Columna18" dataDxfId="45"/>
    <tableColumn id="30" name="Columna19" dataDxfId="44"/>
    <tableColumn id="31" name="Columna20" dataDxfId="43"/>
    <tableColumn id="32" name="Columna21" dataDxfId="42"/>
    <tableColumn id="33" name="Columna22" dataDxfId="41"/>
    <tableColumn id="34" name="Columna23" dataDxfId="40"/>
    <tableColumn id="35" name="Imagen" dataDxfId="39"/>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38" dataDxfId="37">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6"/>
    <tableColumn id="2" name="C2" dataDxfId="35"/>
    <tableColumn id="3" name="Columna1" dataDxfId="34"/>
    <tableColumn id="4" name="Columna2" dataDxfId="33"/>
    <tableColumn id="5" name="Descripcion" dataDxfId="32"/>
    <tableColumn id="6" name="Enunciado" dataDxfId="31"/>
    <tableColumn id="7" name="Ancho RC" dataDxfId="30"/>
    <tableColumn id="8" name="Columna3" dataDxfId="29"/>
    <tableColumn id="9" name="Columna4" dataDxfId="28"/>
    <tableColumn id="10" name="Columna5" dataDxfId="27"/>
    <tableColumn id="11" name="Columna6" dataDxfId="26"/>
    <tableColumn id="12" name="Columna7" dataDxfId="25"/>
    <tableColumn id="13" name="Columna8" dataDxfId="24"/>
    <tableColumn id="14" name="Columna9" dataDxfId="23"/>
    <tableColumn id="15" name="Columna10" dataDxfId="22"/>
    <tableColumn id="16" name="Columna11" dataDxfId="21"/>
    <tableColumn id="17" name="Columna12" dataDxfId="20"/>
    <tableColumn id="18" name="Columna13" dataDxfId="19"/>
    <tableColumn id="19" name="Columna14" dataDxfId="18"/>
    <tableColumn id="20" name="Columna15" dataDxfId="17"/>
    <tableColumn id="21" name="Columna16" dataDxfId="16"/>
    <tableColumn id="22" name="Columna17" dataDxfId="15"/>
    <tableColumn id="23" name="Columna18" dataDxfId="14"/>
    <tableColumn id="24" name="Columna19" dataDxfId="13"/>
    <tableColumn id="25" name="Columna20" dataDxfId="12"/>
    <tableColumn id="26" name="Columna21" dataDxfId="11"/>
    <tableColumn id="27" name="Columna22" dataDxfId="10"/>
    <tableColumn id="28" name="Columna23" dataDxfId="9"/>
    <tableColumn id="29" name="Columna24" dataDxfId="8"/>
    <tableColumn id="30" name="Columna25" dataDxfId="7"/>
    <tableColumn id="31" name="Pista 1" dataDxfId="6"/>
    <tableColumn id="32" name="Pista 2" dataDxfId="5"/>
    <tableColumn id="33" name="Pista 3" dataDxfId="4"/>
    <tableColumn id="34" name="Pista 4" dataDxfId="3"/>
    <tableColumn id="35" name="Imagen" dataDxfId="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5"/>
  <sheetViews>
    <sheetView showGridLines="0" showRowColHeaders="0" tabSelected="1" zoomScale="134" zoomScaleNormal="134" workbookViewId="0">
      <pane xSplit="26" ySplit="55" topLeftCell="AB56" activePane="bottomRight" state="frozen"/>
      <selection pane="topRight" activeCell="AF1" sqref="AF1"/>
      <selection pane="bottomLeft" activeCell="A56" sqref="A56"/>
      <selection pane="bottomRight" activeCell="A11" sqref="A11:A13"/>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29.25" thickTop="1" x14ac:dyDescent="0.25">
      <c r="A1" s="268" t="s">
        <v>387</v>
      </c>
      <c r="B1" s="289" t="s">
        <v>5</v>
      </c>
      <c r="C1" s="290"/>
      <c r="D1" s="290"/>
      <c r="E1" s="290"/>
      <c r="F1" s="290"/>
      <c r="G1" s="290"/>
      <c r="H1" s="290"/>
      <c r="I1" s="290"/>
      <c r="J1" s="290"/>
      <c r="K1" s="290"/>
      <c r="L1" s="290"/>
      <c r="M1" s="290"/>
      <c r="N1" s="290"/>
      <c r="O1" s="290"/>
      <c r="P1" s="290"/>
      <c r="Q1" s="290"/>
      <c r="R1" s="290"/>
      <c r="S1" s="291"/>
    </row>
    <row r="2" spans="1:19" ht="6" customHeight="1" x14ac:dyDescent="0.25">
      <c r="A2" s="269"/>
      <c r="B2" s="7"/>
      <c r="C2" s="8"/>
      <c r="D2" s="8"/>
      <c r="E2" s="8"/>
      <c r="F2" s="8"/>
      <c r="G2" s="8"/>
      <c r="H2" s="8"/>
      <c r="I2" s="8"/>
      <c r="J2" s="8"/>
      <c r="K2" s="8"/>
      <c r="L2" s="8"/>
      <c r="M2" s="8"/>
      <c r="N2" s="8"/>
      <c r="O2" s="8"/>
      <c r="P2" s="8"/>
      <c r="Q2" s="8"/>
      <c r="R2" s="8"/>
      <c r="S2" s="9"/>
    </row>
    <row r="3" spans="1:19" x14ac:dyDescent="0.25">
      <c r="A3" s="269"/>
      <c r="B3" s="7"/>
      <c r="C3" s="8"/>
      <c r="D3" s="8"/>
      <c r="E3" s="8"/>
      <c r="F3" s="8"/>
      <c r="G3" s="276" t="str">
        <f ca="1">INDIRECT("Z_IN_04_"&amp;IDIOMA)</f>
        <v>Esta Aplicación ha sido desarrollada, en la primera versión, por:</v>
      </c>
      <c r="H3" s="276"/>
      <c r="I3" s="276"/>
      <c r="J3" s="276"/>
      <c r="K3" s="276"/>
      <c r="L3" s="276"/>
      <c r="M3" s="276"/>
      <c r="N3" s="276"/>
      <c r="O3" s="8"/>
      <c r="P3" s="8"/>
      <c r="Q3" s="8"/>
      <c r="R3" s="8"/>
      <c r="S3" s="9"/>
    </row>
    <row r="4" spans="1:19" ht="6" customHeight="1" x14ac:dyDescent="0.25">
      <c r="A4" s="269"/>
      <c r="B4" s="7"/>
      <c r="C4" s="8"/>
      <c r="D4" s="8"/>
      <c r="E4" s="8"/>
      <c r="F4" s="8"/>
      <c r="G4" s="8"/>
      <c r="H4" s="8"/>
      <c r="I4" s="8"/>
      <c r="J4" s="8"/>
      <c r="K4" s="8"/>
      <c r="L4" s="8"/>
      <c r="M4" s="8"/>
      <c r="N4" s="8"/>
      <c r="O4" s="8"/>
      <c r="P4" s="8"/>
      <c r="Q4" s="8"/>
      <c r="R4" s="8"/>
      <c r="S4" s="9"/>
    </row>
    <row r="5" spans="1:19" ht="15.75" customHeight="1" x14ac:dyDescent="0.25">
      <c r="A5" s="269"/>
      <c r="B5" s="7"/>
      <c r="C5" s="8"/>
      <c r="D5" s="8"/>
      <c r="E5" s="8"/>
      <c r="F5" s="295"/>
      <c r="G5" s="295"/>
      <c r="H5" s="199"/>
      <c r="I5" s="277" t="s">
        <v>0</v>
      </c>
      <c r="J5" s="277"/>
      <c r="K5" s="277"/>
      <c r="L5" s="277"/>
      <c r="M5" s="198"/>
      <c r="N5" s="275"/>
      <c r="O5" s="275"/>
      <c r="P5" s="8"/>
      <c r="Q5" s="8"/>
      <c r="R5" s="8"/>
      <c r="S5" s="9"/>
    </row>
    <row r="6" spans="1:19" ht="6" customHeight="1" x14ac:dyDescent="0.25">
      <c r="A6" s="269"/>
      <c r="B6" s="7"/>
      <c r="C6" s="8"/>
      <c r="D6" s="8"/>
      <c r="E6" s="8"/>
      <c r="F6" s="295"/>
      <c r="G6" s="295"/>
      <c r="H6" s="199"/>
      <c r="I6" s="8"/>
      <c r="J6" s="8"/>
      <c r="K6" s="8"/>
      <c r="L6" s="8"/>
      <c r="M6" s="198"/>
      <c r="N6" s="275"/>
      <c r="O6" s="275"/>
      <c r="P6" s="279" t="str">
        <f ca="1">INDIRECT("Z_IN_01_"&amp;IDIOMA)</f>
        <v>CANAL YOUTUBE</v>
      </c>
      <c r="Q6" s="279"/>
      <c r="R6" s="279"/>
      <c r="S6" s="9"/>
    </row>
    <row r="7" spans="1:19" ht="15" customHeight="1" x14ac:dyDescent="0.25">
      <c r="A7" s="269"/>
      <c r="B7" s="7"/>
      <c r="C7" s="8"/>
      <c r="D7" s="8"/>
      <c r="E7" s="8"/>
      <c r="F7" s="295"/>
      <c r="G7" s="295"/>
      <c r="H7" s="199"/>
      <c r="I7" s="276" t="str">
        <f ca="1">INDIRECT("Z_IN_05_"&amp;IDIOMA)</f>
        <v>Universidad de Cádiz</v>
      </c>
      <c r="J7" s="276"/>
      <c r="K7" s="276"/>
      <c r="L7" s="276"/>
      <c r="M7" s="198"/>
      <c r="N7" s="275"/>
      <c r="O7" s="275"/>
      <c r="P7" s="279"/>
      <c r="Q7" s="279"/>
      <c r="R7" s="279"/>
      <c r="S7" s="9"/>
    </row>
    <row r="8" spans="1:19" ht="6" customHeight="1" x14ac:dyDescent="0.25">
      <c r="A8" s="269"/>
      <c r="B8" s="7"/>
      <c r="C8" s="8"/>
      <c r="D8" s="8"/>
      <c r="E8" s="8"/>
      <c r="F8" s="295"/>
      <c r="G8" s="295"/>
      <c r="H8" s="199"/>
      <c r="I8" s="8"/>
      <c r="J8" s="8"/>
      <c r="K8" s="8"/>
      <c r="L8" s="8"/>
      <c r="M8" s="198"/>
      <c r="N8" s="275"/>
      <c r="O8" s="275"/>
      <c r="P8" s="8"/>
      <c r="Q8" s="8"/>
      <c r="R8" s="8"/>
      <c r="S8" s="9"/>
    </row>
    <row r="9" spans="1:19" ht="15.75" thickBot="1" x14ac:dyDescent="0.3">
      <c r="A9" s="270"/>
      <c r="B9" s="7"/>
      <c r="C9" s="292" t="str">
        <f ca="1">INDIRECT("Z_IN_03_"&amp;IDIOMA)</f>
        <v>LEER CON ATENCIÓN</v>
      </c>
      <c r="D9" s="292"/>
      <c r="E9" s="8"/>
      <c r="F9" s="295"/>
      <c r="G9" s="295"/>
      <c r="H9" s="199"/>
      <c r="I9" s="278" t="s">
        <v>10</v>
      </c>
      <c r="J9" s="278"/>
      <c r="K9" s="278"/>
      <c r="L9" s="278"/>
      <c r="M9" s="198"/>
      <c r="N9" s="275"/>
      <c r="O9" s="275"/>
      <c r="P9" s="280" t="s">
        <v>478</v>
      </c>
      <c r="Q9" s="280"/>
      <c r="R9" s="280"/>
      <c r="S9" s="9"/>
    </row>
    <row r="10" spans="1:19" ht="6" customHeight="1" x14ac:dyDescent="0.25">
      <c r="B10" s="7"/>
      <c r="C10" s="8"/>
      <c r="D10" s="8"/>
      <c r="E10" s="8"/>
      <c r="F10" s="295"/>
      <c r="G10" s="295"/>
      <c r="H10" s="199"/>
      <c r="I10" s="8"/>
      <c r="J10" s="8"/>
      <c r="K10" s="8"/>
      <c r="L10" s="8"/>
      <c r="M10" s="198"/>
      <c r="N10" s="275"/>
      <c r="O10" s="275"/>
      <c r="P10" s="8"/>
      <c r="Q10" s="8"/>
      <c r="R10" s="8"/>
      <c r="S10" s="9"/>
    </row>
    <row r="11" spans="1:19" ht="15" customHeight="1" x14ac:dyDescent="0.25">
      <c r="A11" s="271" t="s">
        <v>12</v>
      </c>
      <c r="B11" s="7"/>
      <c r="C11" s="8"/>
      <c r="D11" s="29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93"/>
      <c r="F11" s="293"/>
      <c r="G11" s="293"/>
      <c r="H11" s="293"/>
      <c r="I11" s="293"/>
      <c r="J11" s="293"/>
      <c r="K11" s="293"/>
      <c r="L11" s="293"/>
      <c r="M11" s="293"/>
      <c r="N11" s="293"/>
      <c r="O11" s="293"/>
      <c r="P11" s="293"/>
      <c r="Q11" s="293"/>
      <c r="R11" s="293"/>
      <c r="S11" s="9"/>
    </row>
    <row r="12" spans="1:19" ht="6" customHeight="1" x14ac:dyDescent="0.25">
      <c r="A12" s="271"/>
      <c r="B12" s="7"/>
      <c r="C12" s="8"/>
      <c r="D12" s="293"/>
      <c r="E12" s="293"/>
      <c r="F12" s="293"/>
      <c r="G12" s="293"/>
      <c r="H12" s="293"/>
      <c r="I12" s="293"/>
      <c r="J12" s="293"/>
      <c r="K12" s="293"/>
      <c r="L12" s="293"/>
      <c r="M12" s="293"/>
      <c r="N12" s="293"/>
      <c r="O12" s="293"/>
      <c r="P12" s="293"/>
      <c r="Q12" s="293"/>
      <c r="R12" s="293"/>
      <c r="S12" s="9"/>
    </row>
    <row r="13" spans="1:19" x14ac:dyDescent="0.25">
      <c r="A13" s="271"/>
      <c r="B13" s="7"/>
      <c r="C13" s="8"/>
      <c r="D13" s="293"/>
      <c r="E13" s="293"/>
      <c r="F13" s="293"/>
      <c r="G13" s="293"/>
      <c r="H13" s="293"/>
      <c r="I13" s="293"/>
      <c r="J13" s="293"/>
      <c r="K13" s="293"/>
      <c r="L13" s="293"/>
      <c r="M13" s="293"/>
      <c r="N13" s="293"/>
      <c r="O13" s="293"/>
      <c r="P13" s="293"/>
      <c r="Q13" s="293"/>
      <c r="R13" s="293"/>
      <c r="S13" s="9"/>
    </row>
    <row r="14" spans="1:19" ht="6" customHeight="1" x14ac:dyDescent="0.25">
      <c r="B14" s="7"/>
      <c r="C14" s="8"/>
      <c r="D14" s="293"/>
      <c r="E14" s="293"/>
      <c r="F14" s="293"/>
      <c r="G14" s="293"/>
      <c r="H14" s="293"/>
      <c r="I14" s="293"/>
      <c r="J14" s="293"/>
      <c r="K14" s="293"/>
      <c r="L14" s="293"/>
      <c r="M14" s="293"/>
      <c r="N14" s="293"/>
      <c r="O14" s="293"/>
      <c r="P14" s="293"/>
      <c r="Q14" s="293"/>
      <c r="R14" s="293"/>
      <c r="S14" s="9"/>
    </row>
    <row r="15" spans="1:19" x14ac:dyDescent="0.25">
      <c r="B15" s="7"/>
      <c r="C15" s="8"/>
      <c r="D15" s="293"/>
      <c r="E15" s="293"/>
      <c r="F15" s="293"/>
      <c r="G15" s="293"/>
      <c r="H15" s="293"/>
      <c r="I15" s="293"/>
      <c r="J15" s="293"/>
      <c r="K15" s="293"/>
      <c r="L15" s="293"/>
      <c r="M15" s="293"/>
      <c r="N15" s="293"/>
      <c r="O15" s="293"/>
      <c r="P15" s="293"/>
      <c r="Q15" s="293"/>
      <c r="R15" s="293"/>
      <c r="S15" s="9"/>
    </row>
    <row r="16" spans="1:19" ht="6" customHeight="1" x14ac:dyDescent="0.25">
      <c r="B16" s="7"/>
      <c r="C16" s="8"/>
      <c r="D16" s="293"/>
      <c r="E16" s="293"/>
      <c r="F16" s="293"/>
      <c r="G16" s="293"/>
      <c r="H16" s="293"/>
      <c r="I16" s="293"/>
      <c r="J16" s="293"/>
      <c r="K16" s="293"/>
      <c r="L16" s="293"/>
      <c r="M16" s="293"/>
      <c r="N16" s="293"/>
      <c r="O16" s="293"/>
      <c r="P16" s="293"/>
      <c r="Q16" s="293"/>
      <c r="R16" s="293"/>
      <c r="S16" s="9"/>
    </row>
    <row r="17" spans="1:19" x14ac:dyDescent="0.25">
      <c r="A17" s="272" t="str">
        <f>IFERROR(HLOOKUP(LANGUAGE,DICCIONARIO!F1:K20,20,0),LANGUAGE)</f>
        <v>PERSONALIZAR DICCIONARIO</v>
      </c>
      <c r="B17" s="7"/>
      <c r="C17" s="8"/>
      <c r="D17" s="293"/>
      <c r="E17" s="293"/>
      <c r="F17" s="293"/>
      <c r="G17" s="293"/>
      <c r="H17" s="293"/>
      <c r="I17" s="293"/>
      <c r="J17" s="293"/>
      <c r="K17" s="293"/>
      <c r="L17" s="293"/>
      <c r="M17" s="293"/>
      <c r="N17" s="293"/>
      <c r="O17" s="293"/>
      <c r="P17" s="293"/>
      <c r="Q17" s="293"/>
      <c r="R17" s="293"/>
      <c r="S17" s="9"/>
    </row>
    <row r="18" spans="1:19" ht="6" customHeight="1" x14ac:dyDescent="0.25">
      <c r="A18" s="272"/>
      <c r="B18" s="7"/>
      <c r="C18" s="8"/>
      <c r="D18" s="293"/>
      <c r="E18" s="293"/>
      <c r="F18" s="293"/>
      <c r="G18" s="293"/>
      <c r="H18" s="293"/>
      <c r="I18" s="293"/>
      <c r="J18" s="293"/>
      <c r="K18" s="293"/>
      <c r="L18" s="293"/>
      <c r="M18" s="293"/>
      <c r="N18" s="293"/>
      <c r="O18" s="293"/>
      <c r="P18" s="293"/>
      <c r="Q18" s="293"/>
      <c r="R18" s="293"/>
      <c r="S18" s="9"/>
    </row>
    <row r="19" spans="1:19" x14ac:dyDescent="0.25">
      <c r="A19" s="272"/>
      <c r="B19" s="7"/>
      <c r="C19" s="8"/>
      <c r="D19" s="293"/>
      <c r="E19" s="293"/>
      <c r="F19" s="293"/>
      <c r="G19" s="293"/>
      <c r="H19" s="293"/>
      <c r="I19" s="293"/>
      <c r="J19" s="293"/>
      <c r="K19" s="293"/>
      <c r="L19" s="293"/>
      <c r="M19" s="293"/>
      <c r="N19" s="293"/>
      <c r="O19" s="293"/>
      <c r="P19" s="293"/>
      <c r="Q19" s="293"/>
      <c r="R19" s="293"/>
      <c r="S19" s="9"/>
    </row>
    <row r="20" spans="1:19" ht="6" customHeight="1" x14ac:dyDescent="0.25">
      <c r="B20" s="7"/>
      <c r="C20" s="8"/>
      <c r="D20" s="293"/>
      <c r="E20" s="293"/>
      <c r="F20" s="293"/>
      <c r="G20" s="293"/>
      <c r="H20" s="293"/>
      <c r="I20" s="293"/>
      <c r="J20" s="293"/>
      <c r="K20" s="293"/>
      <c r="L20" s="293"/>
      <c r="M20" s="293"/>
      <c r="N20" s="293"/>
      <c r="O20" s="293"/>
      <c r="P20" s="293"/>
      <c r="Q20" s="293"/>
      <c r="R20" s="293"/>
      <c r="S20" s="9"/>
    </row>
    <row r="21" spans="1:19" x14ac:dyDescent="0.25">
      <c r="B21" s="7"/>
      <c r="C21" s="8"/>
      <c r="D21" s="293"/>
      <c r="E21" s="293"/>
      <c r="F21" s="293"/>
      <c r="G21" s="293"/>
      <c r="H21" s="293"/>
      <c r="I21" s="293"/>
      <c r="J21" s="293"/>
      <c r="K21" s="293"/>
      <c r="L21" s="293"/>
      <c r="M21" s="293"/>
      <c r="N21" s="293"/>
      <c r="O21" s="293"/>
      <c r="P21" s="293"/>
      <c r="Q21" s="293"/>
      <c r="R21" s="293"/>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281" t="str">
        <f ca="1">INDIRECT("Z_BP_10_"&amp;IDIOMA)</f>
        <v>OM 1R</v>
      </c>
      <c r="D23" s="294"/>
      <c r="E23" s="281" t="str">
        <f ca="1">INDIRECT("Z_BP_11_"&amp;IDIOMA)</f>
        <v>OM +R</v>
      </c>
      <c r="F23" s="282"/>
      <c r="G23" s="281" t="str">
        <f ca="1">INDIRECT("Z_BP_12_"&amp;IDIOMA)</f>
        <v>VF</v>
      </c>
      <c r="H23" s="282"/>
      <c r="I23" s="281" t="str">
        <f ca="1">INDIRECT("Z_BP_13_"&amp;IDIOMA)</f>
        <v>EM</v>
      </c>
      <c r="J23" s="294"/>
      <c r="K23" s="281" t="str">
        <f ca="1">INDIRECT("Z_BP_14_"&amp;IDIOMA)</f>
        <v>RC</v>
      </c>
      <c r="L23" s="282"/>
      <c r="M23" s="281" t="str">
        <f ca="1">INDIRECT("Z_BP_15_"&amp;IDIOMA)</f>
        <v>PP</v>
      </c>
      <c r="N23" s="282"/>
      <c r="O23" s="281" t="str">
        <f ca="1">INDIRECT("Z_BP_31_"&amp;IDIOMA)</f>
        <v>EN</v>
      </c>
      <c r="P23" s="282"/>
      <c r="Q23" s="281" t="str">
        <f ca="1">INDIRECT("Z_BP_16_"&amp;IDIOMA)</f>
        <v>CL</v>
      </c>
      <c r="R23" s="282"/>
      <c r="S23" s="9"/>
    </row>
    <row r="24" spans="1:19" ht="14.45" customHeight="1" x14ac:dyDescent="0.25">
      <c r="B24" s="7"/>
      <c r="C24" s="297" t="str">
        <f ca="1">INDIRECT("Z_IN_08_"&amp;IDIOMA)</f>
        <v xml:space="preserve">Opción Múltiple 1R </v>
      </c>
      <c r="D24" s="283"/>
      <c r="E24" s="283" t="str">
        <f ca="1">INDIRECT("Z_IN_09_"&amp;IDIOMA)</f>
        <v xml:space="preserve">Opción Múltiple +R </v>
      </c>
      <c r="F24" s="283"/>
      <c r="G24" s="283" t="str">
        <f ca="1">INDIRECT("Z_IN_10_"&amp;IDIOMA)</f>
        <v>Verdadero/Falso</v>
      </c>
      <c r="H24" s="283"/>
      <c r="I24" s="283" t="str">
        <f ca="1">INDIRECT("Z_IN_11_"&amp;IDIOMA)</f>
        <v>Emparejar</v>
      </c>
      <c r="J24" s="283"/>
      <c r="K24" s="283" t="str">
        <f ca="1">INDIRECT("Z_IN_12_"&amp;IDIOMA)</f>
        <v>Respuesta Corta</v>
      </c>
      <c r="L24" s="283"/>
      <c r="M24" s="283" t="str">
        <f ca="1">INDIRECT("Z_IN_13_"&amp;IDIOMA)</f>
        <v>Palabra Perdida</v>
      </c>
      <c r="N24" s="283"/>
      <c r="O24" s="283" t="str">
        <f ca="1">INDIRECT("Z_IN_16_"&amp;IDIOMA)</f>
        <v>Ensayo</v>
      </c>
      <c r="P24" s="283"/>
      <c r="Q24" s="283" t="str">
        <f ca="1">INDIRECT("Z_IN_14_"&amp;IDIOMA)</f>
        <v>Cloze</v>
      </c>
      <c r="R24" s="285"/>
      <c r="S24" s="9"/>
    </row>
    <row r="25" spans="1:19" ht="6" customHeight="1" thickBot="1" x14ac:dyDescent="0.3">
      <c r="B25" s="7"/>
      <c r="C25" s="298"/>
      <c r="D25" s="284"/>
      <c r="E25" s="284"/>
      <c r="F25" s="284"/>
      <c r="G25" s="284"/>
      <c r="H25" s="284"/>
      <c r="I25" s="284"/>
      <c r="J25" s="284"/>
      <c r="K25" s="284"/>
      <c r="L25" s="284"/>
      <c r="M25" s="284"/>
      <c r="N25" s="284"/>
      <c r="O25" s="284"/>
      <c r="P25" s="284"/>
      <c r="Q25" s="284"/>
      <c r="R25" s="286"/>
      <c r="S25" s="9"/>
    </row>
    <row r="26" spans="1:19" ht="15" customHeight="1" thickBot="1" x14ac:dyDescent="0.3">
      <c r="B26" s="7"/>
      <c r="C26" s="287" t="str">
        <f ca="1">'Datos OM'!G2&amp;" "&amp;INDIRECT("Z_IN_15_"&amp;IDIOMA)</f>
        <v>0 Preguntas</v>
      </c>
      <c r="D26" s="296"/>
      <c r="E26" s="287" t="str">
        <f ca="1">'Datos O2'!G2&amp;" "&amp;INDIRECT("Z_IN_15_"&amp;IDIOMA)</f>
        <v>0 Preguntas</v>
      </c>
      <c r="F26" s="288"/>
      <c r="G26" s="287" t="str">
        <f ca="1">'Datos VF'!G2&amp;" "&amp;INDIRECT("Z_IN_15_"&amp;IDIOMA)</f>
        <v>0 Preguntas</v>
      </c>
      <c r="H26" s="288"/>
      <c r="I26" s="287" t="str">
        <f ca="1">'Datos EM'!G2&amp;" "&amp;INDIRECT("Z_IN_15_"&amp;IDIOMA)</f>
        <v>0 Preguntas</v>
      </c>
      <c r="J26" s="296"/>
      <c r="K26" s="287" t="str">
        <f ca="1">'Datos RC'!G2&amp;" "&amp;INDIRECT("Z_IN_15_"&amp;IDIOMA)</f>
        <v>0 Preguntas</v>
      </c>
      <c r="L26" s="288"/>
      <c r="M26" s="287" t="str">
        <f ca="1">'Datos PP'!G2&amp;" "&amp;INDIRECT("Z_IN_15_"&amp;IDIOMA)</f>
        <v>0 Preguntas</v>
      </c>
      <c r="N26" s="288"/>
      <c r="O26" s="287" t="str">
        <f ca="1">'Datos EN'!G2&amp;" "&amp;INDIRECT("Z_IN_15_"&amp;IDIOMA)</f>
        <v>0 Preguntas</v>
      </c>
      <c r="P26" s="288"/>
      <c r="Q26" s="287" t="str">
        <f ca="1">'Datos CL'!G2&amp;" "&amp;INDIRECT("Z_IN_15_"&amp;IDIOMA)</f>
        <v>0 Preguntas</v>
      </c>
      <c r="R26" s="288"/>
      <c r="S26" s="9"/>
    </row>
    <row r="27" spans="1:19" ht="6" customHeight="1" x14ac:dyDescent="0.25">
      <c r="B27" s="7"/>
      <c r="C27" s="8"/>
      <c r="D27" s="273" t="str">
        <f ca="1">INDIRECT("Z_IN_07_"&amp;IDIOMA)</f>
        <v>Esta HOJA sirve para almacenar las preguntas y poder reutilizarlas cuando sea necesario, sin tener que volver a escribirlas para un nuevo BANCO DE PREGUNTAS.</v>
      </c>
      <c r="E27" s="273"/>
      <c r="F27" s="273"/>
      <c r="G27" s="273"/>
      <c r="H27" s="273"/>
      <c r="I27" s="273"/>
      <c r="J27" s="273"/>
      <c r="K27" s="273"/>
      <c r="L27" s="273"/>
      <c r="M27" s="273"/>
      <c r="N27" s="211"/>
      <c r="O27" s="10"/>
      <c r="P27" s="10"/>
      <c r="Q27" s="10"/>
      <c r="R27" s="10"/>
      <c r="S27" s="9"/>
    </row>
    <row r="28" spans="1:19" ht="15" customHeight="1" x14ac:dyDescent="0.25">
      <c r="B28" s="7"/>
      <c r="C28" s="8"/>
      <c r="D28" s="274"/>
      <c r="E28" s="274"/>
      <c r="F28" s="274"/>
      <c r="G28" s="274"/>
      <c r="H28" s="274"/>
      <c r="I28" s="274"/>
      <c r="J28" s="274"/>
      <c r="K28" s="274"/>
      <c r="L28" s="274"/>
      <c r="M28" s="274"/>
      <c r="N28" s="212"/>
      <c r="O28" s="198"/>
      <c r="P28" s="275"/>
      <c r="Q28" s="275"/>
      <c r="R28" s="275"/>
      <c r="S28" s="209"/>
    </row>
    <row r="29" spans="1:19" ht="6" customHeight="1" x14ac:dyDescent="0.25">
      <c r="B29" s="7"/>
      <c r="C29" s="8"/>
      <c r="D29" s="274"/>
      <c r="E29" s="274"/>
      <c r="F29" s="274"/>
      <c r="G29" s="274"/>
      <c r="H29" s="274"/>
      <c r="I29" s="274"/>
      <c r="J29" s="274"/>
      <c r="K29" s="274"/>
      <c r="L29" s="274"/>
      <c r="M29" s="274"/>
      <c r="N29" s="212"/>
      <c r="O29" s="198"/>
      <c r="P29" s="275"/>
      <c r="Q29" s="275"/>
      <c r="R29" s="275"/>
      <c r="S29" s="209"/>
    </row>
    <row r="30" spans="1:19" x14ac:dyDescent="0.25">
      <c r="B30" s="7"/>
      <c r="C30" s="8"/>
      <c r="D30" s="274"/>
      <c r="E30" s="274"/>
      <c r="F30" s="274"/>
      <c r="G30" s="274"/>
      <c r="H30" s="274"/>
      <c r="I30" s="274"/>
      <c r="J30" s="274"/>
      <c r="K30" s="274"/>
      <c r="L30" s="274"/>
      <c r="M30" s="274"/>
      <c r="N30" s="212"/>
      <c r="O30" s="198"/>
      <c r="P30" s="275"/>
      <c r="Q30" s="275"/>
      <c r="R30" s="275"/>
      <c r="S30" s="209"/>
    </row>
    <row r="31" spans="1:19" ht="6" customHeight="1" x14ac:dyDescent="0.25">
      <c r="B31" s="7"/>
      <c r="C31" s="8"/>
      <c r="D31" s="274"/>
      <c r="E31" s="274"/>
      <c r="F31" s="274"/>
      <c r="G31" s="274"/>
      <c r="H31" s="274"/>
      <c r="I31" s="274"/>
      <c r="J31" s="274"/>
      <c r="K31" s="274"/>
      <c r="L31" s="274"/>
      <c r="M31" s="274"/>
      <c r="N31" s="212"/>
      <c r="O31" s="198"/>
      <c r="P31" s="275"/>
      <c r="Q31" s="275"/>
      <c r="R31" s="275"/>
      <c r="S31" s="209"/>
    </row>
    <row r="32" spans="1:19" x14ac:dyDescent="0.25">
      <c r="B32" s="7"/>
      <c r="C32" s="8"/>
      <c r="D32" s="274"/>
      <c r="E32" s="274"/>
      <c r="F32" s="274"/>
      <c r="G32" s="274"/>
      <c r="H32" s="274"/>
      <c r="I32" s="274"/>
      <c r="J32" s="274"/>
      <c r="K32" s="274"/>
      <c r="L32" s="274"/>
      <c r="M32" s="274"/>
      <c r="N32" s="212"/>
      <c r="O32" s="198"/>
      <c r="P32" s="275"/>
      <c r="Q32" s="275"/>
      <c r="R32" s="275"/>
      <c r="S32" s="209"/>
    </row>
    <row r="33" spans="1:20" ht="6" customHeight="1" x14ac:dyDescent="0.25">
      <c r="B33" s="7"/>
      <c r="C33" s="8"/>
      <c r="D33" s="274"/>
      <c r="E33" s="274"/>
      <c r="F33" s="274"/>
      <c r="G33" s="274"/>
      <c r="H33" s="274"/>
      <c r="I33" s="274"/>
      <c r="J33" s="274"/>
      <c r="K33" s="274"/>
      <c r="L33" s="274"/>
      <c r="M33" s="274"/>
      <c r="N33" s="212"/>
      <c r="O33" s="198"/>
      <c r="P33" s="275"/>
      <c r="Q33" s="275"/>
      <c r="R33" s="275"/>
      <c r="S33" s="209"/>
    </row>
    <row r="34" spans="1:20" x14ac:dyDescent="0.25">
      <c r="B34" s="7"/>
      <c r="C34" s="8"/>
      <c r="D34" s="274"/>
      <c r="E34" s="274"/>
      <c r="F34" s="274"/>
      <c r="G34" s="274"/>
      <c r="H34" s="274"/>
      <c r="I34" s="274"/>
      <c r="J34" s="274"/>
      <c r="K34" s="274"/>
      <c r="L34" s="274"/>
      <c r="M34" s="274"/>
      <c r="N34" s="212"/>
      <c r="O34" s="198"/>
      <c r="P34" s="275"/>
      <c r="Q34" s="275"/>
      <c r="R34" s="275"/>
      <c r="S34" s="209"/>
    </row>
    <row r="35" spans="1:20" ht="9.9499999999999993" customHeight="1" thickBot="1" x14ac:dyDescent="0.3">
      <c r="B35" s="11"/>
      <c r="C35" s="12"/>
      <c r="D35" s="12"/>
      <c r="E35" s="12"/>
      <c r="F35" s="12"/>
      <c r="G35" s="12"/>
      <c r="H35" s="12"/>
      <c r="I35" s="12"/>
      <c r="J35" s="12"/>
      <c r="K35" s="12"/>
      <c r="L35" s="12"/>
      <c r="M35" s="93"/>
      <c r="N35" s="93"/>
      <c r="O35" s="93"/>
      <c r="P35" s="93"/>
      <c r="Q35" s="93"/>
      <c r="R35" s="93"/>
      <c r="S35" s="210"/>
    </row>
    <row r="36" spans="1:20" ht="15.75" thickTop="1" x14ac:dyDescent="0.25">
      <c r="B36" s="14"/>
      <c r="C36" s="14"/>
      <c r="D36" s="14"/>
      <c r="E36" s="13"/>
      <c r="F36" s="13"/>
      <c r="G36" s="13"/>
      <c r="H36" s="13"/>
      <c r="I36" s="13"/>
      <c r="J36" s="13"/>
      <c r="K36" s="13"/>
      <c r="L36" s="13"/>
      <c r="M36" s="13"/>
      <c r="N36" s="13"/>
      <c r="O36" s="13"/>
      <c r="P36" s="13"/>
      <c r="Q36" s="13"/>
      <c r="R36" s="13"/>
      <c r="S36" s="13"/>
      <c r="T36" s="13"/>
    </row>
    <row r="37" spans="1:20" x14ac:dyDescent="0.25">
      <c r="A37" s="65" t="str">
        <f>IFERROR(VLOOKUP(LANGUAGE,Tabla_ID[],2,0),"")</f>
        <v>S</v>
      </c>
    </row>
    <row r="38" spans="1:20" ht="15.75" thickBot="1" x14ac:dyDescent="0.3">
      <c r="A38" s="205" t="s">
        <v>389</v>
      </c>
      <c r="B38" s="206" t="s">
        <v>390</v>
      </c>
    </row>
    <row r="39" spans="1:20" x14ac:dyDescent="0.25">
      <c r="A39" s="66" t="s">
        <v>12</v>
      </c>
      <c r="B39" s="69" t="s">
        <v>13</v>
      </c>
    </row>
    <row r="40" spans="1:20" x14ac:dyDescent="0.25">
      <c r="A40" s="67" t="s">
        <v>19</v>
      </c>
      <c r="B40" s="70" t="s">
        <v>17</v>
      </c>
    </row>
    <row r="41" spans="1:20" x14ac:dyDescent="0.25">
      <c r="A41" s="67" t="s">
        <v>20</v>
      </c>
      <c r="B41" s="70" t="s">
        <v>15</v>
      </c>
    </row>
    <row r="42" spans="1:20" x14ac:dyDescent="0.25">
      <c r="A42" s="67" t="s">
        <v>21</v>
      </c>
      <c r="B42" s="70" t="s">
        <v>16</v>
      </c>
    </row>
    <row r="43" spans="1:20" x14ac:dyDescent="0.25">
      <c r="A43" s="67" t="s">
        <v>22</v>
      </c>
      <c r="B43" s="70" t="s">
        <v>14</v>
      </c>
    </row>
    <row r="44" spans="1:20" x14ac:dyDescent="0.25">
      <c r="A44" s="67" t="s">
        <v>23</v>
      </c>
      <c r="B44" s="70" t="s">
        <v>24</v>
      </c>
    </row>
    <row r="45" spans="1:20" ht="15.75" thickBot="1" x14ac:dyDescent="0.3">
      <c r="A45" s="68" t="str">
        <f>A17</f>
        <v>PERSONALIZAR DICCIONARIO</v>
      </c>
      <c r="B45" s="71" t="s">
        <v>388</v>
      </c>
    </row>
  </sheetData>
  <sheetProtection algorithmName="SHA-512" hashValue="Aj+Yi+u+TASOWz5Zmv1pXj4RGNawQhvlDKjHKTh+EHKBtY1CXtwrAglU3RYHFnlSdvPBtdvW30k74d320kO3zQ==" saltValue="sdTiNJ92oKnhvjpVkw03vg==" spinCount="100000" sheet="1" objects="1" scenarios="1" selectLockedCells="1"/>
  <mergeCells count="41">
    <mergeCell ref="P28:R29"/>
    <mergeCell ref="G26:H26"/>
    <mergeCell ref="I26:J26"/>
    <mergeCell ref="K26:L26"/>
    <mergeCell ref="C24:D25"/>
    <mergeCell ref="E24:F25"/>
    <mergeCell ref="G24:H25"/>
    <mergeCell ref="I24:J25"/>
    <mergeCell ref="K24:L25"/>
    <mergeCell ref="O24:P25"/>
    <mergeCell ref="M26:N26"/>
    <mergeCell ref="Q26:R26"/>
    <mergeCell ref="B1:S1"/>
    <mergeCell ref="C9:D9"/>
    <mergeCell ref="D11:R21"/>
    <mergeCell ref="C23:D23"/>
    <mergeCell ref="E23:F23"/>
    <mergeCell ref="G23:H23"/>
    <mergeCell ref="I23:J23"/>
    <mergeCell ref="K23:L23"/>
    <mergeCell ref="N5:O10"/>
    <mergeCell ref="F5:G10"/>
    <mergeCell ref="O26:P26"/>
    <mergeCell ref="C26:D26"/>
    <mergeCell ref="E26:F26"/>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
  <sheetViews>
    <sheetView showGridLines="0" showRowColHeaders="0" zoomScale="125" zoomScaleNormal="125" workbookViewId="0">
      <pane xSplit="6" ySplit="3" topLeftCell="X4"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"&amp;UPPER(INICIO!C24)&amp;"
"&amp;INDIRECT("Z_BP_03_"&amp;IDIOMA)</f>
        <v>FastTest PlugIn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t="str">
        <f>IF(COUNTIF(Tabla_OM[[#This Row],[Puntos 1]:[Puntos 6]],"&gt;0")=0,"",COUNTIF(Tabla_OM[[#This Row],[Puntos 1]:[Puntos 6]],"&gt;0"))</f>
        <v/>
      </c>
      <c r="B5" s="220" t="str">
        <f>IF(Tabla_OM[[#This Row],[NRC]]="","",COUNTA(Tabla_OM[[#This Row],[Respuesta 1]:[Respuesta 6]])-Tabla_OM[[#This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ouhYIMb4oB9269deauopRwZE0mr2Cd2asSKXUzpRiciL7Z4ago8au9UyVama1D9hAi98pCjnEZlnmng0eEHSZw==" saltValue="H2Xyle6i+VrTiUQPpsfJv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
  <sheetViews>
    <sheetView showGridLines="0" showRowColHeaders="0" zoomScale="125" zoomScaleNormal="125" workbookViewId="0">
      <pane xSplit="6" ySplit="3" topLeftCell="P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"&amp;UPPER(INICIO!E24)&amp;"
"&amp;INDIRECT("Z_BP_03_"&amp;IDIOMA)</f>
        <v>FastTest PlugIn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t="str">
        <f>IF(COUNTIF(Tabla_O2[[#This Row],[Puntos 1]:[Puntos 6]],"&gt;0")=0,"",COUNTIF(Tabla_O2[[#This Row],[Puntos 1]:[Puntos 6]],"&gt;0"))</f>
        <v/>
      </c>
      <c r="B5" s="220" t="str">
        <f>IF(Tabla_O2[[#This Row],[NRC]]="","",COUNTA(Tabla_O2[[#This Row],[Respuesta 1]:[Respuesta 6]])-Tabla_O2[[#This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ye4Z2ufBnxics0IuIFJ+yvl7VpvbFxz7qa5Au4B4m1Ty5DFQ7OLDg0vT+tzMrzp/DCNGBeZR0e/xaj8aSjYNBQ==" saltValue="L634xcAkHiYDxia2eKcvA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
  <sheetViews>
    <sheetView showGridLines="0" showRowColHeaders="0" zoomScale="125" zoomScaleNormal="125" workbookViewId="0">
      <pane xSplit="6" ySplit="3" topLeftCell="I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0</v>
      </c>
    </row>
    <row r="3" spans="1:35" s="15" customFormat="1" ht="50.1" customHeight="1" x14ac:dyDescent="0.25">
      <c r="A3" s="260"/>
      <c r="B3" s="260"/>
      <c r="C3" s="110"/>
      <c r="D3" s="36"/>
      <c r="E3" s="37" t="str">
        <f ca="1">INDIRECT("Z_BP_04_"&amp;IDIOMA)</f>
        <v>Descripción</v>
      </c>
      <c r="F3" s="64" t="str">
        <f ca="1">"FastTest PlugIn - "&amp;UPPER(INICIO!G24)&amp;"
"&amp;INDIRECT("Z_BP_03_"&amp;IDIOMA)</f>
        <v>FastTest PlugIn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60" t="s">
        <v>379</v>
      </c>
      <c r="B4" s="260"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1"/>
      <c r="B5" s="261"/>
      <c r="D5" s="48"/>
      <c r="E5" s="106"/>
      <c r="F5" s="105"/>
      <c r="G5" s="27"/>
      <c r="H5" s="50"/>
      <c r="I5" s="51"/>
      <c r="J5" s="52"/>
      <c r="K5" s="53"/>
      <c r="L5" s="54"/>
      <c r="M5" s="49"/>
      <c r="N5" s="50"/>
      <c r="O5" s="51"/>
      <c r="P5" s="52"/>
      <c r="Q5" s="53"/>
      <c r="R5" s="54"/>
      <c r="S5" s="54"/>
      <c r="T5" s="54"/>
      <c r="U5" s="54"/>
      <c r="V5" s="54"/>
      <c r="W5" s="54"/>
      <c r="X5" s="54"/>
      <c r="Y5" s="54"/>
      <c r="Z5" s="54"/>
      <c r="AA5" s="54"/>
      <c r="AB5" s="54"/>
      <c r="AC5" s="54"/>
      <c r="AD5" s="54"/>
      <c r="AE5" s="55"/>
      <c r="AF5" s="56"/>
      <c r="AG5" s="57"/>
      <c r="AH5" s="58"/>
      <c r="AI5" s="95"/>
    </row>
  </sheetData>
  <sheetProtection algorithmName="SHA-512" hashValue="yevwzehKKLKnIGOInTzHGGGRxBF3OanDcsSSbwFKjBBnKnpEsbz83a2D3nkqEu69y4gRMQPW7Tt19593JtQF2w==" saltValue="DNEg2m5yEpBxWopGG/5ih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0</v>
      </c>
    </row>
    <row r="3" spans="1:35" s="15" customFormat="1" ht="50.1" customHeight="1" x14ac:dyDescent="0.25">
      <c r="A3" s="89" t="str">
        <f ca="1">INDIRECT("Z_BP_17_"&amp;IDIOMA)</f>
        <v xml:space="preserve">Pareja </v>
      </c>
      <c r="B3" s="2"/>
      <c r="C3" s="33"/>
      <c r="D3" s="33"/>
      <c r="E3" s="37" t="str">
        <f ca="1">'Datos OM'!E3</f>
        <v>Descripción</v>
      </c>
      <c r="F3" s="64" t="str">
        <f ca="1">"FastTest PlugIn - "&amp;UPPER(INICIO!I24)&amp;"
"&amp;INDIRECT("Z_BP_03_"&amp;IDIOMA)</f>
        <v>FastTest PlugIn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2" t="s">
        <v>323</v>
      </c>
      <c r="H4" s="222" t="s">
        <v>324</v>
      </c>
      <c r="I4" s="223" t="s">
        <v>325</v>
      </c>
      <c r="J4" s="223" t="s">
        <v>326</v>
      </c>
      <c r="K4" s="224" t="s">
        <v>327</v>
      </c>
      <c r="L4" s="224" t="s">
        <v>328</v>
      </c>
      <c r="M4" s="225" t="s">
        <v>329</v>
      </c>
      <c r="N4" s="225" t="s">
        <v>330</v>
      </c>
      <c r="O4" s="226" t="s">
        <v>331</v>
      </c>
      <c r="P4" s="226" t="s">
        <v>332</v>
      </c>
      <c r="Q4" s="227" t="s">
        <v>333</v>
      </c>
      <c r="R4" s="227" t="s">
        <v>334</v>
      </c>
      <c r="S4" s="222" t="s">
        <v>335</v>
      </c>
      <c r="T4" s="222" t="s">
        <v>336</v>
      </c>
      <c r="U4" s="223" t="s">
        <v>337</v>
      </c>
      <c r="V4" s="223" t="s">
        <v>338</v>
      </c>
      <c r="W4" s="224" t="s">
        <v>339</v>
      </c>
      <c r="X4" s="224" t="s">
        <v>340</v>
      </c>
      <c r="Y4" s="225" t="s">
        <v>341</v>
      </c>
      <c r="Z4" s="225" t="s">
        <v>342</v>
      </c>
      <c r="AA4" s="226" t="s">
        <v>343</v>
      </c>
      <c r="AB4" s="226" t="s">
        <v>344</v>
      </c>
      <c r="AC4" s="227" t="s">
        <v>345</v>
      </c>
      <c r="AD4" s="227" t="s">
        <v>346</v>
      </c>
      <c r="AE4" s="228" t="s">
        <v>275</v>
      </c>
      <c r="AF4" s="229" t="s">
        <v>276</v>
      </c>
      <c r="AG4" s="230" t="s">
        <v>277</v>
      </c>
      <c r="AH4" s="231" t="s">
        <v>278</v>
      </c>
      <c r="AI4" s="94" t="s">
        <v>279</v>
      </c>
    </row>
    <row r="5" spans="1:35" s="1" customFormat="1" x14ac:dyDescent="0.25">
      <c r="A5" s="90" t="str">
        <f>IF(COUNTA(Tabla_EM[[#This Row],[Pareja  01.1]:[Pareja  12.14]])/2=0,"",COUNTA(Tabla_EM[[#This Row],[Pareja  01.1]:[Pareja  12.14]])/2)</f>
        <v/>
      </c>
      <c r="B5" s="262"/>
      <c r="D5" s="48"/>
      <c r="E5" s="106"/>
      <c r="F5" s="105"/>
      <c r="G5" s="119"/>
      <c r="H5" s="119"/>
      <c r="I5" s="120"/>
      <c r="J5" s="120"/>
      <c r="K5" s="121"/>
      <c r="L5" s="121"/>
      <c r="M5" s="122"/>
      <c r="N5" s="122"/>
      <c r="O5" s="123"/>
      <c r="P5" s="123"/>
      <c r="Q5" s="124"/>
      <c r="R5" s="124"/>
      <c r="S5" s="119"/>
      <c r="T5" s="119"/>
      <c r="U5" s="120"/>
      <c r="V5" s="120"/>
      <c r="W5" s="121"/>
      <c r="X5" s="121"/>
      <c r="Y5" s="122"/>
      <c r="Z5" s="122"/>
      <c r="AA5" s="123"/>
      <c r="AB5" s="123"/>
      <c r="AC5" s="124"/>
      <c r="AD5" s="124"/>
      <c r="AE5" s="55"/>
      <c r="AF5" s="56"/>
      <c r="AG5" s="57"/>
      <c r="AH5" s="58" t="s">
        <v>449</v>
      </c>
      <c r="AI5" s="118"/>
    </row>
  </sheetData>
  <sheetProtection algorithmName="SHA-512" hashValue="QVz/RfopdLDsYn38oyFRKm/MYm0gZjwzfo8oA4g4fxz/EMnKjcC45xxFpTITwXJZ05lbXDiy9rt/m4i0zIsgJA==" saltValue="4BeaBc7UsbBDw1ibH/MhG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0</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34"/>
      <c r="C5" s="35"/>
      <c r="D5" s="130"/>
      <c r="E5" s="106"/>
      <c r="F5" s="105"/>
      <c r="G5" s="119"/>
      <c r="H5" s="145"/>
      <c r="I5" s="145"/>
      <c r="J5" s="120"/>
      <c r="K5" s="146"/>
      <c r="L5" s="146"/>
      <c r="M5" s="120"/>
      <c r="N5" s="146"/>
      <c r="O5" s="146"/>
      <c r="P5" s="122"/>
      <c r="Q5" s="147"/>
      <c r="R5" s="147"/>
      <c r="S5" s="123"/>
      <c r="T5" s="148"/>
      <c r="U5" s="148"/>
      <c r="V5" s="124"/>
      <c r="W5" s="149"/>
      <c r="X5" s="149"/>
      <c r="Y5" s="119"/>
      <c r="Z5" s="145"/>
      <c r="AA5" s="145"/>
      <c r="AB5" s="120"/>
      <c r="AC5" s="146"/>
      <c r="AD5" s="146"/>
      <c r="AE5" s="125"/>
      <c r="AF5" s="126"/>
      <c r="AG5" s="127"/>
      <c r="AH5" s="128"/>
      <c r="AI5" s="118"/>
    </row>
  </sheetData>
  <sheetProtection algorithmName="SHA-512" hashValue="S0ce8iTNCRHnesRWF0wHhe3EQHYgnN4JlWDEB3CVNFfHmHIYLggDbaBXzHwWQUq/pPhvvVaDBWML93U1kYwr2Q==" saltValue="vTHH3jfFYQU24h1+lKAAN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0</v>
      </c>
    </row>
    <row r="3" spans="1:35" s="15" customFormat="1" ht="50.1" customHeight="1" x14ac:dyDescent="0.25">
      <c r="A3" s="92" t="str">
        <f ca="1">INDIRECT("Z_BP_20_"&amp;IDIOMA)</f>
        <v xml:space="preserve">Palabra </v>
      </c>
      <c r="B3" s="2"/>
      <c r="C3" s="33"/>
      <c r="D3" s="33"/>
      <c r="E3" s="20" t="str">
        <f ca="1">'Datos OM'!E3</f>
        <v>Descripción</v>
      </c>
      <c r="F3" s="64" t="str">
        <f ca="1">"FastTest PlugIn - "&amp;UPPER(INICIO!M24)&amp;"
"&amp;INDIRECT("Z_BP_03_"&amp;IDIOMA)</f>
        <v>FastTest PlugIn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37.5" hidden="1" x14ac:dyDescent="0.25">
      <c r="A4" s="166" t="s">
        <v>181</v>
      </c>
      <c r="B4" s="263"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x14ac:dyDescent="0.25">
      <c r="A5" s="90" t="str">
        <f>IF(COUNTA(Tabla_PP[[#This Row],[GP 01]:[P 12]])/2=0,"",COUNTA(Tabla_PP[[#This Row],[GP 01]:[P 12]])/2)</f>
        <v/>
      </c>
      <c r="B5" s="20"/>
      <c r="C5" s="232"/>
      <c r="D5" s="232"/>
      <c r="E5" s="170"/>
      <c r="F5" s="221"/>
      <c r="G5" s="27"/>
      <c r="H5" s="27"/>
      <c r="I5" s="28"/>
      <c r="J5" s="28"/>
      <c r="K5" s="27"/>
      <c r="L5" s="27"/>
      <c r="M5" s="28"/>
      <c r="N5" s="28"/>
      <c r="O5" s="27"/>
      <c r="P5" s="27"/>
      <c r="Q5" s="28"/>
      <c r="R5" s="28"/>
      <c r="S5" s="27"/>
      <c r="T5" s="27"/>
      <c r="U5" s="28"/>
      <c r="V5" s="28"/>
      <c r="W5" s="27"/>
      <c r="X5" s="27"/>
      <c r="Y5" s="28"/>
      <c r="Z5" s="28"/>
      <c r="AA5" s="27"/>
      <c r="AB5" s="27"/>
      <c r="AC5" s="28"/>
      <c r="AD5" s="28"/>
      <c r="AE5" s="233"/>
      <c r="AF5" s="234"/>
      <c r="AG5" s="235"/>
      <c r="AH5" s="236"/>
      <c r="AI5" s="118"/>
    </row>
  </sheetData>
  <sheetProtection algorithmName="SHA-512" hashValue="a9azfx3G8pSVILJqZDySBvTVaX43C+fNsh9y09SWfArWnI+RAG9hUPhOKu/j4/xWC67ir1sl11yIg9z+vX3CLQ==" saltValue="Sojxw5cC1AgFemxg0eUa+Q=="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0</v>
      </c>
    </row>
    <row r="3" spans="1:35" s="15" customFormat="1" ht="50.1" customHeight="1" x14ac:dyDescent="0.25">
      <c r="A3" s="264"/>
      <c r="B3" s="2"/>
      <c r="C3" s="33"/>
      <c r="D3" s="33"/>
      <c r="E3" s="20" t="str">
        <f ca="1">'Datos OM'!E3</f>
        <v>Descripción</v>
      </c>
      <c r="F3" s="64" t="str">
        <f ca="1">"FastTest PlugIn - "&amp;UPPER(INICIO!O24)&amp;"
"&amp;INDIRECT("Z_BP_03_"&amp;IDIOMA)</f>
        <v>FastTest PlugIn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5" t="s">
        <v>379</v>
      </c>
      <c r="B4" s="262"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x14ac:dyDescent="0.25">
      <c r="A5" s="266"/>
      <c r="B5" s="267"/>
      <c r="C5" s="232"/>
      <c r="D5" s="232"/>
      <c r="E5" s="170"/>
      <c r="F5" s="221"/>
      <c r="G5" s="183"/>
      <c r="H5" s="50"/>
      <c r="I5" s="29"/>
      <c r="J5" s="184"/>
      <c r="K5" s="185"/>
      <c r="L5" s="186"/>
      <c r="M5" s="183"/>
      <c r="N5" s="237"/>
      <c r="O5" s="238"/>
      <c r="P5" s="238"/>
      <c r="Q5" s="237"/>
      <c r="R5" s="237"/>
      <c r="S5" s="238"/>
      <c r="T5" s="238"/>
      <c r="U5" s="237"/>
      <c r="V5" s="237"/>
      <c r="W5" s="238"/>
      <c r="X5" s="238"/>
      <c r="Y5" s="237"/>
      <c r="Z5" s="237"/>
      <c r="AA5" s="238"/>
      <c r="AB5" s="238"/>
      <c r="AC5" s="237"/>
      <c r="AD5" s="237"/>
      <c r="AE5" s="239"/>
      <c r="AF5" s="240"/>
      <c r="AG5" s="241"/>
      <c r="AH5" s="242"/>
      <c r="AI5" s="118"/>
    </row>
  </sheetData>
  <sheetProtection algorithmName="SHA-512" hashValue="qW9B/aQx15LEqkS+Ypxg2Xto9/ebAka2AP2px5WN9WH/u67mXOJZd3vodrxIj95GGptT0LS/7IjF6/g28qHBYQ==" saltValue="ACcZLtrUCvCDgSAYERJqsA==" spinCount="100000" sheet="1" objects="1" scenarios="1" selectLockedCells="1"/>
  <conditionalFormatting sqref="G5:K5">
    <cfRule type="cellIs" dxfId="1" priority="3" operator="equal">
      <formula>""</formula>
    </cfRule>
    <cfRule type="cellIs" dxfId="0"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0</v>
      </c>
    </row>
    <row r="3" spans="1:35" s="15" customFormat="1" ht="50.1" customHeight="1" x14ac:dyDescent="0.25">
      <c r="A3" s="264"/>
      <c r="B3" s="2"/>
      <c r="C3" s="33"/>
      <c r="D3" s="33"/>
      <c r="E3" s="37" t="str">
        <f ca="1">'Datos OM'!E3</f>
        <v>Descripción</v>
      </c>
      <c r="F3" s="64" t="str">
        <f ca="1">"FastTest PlugIn - "&amp;UPPER(INICIO!Q24)&amp;"
"&amp;INDIRECT("Z_BP_03_"&amp;IDIOMA)</f>
        <v>FastTest PlugIn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8" t="s">
        <v>298</v>
      </c>
      <c r="D4" s="248" t="s">
        <v>299</v>
      </c>
      <c r="E4" s="37" t="s">
        <v>411</v>
      </c>
      <c r="F4" s="249" t="s">
        <v>412</v>
      </c>
      <c r="G4" s="250"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1" t="s">
        <v>275</v>
      </c>
      <c r="AF4" s="252" t="s">
        <v>276</v>
      </c>
      <c r="AG4" s="253" t="s">
        <v>277</v>
      </c>
      <c r="AH4" s="254" t="s">
        <v>278</v>
      </c>
      <c r="AI4" s="94" t="s">
        <v>279</v>
      </c>
    </row>
    <row r="5" spans="1:35" s="1" customFormat="1" x14ac:dyDescent="0.25">
      <c r="A5" s="266"/>
      <c r="B5" s="267"/>
      <c r="C5" s="232"/>
      <c r="D5" s="232"/>
      <c r="E5" s="106"/>
      <c r="F5" s="221"/>
      <c r="G5" s="243"/>
      <c r="H5" s="50"/>
      <c r="I5" s="29"/>
      <c r="J5" s="184"/>
      <c r="K5" s="185"/>
      <c r="L5" s="186"/>
      <c r="M5" s="183"/>
      <c r="N5" s="237"/>
      <c r="O5" s="238"/>
      <c r="P5" s="238"/>
      <c r="Q5" s="237"/>
      <c r="R5" s="237"/>
      <c r="S5" s="238"/>
      <c r="T5" s="238"/>
      <c r="U5" s="237"/>
      <c r="V5" s="237"/>
      <c r="W5" s="238"/>
      <c r="X5" s="238"/>
      <c r="Y5" s="237"/>
      <c r="Z5" s="237"/>
      <c r="AA5" s="238"/>
      <c r="AB5" s="238"/>
      <c r="AC5" s="237"/>
      <c r="AD5" s="237"/>
      <c r="AE5" s="244"/>
      <c r="AF5" s="245"/>
      <c r="AG5" s="246"/>
      <c r="AH5" s="247"/>
      <c r="AI5" s="118"/>
    </row>
  </sheetData>
  <sheetProtection algorithmName="SHA-512" hashValue="HPhC4Oea8my50Nu+LQLvaRyLBnqVnf/A4GeFllOucjO6Kh95tfqdXGPl6S2IJrMPWU1cObUry9f3XqKHeKQO3Q==" saltValue="9BeH2V0Xn3+e15dXzXvDBg==" spinCount="100000" sheet="1" objects="1" scenarios="1" selectLockedCells="1"/>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3" sqref="D3"/>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04" t="s">
        <v>18</v>
      </c>
      <c r="B1" s="72"/>
      <c r="C1" s="73"/>
      <c r="D1" s="207" t="str">
        <f ca="1">INDIRECT("Z_IN_00_"&amp;IDIOMA)</f>
        <v>INICIO</v>
      </c>
      <c r="E1" s="213" t="str">
        <f>LANGUAGE</f>
        <v>ESPAÑOL</v>
      </c>
      <c r="F1" s="74" t="s">
        <v>12</v>
      </c>
      <c r="G1" s="74" t="s">
        <v>19</v>
      </c>
      <c r="H1" s="74" t="s">
        <v>20</v>
      </c>
      <c r="I1" s="74" t="s">
        <v>21</v>
      </c>
      <c r="J1" s="74" t="s">
        <v>22</v>
      </c>
      <c r="K1" s="74" t="s">
        <v>23</v>
      </c>
    </row>
    <row r="2" spans="1:13" ht="30" customHeight="1" thickBot="1" x14ac:dyDescent="0.3">
      <c r="A2" s="204" t="s">
        <v>24</v>
      </c>
      <c r="B2" s="72"/>
      <c r="C2" s="72"/>
      <c r="D2" s="208" t="str">
        <f>"LINK "&amp;INICIO!A45</f>
        <v>LINK PERSONALIZAR DICCIONARIO</v>
      </c>
      <c r="E2" s="214" t="str">
        <f>IFERROR(INDEX(F2:K20,1,MATCH(E1,F20:K20,0)),IDIOMA)</f>
        <v>S</v>
      </c>
      <c r="F2" s="75" t="s">
        <v>13</v>
      </c>
      <c r="G2" s="75" t="s">
        <v>17</v>
      </c>
      <c r="H2" s="75" t="s">
        <v>15</v>
      </c>
      <c r="I2" s="75" t="s">
        <v>16</v>
      </c>
      <c r="J2" s="75" t="s">
        <v>14</v>
      </c>
      <c r="K2" s="75" t="s">
        <v>24</v>
      </c>
    </row>
    <row r="3" spans="1:13" ht="15.75" thickBot="1" x14ac:dyDescent="0.3">
      <c r="A3" s="74" t="str">
        <f t="shared" ref="A3:A44" si="0">$A$1&amp;B3&amp;"_"&amp;C3&amp;"_"&amp;$A$2</f>
        <v>Z_IN_00_D</v>
      </c>
      <c r="B3" s="77" t="s">
        <v>25</v>
      </c>
      <c r="C3" s="78" t="s">
        <v>26</v>
      </c>
      <c r="D3" s="256"/>
      <c r="E3" s="215" t="str">
        <f>IFERROR(IF(D3&lt;&gt;"",D3,HLOOKUP($E$2,$F$2:K3,ROW(D3)-1,0)),F3)</f>
        <v>INICIO</v>
      </c>
      <c r="F3" s="215" t="s">
        <v>11</v>
      </c>
      <c r="G3" s="215" t="s">
        <v>27</v>
      </c>
      <c r="H3" s="215" t="s">
        <v>28</v>
      </c>
      <c r="I3" s="215" t="s">
        <v>29</v>
      </c>
      <c r="J3" s="215" t="s">
        <v>27</v>
      </c>
      <c r="K3" s="215" t="s">
        <v>30</v>
      </c>
      <c r="L3" s="76" t="s">
        <v>31</v>
      </c>
    </row>
    <row r="4" spans="1:13" outlineLevel="1" x14ac:dyDescent="0.25">
      <c r="A4" s="74" t="str">
        <f t="shared" si="0"/>
        <v>Z_IN_01_D</v>
      </c>
      <c r="B4" s="200" t="str">
        <f t="shared" ref="B4:B20" si="1">B3</f>
        <v>IN</v>
      </c>
      <c r="C4" s="201" t="s">
        <v>32</v>
      </c>
      <c r="D4" s="257"/>
      <c r="E4" s="218" t="str">
        <f>IFERROR(IF(D4&lt;&gt;"",D4,HLOOKUP($E$2,$F$2:K4,ROW(D4)-1,0)),F4)</f>
        <v>CANAL YOUTUBE</v>
      </c>
      <c r="F4" s="216" t="s">
        <v>403</v>
      </c>
      <c r="G4" s="216" t="s">
        <v>404</v>
      </c>
      <c r="H4" s="216" t="s">
        <v>405</v>
      </c>
      <c r="I4" s="216" t="s">
        <v>406</v>
      </c>
      <c r="J4" s="216" t="s">
        <v>407</v>
      </c>
      <c r="K4" s="216" t="s">
        <v>408</v>
      </c>
      <c r="L4" s="76"/>
      <c r="M4" t="s">
        <v>31</v>
      </c>
    </row>
    <row r="5" spans="1:13" outlineLevel="1" x14ac:dyDescent="0.25">
      <c r="A5" s="74" t="str">
        <f t="shared" si="0"/>
        <v>Z_IN_02_D</v>
      </c>
      <c r="B5" s="202" t="str">
        <f t="shared" si="1"/>
        <v>IN</v>
      </c>
      <c r="C5" s="203" t="s">
        <v>33</v>
      </c>
      <c r="D5" s="258"/>
      <c r="E5" s="217" t="str">
        <f>IFERROR(IF(D5&lt;&gt;"",D5,HLOOKUP($E$2,$F$2:K5,ROW(D5)-1,0)),F5)</f>
        <v>NO FUNCIONA CON
VERSIONES DE EXCEL 
ANTERIORES A 2007
NI CON LA ÚLTIMA ACTUALIZACIÓN DE MAC</v>
      </c>
      <c r="F5" s="217" t="s">
        <v>34</v>
      </c>
      <c r="G5" s="217" t="s">
        <v>35</v>
      </c>
      <c r="H5" s="217" t="s">
        <v>36</v>
      </c>
      <c r="I5" s="217" t="s">
        <v>37</v>
      </c>
      <c r="J5" s="217" t="s">
        <v>38</v>
      </c>
      <c r="K5" s="217" t="s">
        <v>39</v>
      </c>
      <c r="L5" s="76" t="s">
        <v>31</v>
      </c>
    </row>
    <row r="6" spans="1:13" outlineLevel="1" x14ac:dyDescent="0.25">
      <c r="A6" s="74" t="str">
        <f t="shared" si="0"/>
        <v>Z_IN_03_D</v>
      </c>
      <c r="B6" s="200" t="str">
        <f t="shared" si="1"/>
        <v>IN</v>
      </c>
      <c r="C6" s="201" t="s">
        <v>40</v>
      </c>
      <c r="D6" s="257"/>
      <c r="E6" s="216" t="str">
        <f>IFERROR(IF(D6&lt;&gt;"",D6,HLOOKUP($E$2,$F$2:K6,ROW(D6)-1,0)),F6)</f>
        <v>LEER CON ATENCIÓN</v>
      </c>
      <c r="F6" s="216" t="s">
        <v>2</v>
      </c>
      <c r="G6" s="216" t="s">
        <v>41</v>
      </c>
      <c r="H6" s="216" t="s">
        <v>42</v>
      </c>
      <c r="I6" s="216" t="s">
        <v>43</v>
      </c>
      <c r="J6" s="216" t="s">
        <v>44</v>
      </c>
      <c r="K6" s="216" t="s">
        <v>45</v>
      </c>
      <c r="L6" s="76" t="s">
        <v>31</v>
      </c>
    </row>
    <row r="7" spans="1:13" outlineLevel="1" x14ac:dyDescent="0.25">
      <c r="A7" s="74" t="str">
        <f t="shared" si="0"/>
        <v>Z_IN_04_D</v>
      </c>
      <c r="B7" s="202" t="str">
        <f t="shared" si="1"/>
        <v>IN</v>
      </c>
      <c r="C7" s="203" t="s">
        <v>46</v>
      </c>
      <c r="D7" s="258"/>
      <c r="E7" s="217" t="str">
        <f>IFERROR(IF(D7&lt;&gt;"",D7,HLOOKUP($E$2,$F$2:K7,ROW(D7)-1,0)),F7)</f>
        <v>Esta Aplicación ha sido desarrollada, en la primera versión, por:</v>
      </c>
      <c r="F7" s="217" t="s">
        <v>4</v>
      </c>
      <c r="G7" s="217" t="s">
        <v>47</v>
      </c>
      <c r="H7" s="217" t="s">
        <v>48</v>
      </c>
      <c r="I7" s="217" t="s">
        <v>49</v>
      </c>
      <c r="J7" s="217" t="s">
        <v>50</v>
      </c>
      <c r="K7" s="217" t="s">
        <v>51</v>
      </c>
      <c r="L7" s="76" t="s">
        <v>31</v>
      </c>
    </row>
    <row r="8" spans="1:13" outlineLevel="1" x14ac:dyDescent="0.25">
      <c r="A8" s="74" t="str">
        <f t="shared" si="0"/>
        <v>Z_IN_05_D</v>
      </c>
      <c r="B8" s="200" t="str">
        <f t="shared" si="1"/>
        <v>IN</v>
      </c>
      <c r="C8" s="201" t="s">
        <v>52</v>
      </c>
      <c r="D8" s="257"/>
      <c r="E8" s="216" t="str">
        <f>IFERROR(IF(D8&lt;&gt;"",D8,HLOOKUP($E$2,$F$2:K8,ROW(D8)-1,0)),F8)</f>
        <v>Universidad de Cádiz</v>
      </c>
      <c r="F8" s="216" t="s">
        <v>1</v>
      </c>
      <c r="G8" s="216" t="s">
        <v>53</v>
      </c>
      <c r="H8" s="216" t="s">
        <v>54</v>
      </c>
      <c r="I8" s="216" t="s">
        <v>55</v>
      </c>
      <c r="J8" s="216" t="s">
        <v>56</v>
      </c>
      <c r="K8" s="216" t="s">
        <v>57</v>
      </c>
      <c r="L8" s="76" t="s">
        <v>31</v>
      </c>
    </row>
    <row r="9" spans="1:13" outlineLevel="1" x14ac:dyDescent="0.25">
      <c r="A9" s="74" t="str">
        <f t="shared" si="0"/>
        <v>Z_IN_06_D</v>
      </c>
      <c r="B9" s="202" t="str">
        <f t="shared" si="1"/>
        <v>IN</v>
      </c>
      <c r="C9" s="203" t="s">
        <v>58</v>
      </c>
      <c r="D9" s="258"/>
      <c r="E9" s="217"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7" t="s">
        <v>59</v>
      </c>
      <c r="G9" s="217" t="s">
        <v>60</v>
      </c>
      <c r="H9" s="217" t="s">
        <v>61</v>
      </c>
      <c r="I9" s="217" t="s">
        <v>62</v>
      </c>
      <c r="J9" s="217" t="s">
        <v>63</v>
      </c>
      <c r="K9" s="217" t="s">
        <v>64</v>
      </c>
      <c r="L9" s="76" t="s">
        <v>31</v>
      </c>
    </row>
    <row r="10" spans="1:13" outlineLevel="1" x14ac:dyDescent="0.25">
      <c r="A10" s="74" t="str">
        <f t="shared" si="0"/>
        <v>Z_IN_07_D</v>
      </c>
      <c r="B10" s="200" t="str">
        <f t="shared" si="1"/>
        <v>IN</v>
      </c>
      <c r="C10" s="201" t="s">
        <v>65</v>
      </c>
      <c r="D10" s="257"/>
      <c r="E10" s="216" t="str">
        <f>IFERROR(IF(D10&lt;&gt;"",D10,HLOOKUP($E$2,$F$2:K10,ROW(D10)-1,0)),F10)</f>
        <v>Esta HOJA sirve para almacenar las preguntas y poder reutilizarlas cuando sea necesario, sin tener que volver a escribirlas para un nuevo BANCO DE PREGUNTAS.</v>
      </c>
      <c r="F10" s="216" t="s">
        <v>381</v>
      </c>
      <c r="G10" s="216" t="s">
        <v>382</v>
      </c>
      <c r="H10" s="216" t="s">
        <v>383</v>
      </c>
      <c r="I10" s="216" t="s">
        <v>384</v>
      </c>
      <c r="J10" s="216" t="s">
        <v>385</v>
      </c>
      <c r="K10" s="216" t="s">
        <v>386</v>
      </c>
      <c r="L10" s="76" t="s">
        <v>31</v>
      </c>
    </row>
    <row r="11" spans="1:13" outlineLevel="1" x14ac:dyDescent="0.25">
      <c r="A11" s="74" t="str">
        <f t="shared" si="0"/>
        <v>Z_IN_08_D</v>
      </c>
      <c r="B11" s="202" t="str">
        <f t="shared" si="1"/>
        <v>IN</v>
      </c>
      <c r="C11" s="203" t="s">
        <v>66</v>
      </c>
      <c r="D11" s="258"/>
      <c r="E11" s="217" t="str">
        <f>IFERROR(IF(D11&lt;&gt;"",D11,HLOOKUP($E$2,$F$2:K11,ROW(D11)-1,0)),F11)</f>
        <v xml:space="preserve">Opción Múltiple 1R </v>
      </c>
      <c r="F11" s="217" t="s">
        <v>67</v>
      </c>
      <c r="G11" s="217" t="s">
        <v>450</v>
      </c>
      <c r="H11" s="217" t="s">
        <v>68</v>
      </c>
      <c r="I11" s="217" t="s">
        <v>69</v>
      </c>
      <c r="J11" s="217" t="s">
        <v>451</v>
      </c>
      <c r="K11" s="217" t="s">
        <v>450</v>
      </c>
      <c r="L11" s="76" t="s">
        <v>31</v>
      </c>
    </row>
    <row r="12" spans="1:13" outlineLevel="1" x14ac:dyDescent="0.25">
      <c r="A12" s="74" t="str">
        <f t="shared" si="0"/>
        <v>Z_IN_09_D</v>
      </c>
      <c r="B12" s="200" t="str">
        <f t="shared" si="1"/>
        <v>IN</v>
      </c>
      <c r="C12" s="201" t="s">
        <v>70</v>
      </c>
      <c r="D12" s="257"/>
      <c r="E12" s="216" t="str">
        <f>IFERROR(IF(D12&lt;&gt;"",D12,HLOOKUP($E$2,$F$2:K12,ROW(D12)-1,0)),F12)</f>
        <v xml:space="preserve">Opción Múltiple +R </v>
      </c>
      <c r="F12" s="216" t="s">
        <v>452</v>
      </c>
      <c r="G12" s="216" t="s">
        <v>453</v>
      </c>
      <c r="H12" s="216" t="s">
        <v>454</v>
      </c>
      <c r="I12" s="216" t="s">
        <v>455</v>
      </c>
      <c r="J12" s="216" t="s">
        <v>456</v>
      </c>
      <c r="K12" s="216" t="s">
        <v>457</v>
      </c>
      <c r="L12" s="76" t="s">
        <v>31</v>
      </c>
    </row>
    <row r="13" spans="1:13" outlineLevel="1" x14ac:dyDescent="0.25">
      <c r="A13" s="74" t="str">
        <f t="shared" si="0"/>
        <v>Z_IN_10_D</v>
      </c>
      <c r="B13" s="202" t="str">
        <f t="shared" si="1"/>
        <v>IN</v>
      </c>
      <c r="C13" s="203" t="s">
        <v>71</v>
      </c>
      <c r="D13" s="258"/>
      <c r="E13" s="217" t="str">
        <f>IFERROR(IF(D13&lt;&gt;"",D13,HLOOKUP($E$2,$F$2:K13,ROW(D13)-1,0)),F13)</f>
        <v>Verdadero/Falso</v>
      </c>
      <c r="F13" s="217" t="s">
        <v>458</v>
      </c>
      <c r="G13" s="217" t="s">
        <v>459</v>
      </c>
      <c r="H13" s="217" t="s">
        <v>460</v>
      </c>
      <c r="I13" s="217" t="s">
        <v>461</v>
      </c>
      <c r="J13" s="217" t="s">
        <v>462</v>
      </c>
      <c r="K13" s="217" t="s">
        <v>463</v>
      </c>
      <c r="L13" s="76" t="s">
        <v>31</v>
      </c>
    </row>
    <row r="14" spans="1:13" outlineLevel="1" x14ac:dyDescent="0.25">
      <c r="A14" s="74" t="str">
        <f t="shared" si="0"/>
        <v>Z_IN_11_D</v>
      </c>
      <c r="B14" s="200" t="str">
        <f t="shared" si="1"/>
        <v>IN</v>
      </c>
      <c r="C14" s="201" t="s">
        <v>72</v>
      </c>
      <c r="D14" s="257"/>
      <c r="E14" s="216" t="str">
        <f>IFERROR(IF(D14&lt;&gt;"",D14,HLOOKUP($E$2,$F$2:K14,ROW(D14)-1,0)),F14)</f>
        <v>Emparejar</v>
      </c>
      <c r="F14" s="216" t="s">
        <v>7</v>
      </c>
      <c r="G14" s="216" t="s">
        <v>464</v>
      </c>
      <c r="H14" s="216" t="s">
        <v>465</v>
      </c>
      <c r="I14" s="216" t="s">
        <v>73</v>
      </c>
      <c r="J14" s="216" t="s">
        <v>466</v>
      </c>
      <c r="K14" s="216" t="s">
        <v>467</v>
      </c>
      <c r="L14" s="76" t="s">
        <v>31</v>
      </c>
    </row>
    <row r="15" spans="1:13" outlineLevel="1" x14ac:dyDescent="0.25">
      <c r="A15" s="74" t="str">
        <f t="shared" si="0"/>
        <v>Z_IN_12_D</v>
      </c>
      <c r="B15" s="202" t="str">
        <f t="shared" si="1"/>
        <v>IN</v>
      </c>
      <c r="C15" s="203" t="s">
        <v>74</v>
      </c>
      <c r="D15" s="258"/>
      <c r="E15" s="217" t="str">
        <f>IFERROR(IF(D15&lt;&gt;"",D15,HLOOKUP($E$2,$F$2:K15,ROW(D15)-1,0)),F15)</f>
        <v>Respuesta Corta</v>
      </c>
      <c r="F15" s="217" t="s">
        <v>8</v>
      </c>
      <c r="G15" s="217" t="s">
        <v>75</v>
      </c>
      <c r="H15" s="217" t="s">
        <v>265</v>
      </c>
      <c r="I15" s="217" t="s">
        <v>266</v>
      </c>
      <c r="J15" s="217" t="s">
        <v>267</v>
      </c>
      <c r="K15" s="217" t="s">
        <v>468</v>
      </c>
      <c r="L15" s="76" t="s">
        <v>31</v>
      </c>
    </row>
    <row r="16" spans="1:13" outlineLevel="1" x14ac:dyDescent="0.25">
      <c r="A16" s="74" t="str">
        <f t="shared" si="0"/>
        <v>Z_IN_13_D</v>
      </c>
      <c r="B16" s="200" t="str">
        <f t="shared" si="1"/>
        <v>IN</v>
      </c>
      <c r="C16" s="201" t="s">
        <v>76</v>
      </c>
      <c r="D16" s="257"/>
      <c r="E16" s="216" t="str">
        <f>IFERROR(IF(D16&lt;&gt;"",D16,HLOOKUP($E$2,$F$2:K16,ROW(D16)-1,0)),F16)</f>
        <v>Palabra Perdida</v>
      </c>
      <c r="F16" s="216" t="s">
        <v>9</v>
      </c>
      <c r="G16" s="216" t="s">
        <v>77</v>
      </c>
      <c r="H16" s="216" t="s">
        <v>469</v>
      </c>
      <c r="I16" s="216" t="s">
        <v>268</v>
      </c>
      <c r="J16" s="216" t="s">
        <v>470</v>
      </c>
      <c r="K16" s="216" t="s">
        <v>471</v>
      </c>
      <c r="L16" s="76" t="s">
        <v>31</v>
      </c>
    </row>
    <row r="17" spans="1:13" outlineLevel="1" x14ac:dyDescent="0.25">
      <c r="A17" s="74" t="str">
        <f t="shared" si="0"/>
        <v>Z_IN_14_D</v>
      </c>
      <c r="B17" s="202" t="str">
        <f t="shared" si="1"/>
        <v>IN</v>
      </c>
      <c r="C17" s="203" t="s">
        <v>78</v>
      </c>
      <c r="D17" s="258"/>
      <c r="E17" s="217" t="str">
        <f>IFERROR(IF(D17&lt;&gt;"",D17,HLOOKUP($E$2,$F$2:K17,ROW(D17)-1,0)),F17)</f>
        <v>Cloze</v>
      </c>
      <c r="F17" s="217" t="s">
        <v>79</v>
      </c>
      <c r="G17" s="217" t="s">
        <v>79</v>
      </c>
      <c r="H17" s="217" t="s">
        <v>79</v>
      </c>
      <c r="I17" s="217" t="s">
        <v>79</v>
      </c>
      <c r="J17" s="217" t="s">
        <v>79</v>
      </c>
      <c r="K17" s="217" t="s">
        <v>80</v>
      </c>
      <c r="L17" s="76" t="s">
        <v>31</v>
      </c>
    </row>
    <row r="18" spans="1:13" outlineLevel="1" x14ac:dyDescent="0.25">
      <c r="A18" s="74" t="str">
        <f t="shared" si="0"/>
        <v>Z_IN_15_D</v>
      </c>
      <c r="B18" s="200" t="str">
        <f t="shared" si="1"/>
        <v>IN</v>
      </c>
      <c r="C18" s="201" t="s">
        <v>81</v>
      </c>
      <c r="D18" s="257"/>
      <c r="E18" s="216" t="str">
        <f>IFERROR(IF(D18&lt;&gt;"",D18,HLOOKUP($E$2,$F$2:K18,ROW(D18)-1,0)),F18)</f>
        <v>Preguntas</v>
      </c>
      <c r="F18" s="216" t="s">
        <v>6</v>
      </c>
      <c r="G18" s="216" t="s">
        <v>82</v>
      </c>
      <c r="H18" s="216" t="s">
        <v>82</v>
      </c>
      <c r="I18" s="216" t="s">
        <v>83</v>
      </c>
      <c r="J18" s="216" t="s">
        <v>84</v>
      </c>
      <c r="K18" s="216" t="s">
        <v>85</v>
      </c>
      <c r="L18" s="76" t="s">
        <v>31</v>
      </c>
    </row>
    <row r="19" spans="1:13" outlineLevel="1" x14ac:dyDescent="0.25">
      <c r="A19" s="74" t="str">
        <f t="shared" ref="A19:A20" si="2">$A$1&amp;B19&amp;"_"&amp;C19&amp;"_"&amp;$A$2</f>
        <v>Z_IN_16_D</v>
      </c>
      <c r="B19" s="202" t="str">
        <f t="shared" si="1"/>
        <v>IN</v>
      </c>
      <c r="C19" s="203" t="s">
        <v>159</v>
      </c>
      <c r="D19" s="258"/>
      <c r="E19" s="217" t="str">
        <f>IFERROR(IF(D19&lt;&gt;"",D19,HLOOKUP($E$2,$F$2:K19,ROW(D19)-1,0)),F19)</f>
        <v>Ensayo</v>
      </c>
      <c r="F19" s="217" t="s">
        <v>206</v>
      </c>
      <c r="G19" s="217" t="s">
        <v>207</v>
      </c>
      <c r="H19" s="217" t="s">
        <v>208</v>
      </c>
      <c r="I19" s="217" t="s">
        <v>209</v>
      </c>
      <c r="J19" s="217" t="s">
        <v>210</v>
      </c>
      <c r="K19" s="217" t="s">
        <v>472</v>
      </c>
      <c r="L19" s="76" t="s">
        <v>31</v>
      </c>
    </row>
    <row r="20" spans="1:13" outlineLevel="1" x14ac:dyDescent="0.25">
      <c r="A20" s="74" t="str">
        <f t="shared" si="2"/>
        <v>Z_IN_17_D</v>
      </c>
      <c r="B20" s="200" t="str">
        <f t="shared" si="1"/>
        <v>IN</v>
      </c>
      <c r="C20" s="201">
        <v>17</v>
      </c>
      <c r="D20" s="257"/>
      <c r="E20" s="216" t="str">
        <f>IFERROR(IF(D20&lt;&gt;"",D20,HLOOKUP($E$2,$F$2:K20,ROW(D20)-1,0)),F20)</f>
        <v>PERSONALIZAR DICCIONARIO</v>
      </c>
      <c r="F20" s="216" t="s">
        <v>393</v>
      </c>
      <c r="G20" s="216" t="s">
        <v>394</v>
      </c>
      <c r="H20" s="216" t="s">
        <v>395</v>
      </c>
      <c r="I20" s="216" t="s">
        <v>396</v>
      </c>
      <c r="J20" s="216" t="s">
        <v>397</v>
      </c>
      <c r="K20" s="216" t="s">
        <v>398</v>
      </c>
      <c r="L20" s="76"/>
      <c r="M20" t="s">
        <v>31</v>
      </c>
    </row>
    <row r="21" spans="1:13" x14ac:dyDescent="0.25">
      <c r="A21" s="76" t="str">
        <f t="shared" si="0"/>
        <v>Z_BP_00_D</v>
      </c>
      <c r="B21" s="77" t="s">
        <v>86</v>
      </c>
      <c r="C21" s="78" t="s">
        <v>26</v>
      </c>
      <c r="D21" s="256"/>
      <c r="E21" s="215" t="str">
        <f>IFERROR(IF(D21&lt;&gt;"",D21,HLOOKUP($E$2,$F$2:K21,ROW(D21)-1,0)),F21)</f>
        <v>Banco de preguntas</v>
      </c>
      <c r="F21" s="215" t="s">
        <v>87</v>
      </c>
      <c r="G21" s="215" t="s">
        <v>88</v>
      </c>
      <c r="H21" s="215" t="s">
        <v>89</v>
      </c>
      <c r="I21" s="215" t="s">
        <v>90</v>
      </c>
      <c r="J21" s="215" t="s">
        <v>91</v>
      </c>
      <c r="K21" s="215" t="s">
        <v>92</v>
      </c>
      <c r="L21" s="76" t="s">
        <v>31</v>
      </c>
    </row>
    <row r="22" spans="1:13" outlineLevel="1" x14ac:dyDescent="0.25">
      <c r="A22" s="74" t="str">
        <f t="shared" si="0"/>
        <v>Z_BP_01_D</v>
      </c>
      <c r="B22" s="200" t="str">
        <f t="shared" ref="B22:B53" si="3">B21</f>
        <v>BP</v>
      </c>
      <c r="C22" s="201" t="s">
        <v>32</v>
      </c>
      <c r="D22" s="257"/>
      <c r="E22" s="216" t="str">
        <f>IFERROR(IF(D22&lt;&gt;"",D22,HLOOKUP($E$2,$F$2:K22,ROW(D22)-1,0)),F22)</f>
        <v>Preguntas Almacenadas</v>
      </c>
      <c r="F22" s="216" t="s">
        <v>93</v>
      </c>
      <c r="G22" s="216" t="s">
        <v>94</v>
      </c>
      <c r="H22" s="216" t="s">
        <v>95</v>
      </c>
      <c r="I22" s="216" t="s">
        <v>96</v>
      </c>
      <c r="J22" s="216" t="s">
        <v>97</v>
      </c>
      <c r="K22" s="216" t="s">
        <v>98</v>
      </c>
      <c r="L22" s="76" t="s">
        <v>31</v>
      </c>
    </row>
    <row r="23" spans="1:13" outlineLevel="1" x14ac:dyDescent="0.25">
      <c r="A23" s="74" t="str">
        <f t="shared" si="0"/>
        <v>Z_BP_02_D</v>
      </c>
      <c r="B23" s="202" t="str">
        <f t="shared" si="3"/>
        <v>BP</v>
      </c>
      <c r="C23" s="203" t="s">
        <v>33</v>
      </c>
      <c r="D23" s="258"/>
      <c r="E23" s="217" t="str">
        <f>IFERROR(IF(D23&lt;&gt;"",D23,HLOOKUP($E$2,$F$2:K23,ROW(D23)-1,0)),F23)</f>
        <v>DICCIONARIO</v>
      </c>
      <c r="F23" s="217" t="s">
        <v>391</v>
      </c>
      <c r="G23" s="217" t="s">
        <v>392</v>
      </c>
      <c r="H23" s="217" t="s">
        <v>399</v>
      </c>
      <c r="I23" s="217" t="s">
        <v>400</v>
      </c>
      <c r="J23" s="217" t="s">
        <v>401</v>
      </c>
      <c r="K23" s="217" t="s">
        <v>402</v>
      </c>
      <c r="M23" t="s">
        <v>31</v>
      </c>
    </row>
    <row r="24" spans="1:13" outlineLevel="1" x14ac:dyDescent="0.25">
      <c r="A24" s="74" t="str">
        <f t="shared" si="0"/>
        <v>Z_BP_03_D</v>
      </c>
      <c r="B24" s="200" t="str">
        <f t="shared" si="3"/>
        <v>BP</v>
      </c>
      <c r="C24" s="201" t="s">
        <v>40</v>
      </c>
      <c r="D24" s="257"/>
      <c r="E24" s="216" t="str">
        <f>IFERROR(IF(D24&lt;&gt;"",D24,HLOOKUP($E$2,$F$2:K24,ROW(D24)-1,0)),F24)</f>
        <v>Enunciado de la pregunta</v>
      </c>
      <c r="F24" s="216" t="s">
        <v>99</v>
      </c>
      <c r="G24" s="216" t="s">
        <v>100</v>
      </c>
      <c r="H24" s="216" t="s">
        <v>101</v>
      </c>
      <c r="I24" s="216" t="s">
        <v>102</v>
      </c>
      <c r="J24" s="216" t="s">
        <v>103</v>
      </c>
      <c r="K24" s="216" t="s">
        <v>104</v>
      </c>
    </row>
    <row r="25" spans="1:13" outlineLevel="1" x14ac:dyDescent="0.25">
      <c r="A25" s="74" t="str">
        <f t="shared" si="0"/>
        <v>Z_BP_04_D</v>
      </c>
      <c r="B25" s="202" t="str">
        <f t="shared" si="3"/>
        <v>BP</v>
      </c>
      <c r="C25" s="203" t="s">
        <v>46</v>
      </c>
      <c r="D25" s="258"/>
      <c r="E25" s="217" t="str">
        <f>IFERROR(IF(D25&lt;&gt;"",D25,HLOOKUP($E$2,$F$2:K25,ROW(D25)-1,0)),F25)</f>
        <v>Descripción</v>
      </c>
      <c r="F25" s="217" t="s">
        <v>105</v>
      </c>
      <c r="G25" s="217" t="s">
        <v>106</v>
      </c>
      <c r="H25" s="217" t="s">
        <v>106</v>
      </c>
      <c r="I25" s="217" t="s">
        <v>107</v>
      </c>
      <c r="J25" s="217" t="s">
        <v>108</v>
      </c>
      <c r="K25" s="217" t="s">
        <v>109</v>
      </c>
    </row>
    <row r="26" spans="1:13" outlineLevel="1" x14ac:dyDescent="0.25">
      <c r="A26" s="74" t="str">
        <f t="shared" si="0"/>
        <v>Z_BP_05_D</v>
      </c>
      <c r="B26" s="200" t="str">
        <f t="shared" si="3"/>
        <v>BP</v>
      </c>
      <c r="C26" s="201" t="s">
        <v>52</v>
      </c>
      <c r="D26" s="257"/>
      <c r="E26" s="216" t="str">
        <f>IFERROR(IF(D26&lt;&gt;"",D26,HLOOKUP($E$2,$F$2:K26,ROW(D26)-1,0)),F26)</f>
        <v>Respuesta Correcta</v>
      </c>
      <c r="F26" s="216" t="s">
        <v>110</v>
      </c>
      <c r="G26" s="216" t="s">
        <v>111</v>
      </c>
      <c r="H26" s="216" t="s">
        <v>112</v>
      </c>
      <c r="I26" s="216" t="s">
        <v>113</v>
      </c>
      <c r="J26" s="216" t="s">
        <v>114</v>
      </c>
      <c r="K26" s="216" t="s">
        <v>115</v>
      </c>
    </row>
    <row r="27" spans="1:13" outlineLevel="1" x14ac:dyDescent="0.25">
      <c r="A27" s="74" t="str">
        <f t="shared" si="0"/>
        <v>Z_BP_06_D</v>
      </c>
      <c r="B27" s="202" t="str">
        <f t="shared" si="3"/>
        <v>BP</v>
      </c>
      <c r="C27" s="203" t="s">
        <v>58</v>
      </c>
      <c r="D27" s="258"/>
      <c r="E27" s="217" t="str">
        <f>IFERROR(IF(D27&lt;&gt;"",D27,HLOOKUP($E$2,$F$2:K27,ROW(D27)-1,0)),F27)</f>
        <v>Respuesta Incorrecta</v>
      </c>
      <c r="F27" s="217" t="s">
        <v>116</v>
      </c>
      <c r="G27" s="217" t="s">
        <v>117</v>
      </c>
      <c r="H27" s="217" t="s">
        <v>118</v>
      </c>
      <c r="I27" s="217" t="s">
        <v>119</v>
      </c>
      <c r="J27" s="217" t="s">
        <v>120</v>
      </c>
      <c r="K27" s="217" t="s">
        <v>121</v>
      </c>
    </row>
    <row r="28" spans="1:13" outlineLevel="1" x14ac:dyDescent="0.25">
      <c r="A28" s="74" t="str">
        <f t="shared" si="0"/>
        <v>Z_BP_07_D</v>
      </c>
      <c r="B28" s="200" t="str">
        <f t="shared" si="3"/>
        <v>BP</v>
      </c>
      <c r="C28" s="201" t="s">
        <v>65</v>
      </c>
      <c r="D28" s="257"/>
      <c r="E28" s="216" t="str">
        <f>IFERROR(IF(D28&lt;&gt;"",D28,HLOOKUP($E$2,$F$2:K28,ROW(D28)-1,0)),F28)</f>
        <v>Retroalim.</v>
      </c>
      <c r="F28" s="216" t="s">
        <v>122</v>
      </c>
      <c r="G28" s="216" t="s">
        <v>123</v>
      </c>
      <c r="H28" s="216" t="s">
        <v>124</v>
      </c>
      <c r="I28" s="216" t="s">
        <v>125</v>
      </c>
      <c r="J28" s="216" t="s">
        <v>126</v>
      </c>
      <c r="K28" s="216" t="s">
        <v>123</v>
      </c>
    </row>
    <row r="29" spans="1:13" outlineLevel="1" x14ac:dyDescent="0.25">
      <c r="A29" s="74" t="str">
        <f t="shared" si="0"/>
        <v>Z_BP_08_D</v>
      </c>
      <c r="B29" s="202" t="str">
        <f t="shared" si="3"/>
        <v>BP</v>
      </c>
      <c r="C29" s="203" t="s">
        <v>66</v>
      </c>
      <c r="D29" s="258"/>
      <c r="E29" s="217" t="str">
        <f>IFERROR(IF(D29&lt;&gt;"",D29,HLOOKUP($E$2,$F$2:K29,ROW(D29)-1,0)),F29)</f>
        <v>Pista</v>
      </c>
      <c r="F29" s="217" t="s">
        <v>127</v>
      </c>
      <c r="G29" s="217" t="s">
        <v>128</v>
      </c>
      <c r="H29" s="217" t="s">
        <v>129</v>
      </c>
      <c r="I29" s="217" t="s">
        <v>130</v>
      </c>
      <c r="J29" s="217" t="s">
        <v>131</v>
      </c>
      <c r="K29" s="217" t="s">
        <v>132</v>
      </c>
    </row>
    <row r="30" spans="1:13" outlineLevel="1" x14ac:dyDescent="0.25">
      <c r="A30" s="74" t="str">
        <f t="shared" si="0"/>
        <v>Z_BP_09_D</v>
      </c>
      <c r="B30" s="200" t="str">
        <f t="shared" si="3"/>
        <v>BP</v>
      </c>
      <c r="C30" s="201" t="s">
        <v>70</v>
      </c>
      <c r="D30" s="257"/>
      <c r="E30" s="216" t="str">
        <f>IFERROR(IF(D30&lt;&gt;"",D30,HLOOKUP($E$2,$F$2:K30,ROW(D30)-1,0)),F30)</f>
        <v>Puntos</v>
      </c>
      <c r="F30" s="216" t="s">
        <v>133</v>
      </c>
      <c r="G30" s="216" t="s">
        <v>134</v>
      </c>
      <c r="H30" s="216" t="s">
        <v>134</v>
      </c>
      <c r="I30" s="216" t="s">
        <v>135</v>
      </c>
      <c r="J30" s="216" t="s">
        <v>136</v>
      </c>
      <c r="K30" s="216" t="s">
        <v>137</v>
      </c>
    </row>
    <row r="31" spans="1:13" outlineLevel="1" x14ac:dyDescent="0.25">
      <c r="A31" s="74" t="str">
        <f t="shared" si="0"/>
        <v>Z_BP_10_D</v>
      </c>
      <c r="B31" s="202" t="str">
        <f t="shared" si="3"/>
        <v>BP</v>
      </c>
      <c r="C31" s="203" t="s">
        <v>71</v>
      </c>
      <c r="D31" s="258"/>
      <c r="E31" s="217" t="str">
        <f>IFERROR(IF(D31&lt;&gt;"",D31,HLOOKUP($E$2,$F$2:K31,ROW(D31)-1,0)),F31)</f>
        <v>OM 1R</v>
      </c>
      <c r="F31" s="217" t="s">
        <v>138</v>
      </c>
      <c r="G31" s="217" t="s">
        <v>473</v>
      </c>
      <c r="H31" s="217" t="s">
        <v>139</v>
      </c>
      <c r="I31" s="217" t="s">
        <v>140</v>
      </c>
      <c r="J31" s="217" t="s">
        <v>141</v>
      </c>
      <c r="K31" s="217" t="s">
        <v>142</v>
      </c>
    </row>
    <row r="32" spans="1:13" outlineLevel="1" x14ac:dyDescent="0.25">
      <c r="A32" s="74" t="str">
        <f t="shared" si="0"/>
        <v>Z_BP_11_D</v>
      </c>
      <c r="B32" s="200" t="str">
        <f t="shared" si="3"/>
        <v>BP</v>
      </c>
      <c r="C32" s="201" t="s">
        <v>72</v>
      </c>
      <c r="D32" s="257"/>
      <c r="E32" s="216" t="str">
        <f>IFERROR(IF(D32&lt;&gt;"",D32,HLOOKUP($E$2,$F$2:K32,ROW(D32)-1,0)),F32)</f>
        <v>OM +R</v>
      </c>
      <c r="F32" s="216" t="s">
        <v>480</v>
      </c>
      <c r="G32" s="216" t="s">
        <v>479</v>
      </c>
      <c r="H32" s="216" t="s">
        <v>474</v>
      </c>
      <c r="I32" s="216" t="s">
        <v>475</v>
      </c>
      <c r="J32" s="216" t="s">
        <v>476</v>
      </c>
      <c r="K32" s="216" t="s">
        <v>477</v>
      </c>
    </row>
    <row r="33" spans="1:12" outlineLevel="1" x14ac:dyDescent="0.25">
      <c r="A33" s="74" t="str">
        <f t="shared" si="0"/>
        <v>Z_BP_12_D</v>
      </c>
      <c r="B33" s="202" t="str">
        <f t="shared" si="3"/>
        <v>BP</v>
      </c>
      <c r="C33" s="203" t="s">
        <v>74</v>
      </c>
      <c r="D33" s="258"/>
      <c r="E33" s="217" t="str">
        <f>IFERROR(IF(D33&lt;&gt;"",D33,HLOOKUP($E$2,$F$2:K33,ROW(D33)-1,0)),F33)</f>
        <v>VF</v>
      </c>
      <c r="F33" s="217" t="s">
        <v>143</v>
      </c>
      <c r="G33" s="217" t="s">
        <v>144</v>
      </c>
      <c r="H33" s="217" t="s">
        <v>143</v>
      </c>
      <c r="I33" s="217" t="s">
        <v>143</v>
      </c>
      <c r="J33" s="217" t="s">
        <v>143</v>
      </c>
      <c r="K33" s="217" t="s">
        <v>145</v>
      </c>
    </row>
    <row r="34" spans="1:12" outlineLevel="1" x14ac:dyDescent="0.25">
      <c r="A34" s="74" t="str">
        <f t="shared" si="0"/>
        <v>Z_BP_13_D</v>
      </c>
      <c r="B34" s="200" t="str">
        <f t="shared" si="3"/>
        <v>BP</v>
      </c>
      <c r="C34" s="201" t="s">
        <v>76</v>
      </c>
      <c r="D34" s="257"/>
      <c r="E34" s="216" t="str">
        <f>IFERROR(IF(D34&lt;&gt;"",D34,HLOOKUP($E$2,$F$2:K34,ROW(D34)-1,0)),F34)</f>
        <v>EM</v>
      </c>
      <c r="F34" s="216" t="s">
        <v>146</v>
      </c>
      <c r="G34" s="216" t="s">
        <v>147</v>
      </c>
      <c r="H34" s="216" t="s">
        <v>148</v>
      </c>
      <c r="I34" s="216" t="s">
        <v>149</v>
      </c>
      <c r="J34" s="216" t="s">
        <v>25</v>
      </c>
      <c r="K34" s="216" t="s">
        <v>150</v>
      </c>
    </row>
    <row r="35" spans="1:12" outlineLevel="1" x14ac:dyDescent="0.25">
      <c r="A35" s="74" t="str">
        <f t="shared" si="0"/>
        <v>Z_BP_14_D</v>
      </c>
      <c r="B35" s="202" t="str">
        <f t="shared" si="3"/>
        <v>BP</v>
      </c>
      <c r="C35" s="203" t="s">
        <v>78</v>
      </c>
      <c r="D35" s="258"/>
      <c r="E35" s="217" t="str">
        <f>IFERROR(IF(D35&lt;&gt;"",D35,HLOOKUP($E$2,$F$2:K35,ROW(D35)-1,0)),F35)</f>
        <v>RC</v>
      </c>
      <c r="F35" s="217" t="s">
        <v>151</v>
      </c>
      <c r="G35" s="217" t="s">
        <v>152</v>
      </c>
      <c r="H35" s="217" t="s">
        <v>151</v>
      </c>
      <c r="I35" s="217" t="s">
        <v>151</v>
      </c>
      <c r="J35" s="217" t="s">
        <v>153</v>
      </c>
      <c r="K35" s="217" t="s">
        <v>154</v>
      </c>
    </row>
    <row r="36" spans="1:12" outlineLevel="1" x14ac:dyDescent="0.25">
      <c r="A36" s="74" t="str">
        <f t="shared" si="0"/>
        <v>Z_BP_15_D</v>
      </c>
      <c r="B36" s="200" t="str">
        <f t="shared" si="3"/>
        <v>BP</v>
      </c>
      <c r="C36" s="201" t="s">
        <v>81</v>
      </c>
      <c r="D36" s="257"/>
      <c r="E36" s="216" t="str">
        <f>IFERROR(IF(D36&lt;&gt;"",D36,HLOOKUP($E$2,$F$2:K36,ROW(D36)-1,0)),F36)</f>
        <v>PP</v>
      </c>
      <c r="F36" s="216" t="s">
        <v>155</v>
      </c>
      <c r="G36" s="216" t="s">
        <v>156</v>
      </c>
      <c r="H36" s="216" t="s">
        <v>157</v>
      </c>
      <c r="I36" s="216" t="s">
        <v>155</v>
      </c>
      <c r="J36" s="216" t="s">
        <v>155</v>
      </c>
      <c r="K36" s="216" t="s">
        <v>158</v>
      </c>
    </row>
    <row r="37" spans="1:12" outlineLevel="1" x14ac:dyDescent="0.25">
      <c r="A37" s="74" t="str">
        <f t="shared" si="0"/>
        <v>Z_BP_16_D</v>
      </c>
      <c r="B37" s="202" t="str">
        <f>B36</f>
        <v>BP</v>
      </c>
      <c r="C37" s="203">
        <v>16</v>
      </c>
      <c r="D37" s="258"/>
      <c r="E37" s="217" t="str">
        <f>IFERROR(IF(D37&lt;&gt;"",D37,HLOOKUP($E$2,$F$2:K37,ROW(D37)-1,0)),F37)</f>
        <v>CL</v>
      </c>
      <c r="F37" s="217" t="s">
        <v>160</v>
      </c>
      <c r="G37" s="217" t="s">
        <v>160</v>
      </c>
      <c r="H37" s="217" t="s">
        <v>160</v>
      </c>
      <c r="I37" s="217" t="s">
        <v>160</v>
      </c>
      <c r="J37" s="217" t="s">
        <v>160</v>
      </c>
      <c r="K37" s="217" t="s">
        <v>160</v>
      </c>
    </row>
    <row r="38" spans="1:12" outlineLevel="1" x14ac:dyDescent="0.25">
      <c r="A38" s="74" t="str">
        <f t="shared" si="0"/>
        <v>Z_BP_17_D</v>
      </c>
      <c r="B38" s="200" t="str">
        <f t="shared" si="3"/>
        <v>BP</v>
      </c>
      <c r="C38" s="201" t="s">
        <v>161</v>
      </c>
      <c r="D38" s="257"/>
      <c r="E38" s="216" t="str">
        <f>IFERROR(IF(D38&lt;&gt;"",D38,HLOOKUP($E$2,$F$2:K38,ROW(D38)-1,0)),F38)</f>
        <v xml:space="preserve">Pareja </v>
      </c>
      <c r="F38" s="216" t="s">
        <v>162</v>
      </c>
      <c r="G38" s="216" t="s">
        <v>163</v>
      </c>
      <c r="H38" s="216" t="s">
        <v>164</v>
      </c>
      <c r="I38" s="216" t="s">
        <v>165</v>
      </c>
      <c r="J38" s="216" t="s">
        <v>166</v>
      </c>
      <c r="K38" s="216" t="s">
        <v>167</v>
      </c>
    </row>
    <row r="39" spans="1:12" outlineLevel="1" x14ac:dyDescent="0.25">
      <c r="A39" s="74" t="str">
        <f t="shared" si="0"/>
        <v>Z_BP_18_D</v>
      </c>
      <c r="B39" s="202" t="str">
        <f t="shared" si="3"/>
        <v>BP</v>
      </c>
      <c r="C39" s="203" t="s">
        <v>168</v>
      </c>
      <c r="D39" s="258"/>
      <c r="E39" s="217" t="str">
        <f>IFERROR(IF(D39&lt;&gt;"",D39,HLOOKUP($E$2,$F$2:K39,ROW(D39)-1,0)),F39)</f>
        <v>Mayúsculas</v>
      </c>
      <c r="F39" s="217" t="s">
        <v>3</v>
      </c>
      <c r="G39" s="217" t="s">
        <v>169</v>
      </c>
      <c r="H39" s="217" t="s">
        <v>170</v>
      </c>
      <c r="I39" s="217" t="s">
        <v>171</v>
      </c>
      <c r="J39" s="217" t="s">
        <v>172</v>
      </c>
      <c r="K39" s="217" t="s">
        <v>173</v>
      </c>
    </row>
    <row r="40" spans="1:12" outlineLevel="1" x14ac:dyDescent="0.25">
      <c r="A40" s="74" t="str">
        <f t="shared" si="0"/>
        <v>Z_BP_19_D</v>
      </c>
      <c r="B40" s="200" t="str">
        <f t="shared" si="3"/>
        <v>BP</v>
      </c>
      <c r="C40" s="201" t="s">
        <v>174</v>
      </c>
      <c r="D40" s="257"/>
      <c r="E40" s="216" t="str">
        <f>IFERROR(IF(D40&lt;&gt;"",D40,HLOOKUP($E$2,$F$2:K40,ROW(D40)-1,0)),F40)</f>
        <v>Respuesta</v>
      </c>
      <c r="F40" s="216" t="s">
        <v>175</v>
      </c>
      <c r="G40" s="216" t="s">
        <v>176</v>
      </c>
      <c r="H40" s="216" t="s">
        <v>177</v>
      </c>
      <c r="I40" s="216" t="s">
        <v>178</v>
      </c>
      <c r="J40" s="216" t="s">
        <v>126</v>
      </c>
      <c r="K40" s="216" t="s">
        <v>179</v>
      </c>
    </row>
    <row r="41" spans="1:12" outlineLevel="1" x14ac:dyDescent="0.25">
      <c r="A41" s="74" t="str">
        <f t="shared" si="0"/>
        <v>Z_BP_20_D</v>
      </c>
      <c r="B41" s="202" t="str">
        <f t="shared" si="3"/>
        <v>BP</v>
      </c>
      <c r="C41" s="203" t="s">
        <v>180</v>
      </c>
      <c r="D41" s="258"/>
      <c r="E41" s="217" t="str">
        <f>IFERROR(IF(D41&lt;&gt;"",D41,HLOOKUP($E$2,$F$2:K41,ROW(D41)-1,0)),F41)</f>
        <v xml:space="preserve">Palabra </v>
      </c>
      <c r="F41" s="217" t="s">
        <v>181</v>
      </c>
      <c r="G41" s="217" t="s">
        <v>182</v>
      </c>
      <c r="H41" s="217" t="s">
        <v>183</v>
      </c>
      <c r="I41" s="217" t="s">
        <v>184</v>
      </c>
      <c r="J41" s="217" t="s">
        <v>185</v>
      </c>
      <c r="K41" s="217" t="s">
        <v>186</v>
      </c>
    </row>
    <row r="42" spans="1:12" outlineLevel="1" x14ac:dyDescent="0.25">
      <c r="A42" s="74" t="str">
        <f t="shared" si="0"/>
        <v>Z_BP_21_D</v>
      </c>
      <c r="B42" s="200" t="str">
        <f t="shared" si="3"/>
        <v>BP</v>
      </c>
      <c r="C42" s="201" t="s">
        <v>187</v>
      </c>
      <c r="D42" s="257"/>
      <c r="E42" s="216" t="str">
        <f>IFERROR(IF(D42&lt;&gt;"",D42,HLOOKUP($E$2,$F$2:K42,ROW(D42)-1,0)),F42)</f>
        <v>VERDADERO</v>
      </c>
      <c r="F42" s="216" t="s">
        <v>188</v>
      </c>
      <c r="G42" s="216" t="s">
        <v>189</v>
      </c>
      <c r="H42" s="216" t="s">
        <v>190</v>
      </c>
      <c r="I42" s="216" t="s">
        <v>191</v>
      </c>
      <c r="J42" s="216" t="s">
        <v>192</v>
      </c>
      <c r="K42" s="216" t="s">
        <v>193</v>
      </c>
    </row>
    <row r="43" spans="1:12" outlineLevel="1" x14ac:dyDescent="0.25">
      <c r="A43" s="74" t="str">
        <f t="shared" si="0"/>
        <v>Z_BP_22_D</v>
      </c>
      <c r="B43" s="202" t="str">
        <f t="shared" si="3"/>
        <v>BP</v>
      </c>
      <c r="C43" s="203" t="s">
        <v>194</v>
      </c>
      <c r="D43" s="258"/>
      <c r="E43" s="217" t="str">
        <f>IFERROR(IF(D43&lt;&gt;"",D43,HLOOKUP($E$2,$F$2:K43,ROW(D43)-1,0)),F43)</f>
        <v>FALSO</v>
      </c>
      <c r="F43" s="217" t="s">
        <v>195</v>
      </c>
      <c r="G43" s="217" t="s">
        <v>196</v>
      </c>
      <c r="H43" s="217" t="s">
        <v>197</v>
      </c>
      <c r="I43" s="217" t="s">
        <v>195</v>
      </c>
      <c r="J43" s="217" t="s">
        <v>195</v>
      </c>
      <c r="K43" s="217" t="s">
        <v>198</v>
      </c>
    </row>
    <row r="44" spans="1:12" outlineLevel="1" x14ac:dyDescent="0.25">
      <c r="A44" s="74" t="str">
        <f t="shared" si="0"/>
        <v>Z_BP_23_D</v>
      </c>
      <c r="B44" s="200" t="str">
        <f t="shared" si="3"/>
        <v>BP</v>
      </c>
      <c r="C44" s="201" t="s">
        <v>199</v>
      </c>
      <c r="D44" s="257"/>
      <c r="E44" s="216" t="str">
        <f>IFERROR(IF(D44&lt;&gt;"",D44,HLOOKUP($E$2,$F$2:K44,ROW(D44)-1,0)),F44)</f>
        <v xml:space="preserve">Grupo </v>
      </c>
      <c r="F44" s="216" t="s">
        <v>200</v>
      </c>
      <c r="G44" s="216" t="s">
        <v>201</v>
      </c>
      <c r="H44" s="216" t="s">
        <v>202</v>
      </c>
      <c r="I44" s="216" t="s">
        <v>203</v>
      </c>
      <c r="J44" s="216" t="s">
        <v>204</v>
      </c>
      <c r="K44" s="216" t="s">
        <v>205</v>
      </c>
      <c r="L44" t="s">
        <v>31</v>
      </c>
    </row>
    <row r="45" spans="1:12" outlineLevel="1" x14ac:dyDescent="0.25">
      <c r="A45" s="74" t="str">
        <f t="shared" ref="A45:A52" si="4">$A$1&amp;B45&amp;"_"&amp;C45&amp;"_"&amp;$A$2</f>
        <v>Z_BP_24_D</v>
      </c>
      <c r="B45" s="202" t="str">
        <f t="shared" si="3"/>
        <v>BP</v>
      </c>
      <c r="C45" s="203" t="s">
        <v>254</v>
      </c>
      <c r="D45" s="258"/>
      <c r="E45" s="217" t="str">
        <f>IFERROR(IF(D45&lt;&gt;"",D45,HLOOKUP($E$2,$F$2:K45,ROW(D45)-1,0)),F45)</f>
        <v>Formato de la Respuesta</v>
      </c>
      <c r="F45" s="217" t="s">
        <v>212</v>
      </c>
      <c r="G45" s="217" t="s">
        <v>213</v>
      </c>
      <c r="H45" s="217" t="s">
        <v>214</v>
      </c>
      <c r="I45" s="217" t="s">
        <v>215</v>
      </c>
      <c r="J45" s="217" t="s">
        <v>216</v>
      </c>
      <c r="K45" s="217" t="s">
        <v>217</v>
      </c>
    </row>
    <row r="46" spans="1:12" outlineLevel="1" x14ac:dyDescent="0.25">
      <c r="A46" s="74" t="str">
        <f t="shared" si="4"/>
        <v>Z_BP_25_D</v>
      </c>
      <c r="B46" s="200" t="str">
        <f t="shared" si="3"/>
        <v>BP</v>
      </c>
      <c r="C46" s="201" t="s">
        <v>255</v>
      </c>
      <c r="D46" s="257"/>
      <c r="E46" s="216" t="str">
        <f>IFERROR(IF(D46&lt;&gt;"",D46,HLOOKUP($E$2,$F$2:K46,ROW(D46)-1,0)),F46)</f>
        <v>Requerir texto</v>
      </c>
      <c r="F46" s="216" t="s">
        <v>218</v>
      </c>
      <c r="G46" s="216" t="s">
        <v>219</v>
      </c>
      <c r="H46" s="216" t="s">
        <v>220</v>
      </c>
      <c r="I46" s="216" t="s">
        <v>221</v>
      </c>
      <c r="J46" s="216" t="s">
        <v>222</v>
      </c>
      <c r="K46" s="216" t="s">
        <v>223</v>
      </c>
    </row>
    <row r="47" spans="1:12" outlineLevel="1" x14ac:dyDescent="0.25">
      <c r="A47" s="74" t="str">
        <f t="shared" si="4"/>
        <v>Z_BP_26_D</v>
      </c>
      <c r="B47" s="202" t="str">
        <f t="shared" si="3"/>
        <v>BP</v>
      </c>
      <c r="C47" s="203" t="s">
        <v>256</v>
      </c>
      <c r="D47" s="258"/>
      <c r="E47" s="217" t="str">
        <f>IFERROR(IF(D47&lt;&gt;"",D47,HLOOKUP($E$2,$F$2:K47,ROW(D47)-1,0)),F47)</f>
        <v>Tamaño de la caja de entrada</v>
      </c>
      <c r="F47" s="217" t="s">
        <v>224</v>
      </c>
      <c r="G47" s="217" t="s">
        <v>225</v>
      </c>
      <c r="H47" s="217" t="s">
        <v>226</v>
      </c>
      <c r="I47" s="217" t="s">
        <v>227</v>
      </c>
      <c r="J47" s="217" t="s">
        <v>228</v>
      </c>
      <c r="K47" s="217" t="s">
        <v>229</v>
      </c>
    </row>
    <row r="48" spans="1:12" outlineLevel="1" x14ac:dyDescent="0.25">
      <c r="A48" s="74" t="str">
        <f t="shared" si="4"/>
        <v>Z_BP_27_D</v>
      </c>
      <c r="B48" s="200" t="str">
        <f t="shared" si="3"/>
        <v>BP</v>
      </c>
      <c r="C48" s="201" t="s">
        <v>257</v>
      </c>
      <c r="D48" s="257"/>
      <c r="E48" s="216" t="str">
        <f>IFERROR(IF(D48&lt;&gt;"",D48,HLOOKUP($E$2,$F$2:K48,ROW(D48)-1,0)),F48)</f>
        <v>Permitir archivos adjuntos</v>
      </c>
      <c r="F48" s="216" t="s">
        <v>230</v>
      </c>
      <c r="G48" s="216" t="s">
        <v>231</v>
      </c>
      <c r="H48" s="216" t="s">
        <v>232</v>
      </c>
      <c r="I48" s="216" t="s">
        <v>233</v>
      </c>
      <c r="J48" s="216" t="s">
        <v>234</v>
      </c>
      <c r="K48" s="216" t="s">
        <v>235</v>
      </c>
    </row>
    <row r="49" spans="1:12" outlineLevel="1" x14ac:dyDescent="0.25">
      <c r="A49" s="74" t="str">
        <f t="shared" si="4"/>
        <v>Z_BP_28_D</v>
      </c>
      <c r="B49" s="202" t="str">
        <f t="shared" si="3"/>
        <v>BP</v>
      </c>
      <c r="C49" s="203" t="s">
        <v>258</v>
      </c>
      <c r="D49" s="258"/>
      <c r="E49" s="217" t="str">
        <f>IFERROR(IF(D49&lt;&gt;"",D49,HLOOKUP($E$2,$F$2:K49,ROW(D49)-1,0)),F49)</f>
        <v>Archivos adjuntos requeridos</v>
      </c>
      <c r="F49" s="217" t="s">
        <v>236</v>
      </c>
      <c r="G49" s="217" t="s">
        <v>237</v>
      </c>
      <c r="H49" s="217" t="s">
        <v>238</v>
      </c>
      <c r="I49" s="217" t="s">
        <v>239</v>
      </c>
      <c r="J49" s="217" t="s">
        <v>240</v>
      </c>
      <c r="K49" s="217" t="s">
        <v>241</v>
      </c>
    </row>
    <row r="50" spans="1:12" outlineLevel="1" x14ac:dyDescent="0.25">
      <c r="A50" s="74" t="str">
        <f t="shared" si="4"/>
        <v>Z_BP_29_D</v>
      </c>
      <c r="B50" s="200" t="str">
        <f t="shared" si="3"/>
        <v>BP</v>
      </c>
      <c r="C50" s="201" t="s">
        <v>259</v>
      </c>
      <c r="D50" s="257"/>
      <c r="E50" s="216" t="str">
        <f>IFERROR(IF(D50&lt;&gt;"",D50,HLOOKUP($E$2,$F$2:K50,ROW(D50)-1,0)),F50)</f>
        <v>Plantilla de Respuesta</v>
      </c>
      <c r="F50" s="216" t="s">
        <v>242</v>
      </c>
      <c r="G50" s="216" t="s">
        <v>243</v>
      </c>
      <c r="H50" s="216" t="s">
        <v>244</v>
      </c>
      <c r="I50" s="216" t="s">
        <v>245</v>
      </c>
      <c r="J50" s="216" t="s">
        <v>246</v>
      </c>
      <c r="K50" s="216" t="s">
        <v>247</v>
      </c>
    </row>
    <row r="51" spans="1:12" outlineLevel="1" x14ac:dyDescent="0.25">
      <c r="A51" s="74" t="str">
        <f t="shared" si="4"/>
        <v>Z_BP_30_D</v>
      </c>
      <c r="B51" s="202" t="str">
        <f t="shared" si="3"/>
        <v>BP</v>
      </c>
      <c r="C51" s="203" t="s">
        <v>260</v>
      </c>
      <c r="D51" s="258"/>
      <c r="E51" s="217" t="str">
        <f>IFERROR(IF(D51&lt;&gt;"",D51,HLOOKUP($E$2,$F$2:K51,ROW(D51)-1,0)),F51)</f>
        <v>Información para el evaluador</v>
      </c>
      <c r="F51" s="217" t="s">
        <v>248</v>
      </c>
      <c r="G51" s="217" t="s">
        <v>249</v>
      </c>
      <c r="H51" s="217" t="s">
        <v>250</v>
      </c>
      <c r="I51" s="217" t="s">
        <v>251</v>
      </c>
      <c r="J51" s="217" t="s">
        <v>252</v>
      </c>
      <c r="K51" s="217" t="s">
        <v>253</v>
      </c>
    </row>
    <row r="52" spans="1:12" outlineLevel="1" x14ac:dyDescent="0.25">
      <c r="A52" s="74" t="str">
        <f t="shared" si="4"/>
        <v>Z_BP_31_D</v>
      </c>
      <c r="B52" s="200" t="str">
        <f t="shared" si="3"/>
        <v>BP</v>
      </c>
      <c r="C52" s="201" t="s">
        <v>261</v>
      </c>
      <c r="D52" s="257"/>
      <c r="E52" s="216" t="str">
        <f>IFERROR(IF(D52&lt;&gt;"",D52,HLOOKUP($E$2,$F$2:K52,ROW(D52)-1,0)),F52)</f>
        <v>EN</v>
      </c>
      <c r="F52" s="216" t="s">
        <v>211</v>
      </c>
      <c r="G52" s="216" t="s">
        <v>262</v>
      </c>
      <c r="H52" s="216" t="s">
        <v>263</v>
      </c>
      <c r="I52" s="216" t="s">
        <v>211</v>
      </c>
      <c r="J52" s="216" t="s">
        <v>263</v>
      </c>
      <c r="K52" s="216" t="s">
        <v>264</v>
      </c>
    </row>
    <row r="53" spans="1:12" ht="15.75" outlineLevel="1" thickBot="1" x14ac:dyDescent="0.3">
      <c r="A53" s="74" t="str">
        <f t="shared" ref="A53:A55" si="5">$A$1&amp;B53&amp;"_"&amp;C53&amp;"_"&amp;$A$2</f>
        <v>Z_BP_32_D</v>
      </c>
      <c r="B53" s="202" t="str">
        <f t="shared" si="3"/>
        <v>BP</v>
      </c>
      <c r="C53" s="203">
        <v>32</v>
      </c>
      <c r="D53" s="258"/>
      <c r="E53" s="219" t="str">
        <f>IFERROR(IF(D53&lt;&gt;"",D53,HLOOKUP($E$2,$F$2:K53,ROW(D53)-1,0)),F53)</f>
        <v>Ancho RC</v>
      </c>
      <c r="F53" s="217" t="s">
        <v>269</v>
      </c>
      <c r="G53" s="217" t="s">
        <v>270</v>
      </c>
      <c r="H53" s="217" t="s">
        <v>271</v>
      </c>
      <c r="I53" s="217" t="s">
        <v>272</v>
      </c>
      <c r="J53" s="217" t="s">
        <v>273</v>
      </c>
      <c r="K53" s="217" t="s">
        <v>274</v>
      </c>
    </row>
    <row r="54" spans="1:12" x14ac:dyDescent="0.25">
      <c r="A54" s="74" t="str">
        <f t="shared" si="5"/>
        <v>Z_TX_00_D</v>
      </c>
      <c r="B54" s="77" t="s">
        <v>448</v>
      </c>
      <c r="C54" s="78" t="s">
        <v>26</v>
      </c>
      <c r="D54" s="256"/>
      <c r="E54" s="215" t="str">
        <f>IFERROR(IF(D54&lt;&gt;"",D54,HLOOKUP($E$2,$F$2:K54,ROW(D54)-1,0)),F54)</f>
        <v>MENSAJES MACROS</v>
      </c>
      <c r="F54" s="255" t="s">
        <v>439</v>
      </c>
      <c r="G54" s="255" t="s">
        <v>440</v>
      </c>
      <c r="H54" s="255" t="s">
        <v>439</v>
      </c>
      <c r="I54" s="255" t="s">
        <v>439</v>
      </c>
      <c r="J54" s="255" t="s">
        <v>439</v>
      </c>
      <c r="K54" s="255" t="s">
        <v>441</v>
      </c>
      <c r="L54" s="76" t="s">
        <v>31</v>
      </c>
    </row>
    <row r="55" spans="1:12" outlineLevel="1" x14ac:dyDescent="0.25">
      <c r="A55" s="74" t="str">
        <f t="shared" si="5"/>
        <v>Z_TX_01_D</v>
      </c>
      <c r="B55" s="200" t="s">
        <v>448</v>
      </c>
      <c r="C55" s="201" t="s">
        <v>32</v>
      </c>
      <c r="D55" s="257"/>
      <c r="E55" s="216" t="str">
        <f>IFERROR(IF(D55&lt;&gt;"",D55,HLOOKUP($E$2,$F$2:K55,ROW(D55)-1,0)),F55)</f>
        <v>Copia el link (Ctrl+C) y 
pega (Ctrl+V) en Internet.</v>
      </c>
      <c r="F55" s="216" t="s">
        <v>442</v>
      </c>
      <c r="G55" s="216" t="s">
        <v>443</v>
      </c>
      <c r="H55" s="216" t="s">
        <v>444</v>
      </c>
      <c r="I55" s="216" t="s">
        <v>445</v>
      </c>
      <c r="J55" s="216" t="s">
        <v>446</v>
      </c>
      <c r="K55" s="216" t="s">
        <v>447</v>
      </c>
    </row>
    <row r="56" spans="1:12" x14ac:dyDescent="0.25">
      <c r="D56" s="259"/>
    </row>
    <row r="57" spans="1:12" x14ac:dyDescent="0.25"/>
  </sheetData>
  <sheetProtection algorithmName="SHA-512" hashValue="ZMWS55BbJMm32fcsl3tRLtEYOOpsYW4gOvlaJFki+6+Kx7FJ5rltKuk6RVpUyI+quuKFdZzmSyge85LlNfCVcA==" saltValue="byFt2DBtC/Vy3x37ohkIQw=="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2021-11-08T20:33:09Z</dcterms:modified>
  <cp:category>DOCENCIA</cp:category>
</cp:coreProperties>
</file>