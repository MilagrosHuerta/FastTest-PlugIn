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F1" i="15"/>
  <c r="D1" i="8"/>
  <c r="F2" i="15"/>
  <c r="F1" i="22" l="1"/>
  <c r="F2" i="22"/>
  <c r="B22" i="8"/>
  <c r="A22" i="8" s="1"/>
  <c r="A21" i="8"/>
  <c r="B4" i="8"/>
  <c r="A4" i="8" s="1"/>
  <c r="A3" i="8"/>
  <c r="B23" i="8" l="1"/>
  <c r="B5" i="8"/>
  <c r="G1" i="19"/>
  <c r="Q3" i="19"/>
  <c r="R3" i="19"/>
  <c r="G23" i="6"/>
  <c r="G26" i="6"/>
  <c r="AF3" i="16"/>
  <c r="AE3" i="15"/>
  <c r="C9" i="6"/>
  <c r="E3" i="17"/>
  <c r="Q26" i="6"/>
  <c r="Q3" i="15"/>
  <c r="N3" i="16"/>
  <c r="D27" i="6"/>
  <c r="I24" i="6"/>
  <c r="K3" i="15"/>
  <c r="K26" i="6"/>
  <c r="Z3" i="19"/>
  <c r="X3" i="16"/>
  <c r="T3" i="20"/>
  <c r="P3" i="16"/>
  <c r="J3" i="21"/>
  <c r="G24" i="6"/>
  <c r="U3" i="16"/>
  <c r="A3" i="18"/>
  <c r="X3" i="20"/>
  <c r="B3" i="15"/>
  <c r="O24" i="6"/>
  <c r="W3" i="15"/>
  <c r="V3" i="15"/>
  <c r="L3" i="15"/>
  <c r="L3" i="20"/>
  <c r="H3" i="15"/>
  <c r="K23" i="6"/>
  <c r="E23" i="6"/>
  <c r="M23" i="6"/>
  <c r="C26" i="6"/>
  <c r="I3" i="15"/>
  <c r="T3" i="15"/>
  <c r="D3" i="19"/>
  <c r="I7" i="6"/>
  <c r="AG3" i="16"/>
  <c r="AC3" i="19"/>
  <c r="M26" i="6"/>
  <c r="S3" i="15"/>
  <c r="R3" i="16"/>
  <c r="K3" i="21"/>
  <c r="O23" i="6"/>
  <c r="I3" i="21"/>
  <c r="B3" i="16"/>
  <c r="H3" i="20"/>
  <c r="E3" i="16"/>
  <c r="G1" i="17"/>
  <c r="X3" i="15"/>
  <c r="A3" i="15"/>
  <c r="A3" i="20"/>
  <c r="L3" i="21"/>
  <c r="N3" i="19"/>
  <c r="G3" i="15"/>
  <c r="H3" i="19"/>
  <c r="M3" i="15"/>
  <c r="M3" i="16"/>
  <c r="O3" i="16"/>
  <c r="G1" i="16"/>
  <c r="G1" i="15"/>
  <c r="O3" i="19"/>
  <c r="M24" i="6"/>
  <c r="E26" i="6"/>
  <c r="T3" i="19"/>
  <c r="O26" i="6"/>
  <c r="AE3" i="16"/>
  <c r="C24" i="6"/>
  <c r="G3" i="22"/>
  <c r="Z3" i="20"/>
  <c r="AH3" i="15"/>
  <c r="J3" i="16"/>
  <c r="AA3" i="19"/>
  <c r="U3" i="15"/>
  <c r="Q24" i="6"/>
  <c r="H3" i="21"/>
  <c r="AB3" i="20"/>
  <c r="AH3" i="16"/>
  <c r="J3" i="15"/>
  <c r="H3" i="16"/>
  <c r="G1" i="20"/>
  <c r="K24" i="6"/>
  <c r="U3" i="19"/>
  <c r="S3" i="16"/>
  <c r="I3" i="19"/>
  <c r="T3" i="16"/>
  <c r="K3" i="19"/>
  <c r="G1" i="22"/>
  <c r="L3" i="19"/>
  <c r="M3" i="21"/>
  <c r="Q23" i="6"/>
  <c r="X3" i="19"/>
  <c r="W3" i="16"/>
  <c r="P6" i="6"/>
  <c r="AF3" i="15"/>
  <c r="D11" i="6"/>
  <c r="A3" i="16"/>
  <c r="Q3" i="16"/>
  <c r="G1" i="18"/>
  <c r="L3" i="16"/>
  <c r="AG3" i="15"/>
  <c r="P3" i="20"/>
  <c r="I26" i="6"/>
  <c r="O3" i="15"/>
  <c r="AD3" i="20"/>
  <c r="V3" i="20"/>
  <c r="A3" i="19"/>
  <c r="K3" i="16"/>
  <c r="N3" i="20"/>
  <c r="N3" i="15"/>
  <c r="G3" i="16"/>
  <c r="E3" i="15"/>
  <c r="P3" i="15"/>
  <c r="J3" i="20"/>
  <c r="W3" i="19"/>
  <c r="I3" i="16"/>
  <c r="R3" i="15"/>
  <c r="I23" i="6"/>
  <c r="V3" i="16"/>
  <c r="E24" i="6"/>
  <c r="AD3" i="19"/>
  <c r="G3" i="6"/>
  <c r="G1" i="21"/>
  <c r="C23" i="6"/>
  <c r="R3" i="20"/>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K3" i="20"/>
  <c r="U3" i="20"/>
  <c r="F3" i="15"/>
  <c r="F3" i="19"/>
  <c r="F3" i="17"/>
  <c r="F3" i="22"/>
  <c r="S3" i="20"/>
  <c r="G3" i="20"/>
  <c r="Y3" i="20"/>
  <c r="AC3" i="20"/>
  <c r="O3" i="20"/>
  <c r="I3" i="20"/>
  <c r="W3" i="20"/>
  <c r="F3" i="18"/>
  <c r="F3" i="16"/>
  <c r="M3" i="20"/>
  <c r="Q3" i="20"/>
  <c r="F3" i="20"/>
  <c r="F3" i="21"/>
  <c r="G3" i="21"/>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<sst xmlns="http://schemas.openxmlformats.org/spreadsheetml/2006/main" count="941" uniqueCount="619">
  <si>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</si>
  <si>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</si>
  <si>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</si>
  <si>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</si>
  <si>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</si>
  <si>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</si>
  <si>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</si>
  <si>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</si>
  <si>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</si>
  <si>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</si>
  <si>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</si>
  <si>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</si>
  <si>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</si>
  <si>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</si>
  <si>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</si>
  <si>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</si>
  <si>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</si>
  <si>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</si>
  <si>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</si>
  <si>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</si>
  <si>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</si>
  <si>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</si>
  <si>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</si>
  <si>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</si>
  <si>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</si>
  <si>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</si>
  <si>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</si>
  <si>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</si>
  <si>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</si>
  <si>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</si>
  <si>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</si>
  <si>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</si>
  <si>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</si>
  <si>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</si>
  <si>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</si>
  <si>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</si>
  <si>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</si>
  <si>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</si>
  <si>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</si>
  <si>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</si>
  <si>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</si>
  <si>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</si>
  <si>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</si>
  <si>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</si>
  <si>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</si>
  <si>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</si>
  <si>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</si>
  <si>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</si>
  <si>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</si>
  <si>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</si>
  <si>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</si>
  <si>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</si>
  <si>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</si>
  <si>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</si>
  <si>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</si>
  <si>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</si>
  <si>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</si>
  <si>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</si>
  <si>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</si>
  <si>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</si>
  <si>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</si>
  <si>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</si>
  <si>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</si>
  <si>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</si>
  <si>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</si>
  <si>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</si>
  <si>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</si>
  <si>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</si>
  <si>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</si>
  <si>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</si>
  <si>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</si>
  <si>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</si>
  <si>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</si>
  <si>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</si>
  <si>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</si>
  <si>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</si>
  <si>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</si>
  <si>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</si>
  <si>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</si>
  <si>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</si>
  <si>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</si>
  <si>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</si>
  <si>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</si>
  <si>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</si>
  <si>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</si>
  <si>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</si>
  <si>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</si>
  <si>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</si>
  <si>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</si>
  <si>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</si>
  <si>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</si>
  <si>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</si>
  <si>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</si>
  <si>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</si>
  <si>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</si>
  <si>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</si>
  <si>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</si>
  <si>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</si>
  <si>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</si>
  <si>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</si>
  <si>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</si>
  <si>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</si>
  <si>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</si>
  <si>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</si>
  <si>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</si>
  <si>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</si>
  <si>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</si>
  <si>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</si>
  <si>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</si>
  <si>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</si>
  <si>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</si>
  <si>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</si>
  <si>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</si>
  <si>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</si>
  <si>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</si>
  <si>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</si>
  <si>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</si>
  <si>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</si>
  <si>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</si>
  <si>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</si>
  <si>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</si>
  <si>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</si>
  <si>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</si>
  <si>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</si>
  <si>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</si>
  <si>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</si>
  <si>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</si>
  <si>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</si>
  <si>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</si>
  <si>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</si>
  <si>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</si>
  <si>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</si>
  <si>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</si>
  <si>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</si>
  <si>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</si>
  <si>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</si>
  <si>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</si>
  <si>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</si>
  <si>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</si>
  <si>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</si>
  <si>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</si>
  <si>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</si>
  <si>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</si>
  <si>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</si>
  <si>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</si>
  <si>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</si>
  <si>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</si>
  <si>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</si>
  <si>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</si>
  <si>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</si>
  <si>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</si>
  <si>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</si>
  <si>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</si>
  <si>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</si>
  <si>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</si>
  <si>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</si>
  <si>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</si>
  <si>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</si>
  <si>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</si>
  <si>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</si>
  <si>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</si>
  <si>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</si>
  <si>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</si>
  <si>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</si>
  <si>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</si>
  <si>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</si>
  <si>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</si>
  <si>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</si>
  <si>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</si>
  <si>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</si>
  <si>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</si>
  <si>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</si>
  <si>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</si>
  <si>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</si>
  <si>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</si>
  <si>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</si>
  <si>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</si>
  <si>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</si>
  <si>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</si>
  <si>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</si>
  <si>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</si>
  <si>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</si>
  <si>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</si>
  <si>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</si>
  <si>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</si>
  <si>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</si>
  <si>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</si>
  <si>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</si>
  <si>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</si>
  <si>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</si>
  <si>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</si>
  <si>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</si>
  <si>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</si>
  <si>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</si>
  <si>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</si>
  <si>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</si>
  <si>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</si>
  <si>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</si>
  <si>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</si>
  <si>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</si>
  <si>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</si>
  <si>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</si>
  <si>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</si>
  <si>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</si>
  <si>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</si>
  <si>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</si>
  <si>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</si>
  <si>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</si>
  <si>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</si>
  <si>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</si>
  <si>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</si>
  <si>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</si>
  <si>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</si>
  <si>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</si>
  <si>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</si>
  <si>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</si>
  <si>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</si>
  <si>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</si>
  <si>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</si>
  <si>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</si>
  <si>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</si>
  <si>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</si>
  <si>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</si>
  <si>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</si>
  <si>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</si>
  <si>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</si>
  <si>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</si>
  <si>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</si>
  <si>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</si>
  <si>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</si>
  <si>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</si>
  <si>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</si>
  <si>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</si>
  <si>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</si>
  <si>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</si>
  <si>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</si>
  <si>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</si>
  <si>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</si>
  <si>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</si>
  <si>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</si>
  <si>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</si>
  <si>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</si>
  <si>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</si>
  <si>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</si>
  <si>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</si>
  <si>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</si>
  <si>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</si>
  <si>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</si>
  <si>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</si>
  <si>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</si>
  <si>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</si>
  <si>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</si>
  <si>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</si>
  <si>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</si>
  <si>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</si>
  <si>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</si>
  <si>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</si>
  <si>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</si>
  <si>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</si>
  <si>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</si>
  <si>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</si>
  <si>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</si>
  <si>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</si>
  <si>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</si>
  <si>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</si>
  <si>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</si>
  <si>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</si>
  <si>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</si>
  <si>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</si>
  <si>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</si>
  <si>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</si>
  <si>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</si>
  <si>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</si>
  <si>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</si>
  <si>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</si>
  <si>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</si>
  <si>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</si>
  <si>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</si>
  <si>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</si>
  <si>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</si>
  <si>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</si>
  <si>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</si>
  <si>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</si>
  <si>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</si>
  <si>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</si>
  <si>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</si>
  <si>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</si>
  <si>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</si>
  <si>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</si>
  <si>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</si>
  <si>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</si>
  <si>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</si>
  <si>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</si>
  <si>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</si>
  <si>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</si>
  <si>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</si>
  <si>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</si>
  <si>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</si>
  <si>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</si>
  <si>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</si>
  <si>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</si>
  <si>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</si>
  <si>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</si>
  <si>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</si>
  <si>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</si>
  <si>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</si>
  <si>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</si>
  <si>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</si>
  <si>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</si>
  <si>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</si>
  <si>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</si>
  <si>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</si>
  <si>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</si>
  <si>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</si>
  <si>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</si>
  <si>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</si>
  <si>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</si>
  <si>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</si>
  <si>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</si>
  <si>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</si>
  <si>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</si>
  <si>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</si>
  <si>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</si>
  <si>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</si>
  <si>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</si>
  <si>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</si>
  <si>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</si>
  <si>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</si>
  <si>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</si>
  <si>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</si>
  <si>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</si>
  <si>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</si>
  <si>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</si>
  <si>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</si>
  <si>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</si>
  <si>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</si>
  <si>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</si>
  <si>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</si>
  <si>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</si>
  <si>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</si>
  <si>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</si>
  <si>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</si>
  <si>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</si>
  <si>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</si>
  <si>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</si>
  <si>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</si>
  <si>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</si>
  <si>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</si>
  <si>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</si>
  <si>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</si>
  <si>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</si>
  <si>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</si>
  <si>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</si>
  <si>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</si>
  <si>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</si>
  <si>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</si>
  <si>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</si>
  <si>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</si>
  <si>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</si>
  <si>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</si>
  <si>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</si>
  <si>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</si>
  <si>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</si>
  <si>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</si>
  <si>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</si>
  <si>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</si>
  <si>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</si>
  <si>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</si>
  <si>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</si>
  <si>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</si>
  <si>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</si>
  <si>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</si>
  <si>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</si>
  <si>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</si>
  <si>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</si>
  <si>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</si>
  <si>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</si>
  <si>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</si>
  <si>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</si>
  <si>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</si>
  <si>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</si>
  <si>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</si>
  <si>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</si>
  <si>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</si>
  <si>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</si>
  <si>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</si>
  <si>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</si>
  <si>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</si>
  <si>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</si>
  <si>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</si>
  <si>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</si>
  <si>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</si>
  <si>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</si>
  <si>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</si>
  <si>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</si>
  <si>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</si>
  <si>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</si>
  <si>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</si>
  <si>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</si>
  <si>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</si>
  <si>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</si>
  <si>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</si>
  <si>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</si>
  <si>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</si>
  <si>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</si>
  <si>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</si>
  <si>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</si>
  <si>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</si>
  <si>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</si>
  <si>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</si>
  <si>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</si>
  <si>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</si>
  <si>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</si>
  <si>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</si>
  <si>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</si>
  <si>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</si>
  <si>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</si>
  <si>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</si>
  <si>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</si>
  <si>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</si>
  <si>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</si>
  <si>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</si>
  <si>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</si>
  <si>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</si>
  <si>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</si>
  <si>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</si>
  <si>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</si>
  <si>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</si>
  <si>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</si>
  <si>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</si>
  <si>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</si>
  <si>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</si>
  <si>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</si>
  <si>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</si>
  <si>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</si>
  <si>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</si>
  <si>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</si>
  <si>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</si>
  <si>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</si>
  <si>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</si>
  <si>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</si>
  <si>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</si>
  <si>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</si>
  <si>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</si>
  <si>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</si>
  <si>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</si>
  <si>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</si>
  <si>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</si>
  <si>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</si>
  <si>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Beige</t>
  </si>
  <si>
    <t>Debes prestar atención a lo que lees 2.</t>
  </si>
  <si>
    <t>m</t>
  </si>
  <si>
    <t>m^{2}^</t>
  </si>
  <si>
    <t>m^{3}^</t>
  </si>
  <si>
    <t>m^{4}^</t>
  </si>
  <si>
    <t>m_{2}_</t>
  </si>
  <si>
    <t>m_{3}_</t>
  </si>
  <si>
    <t>\(\frac{\cos(x)}{x-1}-\frac{\sin(x)}{(x-1)^2}\)</t>
  </si>
  <si>
    <t>\(\frac{\cos^2(x)}{x-1}\)</t>
  </si>
  <si>
    <t>\(-\frac{\cos^2(x)}{x-1}\)</t>
  </si>
  <si>
    <t>mm</t>
  </si>
  <si>
    <t>mm^{2}^</t>
  </si>
  <si>
    <t>mm^{3}^</t>
  </si>
  <si>
    <t/>
  </si>
  <si>
    <t>P3</t>
  </si>
  <si>
    <t>P4</t>
  </si>
  <si>
    <t>Madrid</t>
  </si>
  <si>
    <t>madrid</t>
  </si>
  <si>
    <t>MADRID</t>
  </si>
  <si>
    <t>Portugal</t>
  </si>
  <si>
    <t>Cuarta pista</t>
  </si>
  <si>
    <t>Hint 1</t>
  </si>
  <si>
    <t>Hint 2</t>
  </si>
  <si>
    <t>Hint 3</t>
  </si>
  <si>
    <t>Hint 4</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</si>
  <si>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</si>
  <si>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</si>
  <si>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</si>
  <si>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</si>
  <si>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</si>
  <si>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</si>
  <si>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</si>
  <si>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</si>
  <si>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</si>
  <si>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</si>
  <si>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</si>
  <si>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</si>
  <si>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</si>
  <si>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</si>
  <si>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</si>
  <si>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</si>
  <si>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</si>
  <si>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</si>
  <si>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</si>
  <si>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</si>
  <si>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</si>
  <si>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</si>
  <si>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</si>
  <si>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</si>
  <si>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</si>
  <si>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Basic knowledge</t>
  </si>
  <si>
    <t>Link the pairs.</t>
  </si>
  <si>
    <t>one</t>
  </si>
  <si>
    <t>two</t>
  </si>
  <si>
    <t>three</t>
  </si>
  <si>
    <t>four</t>
  </si>
  <si>
    <t>five</t>
  </si>
  <si>
    <t>six</t>
  </si>
  <si>
    <t>seven</t>
  </si>
  <si>
    <t>Eight</t>
  </si>
  <si>
    <t>nine</t>
  </si>
  <si>
    <t>ten</t>
  </si>
  <si>
    <t>eleven</t>
  </si>
  <si>
    <t>twelve</t>
  </si>
  <si>
    <t>Numbers</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</si>
  <si>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</si>
  <si>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</si>
  <si>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</si>
  <si>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</si>
  <si>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</si>
  <si>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</si>
  <si>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</si>
  <si>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</si>
  <si>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</si>
  <si>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</si>
  <si>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</si>
  <si>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</si>
  <si>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</si>
  <si>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</si>
  <si>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</si>
  <si>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</si>
  <si>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</si>
  <si>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</si>
  <si>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</si>
  <si>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</si>
  <si>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</si>
  <si>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</si>
  <si>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</si>
  <si>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</si>
  <si>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</si>
  <si>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</si>
  <si>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</si>
  <si>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</si>
  <si>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</si>
  <si>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</si>
  <si>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</si>
  <si>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</si>
  <si>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</si>
  <si>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</si>
  <si>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</si>
  <si>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V - 4.5  - 08/11/2021</t>
  </si>
  <si>
    <t>MC +A</t>
  </si>
  <si>
    <t>OM +R</t>
  </si>
  <si>
    <t>Atención a la lectura</t>
  </si>
  <si>
    <t>¿De qué color es el caballo BLANCO de Santiago?</t>
  </si>
  <si>
    <t>Blanco</t>
  </si>
  <si>
    <t>Negro</t>
  </si>
  <si>
    <t>Marrón</t>
  </si>
  <si>
    <t>Gris</t>
  </si>
  <si>
    <t>Pardo</t>
  </si>
  <si>
    <t>Muy bien, veo que has leído bien la pregunta</t>
  </si>
  <si>
    <t>Debes prestar atención a lo que lees 1.</t>
  </si>
  <si>
    <t>Debes prestar atención a lo que lees 3.</t>
  </si>
  <si>
    <t>Debes prestar atención a lo que lees 4.</t>
  </si>
  <si>
    <t>Debes prestar atención a lo que lees 5.</t>
  </si>
  <si>
    <t>UNIDADES</t>
  </si>
  <si>
    <t>¿En qué unidades se mide la longitud?&lt;/p&gt;Lee bien la pregunta.</t>
  </si>
  <si>
    <t>MATEMÁTICAS</t>
  </si>
  <si>
    <t>¿Cuál es la derivada de la siguiente función? \(\frac{\sin(x)}{x-1}\)</t>
  </si>
  <si>
    <t>BLANCO</t>
  </si>
  <si>
    <t>blanco</t>
  </si>
  <si>
    <t>El caballo Blanco de Santiago es BLANCO</t>
  </si>
  <si>
    <t>Muy bien.</t>
  </si>
  <si>
    <t>Lee mejor la pregunta.</t>
  </si>
  <si>
    <t>Lectura</t>
  </si>
  <si>
    <t>El caballo NEGRO de Santiago es Blanco</t>
  </si>
  <si>
    <t>Muy bien, veo que has leído la pregunta</t>
  </si>
  <si>
    <t>Lee bien la pregunta</t>
  </si>
  <si>
    <t>Provincia</t>
  </si>
  <si>
    <t>Escribe una Capital de Provincia Andaluza. Cuidado con la ortografía.</t>
  </si>
  <si>
    <t>Cádiz</t>
  </si>
  <si>
    <t>Muy bien</t>
  </si>
  <si>
    <t>Sevilla</t>
  </si>
  <si>
    <t>Huelva</t>
  </si>
  <si>
    <t>Granada</t>
  </si>
  <si>
    <t>Jaén</t>
  </si>
  <si>
    <t>Córdoba</t>
  </si>
  <si>
    <t>Málaga</t>
  </si>
  <si>
    <t>Almería</t>
  </si>
  <si>
    <t>P1</t>
  </si>
  <si>
    <t>P2</t>
  </si>
  <si>
    <t>Países</t>
  </si>
  <si>
    <t>La Capital de España.</t>
  </si>
  <si>
    <t>Cuidado con la ortografía</t>
  </si>
  <si>
    <t>No escribas todo en mayúsculas.</t>
  </si>
  <si>
    <t>Verano</t>
  </si>
  <si>
    <t>En la playa de [[1]] nos invitaron a pizza, comida típica de [[7]]. Si sumamos 2 + 2 tenemos [[11]].</t>
  </si>
  <si>
    <t>España</t>
  </si>
  <si>
    <t>Italia</t>
  </si>
  <si>
    <t>Uno</t>
  </si>
  <si>
    <t>Dos</t>
  </si>
  <si>
    <t>Tres</t>
  </si>
  <si>
    <t>Cuatro</t>
  </si>
  <si>
    <t>Cinco</t>
  </si>
  <si>
    <t>Primera pista</t>
  </si>
  <si>
    <t>Segunda pista</t>
  </si>
  <si>
    <t>Tercera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</si>
  <si>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</si>
  <si>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</si>
  <si>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</si>
  <si>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</si>
  <si>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</si>
  <si>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</si>
  <si>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</si>
  <si>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</si>
  <si>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</si>
  <si>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</si>
  <si>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</si>
  <si>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Caballo de Santiago =&amp;gt; {1:SHORTANSWER:%100%Blanco#Muy bien~%0%Negro#Debes leer bien~%0%Marrón#Debes leer bien}&lt;br /&gt; 
Caballo de Santiago =&amp;gt; {1:SHORTANSWER_C:%100%Negro#Muy bien~%100%Blanco#Debes leer bien~%0%Marrón#Debes leer bien}&lt;br /&gt; 
Caballo de Santiago =&amp;gt; {1:MULTICHOICE:=Blanco#Muy bien~%-50%Negro#Debes leer bien~%-50%Marrón#Debes leer bien}&lt;br /&gt; 
Marca los Colores:&lt;br /&gt; {1:MCHS:=Blanco#Muy bien~=Silla#Muy bien~%-50%Mesa~%-50%Suelo}&lt;br /&gt; {1:MRHS:=Blanco#Muy bien~=Negro#Muy bien~%-50%Mesa~%-50%Silla}&lt;br /&gt; 
{1:MRS:=Blanco#Muy bien~=Naranja#Correcto~=Azul~%-50%Mesa~%-50%Silla#No es un color~%-50%Boli}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</si>
</sst>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2">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7" fillId="16" borderId="0" xfId="0" applyNumberFormat="1" applyFont="1" applyFill="1" applyBorder="1" applyAlignment="1" applyProtection="1">
      <alignment horizontal="center" vertical="center" wrapText="1"/>
    </xf>
    <xf numFmtId="0" fontId="7" fillId="16" borderId="0" xfId="0" applyNumberFormat="1" applyFont="1" applyFill="1" applyBorder="1" applyAlignment="1" applyProtection="1">
      <alignment horizontal="center" wrapText="1"/>
    </xf>
    <xf numFmtId="0" fontId="4" fillId="2" borderId="0" xfId="0" applyFont="1" applyFill="1" applyBorder="1"/>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92">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28</xdr:row>
      <xdr:rowOff>78190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91">
  <autoFilter ref="A38:B45">
    <filterColumn colId="0" hiddenButton="1"/>
    <filterColumn colId="1" hiddenButton="1"/>
  </autoFilter>
  <tableColumns count="2">
    <tableColumn id="1" name="NOMBRE" dataDxfId="290"/>
    <tableColumn id="2" name="SIGLA" dataDxfId="289"/>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8">
      <calculatedColumnFormula>IF(COUNTIF(Tabla_OM[[#This Row],[Puntos 1]:[Puntos 6]],"&gt;0")=0,"",COUNTIF(Tabla_OM[[#This Row],[Puntos 1]:[Puntos 6]],"&gt;0"))</calculatedColumnFormula>
    </tableColumn>
    <tableColumn id="2" name="NRI" dataDxfId="287">
      <calculatedColumnFormula>IF(Tabla_OM[[#This Row],[NRC]]="","",COUNTA(Tabla_OM[[#This Row],[Respuesta 1]:[Respuesta 6]])-Tabla_OM[[#This Row],[NRC]])</calculatedColumnFormula>
    </tableColumn>
    <tableColumn id="3" name="Columna1" dataDxfId="286"/>
    <tableColumn id="4" name="Columna2" dataDxfId="285"/>
    <tableColumn id="5" name="Descripcion" dataDxfId="217"/>
    <tableColumn id="6" name="Enunciado" dataDxfId="216"/>
    <tableColumn id="7" name="Respuesta 1" dataDxfId="215"/>
    <tableColumn id="8" name="Respuesta 2" dataDxfId="214"/>
    <tableColumn id="9" name="Respuesta 3" dataDxfId="213"/>
    <tableColumn id="10" name="Respuesta 4" dataDxfId="212"/>
    <tableColumn id="11" name="Respuesta 5" dataDxfId="211"/>
    <tableColumn id="12" name="Respuesta 6" dataDxfId="210"/>
    <tableColumn id="13" name="Retroalim. 1" dataDxfId="209"/>
    <tableColumn id="14" name="Retroalim. 2" dataDxfId="208"/>
    <tableColumn id="15" name="Retroalim. 3" dataDxfId="207"/>
    <tableColumn id="16" name="Retroalim. 4" dataDxfId="206"/>
    <tableColumn id="17" name="Retroalim. 5" dataDxfId="205"/>
    <tableColumn id="18" name="Retroalim. 6" dataDxfId="204"/>
    <tableColumn id="19" name="Puntos 1" dataDxfId="203"/>
    <tableColumn id="20" name="Puntos 2" dataDxfId="202"/>
    <tableColumn id="21" name="Puntos 3" dataDxfId="201"/>
    <tableColumn id="22" name="Puntos 4" dataDxfId="200"/>
    <tableColumn id="23" name="Puntos 5" dataDxfId="199"/>
    <tableColumn id="24" name="Puntos 6" dataDxfId="198"/>
    <tableColumn id="25" name="Puntos 7" dataDxfId="197"/>
    <tableColumn id="26" name="Puntos 8" dataDxfId="196"/>
    <tableColumn id="27" name="Puntos 9" dataDxfId="195"/>
    <tableColumn id="28" name="Puntos 10" dataDxfId="194"/>
    <tableColumn id="29" name="Puntos 11" dataDxfId="193"/>
    <tableColumn id="30" name="Puntos 12" dataDxfId="192"/>
    <tableColumn id="31" name="Pista 1" dataDxfId="191"/>
    <tableColumn id="32" name="Pista 2" dataDxfId="190"/>
    <tableColumn id="33" name="Pista 3" dataDxfId="189"/>
    <tableColumn id="34" name="Pista 4" dataDxfId="188"/>
    <tableColumn id="35" name="Imagen" dataDxfId="187"/>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4">
      <calculatedColumnFormula>IF(COUNTIF(Tabla_O2[[#This Row],[Puntos 1]:[Puntos 6]],"&gt;0")=0,"",COUNTIF(Tabla_O2[[#This Row],[Puntos 1]:[Puntos 6]],"&gt;0"))</calculatedColumnFormula>
    </tableColumn>
    <tableColumn id="2" name="NRI" dataDxfId="283">
      <calculatedColumnFormula>IF(Tabla_O2[[#This Row],[NRC]]="","",COUNTA(Tabla_O2[[#This Row],[Respuesta 1]:[Respuesta 6]])-Tabla_O2[[#This Row],[NRC]])</calculatedColumnFormula>
    </tableColumn>
    <tableColumn id="3" name="Columna1" dataDxfId="282"/>
    <tableColumn id="4" name="Columna2" dataDxfId="281"/>
    <tableColumn id="5" name="Descripcion" dataDxfId="186"/>
    <tableColumn id="6" name="Enunciado" dataDxfId="185"/>
    <tableColumn id="7" name="Respuesta 1" dataDxfId="184"/>
    <tableColumn id="8" name="Respuesta 2" dataDxfId="183"/>
    <tableColumn id="9" name="Respuesta 3" dataDxfId="182"/>
    <tableColumn id="10" name="Respuesta 4" dataDxfId="181"/>
    <tableColumn id="11" name="Respuesta 5" dataDxfId="180"/>
    <tableColumn id="12" name="Respuesta 6" dataDxfId="179"/>
    <tableColumn id="13" name="Retroalim. 1" dataDxfId="178"/>
    <tableColumn id="14" name="Retroalim. 2" dataDxfId="177"/>
    <tableColumn id="15" name="Retroalim. 3" dataDxfId="176"/>
    <tableColumn id="16" name="Retroalim. 4" dataDxfId="175"/>
    <tableColumn id="17" name="Retroalim. 5" dataDxfId="174"/>
    <tableColumn id="18" name="Retroalim. 6" dataDxfId="173"/>
    <tableColumn id="19" name="Puntos 1" dataDxfId="172"/>
    <tableColumn id="20" name="Puntos 2" dataDxfId="171"/>
    <tableColumn id="21" name="Puntos 3" dataDxfId="170"/>
    <tableColumn id="22" name="Puntos 4" dataDxfId="169"/>
    <tableColumn id="23" name="Puntos 5" dataDxfId="168"/>
    <tableColumn id="24" name="Puntos 6" dataDxfId="167"/>
    <tableColumn id="25" name="Puntos 7" dataDxfId="166"/>
    <tableColumn id="26" name="Puntos 8" dataDxfId="165"/>
    <tableColumn id="27" name="Puntos 9" dataDxfId="164"/>
    <tableColumn id="28" name="Puntos 10" dataDxfId="163"/>
    <tableColumn id="29" name="Puntos 11" dataDxfId="162"/>
    <tableColumn id="30" name="Puntos 12" dataDxfId="161"/>
    <tableColumn id="31" name="Pista 1" dataDxfId="160"/>
    <tableColumn id="32" name="Pista 2" dataDxfId="159"/>
    <tableColumn id="33" name="Pista 3" dataDxfId="158"/>
    <tableColumn id="34" name="Pista 4" dataDxfId="157"/>
    <tableColumn id="35" name="Imagen" dataDxfId="156"/>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80"/>
    <tableColumn id="2" name="C2" dataDxfId="279"/>
    <tableColumn id="3" name="Columna3" dataDxfId="278"/>
    <tableColumn id="4" name="Columna4" dataDxfId="277"/>
    <tableColumn id="5" name="Descripcion" dataDxfId="155"/>
    <tableColumn id="6" name="Enunciado" dataDxfId="154"/>
    <tableColumn id="7" name="Respuesta 1" dataDxfId="153"/>
    <tableColumn id="8" name="Retroalim. 1" dataDxfId="152"/>
    <tableColumn id="9" name="Retroalim. 2" dataDxfId="151"/>
    <tableColumn id="10" name="Columna5" dataDxfId="150"/>
    <tableColumn id="11" name="Columna6" dataDxfId="149"/>
    <tableColumn id="12" name="Columna7" dataDxfId="148"/>
    <tableColumn id="13" name="Columna8" dataDxfId="147"/>
    <tableColumn id="14" name="Columna9" dataDxfId="146"/>
    <tableColumn id="15" name="Columna10" dataDxfId="145"/>
    <tableColumn id="16" name="Columna11" dataDxfId="144"/>
    <tableColumn id="17" name="Columna12" dataDxfId="143"/>
    <tableColumn id="18" name="Columna13" dataDxfId="142"/>
    <tableColumn id="19" name="Columna14" dataDxfId="141"/>
    <tableColumn id="20" name="Columna15" dataDxfId="140"/>
    <tableColumn id="21" name="Columna16" dataDxfId="139"/>
    <tableColumn id="22" name="Columna17" dataDxfId="138"/>
    <tableColumn id="23" name="Columna18" dataDxfId="137"/>
    <tableColumn id="24" name="Columna19" dataDxfId="136"/>
    <tableColumn id="25" name="Columna20" dataDxfId="135"/>
    <tableColumn id="26" name="Columna21" dataDxfId="134"/>
    <tableColumn id="27" name="Columna22" dataDxfId="133"/>
    <tableColumn id="28" name="Columna23" dataDxfId="132"/>
    <tableColumn id="29" name="Columna24" dataDxfId="131"/>
    <tableColumn id="30" name="Columna25" dataDxfId="130"/>
    <tableColumn id="31" name="Pista 1" dataDxfId="129"/>
    <tableColumn id="32" name="Pista 2" dataDxfId="128"/>
    <tableColumn id="33" name="Pista 3" dataDxfId="127"/>
    <tableColumn id="34" name="Pista 4" dataDxfId="126"/>
    <tableColumn id="35" name="Imagen" dataDxfId="125"/>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76">
      <calculatedColumnFormula>IF(COUNTA(Tabla_EM[[#This Row],[Pareja  01.1]:[Pareja  12.14]])/2=0,"",COUNTA(Tabla_EM[[#This Row],[Pareja  01.1]:[Pareja  12.14]])/2)</calculatedColumnFormula>
    </tableColumn>
    <tableColumn id="2" name="C1" dataDxfId="275"/>
    <tableColumn id="3" name="Columna2" dataDxfId="274"/>
    <tableColumn id="4" name="Columna3" dataDxfId="273"/>
    <tableColumn id="5" name="Descripcion" dataDxfId="272"/>
    <tableColumn id="6" name="Enunciado" dataDxfId="271"/>
    <tableColumn id="7" name="Pareja  01.1" dataDxfId="270"/>
    <tableColumn id="8" name="Pareja  01.2" dataDxfId="269"/>
    <tableColumn id="9" name="Pareja  02.1" dataDxfId="268"/>
    <tableColumn id="10" name="Pareja  02.2" dataDxfId="267"/>
    <tableColumn id="11" name="Pareja  03.1" dataDxfId="266"/>
    <tableColumn id="12" name="Pareja  03.2" dataDxfId="265"/>
    <tableColumn id="13" name="Pareja  04.1" dataDxfId="264"/>
    <tableColumn id="14" name="Pareja  04.2" dataDxfId="263"/>
    <tableColumn id="15" name="Pareja  05.1" dataDxfId="262"/>
    <tableColumn id="16" name="Pareja  05.2" dataDxfId="261"/>
    <tableColumn id="17" name="Pareja  06.1" dataDxfId="260"/>
    <tableColumn id="18" name="Pareja  06.2" dataDxfId="259"/>
    <tableColumn id="19" name="Pareja  07.1" dataDxfId="258"/>
    <tableColumn id="20" name="Pareja  07.2" dataDxfId="257"/>
    <tableColumn id="21" name="Pareja  08.1" dataDxfId="256"/>
    <tableColumn id="22" name="Pareja  08.2" dataDxfId="255"/>
    <tableColumn id="23" name="Pareja  09.1" dataDxfId="254"/>
    <tableColumn id="24" name="Pareja  09.2" dataDxfId="253"/>
    <tableColumn id="25" name="Pareja  10.1" dataDxfId="252"/>
    <tableColumn id="26" name="Pareja  10.2" dataDxfId="251"/>
    <tableColumn id="27" name="Pareja  11.1" dataDxfId="250"/>
    <tableColumn id="28" name="Pareja  11.2" dataDxfId="249"/>
    <tableColumn id="29" name="Pareja  12.1" dataDxfId="248"/>
    <tableColumn id="30" name="Pareja  12.14" dataDxfId="247"/>
    <tableColumn id="31" name="Pista 1" dataDxfId="246"/>
    <tableColumn id="32" name="Pista 2" dataDxfId="245"/>
    <tableColumn id="33" name="Pista 3" dataDxfId="244"/>
    <tableColumn id="34" name="Pista 4" dataDxfId="243"/>
    <tableColumn id="35" name="Imagen" dataDxfId="242"/>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241">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240"/>
    <tableColumn id="3" name="Columna2" dataDxfId="239"/>
    <tableColumn id="4" name="May" dataDxfId="124"/>
    <tableColumn id="5" name="Descripcion" dataDxfId="123"/>
    <tableColumn id="6" name="Enunciado" dataDxfId="122"/>
    <tableColumn id="7" name="Respuesta 01" dataDxfId="121"/>
    <tableColumn id="8" name="Puntos 01" dataDxfId="120"/>
    <tableColumn id="9" name="Retroalim. 01" dataDxfId="119"/>
    <tableColumn id="10" name="Respuesta 02" dataDxfId="118"/>
    <tableColumn id="11" name="Puntos 02" dataDxfId="117"/>
    <tableColumn id="12" name="Retroalim. 02" dataDxfId="116"/>
    <tableColumn id="13" name="Respuesta 03" dataDxfId="115"/>
    <tableColumn id="14" name="Puntos 03" dataDxfId="114"/>
    <tableColumn id="15" name="Retroalim. 03" dataDxfId="113"/>
    <tableColumn id="16" name="Respuesta 04" dataDxfId="112"/>
    <tableColumn id="17" name="Puntos 04" dataDxfId="111"/>
    <tableColumn id="18" name="Retroalim. 04" dataDxfId="110"/>
    <tableColumn id="19" name="Respuesta 05" dataDxfId="109"/>
    <tableColumn id="20" name="Puntos 05" dataDxfId="108"/>
    <tableColumn id="21" name="Retroalim. 05" dataDxfId="107"/>
    <tableColumn id="22" name="Respuesta 06" dataDxfId="106"/>
    <tableColumn id="23" name="Puntos 06" dataDxfId="105"/>
    <tableColumn id="24" name="Retroalim. 06" dataDxfId="104"/>
    <tableColumn id="25" name="Respuesta 07" dataDxfId="103"/>
    <tableColumn id="26" name="Puntos 07" dataDxfId="102"/>
    <tableColumn id="27" name="Retroalim. 07" dataDxfId="101"/>
    <tableColumn id="28" name="Respuesta 08" dataDxfId="100"/>
    <tableColumn id="29" name="Puntos 08" dataDxfId="99"/>
    <tableColumn id="30" name="Retroalim. 08" dataDxfId="98"/>
    <tableColumn id="31" name="Pista 1" dataDxfId="97"/>
    <tableColumn id="32" name="Pista 2" dataDxfId="96"/>
    <tableColumn id="33" name="Pista 3" dataDxfId="95"/>
    <tableColumn id="34" name="Pista 4" dataDxfId="94"/>
    <tableColumn id="35" name="Imagen" dataDxfId="9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238" dataDxfId="237">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236">
      <calculatedColumnFormula>IF(COUNTA(Tabla_PP[[#This Row],[GP 01]:[P 12]])/2=0,"",COUNTA(Tabla_PP[[#This Row],[GP 01]:[P 12]])/2)</calculatedColumnFormula>
    </tableColumn>
    <tableColumn id="2" name="C1" dataDxfId="235"/>
    <tableColumn id="3" name="Columna2" dataDxfId="234"/>
    <tableColumn id="4" name="Columna3" dataDxfId="233"/>
    <tableColumn id="5" name="Descripcion" dataDxfId="92"/>
    <tableColumn id="6" name="Enunciado" dataDxfId="91"/>
    <tableColumn id="7" name="GP 01" dataDxfId="90"/>
    <tableColumn id="8" name="P 01" dataDxfId="89"/>
    <tableColumn id="9" name="GP 02" dataDxfId="88"/>
    <tableColumn id="10" name="P 02" dataDxfId="87"/>
    <tableColumn id="11" name="GP 03" dataDxfId="86"/>
    <tableColumn id="12" name="P 03" dataDxfId="85"/>
    <tableColumn id="13" name="GP 04" dataDxfId="84"/>
    <tableColumn id="14" name="P 04" dataDxfId="83"/>
    <tableColumn id="15" name="GP 05" dataDxfId="82"/>
    <tableColumn id="16" name="P 05" dataDxfId="81"/>
    <tableColumn id="17" name="GP 06" dataDxfId="80"/>
    <tableColumn id="18" name="P 06" dataDxfId="79"/>
    <tableColumn id="19" name="GP 07" dataDxfId="78"/>
    <tableColumn id="20" name="P 07" dataDxfId="77"/>
    <tableColumn id="21" name="GP 08" dataDxfId="76"/>
    <tableColumn id="22" name="P 08" dataDxfId="75"/>
    <tableColumn id="23" name="GP 09" dataDxfId="74"/>
    <tableColumn id="24" name="P 09" dataDxfId="73"/>
    <tableColumn id="25" name="GP 10" dataDxfId="72"/>
    <tableColumn id="26" name="P 10" dataDxfId="71"/>
    <tableColumn id="27" name="GP 11" dataDxfId="70"/>
    <tableColumn id="28" name="P 11" dataDxfId="69"/>
    <tableColumn id="29" name="GP 12" dataDxfId="68"/>
    <tableColumn id="30" name="P 12" dataDxfId="67"/>
    <tableColumn id="31" name="Pista 1" dataDxfId="66"/>
    <tableColumn id="32" name="Pista 2" dataDxfId="65"/>
    <tableColumn id="33" name="Pista 3" dataDxfId="64"/>
    <tableColumn id="34" name="Pista 4" dataDxfId="63"/>
    <tableColumn id="35" name="Imagen" dataDxfId="62"/>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228">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27"/>
    <tableColumn id="2" name="C2" dataDxfId="226"/>
    <tableColumn id="3" name="Columna1" dataDxfId="225"/>
    <tableColumn id="4" name="Columna2" dataDxfId="224"/>
    <tableColumn id="5" name="Descripción" dataDxfId="61"/>
    <tableColumn id="6" name="FastTest PlugIn - ENSAYO_x000a__x000a_Enunciado de la pregunta" dataDxfId="60"/>
    <tableColumn id="7" name="Formato de la Respuesta_x000a_Requerir texto" dataDxfId="59"/>
    <tableColumn id="8" name="Requerir texto" dataDxfId="58"/>
    <tableColumn id="9" name="Tamaño de la caja de entrada" dataDxfId="57"/>
    <tableColumn id="10" name="Permitir archivos adjuntos" dataDxfId="56"/>
    <tableColumn id="11" name="Archivos adjuntos requeridos" dataDxfId="55"/>
    <tableColumn id="12" name="Plantilla de Respuesta" dataDxfId="54"/>
    <tableColumn id="13" name="Información para el evaluador" dataDxfId="53"/>
    <tableColumn id="14" name="Columna3" dataDxfId="52"/>
    <tableColumn id="15" name="Columna4" dataDxfId="51"/>
    <tableColumn id="16" name="Columna5" dataDxfId="50"/>
    <tableColumn id="17" name="Columna6" dataDxfId="49"/>
    <tableColumn id="18" name="Columna7" dataDxfId="48"/>
    <tableColumn id="19" name="Columna8" dataDxfId="47"/>
    <tableColumn id="20" name="Columna9" dataDxfId="46"/>
    <tableColumn id="21" name="Columna10" dataDxfId="45"/>
    <tableColumn id="22" name="Columna11" dataDxfId="44"/>
    <tableColumn id="23" name="Columna12" dataDxfId="43"/>
    <tableColumn id="24" name="Columna13" dataDxfId="42"/>
    <tableColumn id="25" name="Columna14" dataDxfId="41"/>
    <tableColumn id="26" name="Columna15" dataDxfId="40"/>
    <tableColumn id="27" name="Columna16" dataDxfId="39"/>
    <tableColumn id="28" name="Columna17" dataDxfId="38"/>
    <tableColumn id="29" name="Columna18" dataDxfId="37"/>
    <tableColumn id="30" name="Columna19" dataDxfId="36"/>
    <tableColumn id="31" name="Columna20" dataDxfId="35"/>
    <tableColumn id="32" name="Columna21" dataDxfId="34"/>
    <tableColumn id="33" name="Columna22" dataDxfId="33"/>
    <tableColumn id="34" name="Columna23" dataDxfId="32"/>
    <tableColumn id="35" name="Imagen" dataDxfId="31"/>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223" dataDxfId="222">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21"/>
    <tableColumn id="2" name="C2" dataDxfId="220"/>
    <tableColumn id="3" name="Columna1" dataDxfId="219"/>
    <tableColumn id="4" name="Columna2" dataDxfId="218"/>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5"/>
  <sheetViews>
    <sheetView showGridLines="0" showRowColHeaders="0" tabSelected="1" zoomScale="134" zoomScaleNormal="134" workbookViewId="0">
      <pane xSplit="26" ySplit="55" topLeftCell="AB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88" t="s">
        <v>387</v>
      </c>
      <c r="B1" s="279" t="s">
        <v>5</v>
      </c>
      <c r="C1" s="280"/>
      <c r="D1" s="280"/>
      <c r="E1" s="280"/>
      <c r="F1" s="280"/>
      <c r="G1" s="280"/>
      <c r="H1" s="280"/>
      <c r="I1" s="280"/>
      <c r="J1" s="280"/>
      <c r="K1" s="280"/>
      <c r="L1" s="280"/>
      <c r="M1" s="280"/>
      <c r="N1" s="280"/>
      <c r="O1" s="280"/>
      <c r="P1" s="280"/>
      <c r="Q1" s="280"/>
      <c r="R1" s="280"/>
      <c r="S1" s="281"/>
    </row>
    <row r="2" spans="1:19" ht="6" customHeight="1" x14ac:dyDescent="0.25">
      <c r="A2" s="289"/>
      <c r="B2" s="7"/>
      <c r="C2" s="8"/>
      <c r="D2" s="8"/>
      <c r="E2" s="8"/>
      <c r="F2" s="8"/>
      <c r="G2" s="8"/>
      <c r="H2" s="8"/>
      <c r="I2" s="8"/>
      <c r="J2" s="8"/>
      <c r="K2" s="8"/>
      <c r="L2" s="8"/>
      <c r="M2" s="8"/>
      <c r="N2" s="8"/>
      <c r="O2" s="8"/>
      <c r="P2" s="8"/>
      <c r="Q2" s="8"/>
      <c r="R2" s="8"/>
      <c r="S2" s="9"/>
    </row>
    <row r="3" spans="1:19" x14ac:dyDescent="0.25">
      <c r="A3" s="289"/>
      <c r="B3" s="7"/>
      <c r="C3" s="8"/>
      <c r="D3" s="8"/>
      <c r="E3" s="8"/>
      <c r="F3" s="8"/>
      <c r="G3" s="295" t="str">
        <f ca="1">INDIRECT("Z_IN_04_"&amp;IDIOMA)</f>
        <v>Esta Aplicación ha sido desarrollada, en la primera versión, por:</v>
      </c>
      <c r="H3" s="295"/>
      <c r="I3" s="295"/>
      <c r="J3" s="295"/>
      <c r="K3" s="295"/>
      <c r="L3" s="295"/>
      <c r="M3" s="295"/>
      <c r="N3" s="295"/>
      <c r="O3" s="8"/>
      <c r="P3" s="8"/>
      <c r="Q3" s="8"/>
      <c r="R3" s="8"/>
      <c r="S3" s="9"/>
    </row>
    <row r="4" spans="1:19" ht="6" customHeight="1" x14ac:dyDescent="0.25">
      <c r="A4" s="289"/>
      <c r="B4" s="7"/>
      <c r="C4" s="8"/>
      <c r="D4" s="8"/>
      <c r="E4" s="8"/>
      <c r="F4" s="8"/>
      <c r="G4" s="8"/>
      <c r="H4" s="8"/>
      <c r="I4" s="8"/>
      <c r="J4" s="8"/>
      <c r="K4" s="8"/>
      <c r="L4" s="8"/>
      <c r="M4" s="8"/>
      <c r="N4" s="8"/>
      <c r="O4" s="8"/>
      <c r="P4" s="8"/>
      <c r="Q4" s="8"/>
      <c r="R4" s="8"/>
      <c r="S4" s="9"/>
    </row>
    <row r="5" spans="1:19" ht="15.75" customHeight="1" x14ac:dyDescent="0.25">
      <c r="A5" s="289"/>
      <c r="B5" s="7"/>
      <c r="C5" s="8"/>
      <c r="D5" s="8"/>
      <c r="E5" s="8"/>
      <c r="F5" s="287"/>
      <c r="G5" s="287"/>
      <c r="H5" s="199"/>
      <c r="I5" s="296" t="s">
        <v>0</v>
      </c>
      <c r="J5" s="296"/>
      <c r="K5" s="296"/>
      <c r="L5" s="296"/>
      <c r="M5" s="198"/>
      <c r="N5" s="271"/>
      <c r="O5" s="271"/>
      <c r="P5" s="8"/>
      <c r="Q5" s="8"/>
      <c r="R5" s="8"/>
      <c r="S5" s="9"/>
    </row>
    <row r="6" spans="1:19" ht="6" customHeight="1" x14ac:dyDescent="0.25">
      <c r="A6" s="289"/>
      <c r="B6" s="7"/>
      <c r="C6" s="8"/>
      <c r="D6" s="8"/>
      <c r="E6" s="8"/>
      <c r="F6" s="287"/>
      <c r="G6" s="287"/>
      <c r="H6" s="199"/>
      <c r="I6" s="8"/>
      <c r="J6" s="8"/>
      <c r="K6" s="8"/>
      <c r="L6" s="8"/>
      <c r="M6" s="198"/>
      <c r="N6" s="271"/>
      <c r="O6" s="271"/>
      <c r="P6" s="298" t="str">
        <f ca="1">INDIRECT("Z_IN_01_"&amp;IDIOMA)</f>
        <v>CANAL YOUTUBE</v>
      </c>
      <c r="Q6" s="298"/>
      <c r="R6" s="298"/>
      <c r="S6" s="9"/>
    </row>
    <row r="7" spans="1:19" ht="15" customHeight="1" x14ac:dyDescent="0.25">
      <c r="A7" s="289"/>
      <c r="B7" s="7"/>
      <c r="C7" s="8"/>
      <c r="D7" s="8"/>
      <c r="E7" s="8"/>
      <c r="F7" s="287"/>
      <c r="G7" s="287"/>
      <c r="H7" s="199"/>
      <c r="I7" s="295" t="str">
        <f ca="1">INDIRECT("Z_IN_05_"&amp;IDIOMA)</f>
        <v>Universidad de Cádiz</v>
      </c>
      <c r="J7" s="295"/>
      <c r="K7" s="295"/>
      <c r="L7" s="295"/>
      <c r="M7" s="198"/>
      <c r="N7" s="271"/>
      <c r="O7" s="271"/>
      <c r="P7" s="298"/>
      <c r="Q7" s="298"/>
      <c r="R7" s="298"/>
      <c r="S7" s="9"/>
    </row>
    <row r="8" spans="1:19" ht="6" customHeight="1" x14ac:dyDescent="0.25">
      <c r="A8" s="289"/>
      <c r="B8" s="7"/>
      <c r="C8" s="8"/>
      <c r="D8" s="8"/>
      <c r="E8" s="8"/>
      <c r="F8" s="287"/>
      <c r="G8" s="287"/>
      <c r="H8" s="199"/>
      <c r="I8" s="8"/>
      <c r="J8" s="8"/>
      <c r="K8" s="8"/>
      <c r="L8" s="8"/>
      <c r="M8" s="198"/>
      <c r="N8" s="271"/>
      <c r="O8" s="271"/>
      <c r="P8" s="8"/>
      <c r="Q8" s="8"/>
      <c r="R8" s="8"/>
      <c r="S8" s="9"/>
    </row>
    <row r="9" spans="1:19" ht="15.75" thickBot="1" x14ac:dyDescent="0.3">
      <c r="A9" s="290"/>
      <c r="B9" s="7"/>
      <c r="C9" s="282" t="str">
        <f ca="1">INDIRECT("Z_IN_03_"&amp;IDIOMA)</f>
        <v>LEER CON ATENCIÓN</v>
      </c>
      <c r="D9" s="282"/>
      <c r="E9" s="8"/>
      <c r="F9" s="287"/>
      <c r="G9" s="287"/>
      <c r="H9" s="199"/>
      <c r="I9" s="297" t="s">
        <v>10</v>
      </c>
      <c r="J9" s="297"/>
      <c r="K9" s="297"/>
      <c r="L9" s="297"/>
      <c r="M9" s="198"/>
      <c r="N9" s="271"/>
      <c r="O9" s="271"/>
      <c r="P9" s="299" t="s">
        <v>550</v>
      </c>
      <c r="Q9" s="299"/>
      <c r="R9" s="299"/>
      <c r="S9" s="9"/>
    </row>
    <row r="10" spans="1:19" ht="6" customHeight="1" x14ac:dyDescent="0.25">
      <c r="B10" s="7"/>
      <c r="C10" s="8"/>
      <c r="D10" s="8"/>
      <c r="E10" s="8"/>
      <c r="F10" s="287"/>
      <c r="G10" s="287"/>
      <c r="H10" s="199"/>
      <c r="I10" s="8"/>
      <c r="J10" s="8"/>
      <c r="K10" s="8"/>
      <c r="L10" s="8"/>
      <c r="M10" s="198"/>
      <c r="N10" s="271"/>
      <c r="O10" s="271"/>
      <c r="P10" s="8"/>
      <c r="Q10" s="8"/>
      <c r="R10" s="8"/>
      <c r="S10" s="9"/>
    </row>
    <row r="11" spans="1:19" ht="15" customHeight="1" x14ac:dyDescent="0.25">
      <c r="A11" s="291" t="s">
        <v>12</v>
      </c>
      <c r="B11" s="7"/>
      <c r="C11" s="8"/>
      <c r="D11" s="28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83"/>
      <c r="F11" s="283"/>
      <c r="G11" s="283"/>
      <c r="H11" s="283"/>
      <c r="I11" s="283"/>
      <c r="J11" s="283"/>
      <c r="K11" s="283"/>
      <c r="L11" s="283"/>
      <c r="M11" s="283"/>
      <c r="N11" s="283"/>
      <c r="O11" s="283"/>
      <c r="P11" s="283"/>
      <c r="Q11" s="283"/>
      <c r="R11" s="283"/>
      <c r="S11" s="9"/>
    </row>
    <row r="12" spans="1:19" ht="6" customHeight="1" x14ac:dyDescent="0.25">
      <c r="A12" s="291"/>
      <c r="B12" s="7"/>
      <c r="C12" s="8"/>
      <c r="D12" s="283"/>
      <c r="E12" s="283"/>
      <c r="F12" s="283"/>
      <c r="G12" s="283"/>
      <c r="H12" s="283"/>
      <c r="I12" s="283"/>
      <c r="J12" s="283"/>
      <c r="K12" s="283"/>
      <c r="L12" s="283"/>
      <c r="M12" s="283"/>
      <c r="N12" s="283"/>
      <c r="O12" s="283"/>
      <c r="P12" s="283"/>
      <c r="Q12" s="283"/>
      <c r="R12" s="283"/>
      <c r="S12" s="9"/>
    </row>
    <row r="13" spans="1:19" x14ac:dyDescent="0.25">
      <c r="A13" s="291"/>
      <c r="B13" s="7"/>
      <c r="C13" s="8"/>
      <c r="D13" s="283"/>
      <c r="E13" s="283"/>
      <c r="F13" s="283"/>
      <c r="G13" s="283"/>
      <c r="H13" s="283"/>
      <c r="I13" s="283"/>
      <c r="J13" s="283"/>
      <c r="K13" s="283"/>
      <c r="L13" s="283"/>
      <c r="M13" s="283"/>
      <c r="N13" s="283"/>
      <c r="O13" s="283"/>
      <c r="P13" s="283"/>
      <c r="Q13" s="283"/>
      <c r="R13" s="283"/>
      <c r="S13" s="9"/>
    </row>
    <row r="14" spans="1:19" ht="6" customHeight="1" x14ac:dyDescent="0.25">
      <c r="B14" s="7"/>
      <c r="C14" s="8"/>
      <c r="D14" s="283"/>
      <c r="E14" s="283"/>
      <c r="F14" s="283"/>
      <c r="G14" s="283"/>
      <c r="H14" s="283"/>
      <c r="I14" s="283"/>
      <c r="J14" s="283"/>
      <c r="K14" s="283"/>
      <c r="L14" s="283"/>
      <c r="M14" s="283"/>
      <c r="N14" s="283"/>
      <c r="O14" s="283"/>
      <c r="P14" s="283"/>
      <c r="Q14" s="283"/>
      <c r="R14" s="283"/>
      <c r="S14" s="9"/>
    </row>
    <row r="15" spans="1:19" x14ac:dyDescent="0.25">
      <c r="B15" s="7"/>
      <c r="C15" s="8"/>
      <c r="D15" s="283"/>
      <c r="E15" s="283"/>
      <c r="F15" s="283"/>
      <c r="G15" s="283"/>
      <c r="H15" s="283"/>
      <c r="I15" s="283"/>
      <c r="J15" s="283"/>
      <c r="K15" s="283"/>
      <c r="L15" s="283"/>
      <c r="M15" s="283"/>
      <c r="N15" s="283"/>
      <c r="O15" s="283"/>
      <c r="P15" s="283"/>
      <c r="Q15" s="283"/>
      <c r="R15" s="283"/>
      <c r="S15" s="9"/>
    </row>
    <row r="16" spans="1:19" ht="6" customHeight="1" x14ac:dyDescent="0.25">
      <c r="B16" s="7"/>
      <c r="C16" s="8"/>
      <c r="D16" s="283"/>
      <c r="E16" s="283"/>
      <c r="F16" s="283"/>
      <c r="G16" s="283"/>
      <c r="H16" s="283"/>
      <c r="I16" s="283"/>
      <c r="J16" s="283"/>
      <c r="K16" s="283"/>
      <c r="L16" s="283"/>
      <c r="M16" s="283"/>
      <c r="N16" s="283"/>
      <c r="O16" s="283"/>
      <c r="P16" s="283"/>
      <c r="Q16" s="283"/>
      <c r="R16" s="283"/>
      <c r="S16" s="9"/>
    </row>
    <row r="17" spans="1:19" x14ac:dyDescent="0.25">
      <c r="A17" s="292" t="str">
        <f>IFERROR(HLOOKUP(LANGUAGE,DICCIONARIO!F1:K20,20,0),LANGUAGE)</f>
        <v>PERSONALIZAR DICCIONARIO</v>
      </c>
      <c r="B17" s="7"/>
      <c r="C17" s="8"/>
      <c r="D17" s="283"/>
      <c r="E17" s="283"/>
      <c r="F17" s="283"/>
      <c r="G17" s="283"/>
      <c r="H17" s="283"/>
      <c r="I17" s="283"/>
      <c r="J17" s="283"/>
      <c r="K17" s="283"/>
      <c r="L17" s="283"/>
      <c r="M17" s="283"/>
      <c r="N17" s="283"/>
      <c r="O17" s="283"/>
      <c r="P17" s="283"/>
      <c r="Q17" s="283"/>
      <c r="R17" s="283"/>
      <c r="S17" s="9"/>
    </row>
    <row r="18" spans="1:19" ht="6" customHeight="1" x14ac:dyDescent="0.25">
      <c r="A18" s="292"/>
      <c r="B18" s="7"/>
      <c r="C18" s="8"/>
      <c r="D18" s="283"/>
      <c r="E18" s="283"/>
      <c r="F18" s="283"/>
      <c r="G18" s="283"/>
      <c r="H18" s="283"/>
      <c r="I18" s="283"/>
      <c r="J18" s="283"/>
      <c r="K18" s="283"/>
      <c r="L18" s="283"/>
      <c r="M18" s="283"/>
      <c r="N18" s="283"/>
      <c r="O18" s="283"/>
      <c r="P18" s="283"/>
      <c r="Q18" s="283"/>
      <c r="R18" s="283"/>
      <c r="S18" s="9"/>
    </row>
    <row r="19" spans="1:19" x14ac:dyDescent="0.25">
      <c r="A19" s="292"/>
      <c r="B19" s="7"/>
      <c r="C19" s="8"/>
      <c r="D19" s="283"/>
      <c r="E19" s="283"/>
      <c r="F19" s="283"/>
      <c r="G19" s="283"/>
      <c r="H19" s="283"/>
      <c r="I19" s="283"/>
      <c r="J19" s="283"/>
      <c r="K19" s="283"/>
      <c r="L19" s="283"/>
      <c r="M19" s="283"/>
      <c r="N19" s="283"/>
      <c r="O19" s="283"/>
      <c r="P19" s="283"/>
      <c r="Q19" s="283"/>
      <c r="R19" s="283"/>
      <c r="S19" s="9"/>
    </row>
    <row r="20" spans="1:19" ht="6" customHeight="1" x14ac:dyDescent="0.25">
      <c r="B20" s="7"/>
      <c r="C20" s="8"/>
      <c r="D20" s="283"/>
      <c r="E20" s="283"/>
      <c r="F20" s="283"/>
      <c r="G20" s="283"/>
      <c r="H20" s="283"/>
      <c r="I20" s="283"/>
      <c r="J20" s="283"/>
      <c r="K20" s="283"/>
      <c r="L20" s="283"/>
      <c r="M20" s="283"/>
      <c r="N20" s="283"/>
      <c r="O20" s="283"/>
      <c r="P20" s="283"/>
      <c r="Q20" s="283"/>
      <c r="R20" s="283"/>
      <c r="S20" s="9"/>
    </row>
    <row r="21" spans="1:19" x14ac:dyDescent="0.25">
      <c r="B21" s="7"/>
      <c r="C21" s="8"/>
      <c r="D21" s="283"/>
      <c r="E21" s="283"/>
      <c r="F21" s="283"/>
      <c r="G21" s="283"/>
      <c r="H21" s="283"/>
      <c r="I21" s="283"/>
      <c r="J21" s="283"/>
      <c r="K21" s="283"/>
      <c r="L21" s="283"/>
      <c r="M21" s="283"/>
      <c r="N21" s="283"/>
      <c r="O21" s="283"/>
      <c r="P21" s="283"/>
      <c r="Q21" s="283"/>
      <c r="R21" s="283"/>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4" t="str">
        <f ca="1">INDIRECT("Z_BP_10_"&amp;IDIOMA)</f>
        <v>OM 1R</v>
      </c>
      <c r="D23" s="285"/>
      <c r="E23" s="284" t="str">
        <f ca="1">INDIRECT("Z_BP_11_"&amp;IDIOMA)</f>
        <v>OM +R</v>
      </c>
      <c r="F23" s="286"/>
      <c r="G23" s="284" t="str">
        <f ca="1">INDIRECT("Z_BP_12_"&amp;IDIOMA)</f>
        <v>VF</v>
      </c>
      <c r="H23" s="286"/>
      <c r="I23" s="284" t="str">
        <f ca="1">INDIRECT("Z_BP_13_"&amp;IDIOMA)</f>
        <v>EM</v>
      </c>
      <c r="J23" s="285"/>
      <c r="K23" s="284" t="str">
        <f ca="1">INDIRECT("Z_BP_14_"&amp;IDIOMA)</f>
        <v>RC</v>
      </c>
      <c r="L23" s="286"/>
      <c r="M23" s="284" t="str">
        <f ca="1">INDIRECT("Z_BP_15_"&amp;IDIOMA)</f>
        <v>PP</v>
      </c>
      <c r="N23" s="286"/>
      <c r="O23" s="284" t="str">
        <f ca="1">INDIRECT("Z_BP_31_"&amp;IDIOMA)</f>
        <v>EN</v>
      </c>
      <c r="P23" s="286"/>
      <c r="Q23" s="284" t="str">
        <f ca="1">INDIRECT("Z_BP_16_"&amp;IDIOMA)</f>
        <v>CL</v>
      </c>
      <c r="R23" s="286"/>
      <c r="S23" s="9"/>
    </row>
    <row r="24" spans="1:19" ht="14.45" customHeight="1" x14ac:dyDescent="0.25">
      <c r="B24" s="7"/>
      <c r="C24" s="275" t="str">
        <f ca="1">INDIRECT("Z_IN_08_"&amp;IDIOMA)</f>
        <v xml:space="preserve">Opción Múltiple 1R </v>
      </c>
      <c r="D24" s="276"/>
      <c r="E24" s="276" t="str">
        <f ca="1">INDIRECT("Z_IN_09_"&amp;IDIOMA)</f>
        <v xml:space="preserve">Opción Múltiple +R </v>
      </c>
      <c r="F24" s="276"/>
      <c r="G24" s="276" t="str">
        <f ca="1">INDIRECT("Z_IN_10_"&amp;IDIOMA)</f>
        <v>Verdadero/Falso</v>
      </c>
      <c r="H24" s="276"/>
      <c r="I24" s="276" t="str">
        <f ca="1">INDIRECT("Z_IN_11_"&amp;IDIOMA)</f>
        <v>Emparejar</v>
      </c>
      <c r="J24" s="276"/>
      <c r="K24" s="276" t="str">
        <f ca="1">INDIRECT("Z_IN_12_"&amp;IDIOMA)</f>
        <v>Respuesta Corta</v>
      </c>
      <c r="L24" s="276"/>
      <c r="M24" s="276" t="str">
        <f ca="1">INDIRECT("Z_IN_13_"&amp;IDIOMA)</f>
        <v>Palabra Perdida</v>
      </c>
      <c r="N24" s="276"/>
      <c r="O24" s="276" t="str">
        <f ca="1">INDIRECT("Z_IN_16_"&amp;IDIOMA)</f>
        <v>Ensayo</v>
      </c>
      <c r="P24" s="276"/>
      <c r="Q24" s="276" t="str">
        <f ca="1">INDIRECT("Z_IN_14_"&amp;IDIOMA)</f>
        <v>Cloze</v>
      </c>
      <c r="R24" s="300"/>
      <c r="S24" s="9"/>
    </row>
    <row r="25" spans="1:19" ht="6" customHeight="1" thickBot="1" x14ac:dyDescent="0.3">
      <c r="B25" s="7"/>
      <c r="C25" s="277"/>
      <c r="D25" s="278"/>
      <c r="E25" s="278"/>
      <c r="F25" s="278"/>
      <c r="G25" s="278"/>
      <c r="H25" s="278"/>
      <c r="I25" s="278"/>
      <c r="J25" s="278"/>
      <c r="K25" s="278"/>
      <c r="L25" s="278"/>
      <c r="M25" s="278"/>
      <c r="N25" s="278"/>
      <c r="O25" s="278"/>
      <c r="P25" s="278"/>
      <c r="Q25" s="278"/>
      <c r="R25" s="301"/>
      <c r="S25" s="9"/>
    </row>
    <row r="26" spans="1:19" ht="15" customHeight="1" thickBot="1" x14ac:dyDescent="0.3">
      <c r="B26" s="7"/>
      <c r="C26" s="272" t="str">
        <f ca="1">'Datos OM'!G2&amp;" "&amp;INDIRECT("Z_IN_15_"&amp;IDIOMA)</f>
        <v>3 Preguntas</v>
      </c>
      <c r="D26" s="274"/>
      <c r="E26" s="272" t="str">
        <f ca="1">'Datos O2'!G2&amp;" "&amp;INDIRECT("Z_IN_15_"&amp;IDIOMA)</f>
        <v>2 Preguntas</v>
      </c>
      <c r="F26" s="273"/>
      <c r="G26" s="272" t="str">
        <f ca="1">'Datos VF'!G2&amp;" "&amp;INDIRECT("Z_IN_15_"&amp;IDIOMA)</f>
        <v>2 Preguntas</v>
      </c>
      <c r="H26" s="273"/>
      <c r="I26" s="272" t="str">
        <f ca="1">'Datos EM'!G2&amp;" "&amp;INDIRECT("Z_IN_15_"&amp;IDIOMA)</f>
        <v>3 Preguntas</v>
      </c>
      <c r="J26" s="274"/>
      <c r="K26" s="272" t="str">
        <f ca="1">'Datos RC'!G2&amp;" "&amp;INDIRECT("Z_IN_15_"&amp;IDIOMA)</f>
        <v>2 Preguntas</v>
      </c>
      <c r="L26" s="273"/>
      <c r="M26" s="272" t="str">
        <f ca="1">'Datos PP'!G2&amp;" "&amp;INDIRECT("Z_IN_15_"&amp;IDIOMA)</f>
        <v>2 Preguntas</v>
      </c>
      <c r="N26" s="273"/>
      <c r="O26" s="272" t="str">
        <f ca="1">'Datos EN'!G2&amp;" "&amp;INDIRECT("Z_IN_15_"&amp;IDIOMA)</f>
        <v>2 Preguntas</v>
      </c>
      <c r="P26" s="273"/>
      <c r="Q26" s="272" t="str">
        <f ca="1">'Datos CL'!G2&amp;" "&amp;INDIRECT("Z_IN_15_"&amp;IDIOMA)</f>
        <v>1 Preguntas</v>
      </c>
      <c r="R26" s="273"/>
      <c r="S26" s="9"/>
    </row>
    <row r="27" spans="1:19" ht="6" customHeight="1" x14ac:dyDescent="0.25">
      <c r="B27" s="7"/>
      <c r="C27" s="8"/>
      <c r="D27" s="293" t="str">
        <f ca="1">INDIRECT("Z_IN_07_"&amp;IDIOMA)</f>
        <v>Esta HOJA sirve para almacenar las preguntas y poder reutilizarlas cuando sea necesario, sin tener que volver a escribirlas para un nuevo BANCO DE PREGUNTAS.</v>
      </c>
      <c r="E27" s="293"/>
      <c r="F27" s="293"/>
      <c r="G27" s="293"/>
      <c r="H27" s="293"/>
      <c r="I27" s="293"/>
      <c r="J27" s="293"/>
      <c r="K27" s="293"/>
      <c r="L27" s="293"/>
      <c r="M27" s="293"/>
      <c r="N27" s="211"/>
      <c r="O27" s="10"/>
      <c r="P27" s="10"/>
      <c r="Q27" s="10"/>
      <c r="R27" s="10"/>
      <c r="S27" s="9"/>
    </row>
    <row r="28" spans="1:19" ht="15" customHeight="1" x14ac:dyDescent="0.25">
      <c r="B28" s="7"/>
      <c r="C28" s="8"/>
      <c r="D28" s="294"/>
      <c r="E28" s="294"/>
      <c r="F28" s="294"/>
      <c r="G28" s="294"/>
      <c r="H28" s="294"/>
      <c r="I28" s="294"/>
      <c r="J28" s="294"/>
      <c r="K28" s="294"/>
      <c r="L28" s="294"/>
      <c r="M28" s="294"/>
      <c r="N28" s="212"/>
      <c r="O28" s="198"/>
      <c r="P28" s="271"/>
      <c r="Q28" s="271"/>
      <c r="R28" s="271"/>
      <c r="S28" s="209"/>
    </row>
    <row r="29" spans="1:19" ht="6" customHeight="1" x14ac:dyDescent="0.25">
      <c r="B29" s="7"/>
      <c r="C29" s="8"/>
      <c r="D29" s="294"/>
      <c r="E29" s="294"/>
      <c r="F29" s="294"/>
      <c r="G29" s="294"/>
      <c r="H29" s="294"/>
      <c r="I29" s="294"/>
      <c r="J29" s="294"/>
      <c r="K29" s="294"/>
      <c r="L29" s="294"/>
      <c r="M29" s="294"/>
      <c r="N29" s="212"/>
      <c r="O29" s="198"/>
      <c r="P29" s="271"/>
      <c r="Q29" s="271"/>
      <c r="R29" s="271"/>
      <c r="S29" s="209"/>
    </row>
    <row r="30" spans="1:19" x14ac:dyDescent="0.25">
      <c r="B30" s="7"/>
      <c r="C30" s="8"/>
      <c r="D30" s="294"/>
      <c r="E30" s="294"/>
      <c r="F30" s="294"/>
      <c r="G30" s="294"/>
      <c r="H30" s="294"/>
      <c r="I30" s="294"/>
      <c r="J30" s="294"/>
      <c r="K30" s="294"/>
      <c r="L30" s="294"/>
      <c r="M30" s="294"/>
      <c r="N30" s="212"/>
      <c r="O30" s="198"/>
      <c r="P30" s="271"/>
      <c r="Q30" s="271"/>
      <c r="R30" s="271"/>
      <c r="S30" s="209"/>
    </row>
    <row r="31" spans="1:19" ht="6" customHeight="1" x14ac:dyDescent="0.25">
      <c r="B31" s="7"/>
      <c r="C31" s="8"/>
      <c r="D31" s="294"/>
      <c r="E31" s="294"/>
      <c r="F31" s="294"/>
      <c r="G31" s="294"/>
      <c r="H31" s="294"/>
      <c r="I31" s="294"/>
      <c r="J31" s="294"/>
      <c r="K31" s="294"/>
      <c r="L31" s="294"/>
      <c r="M31" s="294"/>
      <c r="N31" s="212"/>
      <c r="O31" s="198"/>
      <c r="P31" s="271"/>
      <c r="Q31" s="271"/>
      <c r="R31" s="271"/>
      <c r="S31" s="209"/>
    </row>
    <row r="32" spans="1:19" x14ac:dyDescent="0.25">
      <c r="B32" s="7"/>
      <c r="C32" s="8"/>
      <c r="D32" s="294"/>
      <c r="E32" s="294"/>
      <c r="F32" s="294"/>
      <c r="G32" s="294"/>
      <c r="H32" s="294"/>
      <c r="I32" s="294"/>
      <c r="J32" s="294"/>
      <c r="K32" s="294"/>
      <c r="L32" s="294"/>
      <c r="M32" s="294"/>
      <c r="N32" s="212"/>
      <c r="O32" s="198"/>
      <c r="P32" s="271"/>
      <c r="Q32" s="271"/>
      <c r="R32" s="271"/>
      <c r="S32" s="209"/>
    </row>
    <row r="33" spans="1:20" ht="6" customHeight="1" x14ac:dyDescent="0.25">
      <c r="B33" s="7"/>
      <c r="C33" s="8"/>
      <c r="D33" s="294"/>
      <c r="E33" s="294"/>
      <c r="F33" s="294"/>
      <c r="G33" s="294"/>
      <c r="H33" s="294"/>
      <c r="I33" s="294"/>
      <c r="J33" s="294"/>
      <c r="K33" s="294"/>
      <c r="L33" s="294"/>
      <c r="M33" s="294"/>
      <c r="N33" s="212"/>
      <c r="O33" s="198"/>
      <c r="P33" s="271"/>
      <c r="Q33" s="271"/>
      <c r="R33" s="271"/>
      <c r="S33" s="209"/>
    </row>
    <row r="34" spans="1:20" x14ac:dyDescent="0.25">
      <c r="B34" s="7"/>
      <c r="C34" s="8"/>
      <c r="D34" s="294"/>
      <c r="E34" s="294"/>
      <c r="F34" s="294"/>
      <c r="G34" s="294"/>
      <c r="H34" s="294"/>
      <c r="I34" s="294"/>
      <c r="J34" s="294"/>
      <c r="K34" s="294"/>
      <c r="L34" s="294"/>
      <c r="M34" s="294"/>
      <c r="N34" s="212"/>
      <c r="O34" s="198"/>
      <c r="P34" s="271"/>
      <c r="Q34" s="271"/>
      <c r="R34" s="271"/>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thickTop="1" x14ac:dyDescent="0.25">
      <c r="B36" s="14"/>
      <c r="C36" s="14"/>
      <c r="D36" s="14"/>
      <c r="E36" s="13"/>
      <c r="F36" s="13"/>
      <c r="G36" s="13"/>
      <c r="H36" s="13"/>
      <c r="I36" s="13"/>
      <c r="J36" s="13"/>
      <c r="K36" s="13"/>
      <c r="L36" s="13"/>
      <c r="M36" s="13"/>
      <c r="N36" s="13"/>
      <c r="O36" s="13"/>
      <c r="P36" s="13"/>
      <c r="Q36" s="13"/>
      <c r="R36" s="13"/>
      <c r="S36" s="13"/>
      <c r="T36" s="13"/>
    </row>
    <row r="37" spans="1:20" x14ac:dyDescent="0.25">
      <c r="A37" s="65" t="str">
        <f>IFERROR(VLOOKUP(LANGUAGE,Tabla_ID[],2,0),"")</f>
        <v>S</v>
      </c>
    </row>
    <row r="38" spans="1:20" ht="15.75" thickBot="1" x14ac:dyDescent="0.3">
      <c r="A38" s="205" t="s">
        <v>389</v>
      </c>
      <c r="B38" s="206" t="s">
        <v>390</v>
      </c>
    </row>
    <row r="39" spans="1:20" x14ac:dyDescent="0.25">
      <c r="A39" s="66" t="s">
        <v>12</v>
      </c>
      <c r="B39" s="69" t="s">
        <v>13</v>
      </c>
    </row>
    <row r="40" spans="1:20" x14ac:dyDescent="0.25">
      <c r="A40" s="67" t="s">
        <v>19</v>
      </c>
      <c r="B40" s="70" t="s">
        <v>17</v>
      </c>
    </row>
    <row r="41" spans="1:20" x14ac:dyDescent="0.25">
      <c r="A41" s="67" t="s">
        <v>20</v>
      </c>
      <c r="B41" s="70" t="s">
        <v>15</v>
      </c>
    </row>
    <row r="42" spans="1:20" x14ac:dyDescent="0.25">
      <c r="A42" s="67" t="s">
        <v>21</v>
      </c>
      <c r="B42" s="70" t="s">
        <v>16</v>
      </c>
    </row>
    <row r="43" spans="1:20" x14ac:dyDescent="0.25">
      <c r="A43" s="67" t="s">
        <v>22</v>
      </c>
      <c r="B43" s="70" t="s">
        <v>14</v>
      </c>
    </row>
    <row r="44" spans="1:20" x14ac:dyDescent="0.25">
      <c r="A44" s="67" t="s">
        <v>23</v>
      </c>
      <c r="B44" s="70" t="s">
        <v>24</v>
      </c>
    </row>
    <row r="45" spans="1:20" ht="15.75" thickBot="1" x14ac:dyDescent="0.3">
      <c r="A45" s="68" t="str">
        <f>A17</f>
        <v>PERSONALIZAR DICCIONARIO</v>
      </c>
      <c r="B45" s="71" t="s">
        <v>388</v>
      </c>
    </row>
  </sheetData>
  <sheetProtection algorithmName="SHA-512" hashValue="YpvzJaClZ2UMoXYLB5AdHppxWJZKPQcx8rdg6WrT5pHe5QeughQOmMw2F1XfUfl0hlHxEM4R1DjOc1vQxhnspA==" saltValue="wV0RuAEu80sWb/sYcxIxIg==" spinCount="100000" sheet="1" objects="1" scenarios="1" selectLockedCells="1"/>
  <mergeCells count="41">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IF(COUNTIF(Tabla_OM[[#This Row],[Puntos 1]:[Puntos 6]],"&gt;0")=0,"",COUNTIF(Tabla_OM[[#This Row],[Puntos 1]:[Puntos 6]],"&gt;0"))</f>
        <v>1</v>
      </c>
      <c r="B5" s="220">
        <f>IF(Tabla_OM[[#This Row],[NRC]]="","",COUNTA(Tabla_OM[[#This Row],[Respuesta 1]:[Respuesta 6]])-Tabla_OM[[#This Row],[NRC]])</f>
        <v>5</v>
      </c>
      <c r="D5" s="48"/>
      <c r="E5" s="106" t="s">
        <v>553</v>
      </c>
      <c r="F5" s="105" t="s">
        <v>554</v>
      </c>
      <c r="G5" s="27" t="s">
        <v>555</v>
      </c>
      <c r="H5" s="28" t="s">
        <v>556</v>
      </c>
      <c r="I5" s="29" t="s">
        <v>557</v>
      </c>
      <c r="J5" s="30" t="s">
        <v>558</v>
      </c>
      <c r="K5" s="31" t="s">
        <v>449</v>
      </c>
      <c r="L5" s="32" t="s">
        <v>559</v>
      </c>
      <c r="M5" s="49" t="s">
        <v>560</v>
      </c>
      <c r="N5" s="50" t="s">
        <v>561</v>
      </c>
      <c r="O5" s="51" t="s">
        <v>450</v>
      </c>
      <c r="P5" s="52" t="s">
        <v>562</v>
      </c>
      <c r="Q5" s="53" t="s">
        <v>563</v>
      </c>
      <c r="R5" s="54" t="s">
        <v>564</v>
      </c>
      <c r="S5" s="49">
        <v>100</v>
      </c>
      <c r="T5" s="50">
        <v>0</v>
      </c>
      <c r="U5" s="51">
        <v>0</v>
      </c>
      <c r="V5" s="52">
        <v>0</v>
      </c>
      <c r="W5" s="53">
        <v>0</v>
      </c>
      <c r="X5" s="54">
        <v>0</v>
      </c>
      <c r="Y5" s="54"/>
      <c r="Z5" s="54"/>
      <c r="AA5" s="54"/>
      <c r="AB5" s="54"/>
      <c r="AC5" s="54"/>
      <c r="AD5" s="54"/>
      <c r="AE5" s="55"/>
      <c r="AF5" s="56"/>
      <c r="AG5" s="57"/>
      <c r="AH5" s="58"/>
      <c r="AI5" s="118"/>
    </row>
    <row r="6" spans="1:35" x14ac:dyDescent="0.25">
      <c r="A6" s="268">
        <f>IF(COUNTIF(Tabla_OM[[#This Row],[Puntos 1]:[Puntos 6]],"&gt;0")=0,"",COUNTIF(Tabla_OM[[#This Row],[Puntos 1]:[Puntos 6]],"&gt;0"))</f>
        <v>1</v>
      </c>
      <c r="B6" s="268">
        <f>IF(Tabla_OM[[#This Row],[NRC]]="","",COUNTA(Tabla_OM[[#This Row],[Respuesta 1]:[Respuesta 6]])-Tabla_OM[[#This Row],[NRC]])</f>
        <v>5</v>
      </c>
      <c r="C6" s="1"/>
      <c r="D6" s="48"/>
      <c r="E6" s="106" t="s">
        <v>565</v>
      </c>
      <c r="F6" s="105" t="s">
        <v>566</v>
      </c>
      <c r="G6" s="27" t="s">
        <v>451</v>
      </c>
      <c r="H6" s="28" t="s">
        <v>452</v>
      </c>
      <c r="I6" s="29" t="s">
        <v>453</v>
      </c>
      <c r="J6" s="30" t="s">
        <v>454</v>
      </c>
      <c r="K6" s="31" t="s">
        <v>455</v>
      </c>
      <c r="L6" s="32" t="s">
        <v>456</v>
      </c>
      <c r="M6" s="49">
        <v>1</v>
      </c>
      <c r="N6" s="50">
        <v>2</v>
      </c>
      <c r="O6" s="51">
        <v>3</v>
      </c>
      <c r="P6" s="52">
        <v>4</v>
      </c>
      <c r="Q6" s="53">
        <v>5</v>
      </c>
      <c r="R6" s="54">
        <v>6</v>
      </c>
      <c r="S6" s="49">
        <v>100</v>
      </c>
      <c r="T6" s="50"/>
      <c r="U6" s="51"/>
      <c r="V6" s="52"/>
      <c r="W6" s="53"/>
      <c r="X6" s="54"/>
      <c r="Y6" s="54"/>
      <c r="Z6" s="54"/>
      <c r="AA6" s="54"/>
      <c r="AB6" s="54"/>
      <c r="AC6" s="54"/>
      <c r="AD6" s="54"/>
      <c r="AE6" s="55"/>
      <c r="AF6" s="56"/>
      <c r="AG6" s="57"/>
      <c r="AH6" s="58"/>
      <c r="AI6" s="118"/>
    </row>
    <row r="7" spans="1:35" ht="48" x14ac:dyDescent="0.25">
      <c r="A7" s="268">
        <f>IF(COUNTIF(Tabla_OM[[#This Row],[Puntos 1]:[Puntos 6]],"&gt;0")=0,"",COUNTIF(Tabla_OM[[#This Row],[Puntos 1]:[Puntos 6]],"&gt;0"))</f>
        <v>1</v>
      </c>
      <c r="B7" s="268">
        <f>IF(Tabla_OM[[#This Row],[NRC]]="","",COUNTA(Tabla_OM[[#This Row],[Respuesta 1]:[Respuesta 6]])-Tabla_OM[[#This Row],[NRC]])</f>
        <v>2</v>
      </c>
      <c r="C7" s="1"/>
      <c r="D7" s="48"/>
      <c r="E7" s="106" t="s">
        <v>567</v>
      </c>
      <c r="F7" s="105" t="s">
        <v>568</v>
      </c>
      <c r="G7" s="27" t="s">
        <v>457</v>
      </c>
      <c r="H7" s="28" t="s">
        <v>458</v>
      </c>
      <c r="I7" s="29" t="s">
        <v>459</v>
      </c>
      <c r="J7" s="30"/>
      <c r="K7" s="31"/>
      <c r="L7" s="32"/>
      <c r="M7" s="49"/>
      <c r="N7" s="50"/>
      <c r="O7" s="51"/>
      <c r="P7" s="52"/>
      <c r="Q7" s="53"/>
      <c r="R7" s="54"/>
      <c r="S7" s="49">
        <v>100</v>
      </c>
      <c r="T7" s="50"/>
      <c r="U7" s="51"/>
      <c r="V7" s="52"/>
      <c r="W7" s="53"/>
      <c r="X7" s="54"/>
      <c r="Y7" s="54"/>
      <c r="Z7" s="54"/>
      <c r="AA7" s="54"/>
      <c r="AB7" s="54"/>
      <c r="AC7" s="54"/>
      <c r="AD7" s="54"/>
      <c r="AE7" s="55"/>
      <c r="AF7" s="56"/>
      <c r="AG7" s="57"/>
      <c r="AH7" s="58"/>
      <c r="AI7" s="118"/>
    </row>
  </sheetData>
  <sheetProtection algorithmName="SHA-512" hashValue="ekAZMu9NGfZxWxXcfLovYT5Qqfwz4DY1Hi1Hbs2ktbROR/qzN0A+HTH7MjWYZelqMqfogZbVzq6XpxgbbEbbIA==" saltValue="fmK0+awcblgn0HxgjfpbG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IF(COUNTIF(Tabla_O2[[#This Row],[Puntos 1]:[Puntos 6]],"&gt;0")=0,"",COUNTIF(Tabla_O2[[#This Row],[Puntos 1]:[Puntos 6]],"&gt;0"))</f>
        <v>2</v>
      </c>
      <c r="B5" s="220">
        <f>IF(Tabla_O2[[#This Row],[NRC]]="","",COUNTA(Tabla_O2[[#This Row],[Respuesta 1]:[Respuesta 6]])-Tabla_O2[[#This Row],[NRC]])</f>
        <v>4</v>
      </c>
      <c r="D5" s="48"/>
      <c r="E5" s="106" t="s">
        <v>553</v>
      </c>
      <c r="F5" s="221" t="s">
        <v>554</v>
      </c>
      <c r="G5" s="27" t="s">
        <v>569</v>
      </c>
      <c r="H5" s="28" t="s">
        <v>570</v>
      </c>
      <c r="I5" s="29" t="s">
        <v>557</v>
      </c>
      <c r="J5" s="30" t="s">
        <v>558</v>
      </c>
      <c r="K5" s="31" t="s">
        <v>449</v>
      </c>
      <c r="L5" s="32" t="s">
        <v>556</v>
      </c>
      <c r="M5" s="49" t="s">
        <v>560</v>
      </c>
      <c r="N5" s="50" t="s">
        <v>560</v>
      </c>
      <c r="O5" s="51" t="s">
        <v>450</v>
      </c>
      <c r="P5" s="52" t="s">
        <v>562</v>
      </c>
      <c r="Q5" s="53" t="s">
        <v>563</v>
      </c>
      <c r="R5" s="54" t="s">
        <v>564</v>
      </c>
      <c r="S5" s="49">
        <v>50</v>
      </c>
      <c r="T5" s="50">
        <v>50</v>
      </c>
      <c r="U5" s="51"/>
      <c r="V5" s="52"/>
      <c r="W5" s="53"/>
      <c r="X5" s="54"/>
      <c r="Y5" s="54"/>
      <c r="Z5" s="54"/>
      <c r="AA5" s="54"/>
      <c r="AB5" s="54"/>
      <c r="AC5" s="54"/>
      <c r="AD5" s="54"/>
      <c r="AE5" s="55"/>
      <c r="AF5" s="56"/>
      <c r="AG5" s="57"/>
      <c r="AH5" s="58"/>
      <c r="AI5" s="118"/>
    </row>
    <row r="6" spans="1:35" x14ac:dyDescent="0.25">
      <c r="A6" s="220">
        <f>IF(COUNTIF(Tabla_O2[[#This Row],[Puntos 1]:[Puntos 6]],"&gt;0")=0,"",COUNTIF(Tabla_O2[[#This Row],[Puntos 1]:[Puntos 6]],"&gt;0"))</f>
        <v>2</v>
      </c>
      <c r="B6" s="220">
        <f>IF(Tabla_O2[[#This Row],[NRC]]="","",COUNTA(Tabla_O2[[#This Row],[Respuesta 1]:[Respuesta 6]])-Tabla_O2[[#This Row],[NRC]])</f>
        <v>4</v>
      </c>
      <c r="C6" s="1"/>
      <c r="D6" s="48"/>
      <c r="E6" s="106" t="s">
        <v>565</v>
      </c>
      <c r="F6" s="221" t="s">
        <v>566</v>
      </c>
      <c r="G6" s="27" t="s">
        <v>451</v>
      </c>
      <c r="H6" s="28" t="s">
        <v>460</v>
      </c>
      <c r="I6" s="29" t="s">
        <v>452</v>
      </c>
      <c r="J6" s="30" t="s">
        <v>453</v>
      </c>
      <c r="K6" s="31" t="s">
        <v>461</v>
      </c>
      <c r="L6" s="32" t="s">
        <v>462</v>
      </c>
      <c r="M6" s="49" t="s">
        <v>560</v>
      </c>
      <c r="N6" s="50" t="s">
        <v>560</v>
      </c>
      <c r="O6" s="51" t="s">
        <v>450</v>
      </c>
      <c r="P6" s="52" t="s">
        <v>562</v>
      </c>
      <c r="Q6" s="53" t="s">
        <v>563</v>
      </c>
      <c r="R6" s="54" t="s">
        <v>564</v>
      </c>
      <c r="S6" s="49">
        <v>50</v>
      </c>
      <c r="T6" s="50">
        <v>50</v>
      </c>
      <c r="U6" s="51"/>
      <c r="V6" s="52"/>
      <c r="W6" s="53"/>
      <c r="X6" s="54"/>
      <c r="Y6" s="54"/>
      <c r="Z6" s="54"/>
      <c r="AA6" s="54"/>
      <c r="AB6" s="54"/>
      <c r="AC6" s="54"/>
      <c r="AD6" s="54"/>
      <c r="AE6" s="55"/>
      <c r="AF6" s="56"/>
      <c r="AG6" s="57"/>
      <c r="AH6" s="58"/>
      <c r="AI6" s="118"/>
    </row>
  </sheetData>
  <sheetProtection algorithmName="SHA-512" hashValue="C/neKRJBSjiSbku0gEOeLhpnVsTKC1eHPaEhFBGEFouWI8NrTkB6iPcTLGyXbssNi9dxgAoLeboHrzcJ3JPYFA==" saltValue="XxqyFda+eXTM9FjQSCDduw=="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t="s">
        <v>553</v>
      </c>
      <c r="F5" s="105" t="s">
        <v>571</v>
      </c>
      <c r="G5" s="27" t="b">
        <v>1</v>
      </c>
      <c r="H5" s="50" t="s">
        <v>572</v>
      </c>
      <c r="I5" s="51" t="s">
        <v>573</v>
      </c>
      <c r="J5" s="52"/>
      <c r="K5" s="53"/>
      <c r="L5" s="54"/>
      <c r="M5" s="49"/>
      <c r="N5" s="50"/>
      <c r="O5" s="51"/>
      <c r="P5" s="52"/>
      <c r="Q5" s="53"/>
      <c r="R5" s="54"/>
      <c r="S5" s="54"/>
      <c r="T5" s="54"/>
      <c r="U5" s="54"/>
      <c r="V5" s="54"/>
      <c r="W5" s="54"/>
      <c r="X5" s="54"/>
      <c r="Y5" s="54"/>
      <c r="Z5" s="54"/>
      <c r="AA5" s="54"/>
      <c r="AB5" s="54"/>
      <c r="AC5" s="54"/>
      <c r="AD5" s="54"/>
      <c r="AE5" s="55" t="s">
        <v>275</v>
      </c>
      <c r="AF5" s="56" t="s">
        <v>276</v>
      </c>
      <c r="AG5" s="57" t="s">
        <v>277</v>
      </c>
      <c r="AH5" s="58" t="s">
        <v>278</v>
      </c>
      <c r="AI5" s="95"/>
    </row>
    <row r="6" spans="1:35" x14ac:dyDescent="0.25">
      <c r="A6" s="261"/>
      <c r="B6" s="261"/>
      <c r="C6" s="1"/>
      <c r="D6" s="48"/>
      <c r="E6" s="106" t="s">
        <v>574</v>
      </c>
      <c r="F6" s="105" t="s">
        <v>575</v>
      </c>
      <c r="G6" s="27" t="b">
        <v>0</v>
      </c>
      <c r="H6" s="50" t="s">
        <v>576</v>
      </c>
      <c r="I6" s="51" t="s">
        <v>577</v>
      </c>
      <c r="J6" s="52"/>
      <c r="K6" s="53"/>
      <c r="L6" s="54"/>
      <c r="M6" s="49"/>
      <c r="N6" s="50"/>
      <c r="O6" s="51"/>
      <c r="P6" s="52"/>
      <c r="Q6" s="53"/>
      <c r="R6" s="54"/>
      <c r="S6" s="54"/>
      <c r="T6" s="54"/>
      <c r="U6" s="54"/>
      <c r="V6" s="54"/>
      <c r="W6" s="54"/>
      <c r="X6" s="54"/>
      <c r="Y6" s="54"/>
      <c r="Z6" s="54"/>
      <c r="AA6" s="54"/>
      <c r="AB6" s="54"/>
      <c r="AC6" s="54"/>
      <c r="AD6" s="54"/>
      <c r="AE6" s="55" t="s">
        <v>275</v>
      </c>
      <c r="AF6" s="56" t="s">
        <v>276</v>
      </c>
      <c r="AG6" s="57" t="s">
        <v>277</v>
      </c>
      <c r="AH6" s="58" t="s">
        <v>278</v>
      </c>
      <c r="AI6" s="95"/>
    </row>
  </sheetData>
  <sheetProtection algorithmName="SHA-512" hashValue="CoDlsZIE33YhFL4gI+gI6/P8fX4F2MYErAtcniE2mT4vGb05NtvYsSLxVDVrUQQS0gq0Be9E8AIkq/gIEjwb0g==" saltValue="4c06L2si/UYBcL0WU3lGQ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f>IF(COUNTA(Tabla_EM[[#This Row],[Pareja  01.1]:[Pareja  12.14]])/2=0,"",COUNTA(Tabla_EM[[#This Row],[Pareja  01.1]:[Pareja  12.14]])/2)</f>
        <v>12</v>
      </c>
      <c r="B5" s="262"/>
      <c r="D5" s="48"/>
      <c r="E5" s="106" t="s">
        <v>500</v>
      </c>
      <c r="F5" s="105" t="s">
        <v>475</v>
      </c>
      <c r="G5" s="119" t="s">
        <v>476</v>
      </c>
      <c r="H5" s="119" t="s">
        <v>477</v>
      </c>
      <c r="I5" s="120" t="s">
        <v>478</v>
      </c>
      <c r="J5" s="120" t="s">
        <v>479</v>
      </c>
      <c r="K5" s="121" t="s">
        <v>480</v>
      </c>
      <c r="L5" s="121" t="s">
        <v>481</v>
      </c>
      <c r="M5" s="122" t="s">
        <v>482</v>
      </c>
      <c r="N5" s="122" t="s">
        <v>483</v>
      </c>
      <c r="O5" s="123" t="s">
        <v>484</v>
      </c>
      <c r="P5" s="123" t="s">
        <v>485</v>
      </c>
      <c r="Q5" s="124" t="s">
        <v>486</v>
      </c>
      <c r="R5" s="124" t="s">
        <v>487</v>
      </c>
      <c r="S5" s="119" t="s">
        <v>488</v>
      </c>
      <c r="T5" s="119" t="s">
        <v>489</v>
      </c>
      <c r="U5" s="120" t="s">
        <v>490</v>
      </c>
      <c r="V5" s="120" t="s">
        <v>491</v>
      </c>
      <c r="W5" s="121" t="s">
        <v>492</v>
      </c>
      <c r="X5" s="121" t="s">
        <v>493</v>
      </c>
      <c r="Y5" s="122" t="s">
        <v>494</v>
      </c>
      <c r="Z5" s="122" t="s">
        <v>495</v>
      </c>
      <c r="AA5" s="123" t="s">
        <v>496</v>
      </c>
      <c r="AB5" s="123" t="s">
        <v>497</v>
      </c>
      <c r="AC5" s="124" t="s">
        <v>498</v>
      </c>
      <c r="AD5" s="124" t="s">
        <v>499</v>
      </c>
      <c r="AE5" s="55" t="s">
        <v>471</v>
      </c>
      <c r="AF5" s="56" t="s">
        <v>472</v>
      </c>
      <c r="AG5" s="57" t="s">
        <v>473</v>
      </c>
      <c r="AH5" s="58" t="s">
        <v>474</v>
      </c>
      <c r="AI5" s="118"/>
    </row>
    <row r="6" spans="1:35" x14ac:dyDescent="0.25">
      <c r="A6" s="269">
        <f>IF(COUNTA(Tabla_EM[[#This Row],[Pareja  01.1]:[Pareja  12.14]])/2=0,"",COUNTA(Tabla_EM[[#This Row],[Pareja  01.1]:[Pareja  12.14]])/2)</f>
        <v>12</v>
      </c>
      <c r="B6" s="270"/>
      <c r="C6" s="1"/>
      <c r="D6" s="48"/>
      <c r="E6" s="106" t="s">
        <v>514</v>
      </c>
      <c r="F6" s="105" t="s">
        <v>501</v>
      </c>
      <c r="G6" s="119">
        <v>1</v>
      </c>
      <c r="H6" s="119" t="s">
        <v>502</v>
      </c>
      <c r="I6" s="120">
        <v>2</v>
      </c>
      <c r="J6" s="120" t="s">
        <v>503</v>
      </c>
      <c r="K6" s="121">
        <v>3</v>
      </c>
      <c r="L6" s="121" t="s">
        <v>504</v>
      </c>
      <c r="M6" s="122">
        <v>4</v>
      </c>
      <c r="N6" s="122" t="s">
        <v>505</v>
      </c>
      <c r="O6" s="123">
        <v>5</v>
      </c>
      <c r="P6" s="123" t="s">
        <v>506</v>
      </c>
      <c r="Q6" s="124">
        <v>6</v>
      </c>
      <c r="R6" s="124" t="s">
        <v>507</v>
      </c>
      <c r="S6" s="119">
        <v>7</v>
      </c>
      <c r="T6" s="119" t="s">
        <v>508</v>
      </c>
      <c r="U6" s="120">
        <v>8</v>
      </c>
      <c r="V6" s="120" t="s">
        <v>509</v>
      </c>
      <c r="W6" s="121">
        <v>9</v>
      </c>
      <c r="X6" s="121" t="s">
        <v>510</v>
      </c>
      <c r="Y6" s="122">
        <v>10</v>
      </c>
      <c r="Z6" s="122" t="s">
        <v>511</v>
      </c>
      <c r="AA6" s="123">
        <v>11</v>
      </c>
      <c r="AB6" s="123" t="s">
        <v>512</v>
      </c>
      <c r="AC6" s="124">
        <v>12</v>
      </c>
      <c r="AD6" s="124" t="s">
        <v>513</v>
      </c>
      <c r="AE6" s="55" t="s">
        <v>471</v>
      </c>
      <c r="AF6" s="56" t="s">
        <v>472</v>
      </c>
      <c r="AG6" s="57" t="s">
        <v>473</v>
      </c>
      <c r="AH6" s="58" t="s">
        <v>474</v>
      </c>
      <c r="AI6" s="118"/>
    </row>
    <row r="7" spans="1:35" ht="165" x14ac:dyDescent="0.25">
      <c r="A7" s="269">
        <f>IF(COUNTA(Tabla_EM[[#This Row],[Pareja  01.1]:[Pareja  12.14]])/2=0,"",COUNTA(Tabla_EM[[#This Row],[Pareja  01.1]:[Pareja  12.14]])/2)</f>
        <v>12</v>
      </c>
      <c r="B7" s="270"/>
      <c r="C7" s="1"/>
      <c r="D7" s="48"/>
      <c r="E7" s="106" t="s">
        <v>515</v>
      </c>
      <c r="F7" s="105" t="s">
        <v>501</v>
      </c>
      <c r="G7" s="119" t="s">
        <v>516</v>
      </c>
      <c r="H7" s="119" t="s">
        <v>486</v>
      </c>
      <c r="I7" s="120" t="s">
        <v>517</v>
      </c>
      <c r="J7" s="120" t="s">
        <v>518</v>
      </c>
      <c r="K7" s="121" t="s">
        <v>519</v>
      </c>
      <c r="L7" s="121" t="s">
        <v>520</v>
      </c>
      <c r="M7" s="122" t="s">
        <v>521</v>
      </c>
      <c r="N7" s="122" t="s">
        <v>487</v>
      </c>
      <c r="O7" s="123" t="s">
        <v>463</v>
      </c>
      <c r="P7" s="123" t="s">
        <v>463</v>
      </c>
      <c r="Q7" s="124" t="s">
        <v>463</v>
      </c>
      <c r="R7" s="124" t="s">
        <v>463</v>
      </c>
      <c r="S7" s="119" t="s">
        <v>463</v>
      </c>
      <c r="T7" s="119" t="s">
        <v>463</v>
      </c>
      <c r="U7" s="120" t="s">
        <v>463</v>
      </c>
      <c r="V7" s="120" t="s">
        <v>463</v>
      </c>
      <c r="W7" s="121" t="s">
        <v>463</v>
      </c>
      <c r="X7" s="121" t="s">
        <v>463</v>
      </c>
      <c r="Y7" s="122" t="s">
        <v>463</v>
      </c>
      <c r="Z7" s="122" t="s">
        <v>463</v>
      </c>
      <c r="AA7" s="123" t="s">
        <v>463</v>
      </c>
      <c r="AB7" s="123" t="s">
        <v>463</v>
      </c>
      <c r="AC7" s="124" t="s">
        <v>463</v>
      </c>
      <c r="AD7" s="124" t="s">
        <v>463</v>
      </c>
      <c r="AE7" s="55" t="s">
        <v>471</v>
      </c>
      <c r="AF7" s="56" t="s">
        <v>472</v>
      </c>
      <c r="AG7" s="57" t="s">
        <v>473</v>
      </c>
      <c r="AH7" s="58" t="s">
        <v>474</v>
      </c>
      <c r="AI7" s="118"/>
    </row>
  </sheetData>
  <sheetProtection algorithmName="SHA-512" hashValue="wqeOLULdK2kttd1pkY5Kn7rq5TLHJTNXjVFGmzDmV5gwRT4BVSae3Sg1HOYhpCSuFwtBDlZ4Ze+xAnu2IkyvrA==" saltValue="JoAQnbu6m8+jqDIMfDo4V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V5" activePane="bottomRight" state="frozen"/>
      <selection pane="topRight" activeCell="G1" sqref="G1"/>
      <selection pane="bottomLeft" activeCell="A4" sqref="A4"/>
      <selection pane="bottomRight" activeCell="E5" sqref="E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1</v>
      </c>
      <c r="E5" s="106" t="s">
        <v>578</v>
      </c>
      <c r="F5" s="105" t="s">
        <v>579</v>
      </c>
      <c r="G5" s="119" t="s">
        <v>580</v>
      </c>
      <c r="H5" s="145">
        <v>100</v>
      </c>
      <c r="I5" s="145" t="s">
        <v>581</v>
      </c>
      <c r="J5" s="120" t="s">
        <v>582</v>
      </c>
      <c r="K5" s="146">
        <v>100</v>
      </c>
      <c r="L5" s="146" t="s">
        <v>581</v>
      </c>
      <c r="M5" s="120" t="s">
        <v>583</v>
      </c>
      <c r="N5" s="146">
        <v>100</v>
      </c>
      <c r="O5" s="146" t="s">
        <v>581</v>
      </c>
      <c r="P5" s="122" t="s">
        <v>584</v>
      </c>
      <c r="Q5" s="147">
        <v>100</v>
      </c>
      <c r="R5" s="147" t="s">
        <v>581</v>
      </c>
      <c r="S5" s="123" t="s">
        <v>585</v>
      </c>
      <c r="T5" s="148">
        <v>100</v>
      </c>
      <c r="U5" s="148" t="s">
        <v>581</v>
      </c>
      <c r="V5" s="124" t="s">
        <v>586</v>
      </c>
      <c r="W5" s="149">
        <v>100</v>
      </c>
      <c r="X5" s="149" t="s">
        <v>581</v>
      </c>
      <c r="Y5" s="119" t="s">
        <v>587</v>
      </c>
      <c r="Z5" s="145">
        <v>100</v>
      </c>
      <c r="AA5" s="145" t="s">
        <v>581</v>
      </c>
      <c r="AB5" s="120" t="s">
        <v>588</v>
      </c>
      <c r="AC5" s="146">
        <v>100</v>
      </c>
      <c r="AD5" s="146" t="s">
        <v>581</v>
      </c>
      <c r="AE5" s="125" t="s">
        <v>589</v>
      </c>
      <c r="AF5" s="126" t="s">
        <v>590</v>
      </c>
      <c r="AG5" s="127" t="s">
        <v>464</v>
      </c>
      <c r="AH5" s="128" t="s">
        <v>465</v>
      </c>
      <c r="AI5" s="118"/>
    </row>
    <row r="6" spans="1:35" x14ac:dyDescent="0.25">
      <c r="A6"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4"/>
      <c r="C6" s="35"/>
      <c r="D6" s="130">
        <v>0</v>
      </c>
      <c r="E6" s="106" t="s">
        <v>591</v>
      </c>
      <c r="F6" s="105" t="s">
        <v>592</v>
      </c>
      <c r="G6" s="119" t="s">
        <v>466</v>
      </c>
      <c r="H6" s="145">
        <v>100</v>
      </c>
      <c r="I6" s="145" t="s">
        <v>581</v>
      </c>
      <c r="J6" s="120" t="s">
        <v>467</v>
      </c>
      <c r="K6" s="146">
        <v>50</v>
      </c>
      <c r="L6" s="146" t="s">
        <v>593</v>
      </c>
      <c r="M6" s="120" t="s">
        <v>468</v>
      </c>
      <c r="N6" s="146">
        <v>100</v>
      </c>
      <c r="O6" s="146" t="s">
        <v>594</v>
      </c>
      <c r="P6" s="122"/>
      <c r="Q6" s="147"/>
      <c r="R6" s="147"/>
      <c r="S6" s="123"/>
      <c r="T6" s="148"/>
      <c r="U6" s="148"/>
      <c r="V6" s="124"/>
      <c r="W6" s="149"/>
      <c r="X6" s="149"/>
      <c r="Y6" s="119"/>
      <c r="Z6" s="145"/>
      <c r="AA6" s="145"/>
      <c r="AB6" s="120"/>
      <c r="AC6" s="146"/>
      <c r="AD6" s="146"/>
      <c r="AE6" s="125"/>
      <c r="AF6" s="126"/>
      <c r="AG6" s="127"/>
      <c r="AH6" s="128"/>
      <c r="AI6" s="118"/>
    </row>
  </sheetData>
  <sheetProtection algorithmName="SHA-512" hashValue="WVjfNG/A+lntQpp+chCv3n81my0biCbERpQYqNRfJbKg2GIAHXfsdn+K333pXHh0HQbl1OOTvsvc7K1P8PO+6A==" saltValue="jAsa543ljwrb8zHbW0uUc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2"/>
      <c r="D5" s="232"/>
      <c r="E5" s="170" t="s">
        <v>595</v>
      </c>
      <c r="F5" s="221" t="s">
        <v>596</v>
      </c>
      <c r="G5" s="27">
        <v>1</v>
      </c>
      <c r="H5" s="27" t="s">
        <v>580</v>
      </c>
      <c r="I5" s="28">
        <v>1</v>
      </c>
      <c r="J5" s="28" t="s">
        <v>582</v>
      </c>
      <c r="K5" s="27">
        <v>1</v>
      </c>
      <c r="L5" s="27" t="s">
        <v>585</v>
      </c>
      <c r="M5" s="28">
        <v>1</v>
      </c>
      <c r="N5" s="28" t="s">
        <v>586</v>
      </c>
      <c r="O5" s="27">
        <v>2</v>
      </c>
      <c r="P5" s="27" t="s">
        <v>597</v>
      </c>
      <c r="Q5" s="28">
        <v>2</v>
      </c>
      <c r="R5" s="28" t="s">
        <v>469</v>
      </c>
      <c r="S5" s="27">
        <v>2</v>
      </c>
      <c r="T5" s="27" t="s">
        <v>598</v>
      </c>
      <c r="U5" s="28">
        <v>3</v>
      </c>
      <c r="V5" s="28" t="s">
        <v>599</v>
      </c>
      <c r="W5" s="27">
        <v>3</v>
      </c>
      <c r="X5" s="27" t="s">
        <v>600</v>
      </c>
      <c r="Y5" s="28">
        <v>3</v>
      </c>
      <c r="Z5" s="28" t="s">
        <v>601</v>
      </c>
      <c r="AA5" s="27">
        <v>3</v>
      </c>
      <c r="AB5" s="27" t="s">
        <v>602</v>
      </c>
      <c r="AC5" s="28">
        <v>3</v>
      </c>
      <c r="AD5" s="28" t="s">
        <v>603</v>
      </c>
      <c r="AE5" s="233" t="s">
        <v>604</v>
      </c>
      <c r="AF5" s="234" t="s">
        <v>605</v>
      </c>
      <c r="AG5" s="235" t="s">
        <v>606</v>
      </c>
      <c r="AH5" s="236" t="s">
        <v>470</v>
      </c>
      <c r="AI5" s="118"/>
    </row>
    <row r="6" spans="1:35" ht="36" x14ac:dyDescent="0.25">
      <c r="A6" s="269">
        <f>IF(COUNTA(Tabla_PP[[#This Row],[GP 01]:[P 12]])/2=0,"",COUNTA(Tabla_PP[[#This Row],[GP 01]:[P 12]])/2)</f>
        <v>12</v>
      </c>
      <c r="B6" s="20"/>
      <c r="C6" s="232"/>
      <c r="D6" s="232"/>
      <c r="E6" s="170" t="s">
        <v>595</v>
      </c>
      <c r="F6" s="221" t="s">
        <v>607</v>
      </c>
      <c r="G6" s="27">
        <v>1</v>
      </c>
      <c r="H6" s="27" t="s">
        <v>580</v>
      </c>
      <c r="I6" s="28">
        <v>1</v>
      </c>
      <c r="J6" s="28" t="s">
        <v>582</v>
      </c>
      <c r="K6" s="27">
        <v>1</v>
      </c>
      <c r="L6" s="27" t="s">
        <v>585</v>
      </c>
      <c r="M6" s="28">
        <v>1</v>
      </c>
      <c r="N6" s="28" t="s">
        <v>586</v>
      </c>
      <c r="O6" s="27">
        <v>2</v>
      </c>
      <c r="P6" s="27" t="s">
        <v>597</v>
      </c>
      <c r="Q6" s="28">
        <v>2</v>
      </c>
      <c r="R6" s="28" t="s">
        <v>469</v>
      </c>
      <c r="S6" s="27">
        <v>2</v>
      </c>
      <c r="T6" s="27" t="s">
        <v>598</v>
      </c>
      <c r="U6" s="28">
        <v>3</v>
      </c>
      <c r="V6" s="28" t="s">
        <v>599</v>
      </c>
      <c r="W6" s="27">
        <v>3</v>
      </c>
      <c r="X6" s="27" t="s">
        <v>600</v>
      </c>
      <c r="Y6" s="28">
        <v>3</v>
      </c>
      <c r="Z6" s="28" t="s">
        <v>601</v>
      </c>
      <c r="AA6" s="27">
        <v>3</v>
      </c>
      <c r="AB6" s="27" t="s">
        <v>602</v>
      </c>
      <c r="AC6" s="28">
        <v>3</v>
      </c>
      <c r="AD6" s="28" t="s">
        <v>603</v>
      </c>
      <c r="AE6" s="233" t="s">
        <v>604</v>
      </c>
      <c r="AF6" s="234" t="s">
        <v>605</v>
      </c>
      <c r="AG6" s="235" t="s">
        <v>606</v>
      </c>
      <c r="AH6" s="236" t="s">
        <v>470</v>
      </c>
      <c r="AI6" s="118"/>
    </row>
  </sheetData>
  <sheetProtection algorithmName="SHA-512" hashValue="wiKWLt6hPMxS6hhi0YNTbBbqla9obbLUaca3Tt5nwA+KF0QG698mb/+C1Ce942R8LK7Z8A41F7Y6z7NCts3wEQ==" saltValue="pyb9MFHnBaDITL8uykMGNA=="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H6" sqref="H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6"/>
      <c r="B5" s="267"/>
      <c r="C5" s="232"/>
      <c r="D5" s="232"/>
      <c r="E5" s="170" t="s">
        <v>608</v>
      </c>
      <c r="F5" s="221" t="s">
        <v>609</v>
      </c>
      <c r="G5" s="183" t="s">
        <v>610</v>
      </c>
      <c r="H5" s="50"/>
      <c r="I5" s="29">
        <v>5</v>
      </c>
      <c r="J5" s="184" t="s">
        <v>611</v>
      </c>
      <c r="K5" s="185"/>
      <c r="L5" s="186" t="s">
        <v>612</v>
      </c>
      <c r="M5" s="183" t="s">
        <v>613</v>
      </c>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ht="36" x14ac:dyDescent="0.25">
      <c r="A6" s="266"/>
      <c r="B6" s="267"/>
      <c r="C6" s="232"/>
      <c r="D6" s="232"/>
      <c r="E6" s="170" t="s">
        <v>614</v>
      </c>
      <c r="F6" s="221" t="s">
        <v>615</v>
      </c>
      <c r="G6" s="183" t="s">
        <v>610</v>
      </c>
      <c r="H6" s="50" t="s">
        <v>616</v>
      </c>
      <c r="I6" s="29">
        <v>5</v>
      </c>
      <c r="J6" s="184">
        <v>3</v>
      </c>
      <c r="K6" s="185" t="s">
        <v>611</v>
      </c>
      <c r="L6" s="186" t="s">
        <v>612</v>
      </c>
      <c r="M6" s="183" t="s">
        <v>613</v>
      </c>
      <c r="N6" s="237"/>
      <c r="O6" s="238"/>
      <c r="P6" s="238"/>
      <c r="Q6" s="237"/>
      <c r="R6" s="237"/>
      <c r="S6" s="238"/>
      <c r="T6" s="238"/>
      <c r="U6" s="237"/>
      <c r="V6" s="237"/>
      <c r="W6" s="238"/>
      <c r="X6" s="238"/>
      <c r="Y6" s="237"/>
      <c r="Z6" s="237"/>
      <c r="AA6" s="238"/>
      <c r="AB6" s="238"/>
      <c r="AC6" s="237"/>
      <c r="AD6" s="237"/>
      <c r="AE6" s="239"/>
      <c r="AF6" s="240"/>
      <c r="AG6" s="241"/>
      <c r="AH6" s="242"/>
      <c r="AI6" s="118"/>
    </row>
  </sheetData>
  <sheetProtection algorithmName="SHA-512" hashValue="BQaI/lJcYRNzsNd8DxdEZJwt+2vSfpqPIM16PbgtRjdsfahUeYxGAa5Q8sXM3LSvue0WG7wxPwUQDDX7G5sL4w==" saltValue="LJUhwHnDOzsAiRJQmzI8Gw==" spinCount="100000" sheet="1" objects="1" scenarios="1" selectLockedCells="1"/>
  <conditionalFormatting sqref="G5:K5">
    <cfRule type="cellIs" dxfId="232" priority="3" operator="equal">
      <formula>""</formula>
    </cfRule>
    <cfRule type="cellIs" dxfId="231" priority="4" operator="equal">
      <formula>0</formula>
    </cfRule>
  </conditionalFormatting>
  <conditionalFormatting sqref="G6:K6">
    <cfRule type="cellIs" dxfId="230" priority="1" operator="equal">
      <formula>""</formula>
    </cfRule>
    <cfRule type="cellIs" dxfId="229" priority="2"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ht="72" x14ac:dyDescent="0.25">
      <c r="A5" s="266"/>
      <c r="B5" s="267"/>
      <c r="C5" s="232"/>
      <c r="D5" s="232"/>
      <c r="E5" s="106" t="s">
        <v>617</v>
      </c>
      <c r="F5" s="221" t="s">
        <v>618</v>
      </c>
      <c r="G5" s="243">
        <v>10</v>
      </c>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LOkcddZ46qOnX8DeKeCQceweQ8j4MqpiMj7uf72a8qZdEwxrQtpeqCXm0XJxc96Fvl+dCsO6fKaKPZYHabmbhw==" saltValue="9ERltPwLVsbeaUZUW44uZg=="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INICIO</v>
      </c>
      <c r="E1" s="213" t="str">
        <f>LANGUAGE</f>
        <v>ESPAÑOL</v>
      </c>
      <c r="F1" s="74" t="s">
        <v>12</v>
      </c>
      <c r="G1" s="74" t="s">
        <v>19</v>
      </c>
      <c r="H1" s="74" t="s">
        <v>20</v>
      </c>
      <c r="I1" s="74" t="s">
        <v>21</v>
      </c>
      <c r="J1" s="74" t="s">
        <v>22</v>
      </c>
      <c r="K1" s="74" t="s">
        <v>23</v>
      </c>
    </row>
    <row r="2" spans="1:13" ht="30" customHeight="1" thickBot="1" x14ac:dyDescent="0.3">
      <c r="A2" s="204" t="s">
        <v>24</v>
      </c>
      <c r="B2" s="72"/>
      <c r="C2" s="72"/>
      <c r="D2" s="208" t="str">
        <f>"LINK "&amp;INICIO!A45</f>
        <v>LINK PERSONALIZAR DICCIONARIO</v>
      </c>
      <c r="E2" s="214" t="str">
        <f>IFERROR(INDEX(F2:K20,1,MATCH(E1,F20:K20,0)),IDIOMA)</f>
        <v>S</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INICIO</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CANAL YOUTUBE</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NO FUNCIONA CON
VERSIONES DE EXCEL 
ANTERIORES A 2007
NI CON LA ÚLTIMA ACTUALIZACIÓN DE MAC</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LEER CON ATENCIÓN</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Esta Aplicación ha sido desarrollada, en la primera versión, por:</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Universidad de Cádiz</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Esta HOJA sirve para almacenar las preguntas y poder reutilizarlas cuando sea necesario, sin tener que volver a escribirlas para un nuevo BANCO DE PREGUNTAS.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 xml:space="preserve">Opción Múltiple 1R </v>
      </c>
      <c r="F11" s="217" t="s">
        <v>67</v>
      </c>
      <c r="G11" s="217" t="s">
        <v>522</v>
      </c>
      <c r="H11" s="217" t="s">
        <v>68</v>
      </c>
      <c r="I11" s="217" t="s">
        <v>69</v>
      </c>
      <c r="J11" s="217" t="s">
        <v>523</v>
      </c>
      <c r="K11" s="217" t="s">
        <v>522</v>
      </c>
      <c r="L11" s="76" t="s">
        <v>31</v>
      </c>
    </row>
    <row r="12" spans="1:13" outlineLevel="1" x14ac:dyDescent="0.25">
      <c r="A12" s="74" t="str">
        <f t="shared" si="0"/>
        <v>Z_IN_09_D</v>
      </c>
      <c r="B12" s="200" t="str">
        <f t="shared" si="1"/>
        <v>IN</v>
      </c>
      <c r="C12" s="201" t="s">
        <v>70</v>
      </c>
      <c r="D12" s="257"/>
      <c r="E12" s="216" t="str">
        <f>IFERROR(IF(D12&lt;&gt;"",D12,HLOOKUP($E$2,$F$2:K12,ROW(D12)-1,0)),F12)</f>
        <v xml:space="preserve">Opción Múltiple +R </v>
      </c>
      <c r="F12" s="216" t="s">
        <v>524</v>
      </c>
      <c r="G12" s="216" t="s">
        <v>525</v>
      </c>
      <c r="H12" s="216" t="s">
        <v>526</v>
      </c>
      <c r="I12" s="216" t="s">
        <v>527</v>
      </c>
      <c r="J12" s="216" t="s">
        <v>528</v>
      </c>
      <c r="K12" s="216" t="s">
        <v>529</v>
      </c>
      <c r="L12" s="76" t="s">
        <v>31</v>
      </c>
    </row>
    <row r="13" spans="1:13" outlineLevel="1" x14ac:dyDescent="0.25">
      <c r="A13" s="74" t="str">
        <f t="shared" si="0"/>
        <v>Z_IN_10_D</v>
      </c>
      <c r="B13" s="202" t="str">
        <f t="shared" si="1"/>
        <v>IN</v>
      </c>
      <c r="C13" s="203" t="s">
        <v>71</v>
      </c>
      <c r="D13" s="258"/>
      <c r="E13" s="217" t="str">
        <f>IFERROR(IF(D13&lt;&gt;"",D13,HLOOKUP($E$2,$F$2:K13,ROW(D13)-1,0)),F13)</f>
        <v>Verdadero/Falso</v>
      </c>
      <c r="F13" s="217" t="s">
        <v>530</v>
      </c>
      <c r="G13" s="217" t="s">
        <v>531</v>
      </c>
      <c r="H13" s="217" t="s">
        <v>532</v>
      </c>
      <c r="I13" s="217" t="s">
        <v>533</v>
      </c>
      <c r="J13" s="217" t="s">
        <v>534</v>
      </c>
      <c r="K13" s="217" t="s">
        <v>535</v>
      </c>
      <c r="L13" s="76" t="s">
        <v>31</v>
      </c>
    </row>
    <row r="14" spans="1:13" outlineLevel="1" x14ac:dyDescent="0.25">
      <c r="A14" s="74" t="str">
        <f t="shared" si="0"/>
        <v>Z_IN_11_D</v>
      </c>
      <c r="B14" s="200" t="str">
        <f t="shared" si="1"/>
        <v>IN</v>
      </c>
      <c r="C14" s="201" t="s">
        <v>72</v>
      </c>
      <c r="D14" s="257"/>
      <c r="E14" s="216" t="str">
        <f>IFERROR(IF(D14&lt;&gt;"",D14,HLOOKUP($E$2,$F$2:K14,ROW(D14)-1,0)),F14)</f>
        <v>Emparejar</v>
      </c>
      <c r="F14" s="216" t="s">
        <v>7</v>
      </c>
      <c r="G14" s="216" t="s">
        <v>536</v>
      </c>
      <c r="H14" s="216" t="s">
        <v>537</v>
      </c>
      <c r="I14" s="216" t="s">
        <v>73</v>
      </c>
      <c r="J14" s="216" t="s">
        <v>538</v>
      </c>
      <c r="K14" s="216" t="s">
        <v>539</v>
      </c>
      <c r="L14" s="76" t="s">
        <v>31</v>
      </c>
    </row>
    <row r="15" spans="1:13" outlineLevel="1" x14ac:dyDescent="0.25">
      <c r="A15" s="74" t="str">
        <f t="shared" si="0"/>
        <v>Z_IN_12_D</v>
      </c>
      <c r="B15" s="202" t="str">
        <f t="shared" si="1"/>
        <v>IN</v>
      </c>
      <c r="C15" s="203" t="s">
        <v>74</v>
      </c>
      <c r="D15" s="258"/>
      <c r="E15" s="217" t="str">
        <f>IFERROR(IF(D15&lt;&gt;"",D15,HLOOKUP($E$2,$F$2:K15,ROW(D15)-1,0)),F15)</f>
        <v>Respuesta Corta</v>
      </c>
      <c r="F15" s="217" t="s">
        <v>8</v>
      </c>
      <c r="G15" s="217" t="s">
        <v>75</v>
      </c>
      <c r="H15" s="217" t="s">
        <v>265</v>
      </c>
      <c r="I15" s="217" t="s">
        <v>266</v>
      </c>
      <c r="J15" s="217" t="s">
        <v>267</v>
      </c>
      <c r="K15" s="217" t="s">
        <v>540</v>
      </c>
      <c r="L15" s="76" t="s">
        <v>31</v>
      </c>
    </row>
    <row r="16" spans="1:13" outlineLevel="1" x14ac:dyDescent="0.25">
      <c r="A16" s="74" t="str">
        <f t="shared" si="0"/>
        <v>Z_IN_13_D</v>
      </c>
      <c r="B16" s="200" t="str">
        <f t="shared" si="1"/>
        <v>IN</v>
      </c>
      <c r="C16" s="201" t="s">
        <v>76</v>
      </c>
      <c r="D16" s="257"/>
      <c r="E16" s="216" t="str">
        <f>IFERROR(IF(D16&lt;&gt;"",D16,HLOOKUP($E$2,$F$2:K16,ROW(D16)-1,0)),F16)</f>
        <v>Palabra Perdida</v>
      </c>
      <c r="F16" s="216" t="s">
        <v>9</v>
      </c>
      <c r="G16" s="216" t="s">
        <v>77</v>
      </c>
      <c r="H16" s="216" t="s">
        <v>541</v>
      </c>
      <c r="I16" s="216" t="s">
        <v>268</v>
      </c>
      <c r="J16" s="216" t="s">
        <v>542</v>
      </c>
      <c r="K16" s="216" t="s">
        <v>543</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Preguntas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Ensayo</v>
      </c>
      <c r="F19" s="217" t="s">
        <v>206</v>
      </c>
      <c r="G19" s="217" t="s">
        <v>207</v>
      </c>
      <c r="H19" s="217" t="s">
        <v>208</v>
      </c>
      <c r="I19" s="217" t="s">
        <v>209</v>
      </c>
      <c r="J19" s="217" t="s">
        <v>210</v>
      </c>
      <c r="K19" s="217" t="s">
        <v>544</v>
      </c>
      <c r="L19" s="76" t="s">
        <v>31</v>
      </c>
    </row>
    <row r="20" spans="1:13" outlineLevel="1" x14ac:dyDescent="0.25">
      <c r="A20" s="74" t="str">
        <f t="shared" si="2"/>
        <v>Z_IN_17_D</v>
      </c>
      <c r="B20" s="200" t="str">
        <f t="shared" si="1"/>
        <v>IN</v>
      </c>
      <c r="C20" s="201">
        <v>17</v>
      </c>
      <c r="D20" s="257"/>
      <c r="E20" s="216" t="str">
        <f>IFERROR(IF(D20&lt;&gt;"",D20,HLOOKUP($E$2,$F$2:K20,ROW(D20)-1,0)),F20)</f>
        <v>PERSONALIZAR DICCIONARIO</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Banco de preguntas</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Preguntas Almacenadas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DICCIONARIO</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Enunciado de la pregunta</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Descripción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Respuesta Correcta</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Respuesta Incorrecta</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Retroalim.</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Pista</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Puntos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OM 1R</v>
      </c>
      <c r="F31" s="217" t="s">
        <v>138</v>
      </c>
      <c r="G31" s="217" t="s">
        <v>545</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OM +R</v>
      </c>
      <c r="F32" s="216" t="s">
        <v>552</v>
      </c>
      <c r="G32" s="216" t="s">
        <v>551</v>
      </c>
      <c r="H32" s="216" t="s">
        <v>546</v>
      </c>
      <c r="I32" s="216" t="s">
        <v>547</v>
      </c>
      <c r="J32" s="216" t="s">
        <v>548</v>
      </c>
      <c r="K32" s="216" t="s">
        <v>549</v>
      </c>
    </row>
    <row r="33" spans="1:12" outlineLevel="1" x14ac:dyDescent="0.25">
      <c r="A33" s="74" t="str">
        <f t="shared" si="0"/>
        <v>Z_BP_12_D</v>
      </c>
      <c r="B33" s="202" t="str">
        <f t="shared" si="3"/>
        <v>BP</v>
      </c>
      <c r="C33" s="203" t="s">
        <v>74</v>
      </c>
      <c r="D33" s="258"/>
      <c r="E33" s="217" t="str">
        <f>IFERROR(IF(D33&lt;&gt;"",D33,HLOOKUP($E$2,$F$2:K33,ROW(D33)-1,0)),F33)</f>
        <v>VF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EM</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RC</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PP</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Pareja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Mayúsculas</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Respuesta</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Palabra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VERDADERO</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FALSO</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Grupo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Formato de la Respuesta</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Requerir texto</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Tamaño de la caja de entrada</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Permitir archivos adjuntos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Archivos adjuntos requeridos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Plantilla de Respuesta</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Información para el evaluador</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EN</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Ancho RC</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MENSAJES MACROS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Copia el link (Ctrl+C) y 
pega (Ctrl+V) en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kAcPRcG3OyQ8PBsEukpvzQ9Xlhoo/HAblvtmB0e6uTPcPi4NL9qsmXw3VVkfFA1JV+W6J7qntHOBLkv9P8JWA==" saltValue="PXiPQxeTJlzSALm/F+ZGPg=="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2021-11-08T20:39:21Z</dcterms:modified>
  <cp:category>DOCENCIA</cp:category>
</cp:coreProperties>
</file>