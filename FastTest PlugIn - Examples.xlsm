
<file path=[Content_Types].xml><?xml version="1.0" encoding="utf-8"?>
<Types xmlns="http://schemas.openxmlformats.org/package/2006/content-types">
  <Default Extension="png" ContentType="image/png"/>
  <Default Extension="bin" ContentType="application/vnd.ms-office.vbaProject"/>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drawings/drawing5.xml" ContentType="application/vnd.openxmlformats-officedocument.drawing+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Z:\AHGM\FastTest PlugIn\"/>
    </mc:Choice>
  </mc:AlternateContent>
  <bookViews>
    <workbookView showHorizontalScroll="0" showSheetTabs="0" xWindow="0" yWindow="0" windowWidth="20730" windowHeight="9630"/>
  </bookViews>
  <sheets>
    <sheet name="INICIO" sheetId="6" r:id="rId1"/>
    <sheet name="Datos OM" sheetId="1" r:id="rId2"/>
    <sheet name="Datos O2" sheetId="7" r:id="rId3"/>
    <sheet name="Datos VF" sheetId="2" r:id="rId4"/>
    <sheet name="Datos E" sheetId="3" r:id="rId5"/>
    <sheet name="Datos RC" sheetId="4" r:id="rId6"/>
    <sheet name="Datos PP" sheetId="5" r:id="rId7"/>
    <sheet name="DICCIONARIO" sheetId="8" state="hidden" r:id="rId8"/>
  </sheets>
  <definedNames>
    <definedName name="APP">"FastTest PlugIn"</definedName>
    <definedName name="AUTOR">INICIO!$J$5</definedName>
    <definedName name="IDIOMA">INICIO!$A$37</definedName>
    <definedName name="Z_BP_00_D">DICCIONARIO!$I$19</definedName>
    <definedName name="Z_BP_00_E">DICCIONARIO!$E$19</definedName>
    <definedName name="Z_BP_00_F">DICCIONARIO!$F$19</definedName>
    <definedName name="Z_BP_00_I">DICCIONARIO!$H$19</definedName>
    <definedName name="Z_BP_00_P">DICCIONARIO!$G$19</definedName>
    <definedName name="Z_BP_00_S">DICCIONARIO!$D$19</definedName>
    <definedName name="Z_BP_01_D">DICCIONARIO!$I$20</definedName>
    <definedName name="Z_BP_01_E">DICCIONARIO!$E$20</definedName>
    <definedName name="Z_BP_01_F">DICCIONARIO!$F$20</definedName>
    <definedName name="Z_BP_01_I">DICCIONARIO!$H$20</definedName>
    <definedName name="Z_BP_01_P">DICCIONARIO!$G$20</definedName>
    <definedName name="Z_BP_01_S">DICCIONARIO!$D$20</definedName>
    <definedName name="Z_BP_02_D">DICCIONARIO!$I$21</definedName>
    <definedName name="Z_BP_02_E">DICCIONARIO!$E$21</definedName>
    <definedName name="Z_BP_02_F">DICCIONARIO!$F$21</definedName>
    <definedName name="Z_BP_02_I">DICCIONARIO!$H$21</definedName>
    <definedName name="Z_BP_02_P">DICCIONARIO!$G$21</definedName>
    <definedName name="Z_BP_02_S">DICCIONARIO!$D$21</definedName>
    <definedName name="Z_BP_03_D">DICCIONARIO!$I$22</definedName>
    <definedName name="Z_BP_03_E">DICCIONARIO!$E$22</definedName>
    <definedName name="Z_BP_03_F">DICCIONARIO!$F$22</definedName>
    <definedName name="Z_BP_03_I">DICCIONARIO!$H$22</definedName>
    <definedName name="Z_BP_03_P">DICCIONARIO!$G$22</definedName>
    <definedName name="Z_BP_03_S">DICCIONARIO!$D$22</definedName>
    <definedName name="Z_BP_04_D">DICCIONARIO!$I$23</definedName>
    <definedName name="Z_BP_04_E">DICCIONARIO!$E$23</definedName>
    <definedName name="Z_BP_04_F">DICCIONARIO!$F$23</definedName>
    <definedName name="Z_BP_04_I">DICCIONARIO!$H$23</definedName>
    <definedName name="Z_BP_04_P">DICCIONARIO!$G$23</definedName>
    <definedName name="Z_BP_04_S">DICCIONARIO!$D$23</definedName>
    <definedName name="Z_BP_05_D">DICCIONARIO!$I$24</definedName>
    <definedName name="Z_BP_05_E">DICCIONARIO!$E$24</definedName>
    <definedName name="Z_BP_05_F">DICCIONARIO!$F$24</definedName>
    <definedName name="Z_BP_05_I">DICCIONARIO!$H$24</definedName>
    <definedName name="Z_BP_05_P">DICCIONARIO!$G$24</definedName>
    <definedName name="Z_BP_05_S">DICCIONARIO!$D$24</definedName>
    <definedName name="Z_BP_06_D">DICCIONARIO!$I$25</definedName>
    <definedName name="Z_BP_06_E">DICCIONARIO!$E$25</definedName>
    <definedName name="Z_BP_06_F">DICCIONARIO!$F$25</definedName>
    <definedName name="Z_BP_06_I">DICCIONARIO!$H$25</definedName>
    <definedName name="Z_BP_06_P">DICCIONARIO!$G$25</definedName>
    <definedName name="Z_BP_06_S">DICCIONARIO!$D$25</definedName>
    <definedName name="Z_BP_07_D">DICCIONARIO!$I$26</definedName>
    <definedName name="Z_BP_07_E">DICCIONARIO!$E$26</definedName>
    <definedName name="Z_BP_07_F">DICCIONARIO!$F$26</definedName>
    <definedName name="Z_BP_07_I">DICCIONARIO!$H$26</definedName>
    <definedName name="Z_BP_07_P">DICCIONARIO!$G$26</definedName>
    <definedName name="Z_BP_07_S">DICCIONARIO!$D$26</definedName>
    <definedName name="Z_BP_08_D">DICCIONARIO!$I$27</definedName>
    <definedName name="Z_BP_08_E">DICCIONARIO!$E$27</definedName>
    <definedName name="Z_BP_08_F">DICCIONARIO!$F$27</definedName>
    <definedName name="Z_BP_08_I">DICCIONARIO!$H$27</definedName>
    <definedName name="Z_BP_08_P">DICCIONARIO!$G$27</definedName>
    <definedName name="Z_BP_08_S">DICCIONARIO!$D$27</definedName>
    <definedName name="Z_BP_09_D">DICCIONARIO!$I$28</definedName>
    <definedName name="Z_BP_09_E">DICCIONARIO!$E$28</definedName>
    <definedName name="Z_BP_09_F">DICCIONARIO!$F$28</definedName>
    <definedName name="Z_BP_09_I">DICCIONARIO!$H$28</definedName>
    <definedName name="Z_BP_09_P">DICCIONARIO!$G$28</definedName>
    <definedName name="Z_BP_09_S">DICCIONARIO!$D$28</definedName>
    <definedName name="Z_BP_10_D">DICCIONARIO!$I$29</definedName>
    <definedName name="Z_BP_10_E">DICCIONARIO!$E$29</definedName>
    <definedName name="Z_BP_10_F">DICCIONARIO!$F$29</definedName>
    <definedName name="Z_BP_10_I">DICCIONARIO!$H$29</definedName>
    <definedName name="Z_BP_10_P">DICCIONARIO!$G$29</definedName>
    <definedName name="Z_BP_10_S">DICCIONARIO!$D$29</definedName>
    <definedName name="Z_BP_11_D">DICCIONARIO!$I$30</definedName>
    <definedName name="Z_BP_11_E">DICCIONARIO!$E$30</definedName>
    <definedName name="Z_BP_11_F">DICCIONARIO!$F$30</definedName>
    <definedName name="Z_BP_11_I">DICCIONARIO!$H$30</definedName>
    <definedName name="Z_BP_11_P">DICCIONARIO!$G$30</definedName>
    <definedName name="Z_BP_11_S">DICCIONARIO!$D$30</definedName>
    <definedName name="Z_BP_12_D">DICCIONARIO!$I$31</definedName>
    <definedName name="Z_BP_12_E">DICCIONARIO!$E$31</definedName>
    <definedName name="Z_BP_12_F">DICCIONARIO!$F$31</definedName>
    <definedName name="Z_BP_12_I">DICCIONARIO!$H$31</definedName>
    <definedName name="Z_BP_12_P">DICCIONARIO!$G$31</definedName>
    <definedName name="Z_BP_12_S">DICCIONARIO!$D$31</definedName>
    <definedName name="Z_BP_13_D">DICCIONARIO!$I$32</definedName>
    <definedName name="Z_BP_13_E">DICCIONARIO!$E$32</definedName>
    <definedName name="Z_BP_13_F">DICCIONARIO!$F$32</definedName>
    <definedName name="Z_BP_13_I">DICCIONARIO!$H$32</definedName>
    <definedName name="Z_BP_13_P">DICCIONARIO!$G$32</definedName>
    <definedName name="Z_BP_13_S">DICCIONARIO!$D$32</definedName>
    <definedName name="Z_BP_14_D">DICCIONARIO!$I$33</definedName>
    <definedName name="Z_BP_14_E">DICCIONARIO!$E$33</definedName>
    <definedName name="Z_BP_14_F">DICCIONARIO!$F$33</definedName>
    <definedName name="Z_BP_14_I">DICCIONARIO!$H$33</definedName>
    <definedName name="Z_BP_14_P">DICCIONARIO!$G$33</definedName>
    <definedName name="Z_BP_14_S">DICCIONARIO!$D$33</definedName>
    <definedName name="Z_BP_15_D">DICCIONARIO!$I$34</definedName>
    <definedName name="Z_BP_15_E">DICCIONARIO!$E$34</definedName>
    <definedName name="Z_BP_15_F">DICCIONARIO!$F$34</definedName>
    <definedName name="Z_BP_15_I">DICCIONARIO!$H$34</definedName>
    <definedName name="Z_BP_15_P">DICCIONARIO!$G$34</definedName>
    <definedName name="Z_BP_15_S">DICCIONARIO!$D$34</definedName>
    <definedName name="Z_BP_16_D">DICCIONARIO!$I$35</definedName>
    <definedName name="Z_BP_16_E">DICCIONARIO!$E$35</definedName>
    <definedName name="Z_BP_16_F">DICCIONARIO!$F$35</definedName>
    <definedName name="Z_BP_16_I">DICCIONARIO!$H$35</definedName>
    <definedName name="Z_BP_16_P">DICCIONARIO!$G$35</definedName>
    <definedName name="Z_BP_16_S">DICCIONARIO!$D$35</definedName>
    <definedName name="Z_BP_17_D">DICCIONARIO!$I$36</definedName>
    <definedName name="Z_BP_17_E">DICCIONARIO!$E$36</definedName>
    <definedName name="Z_BP_17_F">DICCIONARIO!$F$36</definedName>
    <definedName name="Z_BP_17_I">DICCIONARIO!$H$36</definedName>
    <definedName name="Z_BP_17_P">DICCIONARIO!$G$36</definedName>
    <definedName name="Z_BP_17_S">DICCIONARIO!$D$36</definedName>
    <definedName name="Z_BP_18_D">DICCIONARIO!$I$37</definedName>
    <definedName name="Z_BP_18_E">DICCIONARIO!$E$37</definedName>
    <definedName name="Z_BP_18_F">DICCIONARIO!$F$37</definedName>
    <definedName name="Z_BP_18_I">DICCIONARIO!$H$37</definedName>
    <definedName name="Z_BP_18_P">DICCIONARIO!$G$37</definedName>
    <definedName name="Z_BP_18_S">DICCIONARIO!$D$37</definedName>
    <definedName name="Z_BP_19_D">DICCIONARIO!$I$38</definedName>
    <definedName name="Z_BP_19_E">DICCIONARIO!$E$38</definedName>
    <definedName name="Z_BP_19_F">DICCIONARIO!$F$38</definedName>
    <definedName name="Z_BP_19_I">DICCIONARIO!$H$38</definedName>
    <definedName name="Z_BP_19_P">DICCIONARIO!$G$38</definedName>
    <definedName name="Z_BP_19_S">DICCIONARIO!$D$38</definedName>
    <definedName name="Z_BP_20_D">DICCIONARIO!$I$39</definedName>
    <definedName name="Z_BP_20_E">DICCIONARIO!$E$39</definedName>
    <definedName name="Z_BP_20_F">DICCIONARIO!$F$39</definedName>
    <definedName name="Z_BP_20_I">DICCIONARIO!$H$39</definedName>
    <definedName name="Z_BP_20_P">DICCIONARIO!$G$39</definedName>
    <definedName name="Z_BP_20_S">DICCIONARIO!$D$39</definedName>
    <definedName name="Z_BP_21_D">DICCIONARIO!$I$40</definedName>
    <definedName name="Z_BP_21_E">DICCIONARIO!$E$40</definedName>
    <definedName name="Z_BP_21_F">DICCIONARIO!$F$40</definedName>
    <definedName name="Z_BP_21_I">DICCIONARIO!$H$40</definedName>
    <definedName name="Z_BP_21_P">DICCIONARIO!$G$40</definedName>
    <definedName name="Z_BP_21_S">DICCIONARIO!$D$40</definedName>
    <definedName name="Z_BP_22_D">DICCIONARIO!$I$41</definedName>
    <definedName name="Z_BP_22_E">DICCIONARIO!$E$41</definedName>
    <definedName name="Z_BP_22_F">DICCIONARIO!$F$41</definedName>
    <definedName name="Z_BP_22_I">DICCIONARIO!$H$41</definedName>
    <definedName name="Z_BP_22_P">DICCIONARIO!$G$41</definedName>
    <definedName name="Z_BP_22_S">DICCIONARIO!$D$41</definedName>
    <definedName name="Z_BP_23_D">DICCIONARIO!$I$42</definedName>
    <definedName name="Z_BP_23_E">DICCIONARIO!$E$42</definedName>
    <definedName name="Z_BP_23_F">DICCIONARIO!$F$42</definedName>
    <definedName name="Z_BP_23_I">DICCIONARIO!$H$42</definedName>
    <definedName name="Z_BP_23_P">DICCIONARIO!$G$42</definedName>
    <definedName name="Z_BP_23_S">DICCIONARIO!$D$42</definedName>
    <definedName name="Z_IN_00_D">DICCIONARIO!$I$3</definedName>
    <definedName name="Z_IN_00_E">DICCIONARIO!$E$3</definedName>
    <definedName name="Z_IN_00_F">DICCIONARIO!$F$3</definedName>
    <definedName name="Z_IN_00_I">DICCIONARIO!$H$3</definedName>
    <definedName name="Z_IN_00_P">DICCIONARIO!$G$3</definedName>
    <definedName name="Z_IN_00_S">DICCIONARIO!$D$3</definedName>
    <definedName name="Z_IN_01_D">DICCIONARIO!$I$4</definedName>
    <definedName name="Z_IN_01_E">DICCIONARIO!$E$4</definedName>
    <definedName name="Z_IN_01_F">DICCIONARIO!$F$4</definedName>
    <definedName name="Z_IN_01_I">DICCIONARIO!$H$4</definedName>
    <definedName name="Z_IN_01_P">DICCIONARIO!$G$4</definedName>
    <definedName name="Z_IN_01_S">DICCIONARIO!$D$4</definedName>
    <definedName name="Z_IN_02_D">DICCIONARIO!$I$5</definedName>
    <definedName name="Z_IN_02_E">DICCIONARIO!$E$5</definedName>
    <definedName name="Z_IN_02_F">DICCIONARIO!$F$5</definedName>
    <definedName name="Z_IN_02_I">DICCIONARIO!$H$5</definedName>
    <definedName name="Z_IN_02_P">DICCIONARIO!$G$5</definedName>
    <definedName name="Z_IN_02_S">DICCIONARIO!$D$5</definedName>
    <definedName name="Z_IN_03_D">DICCIONARIO!$I$6</definedName>
    <definedName name="Z_IN_03_E">DICCIONARIO!$E$6</definedName>
    <definedName name="Z_IN_03_F">DICCIONARIO!$F$6</definedName>
    <definedName name="Z_IN_03_I">DICCIONARIO!$H$6</definedName>
    <definedName name="Z_IN_03_P">DICCIONARIO!$G$6</definedName>
    <definedName name="Z_IN_03_S">DICCIONARIO!$D$6</definedName>
    <definedName name="Z_IN_04_D">DICCIONARIO!$I$7</definedName>
    <definedName name="Z_IN_04_E">DICCIONARIO!$E$7</definedName>
    <definedName name="Z_IN_04_F">DICCIONARIO!$F$7</definedName>
    <definedName name="Z_IN_04_I">DICCIONARIO!$H$7</definedName>
    <definedName name="Z_IN_04_P">DICCIONARIO!$G$7</definedName>
    <definedName name="Z_IN_04_S">DICCIONARIO!$D$7</definedName>
    <definedName name="Z_IN_05_D">DICCIONARIO!$I$8</definedName>
    <definedName name="Z_IN_05_E">DICCIONARIO!$E$8</definedName>
    <definedName name="Z_IN_05_F">DICCIONARIO!$F$8</definedName>
    <definedName name="Z_IN_05_I">DICCIONARIO!$H$8</definedName>
    <definedName name="Z_IN_05_P">DICCIONARIO!$G$8</definedName>
    <definedName name="Z_IN_05_S">DICCIONARIO!$D$8</definedName>
    <definedName name="Z_IN_06_D">DICCIONARIO!$I$9</definedName>
    <definedName name="Z_IN_06_E">DICCIONARIO!$E$9</definedName>
    <definedName name="Z_IN_06_F">DICCIONARIO!$F$9</definedName>
    <definedName name="Z_IN_06_I">DICCIONARIO!$H$9</definedName>
    <definedName name="Z_IN_06_P">DICCIONARIO!$G$9</definedName>
    <definedName name="Z_IN_06_S">DICCIONARIO!$D$9</definedName>
    <definedName name="Z_IN_07_D">DICCIONARIO!$I$10</definedName>
    <definedName name="Z_IN_07_E">DICCIONARIO!$E$10</definedName>
    <definedName name="Z_IN_07_F">DICCIONARIO!$F$10</definedName>
    <definedName name="Z_IN_07_I">DICCIONARIO!$H$10</definedName>
    <definedName name="Z_IN_07_P">DICCIONARIO!$G$10</definedName>
    <definedName name="Z_IN_07_S">DICCIONARIO!$D$10</definedName>
    <definedName name="Z_IN_08_D">DICCIONARIO!$I$11</definedName>
    <definedName name="Z_IN_08_E">DICCIONARIO!$E$11</definedName>
    <definedName name="Z_IN_08_F">DICCIONARIO!$F$11</definedName>
    <definedName name="Z_IN_08_I">DICCIONARIO!$H$11</definedName>
    <definedName name="Z_IN_08_P">DICCIONARIO!$G$11</definedName>
    <definedName name="Z_IN_08_S">DICCIONARIO!$D$11</definedName>
    <definedName name="Z_IN_09_D">DICCIONARIO!$I$12</definedName>
    <definedName name="Z_IN_09_E">DICCIONARIO!$E$12</definedName>
    <definedName name="Z_IN_09_F">DICCIONARIO!$F$12</definedName>
    <definedName name="Z_IN_09_I">DICCIONARIO!$H$12</definedName>
    <definedName name="Z_IN_09_P">DICCIONARIO!$G$12</definedName>
    <definedName name="Z_IN_09_S">DICCIONARIO!$D$12</definedName>
    <definedName name="Z_IN_10_D">DICCIONARIO!$I$13</definedName>
    <definedName name="Z_IN_10_E">DICCIONARIO!$E$13</definedName>
    <definedName name="Z_IN_10_F">DICCIONARIO!$F$13</definedName>
    <definedName name="Z_IN_10_I">DICCIONARIO!$H$13</definedName>
    <definedName name="Z_IN_10_P">DICCIONARIO!$G$13</definedName>
    <definedName name="Z_IN_10_S">DICCIONARIO!$D$13</definedName>
    <definedName name="Z_IN_11_D">DICCIONARIO!$I$14</definedName>
    <definedName name="Z_IN_11_E">DICCIONARIO!$E$14</definedName>
    <definedName name="Z_IN_11_F">DICCIONARIO!$F$14</definedName>
    <definedName name="Z_IN_11_I">DICCIONARIO!$H$14</definedName>
    <definedName name="Z_IN_11_P">DICCIONARIO!$G$14</definedName>
    <definedName name="Z_IN_11_S">DICCIONARIO!$D$14</definedName>
    <definedName name="Z_IN_12_D">DICCIONARIO!$I$15</definedName>
    <definedName name="Z_IN_12_E">DICCIONARIO!$E$15</definedName>
    <definedName name="Z_IN_12_F">DICCIONARIO!$F$15</definedName>
    <definedName name="Z_IN_12_I">DICCIONARIO!$H$15</definedName>
    <definedName name="Z_IN_12_P">DICCIONARIO!$G$15</definedName>
    <definedName name="Z_IN_12_S">DICCIONARIO!$D$15</definedName>
    <definedName name="Z_IN_13_D">DICCIONARIO!$I$16</definedName>
    <definedName name="Z_IN_13_E">DICCIONARIO!$E$16</definedName>
    <definedName name="Z_IN_13_F">DICCIONARIO!$F$16</definedName>
    <definedName name="Z_IN_13_I">DICCIONARIO!$H$16</definedName>
    <definedName name="Z_IN_13_P">DICCIONARIO!$G$16</definedName>
    <definedName name="Z_IN_13_S">DICCIONARIO!$D$16</definedName>
    <definedName name="Z_IN_14_D">DICCIONARIO!$I$17</definedName>
    <definedName name="Z_IN_14_E">DICCIONARIO!$E$17</definedName>
    <definedName name="Z_IN_14_F">DICCIONARIO!$F$17</definedName>
    <definedName name="Z_IN_14_I">DICCIONARIO!$H$17</definedName>
    <definedName name="Z_IN_14_P">DICCIONARIO!$G$17</definedName>
    <definedName name="Z_IN_14_S">DICCIONARIO!$D$17</definedName>
    <definedName name="Z_IN_15_D">DICCIONARIO!$I$18</definedName>
    <definedName name="Z_IN_15_E">DICCIONARIO!$E$18</definedName>
    <definedName name="Z_IN_15_F">DICCIONARIO!$F$18</definedName>
    <definedName name="Z_IN_15_I">DICCIONARIO!$H$18</definedName>
    <definedName name="Z_IN_15_P">DICCIONARIO!$G$18</definedName>
    <definedName name="Z_IN_15_S">DICCIONARIO!$D$18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05" i="7" l="1"/>
  <c r="B505" i="7" s="1"/>
  <c r="A504" i="7"/>
  <c r="B504" i="7" s="1"/>
  <c r="A503" i="7"/>
  <c r="B503" i="7" s="1"/>
  <c r="A502" i="7"/>
  <c r="B502" i="7" s="1"/>
  <c r="A501" i="7"/>
  <c r="B501" i="7" s="1"/>
  <c r="A500" i="7"/>
  <c r="B500" i="7" s="1"/>
  <c r="A499" i="7"/>
  <c r="B499" i="7" s="1"/>
  <c r="A498" i="7"/>
  <c r="B498" i="7" s="1"/>
  <c r="A497" i="7"/>
  <c r="B497" i="7" s="1"/>
  <c r="A496" i="7"/>
  <c r="B496" i="7" s="1"/>
  <c r="A495" i="7"/>
  <c r="B495" i="7" s="1"/>
  <c r="A494" i="7"/>
  <c r="B494" i="7" s="1"/>
  <c r="A493" i="7"/>
  <c r="B493" i="7" s="1"/>
  <c r="A492" i="7"/>
  <c r="B492" i="7" s="1"/>
  <c r="A491" i="7"/>
  <c r="B491" i="7" s="1"/>
  <c r="A490" i="7"/>
  <c r="B490" i="7" s="1"/>
  <c r="A489" i="7"/>
  <c r="B489" i="7" s="1"/>
  <c r="A488" i="7"/>
  <c r="B488" i="7" s="1"/>
  <c r="A487" i="7"/>
  <c r="B487" i="7" s="1"/>
  <c r="A486" i="7"/>
  <c r="B486" i="7" s="1"/>
  <c r="A485" i="7"/>
  <c r="B485" i="7" s="1"/>
  <c r="A484" i="7"/>
  <c r="B484" i="7" s="1"/>
  <c r="A483" i="7"/>
  <c r="B483" i="7" s="1"/>
  <c r="A482" i="7"/>
  <c r="B482" i="7" s="1"/>
  <c r="A481" i="7"/>
  <c r="B481" i="7" s="1"/>
  <c r="A480" i="7"/>
  <c r="B480" i="7" s="1"/>
  <c r="A479" i="7"/>
  <c r="B479" i="7" s="1"/>
  <c r="A478" i="7"/>
  <c r="B478" i="7" s="1"/>
  <c r="A477" i="7"/>
  <c r="B477" i="7" s="1"/>
  <c r="A476" i="7"/>
  <c r="B476" i="7" s="1"/>
  <c r="A475" i="7"/>
  <c r="B475" i="7" s="1"/>
  <c r="A474" i="7"/>
  <c r="B474" i="7" s="1"/>
  <c r="A473" i="7"/>
  <c r="B473" i="7" s="1"/>
  <c r="A472" i="7"/>
  <c r="B472" i="7" s="1"/>
  <c r="A471" i="7"/>
  <c r="B471" i="7" s="1"/>
  <c r="A470" i="7"/>
  <c r="B470" i="7" s="1"/>
  <c r="A469" i="7"/>
  <c r="B469" i="7" s="1"/>
  <c r="A468" i="7"/>
  <c r="B468" i="7" s="1"/>
  <c r="A467" i="7"/>
  <c r="B467" i="7" s="1"/>
  <c r="A466" i="7"/>
  <c r="B466" i="7" s="1"/>
  <c r="A465" i="7"/>
  <c r="B465" i="7" s="1"/>
  <c r="A464" i="7"/>
  <c r="B464" i="7" s="1"/>
  <c r="A463" i="7"/>
  <c r="B463" i="7" s="1"/>
  <c r="A462" i="7"/>
  <c r="B462" i="7" s="1"/>
  <c r="A461" i="7"/>
  <c r="B461" i="7" s="1"/>
  <c r="A460" i="7"/>
  <c r="B460" i="7" s="1"/>
  <c r="A459" i="7"/>
  <c r="B459" i="7" s="1"/>
  <c r="A458" i="7"/>
  <c r="B458" i="7" s="1"/>
  <c r="A457" i="7"/>
  <c r="B457" i="7" s="1"/>
  <c r="A456" i="7"/>
  <c r="B456" i="7" s="1"/>
  <c r="A455" i="7"/>
  <c r="B455" i="7" s="1"/>
  <c r="A454" i="7"/>
  <c r="B454" i="7" s="1"/>
  <c r="A453" i="7"/>
  <c r="B453" i="7" s="1"/>
  <c r="A452" i="7"/>
  <c r="B452" i="7" s="1"/>
  <c r="A451" i="7"/>
  <c r="B451" i="7" s="1"/>
  <c r="A450" i="7"/>
  <c r="B450" i="7" s="1"/>
  <c r="A449" i="7"/>
  <c r="B449" i="7" s="1"/>
  <c r="A448" i="7"/>
  <c r="B448" i="7" s="1"/>
  <c r="A447" i="7"/>
  <c r="B447" i="7" s="1"/>
  <c r="A446" i="7"/>
  <c r="B446" i="7" s="1"/>
  <c r="A445" i="7"/>
  <c r="B445" i="7" s="1"/>
  <c r="A444" i="7"/>
  <c r="B444" i="7" s="1"/>
  <c r="A443" i="7"/>
  <c r="B443" i="7" s="1"/>
  <c r="A442" i="7"/>
  <c r="B442" i="7" s="1"/>
  <c r="A441" i="7"/>
  <c r="B441" i="7" s="1"/>
  <c r="A440" i="7"/>
  <c r="B440" i="7" s="1"/>
  <c r="A439" i="7"/>
  <c r="B439" i="7" s="1"/>
  <c r="A438" i="7"/>
  <c r="B438" i="7" s="1"/>
  <c r="A437" i="7"/>
  <c r="B437" i="7" s="1"/>
  <c r="B436" i="7"/>
  <c r="A436" i="7"/>
  <c r="A435" i="7"/>
  <c r="B435" i="7" s="1"/>
  <c r="A434" i="7"/>
  <c r="B434" i="7" s="1"/>
  <c r="A433" i="7"/>
  <c r="B433" i="7" s="1"/>
  <c r="A432" i="7"/>
  <c r="B432" i="7" s="1"/>
  <c r="A431" i="7"/>
  <c r="B431" i="7" s="1"/>
  <c r="B430" i="7"/>
  <c r="A430" i="7"/>
  <c r="A429" i="7"/>
  <c r="B429" i="7" s="1"/>
  <c r="A428" i="7"/>
  <c r="B428" i="7" s="1"/>
  <c r="A427" i="7"/>
  <c r="B427" i="7" s="1"/>
  <c r="A426" i="7"/>
  <c r="B426" i="7" s="1"/>
  <c r="A425" i="7"/>
  <c r="B425" i="7" s="1"/>
  <c r="A424" i="7"/>
  <c r="B424" i="7" s="1"/>
  <c r="A423" i="7"/>
  <c r="B423" i="7" s="1"/>
  <c r="A422" i="7"/>
  <c r="B422" i="7" s="1"/>
  <c r="A421" i="7"/>
  <c r="B421" i="7" s="1"/>
  <c r="A420" i="7"/>
  <c r="B420" i="7" s="1"/>
  <c r="A419" i="7"/>
  <c r="B419" i="7" s="1"/>
  <c r="A418" i="7"/>
  <c r="B418" i="7" s="1"/>
  <c r="A417" i="7"/>
  <c r="B417" i="7" s="1"/>
  <c r="A416" i="7"/>
  <c r="B416" i="7" s="1"/>
  <c r="A415" i="7"/>
  <c r="B415" i="7" s="1"/>
  <c r="A414" i="7"/>
  <c r="B414" i="7" s="1"/>
  <c r="A413" i="7"/>
  <c r="B413" i="7" s="1"/>
  <c r="A412" i="7"/>
  <c r="B412" i="7" s="1"/>
  <c r="A411" i="7"/>
  <c r="B411" i="7" s="1"/>
  <c r="A410" i="7"/>
  <c r="B410" i="7" s="1"/>
  <c r="A409" i="7"/>
  <c r="B409" i="7" s="1"/>
  <c r="A408" i="7"/>
  <c r="B408" i="7" s="1"/>
  <c r="A407" i="7"/>
  <c r="B407" i="7" s="1"/>
  <c r="A406" i="7"/>
  <c r="B406" i="7" s="1"/>
  <c r="A405" i="7"/>
  <c r="B405" i="7" s="1"/>
  <c r="A404" i="7"/>
  <c r="B404" i="7" s="1"/>
  <c r="A403" i="7"/>
  <c r="B403" i="7" s="1"/>
  <c r="A402" i="7"/>
  <c r="B402" i="7" s="1"/>
  <c r="A401" i="7"/>
  <c r="B401" i="7" s="1"/>
  <c r="A400" i="7"/>
  <c r="B400" i="7" s="1"/>
  <c r="A399" i="7"/>
  <c r="B399" i="7" s="1"/>
  <c r="A398" i="7"/>
  <c r="B398" i="7" s="1"/>
  <c r="A397" i="7"/>
  <c r="B397" i="7" s="1"/>
  <c r="A396" i="7"/>
  <c r="B396" i="7" s="1"/>
  <c r="A395" i="7"/>
  <c r="B395" i="7" s="1"/>
  <c r="A394" i="7"/>
  <c r="B394" i="7" s="1"/>
  <c r="A393" i="7"/>
  <c r="B393" i="7" s="1"/>
  <c r="A392" i="7"/>
  <c r="B392" i="7" s="1"/>
  <c r="A391" i="7"/>
  <c r="B391" i="7" s="1"/>
  <c r="A390" i="7"/>
  <c r="B390" i="7" s="1"/>
  <c r="A389" i="7"/>
  <c r="B389" i="7" s="1"/>
  <c r="A388" i="7"/>
  <c r="B388" i="7" s="1"/>
  <c r="A387" i="7"/>
  <c r="B387" i="7" s="1"/>
  <c r="A386" i="7"/>
  <c r="B386" i="7" s="1"/>
  <c r="A385" i="7"/>
  <c r="B385" i="7" s="1"/>
  <c r="A384" i="7"/>
  <c r="B384" i="7" s="1"/>
  <c r="A383" i="7"/>
  <c r="B383" i="7" s="1"/>
  <c r="A382" i="7"/>
  <c r="B382" i="7" s="1"/>
  <c r="A381" i="7"/>
  <c r="B381" i="7" s="1"/>
  <c r="A380" i="7"/>
  <c r="B380" i="7" s="1"/>
  <c r="A379" i="7"/>
  <c r="B379" i="7" s="1"/>
  <c r="A378" i="7"/>
  <c r="B378" i="7" s="1"/>
  <c r="A377" i="7"/>
  <c r="B377" i="7" s="1"/>
  <c r="A376" i="7"/>
  <c r="B376" i="7" s="1"/>
  <c r="A375" i="7"/>
  <c r="B375" i="7" s="1"/>
  <c r="A374" i="7"/>
  <c r="B374" i="7" s="1"/>
  <c r="A373" i="7"/>
  <c r="B373" i="7" s="1"/>
  <c r="A372" i="7"/>
  <c r="B372" i="7" s="1"/>
  <c r="A371" i="7"/>
  <c r="B371" i="7" s="1"/>
  <c r="A370" i="7"/>
  <c r="B370" i="7" s="1"/>
  <c r="A369" i="7"/>
  <c r="B369" i="7" s="1"/>
  <c r="A368" i="7"/>
  <c r="B368" i="7" s="1"/>
  <c r="A367" i="7"/>
  <c r="B367" i="7" s="1"/>
  <c r="A366" i="7"/>
  <c r="B366" i="7" s="1"/>
  <c r="A365" i="7"/>
  <c r="B365" i="7" s="1"/>
  <c r="A364" i="7"/>
  <c r="B364" i="7" s="1"/>
  <c r="A363" i="7"/>
  <c r="B363" i="7" s="1"/>
  <c r="A362" i="7"/>
  <c r="B362" i="7" s="1"/>
  <c r="A361" i="7"/>
  <c r="B361" i="7" s="1"/>
  <c r="A360" i="7"/>
  <c r="B360" i="7" s="1"/>
  <c r="A359" i="7"/>
  <c r="B359" i="7" s="1"/>
  <c r="A358" i="7"/>
  <c r="B358" i="7" s="1"/>
  <c r="A357" i="7"/>
  <c r="B357" i="7" s="1"/>
  <c r="A356" i="7"/>
  <c r="B356" i="7" s="1"/>
  <c r="A355" i="7"/>
  <c r="B355" i="7" s="1"/>
  <c r="A354" i="7"/>
  <c r="B354" i="7" s="1"/>
  <c r="A353" i="7"/>
  <c r="B353" i="7" s="1"/>
  <c r="A352" i="7"/>
  <c r="B352" i="7" s="1"/>
  <c r="A351" i="7"/>
  <c r="B351" i="7" s="1"/>
  <c r="A350" i="7"/>
  <c r="B350" i="7" s="1"/>
  <c r="A349" i="7"/>
  <c r="B349" i="7" s="1"/>
  <c r="A348" i="7"/>
  <c r="B348" i="7" s="1"/>
  <c r="A347" i="7"/>
  <c r="B347" i="7" s="1"/>
  <c r="A346" i="7"/>
  <c r="B346" i="7" s="1"/>
  <c r="A345" i="7"/>
  <c r="B345" i="7" s="1"/>
  <c r="A344" i="7"/>
  <c r="B344" i="7" s="1"/>
  <c r="A343" i="7"/>
  <c r="B343" i="7" s="1"/>
  <c r="A342" i="7"/>
  <c r="B342" i="7" s="1"/>
  <c r="A341" i="7"/>
  <c r="B341" i="7" s="1"/>
  <c r="A340" i="7"/>
  <c r="B340" i="7" s="1"/>
  <c r="A339" i="7"/>
  <c r="B339" i="7" s="1"/>
  <c r="A338" i="7"/>
  <c r="B338" i="7" s="1"/>
  <c r="A337" i="7"/>
  <c r="B337" i="7" s="1"/>
  <c r="A336" i="7"/>
  <c r="B336" i="7" s="1"/>
  <c r="A335" i="7"/>
  <c r="B335" i="7" s="1"/>
  <c r="A334" i="7"/>
  <c r="B334" i="7" s="1"/>
  <c r="A333" i="7"/>
  <c r="B333" i="7" s="1"/>
  <c r="A332" i="7"/>
  <c r="B332" i="7" s="1"/>
  <c r="A331" i="7"/>
  <c r="B331" i="7" s="1"/>
  <c r="A330" i="7"/>
  <c r="B330" i="7" s="1"/>
  <c r="A329" i="7"/>
  <c r="B329" i="7" s="1"/>
  <c r="A328" i="7"/>
  <c r="B328" i="7" s="1"/>
  <c r="A327" i="7"/>
  <c r="B327" i="7" s="1"/>
  <c r="A326" i="7"/>
  <c r="B326" i="7" s="1"/>
  <c r="A325" i="7"/>
  <c r="B325" i="7" s="1"/>
  <c r="A324" i="7"/>
  <c r="B324" i="7" s="1"/>
  <c r="B323" i="7"/>
  <c r="A323" i="7"/>
  <c r="A322" i="7"/>
  <c r="B322" i="7" s="1"/>
  <c r="B321" i="7"/>
  <c r="A321" i="7"/>
  <c r="A320" i="7"/>
  <c r="B320" i="7" s="1"/>
  <c r="A319" i="7"/>
  <c r="B319" i="7" s="1"/>
  <c r="A318" i="7"/>
  <c r="B318" i="7" s="1"/>
  <c r="A317" i="7"/>
  <c r="B317" i="7" s="1"/>
  <c r="A316" i="7"/>
  <c r="B316" i="7" s="1"/>
  <c r="A315" i="7"/>
  <c r="B315" i="7" s="1"/>
  <c r="A314" i="7"/>
  <c r="B314" i="7" s="1"/>
  <c r="B313" i="7"/>
  <c r="A313" i="7"/>
  <c r="A312" i="7"/>
  <c r="B312" i="7" s="1"/>
  <c r="A311" i="7"/>
  <c r="B311" i="7" s="1"/>
  <c r="A310" i="7"/>
  <c r="B310" i="7" s="1"/>
  <c r="A309" i="7"/>
  <c r="B309" i="7" s="1"/>
  <c r="A308" i="7"/>
  <c r="B308" i="7" s="1"/>
  <c r="B307" i="7"/>
  <c r="A307" i="7"/>
  <c r="A306" i="7"/>
  <c r="B306" i="7" s="1"/>
  <c r="A305" i="7"/>
  <c r="B305" i="7" s="1"/>
  <c r="A304" i="7"/>
  <c r="B304" i="7" s="1"/>
  <c r="A303" i="7"/>
  <c r="B303" i="7" s="1"/>
  <c r="A302" i="7"/>
  <c r="B302" i="7" s="1"/>
  <c r="A301" i="7"/>
  <c r="B301" i="7" s="1"/>
  <c r="A300" i="7"/>
  <c r="B300" i="7" s="1"/>
  <c r="A299" i="7"/>
  <c r="B299" i="7" s="1"/>
  <c r="A298" i="7"/>
  <c r="B298" i="7" s="1"/>
  <c r="A297" i="7"/>
  <c r="B297" i="7" s="1"/>
  <c r="A296" i="7"/>
  <c r="B296" i="7" s="1"/>
  <c r="A295" i="7"/>
  <c r="B295" i="7" s="1"/>
  <c r="A294" i="7"/>
  <c r="B294" i="7" s="1"/>
  <c r="A293" i="7"/>
  <c r="B293" i="7" s="1"/>
  <c r="A292" i="7"/>
  <c r="B292" i="7" s="1"/>
  <c r="A291" i="7"/>
  <c r="B291" i="7" s="1"/>
  <c r="A290" i="7"/>
  <c r="B290" i="7" s="1"/>
  <c r="A289" i="7"/>
  <c r="B289" i="7" s="1"/>
  <c r="A288" i="7"/>
  <c r="B288" i="7" s="1"/>
  <c r="A287" i="7"/>
  <c r="B287" i="7" s="1"/>
  <c r="A286" i="7"/>
  <c r="B286" i="7" s="1"/>
  <c r="A285" i="7"/>
  <c r="B285" i="7" s="1"/>
  <c r="A284" i="7"/>
  <c r="B284" i="7" s="1"/>
  <c r="A283" i="7"/>
  <c r="B283" i="7" s="1"/>
  <c r="A282" i="7"/>
  <c r="B282" i="7" s="1"/>
  <c r="B281" i="7"/>
  <c r="A281" i="7"/>
  <c r="A280" i="7"/>
  <c r="B280" i="7" s="1"/>
  <c r="A279" i="7"/>
  <c r="B279" i="7" s="1"/>
  <c r="A278" i="7"/>
  <c r="B278" i="7" s="1"/>
  <c r="A277" i="7"/>
  <c r="B277" i="7" s="1"/>
  <c r="A276" i="7"/>
  <c r="B276" i="7" s="1"/>
  <c r="A275" i="7"/>
  <c r="B275" i="7" s="1"/>
  <c r="A274" i="7"/>
  <c r="B274" i="7" s="1"/>
  <c r="B273" i="7"/>
  <c r="A273" i="7"/>
  <c r="A272" i="7"/>
  <c r="B272" i="7" s="1"/>
  <c r="A271" i="7"/>
  <c r="B271" i="7" s="1"/>
  <c r="A270" i="7"/>
  <c r="B270" i="7" s="1"/>
  <c r="A269" i="7"/>
  <c r="B269" i="7" s="1"/>
  <c r="A268" i="7"/>
  <c r="B268" i="7" s="1"/>
  <c r="A267" i="7"/>
  <c r="B267" i="7" s="1"/>
  <c r="A266" i="7"/>
  <c r="B266" i="7" s="1"/>
  <c r="A265" i="7"/>
  <c r="B265" i="7" s="1"/>
  <c r="A264" i="7"/>
  <c r="B264" i="7" s="1"/>
  <c r="A263" i="7"/>
  <c r="B263" i="7" s="1"/>
  <c r="A262" i="7"/>
  <c r="B262" i="7" s="1"/>
  <c r="A261" i="7"/>
  <c r="B261" i="7" s="1"/>
  <c r="A260" i="7"/>
  <c r="B260" i="7" s="1"/>
  <c r="A259" i="7"/>
  <c r="B259" i="7" s="1"/>
  <c r="A258" i="7"/>
  <c r="B258" i="7" s="1"/>
  <c r="A257" i="7"/>
  <c r="B257" i="7" s="1"/>
  <c r="A256" i="7"/>
  <c r="B256" i="7" s="1"/>
  <c r="A255" i="7"/>
  <c r="B255" i="7" s="1"/>
  <c r="A254" i="7"/>
  <c r="B254" i="7" s="1"/>
  <c r="A253" i="7"/>
  <c r="B253" i="7" s="1"/>
  <c r="A252" i="7"/>
  <c r="B252" i="7" s="1"/>
  <c r="A251" i="7"/>
  <c r="B251" i="7" s="1"/>
  <c r="A250" i="7"/>
  <c r="B250" i="7" s="1"/>
  <c r="A249" i="7"/>
  <c r="B249" i="7" s="1"/>
  <c r="A248" i="7"/>
  <c r="B248" i="7" s="1"/>
  <c r="A247" i="7"/>
  <c r="B247" i="7" s="1"/>
  <c r="A246" i="7"/>
  <c r="B246" i="7" s="1"/>
  <c r="A245" i="7"/>
  <c r="B245" i="7" s="1"/>
  <c r="A244" i="7"/>
  <c r="B244" i="7" s="1"/>
  <c r="A243" i="7"/>
  <c r="B243" i="7" s="1"/>
  <c r="A242" i="7"/>
  <c r="B242" i="7" s="1"/>
  <c r="B241" i="7"/>
  <c r="A241" i="7"/>
  <c r="A240" i="7"/>
  <c r="B240" i="7" s="1"/>
  <c r="A239" i="7"/>
  <c r="B239" i="7" s="1"/>
  <c r="A238" i="7"/>
  <c r="B238" i="7" s="1"/>
  <c r="A237" i="7"/>
  <c r="B237" i="7" s="1"/>
  <c r="A236" i="7"/>
  <c r="B236" i="7" s="1"/>
  <c r="A235" i="7"/>
  <c r="B235" i="7" s="1"/>
  <c r="A234" i="7"/>
  <c r="B234" i="7" s="1"/>
  <c r="A233" i="7"/>
  <c r="B233" i="7" s="1"/>
  <c r="A232" i="7"/>
  <c r="B232" i="7" s="1"/>
  <c r="A231" i="7"/>
  <c r="B231" i="7" s="1"/>
  <c r="A230" i="7"/>
  <c r="B230" i="7" s="1"/>
  <c r="A229" i="7"/>
  <c r="B229" i="7" s="1"/>
  <c r="A228" i="7"/>
  <c r="B228" i="7" s="1"/>
  <c r="A227" i="7"/>
  <c r="B227" i="7" s="1"/>
  <c r="A226" i="7"/>
  <c r="B226" i="7" s="1"/>
  <c r="A225" i="7"/>
  <c r="B225" i="7" s="1"/>
  <c r="A224" i="7"/>
  <c r="B224" i="7" s="1"/>
  <c r="A223" i="7"/>
  <c r="B223" i="7" s="1"/>
  <c r="A222" i="7"/>
  <c r="B222" i="7" s="1"/>
  <c r="A221" i="7"/>
  <c r="B221" i="7" s="1"/>
  <c r="A220" i="7"/>
  <c r="B220" i="7" s="1"/>
  <c r="A219" i="7"/>
  <c r="B219" i="7" s="1"/>
  <c r="A218" i="7"/>
  <c r="B218" i="7" s="1"/>
  <c r="A217" i="7"/>
  <c r="B217" i="7" s="1"/>
  <c r="A216" i="7"/>
  <c r="B216" i="7" s="1"/>
  <c r="A215" i="7"/>
  <c r="B215" i="7" s="1"/>
  <c r="A214" i="7"/>
  <c r="B214" i="7" s="1"/>
  <c r="A213" i="7"/>
  <c r="B213" i="7" s="1"/>
  <c r="A212" i="7"/>
  <c r="B212" i="7" s="1"/>
  <c r="A211" i="7"/>
  <c r="B211" i="7" s="1"/>
  <c r="A210" i="7"/>
  <c r="B210" i="7" s="1"/>
  <c r="B209" i="7"/>
  <c r="A209" i="7"/>
  <c r="A208" i="7"/>
  <c r="B208" i="7" s="1"/>
  <c r="A207" i="7"/>
  <c r="B207" i="7" s="1"/>
  <c r="A206" i="7"/>
  <c r="B206" i="7" s="1"/>
  <c r="A205" i="7"/>
  <c r="B205" i="7" s="1"/>
  <c r="A204" i="7"/>
  <c r="B204" i="7" s="1"/>
  <c r="A203" i="7"/>
  <c r="B203" i="7" s="1"/>
  <c r="A202" i="7"/>
  <c r="B202" i="7" s="1"/>
  <c r="B201" i="7"/>
  <c r="A201" i="7"/>
  <c r="A200" i="7"/>
  <c r="B200" i="7" s="1"/>
  <c r="A199" i="7"/>
  <c r="B199" i="7" s="1"/>
  <c r="A198" i="7"/>
  <c r="B198" i="7" s="1"/>
  <c r="A197" i="7"/>
  <c r="B197" i="7" s="1"/>
  <c r="A196" i="7"/>
  <c r="B196" i="7" s="1"/>
  <c r="A195" i="7"/>
  <c r="B195" i="7" s="1"/>
  <c r="A194" i="7"/>
  <c r="B194" i="7" s="1"/>
  <c r="A193" i="7"/>
  <c r="B193" i="7" s="1"/>
  <c r="A192" i="7"/>
  <c r="B192" i="7" s="1"/>
  <c r="B191" i="7"/>
  <c r="A191" i="7"/>
  <c r="A190" i="7"/>
  <c r="B190" i="7" s="1"/>
  <c r="A189" i="7"/>
  <c r="B189" i="7" s="1"/>
  <c r="A188" i="7"/>
  <c r="B188" i="7" s="1"/>
  <c r="A187" i="7"/>
  <c r="B187" i="7" s="1"/>
  <c r="A186" i="7"/>
  <c r="B186" i="7" s="1"/>
  <c r="B185" i="7"/>
  <c r="A185" i="7"/>
  <c r="A184" i="7"/>
  <c r="B184" i="7" s="1"/>
  <c r="A183" i="7"/>
  <c r="B183" i="7" s="1"/>
  <c r="A182" i="7"/>
  <c r="B182" i="7" s="1"/>
  <c r="A181" i="7"/>
  <c r="B181" i="7" s="1"/>
  <c r="A180" i="7"/>
  <c r="B180" i="7" s="1"/>
  <c r="A179" i="7"/>
  <c r="B179" i="7" s="1"/>
  <c r="A178" i="7"/>
  <c r="B178" i="7" s="1"/>
  <c r="B177" i="7"/>
  <c r="A177" i="7"/>
  <c r="A176" i="7"/>
  <c r="B176" i="7" s="1"/>
  <c r="B175" i="7"/>
  <c r="A175" i="7"/>
  <c r="A174" i="7"/>
  <c r="B174" i="7" s="1"/>
  <c r="A173" i="7"/>
  <c r="B173" i="7" s="1"/>
  <c r="A172" i="7"/>
  <c r="B172" i="7" s="1"/>
  <c r="A171" i="7"/>
  <c r="B171" i="7" s="1"/>
  <c r="A170" i="7"/>
  <c r="B170" i="7" s="1"/>
  <c r="B169" i="7"/>
  <c r="A169" i="7"/>
  <c r="A168" i="7"/>
  <c r="B168" i="7" s="1"/>
  <c r="A167" i="7"/>
  <c r="B167" i="7" s="1"/>
  <c r="A166" i="7"/>
  <c r="B166" i="7" s="1"/>
  <c r="A165" i="7"/>
  <c r="B165" i="7" s="1"/>
  <c r="A164" i="7"/>
  <c r="B164" i="7" s="1"/>
  <c r="A163" i="7"/>
  <c r="B163" i="7" s="1"/>
  <c r="A162" i="7"/>
  <c r="B162" i="7" s="1"/>
  <c r="B161" i="7"/>
  <c r="A161" i="7"/>
  <c r="A160" i="7"/>
  <c r="B160" i="7" s="1"/>
  <c r="B159" i="7"/>
  <c r="A159" i="7"/>
  <c r="A158" i="7"/>
  <c r="B158" i="7" s="1"/>
  <c r="A157" i="7"/>
  <c r="B157" i="7" s="1"/>
  <c r="A156" i="7"/>
  <c r="B156" i="7" s="1"/>
  <c r="A155" i="7"/>
  <c r="B155" i="7" s="1"/>
  <c r="A154" i="7"/>
  <c r="B154" i="7" s="1"/>
  <c r="A153" i="7"/>
  <c r="B153" i="7" s="1"/>
  <c r="A152" i="7"/>
  <c r="B152" i="7" s="1"/>
  <c r="A151" i="7"/>
  <c r="B151" i="7" s="1"/>
  <c r="A150" i="7"/>
  <c r="B150" i="7" s="1"/>
  <c r="A149" i="7"/>
  <c r="B149" i="7" s="1"/>
  <c r="A148" i="7"/>
  <c r="B148" i="7" s="1"/>
  <c r="A147" i="7"/>
  <c r="B147" i="7" s="1"/>
  <c r="A146" i="7"/>
  <c r="B146" i="7" s="1"/>
  <c r="B145" i="7"/>
  <c r="A145" i="7"/>
  <c r="A144" i="7"/>
  <c r="B144" i="7" s="1"/>
  <c r="A143" i="7"/>
  <c r="B143" i="7" s="1"/>
  <c r="A142" i="7"/>
  <c r="B142" i="7" s="1"/>
  <c r="A141" i="7"/>
  <c r="B141" i="7" s="1"/>
  <c r="A140" i="7"/>
  <c r="B140" i="7" s="1"/>
  <c r="A139" i="7"/>
  <c r="B139" i="7" s="1"/>
  <c r="A138" i="7"/>
  <c r="B138" i="7" s="1"/>
  <c r="B137" i="7"/>
  <c r="A137" i="7"/>
  <c r="A136" i="7"/>
  <c r="B136" i="7" s="1"/>
  <c r="A135" i="7"/>
  <c r="B135" i="7" s="1"/>
  <c r="A134" i="7"/>
  <c r="B134" i="7" s="1"/>
  <c r="A133" i="7"/>
  <c r="B133" i="7" s="1"/>
  <c r="A132" i="7"/>
  <c r="B132" i="7" s="1"/>
  <c r="A131" i="7"/>
  <c r="B131" i="7" s="1"/>
  <c r="A130" i="7"/>
  <c r="B130" i="7" s="1"/>
  <c r="A129" i="7"/>
  <c r="B129" i="7" s="1"/>
  <c r="A128" i="7"/>
  <c r="B128" i="7" s="1"/>
  <c r="A127" i="7"/>
  <c r="B127" i="7" s="1"/>
  <c r="A126" i="7"/>
  <c r="B126" i="7" s="1"/>
  <c r="A125" i="7"/>
  <c r="B125" i="7" s="1"/>
  <c r="A124" i="7"/>
  <c r="B124" i="7" s="1"/>
  <c r="A123" i="7"/>
  <c r="B123" i="7" s="1"/>
  <c r="A122" i="7"/>
  <c r="B122" i="7" s="1"/>
  <c r="B121" i="7"/>
  <c r="A121" i="7"/>
  <c r="A120" i="7"/>
  <c r="B120" i="7" s="1"/>
  <c r="A119" i="7"/>
  <c r="B119" i="7" s="1"/>
  <c r="A118" i="7"/>
  <c r="B118" i="7" s="1"/>
  <c r="A117" i="7"/>
  <c r="B117" i="7" s="1"/>
  <c r="A116" i="7"/>
  <c r="B116" i="7" s="1"/>
  <c r="A115" i="7"/>
  <c r="B115" i="7" s="1"/>
  <c r="A114" i="7"/>
  <c r="B114" i="7" s="1"/>
  <c r="B113" i="7"/>
  <c r="A113" i="7"/>
  <c r="A112" i="7"/>
  <c r="B112" i="7" s="1"/>
  <c r="A111" i="7"/>
  <c r="B111" i="7" s="1"/>
  <c r="A110" i="7"/>
  <c r="B110" i="7" s="1"/>
  <c r="A109" i="7"/>
  <c r="B109" i="7" s="1"/>
  <c r="A108" i="7"/>
  <c r="B108" i="7" s="1"/>
  <c r="A107" i="7"/>
  <c r="B107" i="7" s="1"/>
  <c r="A106" i="7"/>
  <c r="B106" i="7" s="1"/>
  <c r="A105" i="7"/>
  <c r="B105" i="7" s="1"/>
  <c r="A104" i="7"/>
  <c r="B104" i="7" s="1"/>
  <c r="A103" i="7"/>
  <c r="B103" i="7" s="1"/>
  <c r="A102" i="7"/>
  <c r="B102" i="7" s="1"/>
  <c r="A101" i="7"/>
  <c r="B101" i="7" s="1"/>
  <c r="A100" i="7"/>
  <c r="B100" i="7" s="1"/>
  <c r="A99" i="7"/>
  <c r="B99" i="7" s="1"/>
  <c r="A98" i="7"/>
  <c r="B98" i="7" s="1"/>
  <c r="A97" i="7"/>
  <c r="B97" i="7" s="1"/>
  <c r="A96" i="7"/>
  <c r="B96" i="7" s="1"/>
  <c r="A95" i="7"/>
  <c r="B95" i="7" s="1"/>
  <c r="A94" i="7"/>
  <c r="B94" i="7" s="1"/>
  <c r="A93" i="7"/>
  <c r="B93" i="7" s="1"/>
  <c r="A92" i="7"/>
  <c r="B92" i="7" s="1"/>
  <c r="A91" i="7"/>
  <c r="B91" i="7" s="1"/>
  <c r="A90" i="7"/>
  <c r="B90" i="7" s="1"/>
  <c r="B89" i="7"/>
  <c r="A89" i="7"/>
  <c r="A88" i="7"/>
  <c r="B88" i="7" s="1"/>
  <c r="A87" i="7"/>
  <c r="B87" i="7" s="1"/>
  <c r="A86" i="7"/>
  <c r="B86" i="7" s="1"/>
  <c r="A85" i="7"/>
  <c r="B85" i="7" s="1"/>
  <c r="A84" i="7"/>
  <c r="B84" i="7" s="1"/>
  <c r="A83" i="7"/>
  <c r="B83" i="7" s="1"/>
  <c r="A82" i="7"/>
  <c r="B82" i="7" s="1"/>
  <c r="B81" i="7"/>
  <c r="A81" i="7"/>
  <c r="A80" i="7"/>
  <c r="B80" i="7" s="1"/>
  <c r="A79" i="7"/>
  <c r="B79" i="7" s="1"/>
  <c r="A78" i="7"/>
  <c r="B78" i="7" s="1"/>
  <c r="A77" i="7"/>
  <c r="B77" i="7" s="1"/>
  <c r="A76" i="7"/>
  <c r="B76" i="7" s="1"/>
  <c r="A75" i="7"/>
  <c r="B75" i="7" s="1"/>
  <c r="A74" i="7"/>
  <c r="B74" i="7" s="1"/>
  <c r="A73" i="7"/>
  <c r="B73" i="7" s="1"/>
  <c r="A72" i="7"/>
  <c r="B72" i="7" s="1"/>
  <c r="A71" i="7"/>
  <c r="B71" i="7" s="1"/>
  <c r="A70" i="7"/>
  <c r="B70" i="7" s="1"/>
  <c r="A69" i="7"/>
  <c r="B69" i="7" s="1"/>
  <c r="A68" i="7"/>
  <c r="B68" i="7" s="1"/>
  <c r="A67" i="7"/>
  <c r="B67" i="7" s="1"/>
  <c r="A66" i="7"/>
  <c r="B66" i="7" s="1"/>
  <c r="A65" i="7"/>
  <c r="B65" i="7" s="1"/>
  <c r="A64" i="7"/>
  <c r="B64" i="7" s="1"/>
  <c r="A63" i="7"/>
  <c r="B63" i="7" s="1"/>
  <c r="A62" i="7"/>
  <c r="B62" i="7" s="1"/>
  <c r="A61" i="7"/>
  <c r="B61" i="7" s="1"/>
  <c r="A60" i="7"/>
  <c r="B60" i="7" s="1"/>
  <c r="A59" i="7"/>
  <c r="B59" i="7" s="1"/>
  <c r="A58" i="7"/>
  <c r="B58" i="7" s="1"/>
  <c r="B57" i="7"/>
  <c r="A57" i="7"/>
  <c r="A56" i="7"/>
  <c r="B56" i="7" s="1"/>
  <c r="A55" i="7"/>
  <c r="B55" i="7" s="1"/>
  <c r="A54" i="7"/>
  <c r="B54" i="7" s="1"/>
  <c r="A53" i="7"/>
  <c r="B53" i="7" s="1"/>
  <c r="A52" i="7"/>
  <c r="B52" i="7" s="1"/>
  <c r="A51" i="7"/>
  <c r="B51" i="7" s="1"/>
  <c r="A50" i="7"/>
  <c r="B50" i="7" s="1"/>
  <c r="A49" i="7"/>
  <c r="B49" i="7" s="1"/>
  <c r="A48" i="7"/>
  <c r="B48" i="7" s="1"/>
  <c r="A47" i="7"/>
  <c r="B47" i="7" s="1"/>
  <c r="A46" i="7"/>
  <c r="B46" i="7" s="1"/>
  <c r="A45" i="7"/>
  <c r="B45" i="7" s="1"/>
  <c r="A44" i="7"/>
  <c r="B44" i="7" s="1"/>
  <c r="A43" i="7"/>
  <c r="B43" i="7" s="1"/>
  <c r="A42" i="7"/>
  <c r="B42" i="7" s="1"/>
  <c r="B41" i="7"/>
  <c r="A41" i="7"/>
  <c r="A40" i="7"/>
  <c r="B40" i="7" s="1"/>
  <c r="A39" i="7"/>
  <c r="B39" i="7" s="1"/>
  <c r="A38" i="7"/>
  <c r="B38" i="7" s="1"/>
  <c r="A37" i="7"/>
  <c r="B37" i="7" s="1"/>
  <c r="A36" i="7"/>
  <c r="B36" i="7" s="1"/>
  <c r="A35" i="7"/>
  <c r="B35" i="7" s="1"/>
  <c r="A34" i="7"/>
  <c r="B34" i="7" s="1"/>
  <c r="A33" i="7"/>
  <c r="B33" i="7" s="1"/>
  <c r="A32" i="7"/>
  <c r="B32" i="7" s="1"/>
  <c r="A31" i="7"/>
  <c r="B31" i="7" s="1"/>
  <c r="A30" i="7"/>
  <c r="B30" i="7" s="1"/>
  <c r="A29" i="7"/>
  <c r="B29" i="7" s="1"/>
  <c r="A28" i="7"/>
  <c r="B28" i="7" s="1"/>
  <c r="A27" i="7"/>
  <c r="B27" i="7" s="1"/>
  <c r="A26" i="7"/>
  <c r="B26" i="7" s="1"/>
  <c r="A25" i="7"/>
  <c r="B25" i="7" s="1"/>
  <c r="A24" i="7"/>
  <c r="B24" i="7" s="1"/>
  <c r="A23" i="7"/>
  <c r="B23" i="7" s="1"/>
  <c r="A22" i="7"/>
  <c r="B22" i="7" s="1"/>
  <c r="A21" i="7"/>
  <c r="B21" i="7" s="1"/>
  <c r="A20" i="7"/>
  <c r="B20" i="7" s="1"/>
  <c r="A19" i="7"/>
  <c r="B19" i="7" s="1"/>
  <c r="A18" i="7"/>
  <c r="B18" i="7" s="1"/>
  <c r="A17" i="7"/>
  <c r="B17" i="7" s="1"/>
  <c r="A16" i="7"/>
  <c r="B16" i="7" s="1"/>
  <c r="A15" i="7"/>
  <c r="B15" i="7" s="1"/>
  <c r="A14" i="7"/>
  <c r="B14" i="7" s="1"/>
  <c r="A13" i="7"/>
  <c r="B13" i="7" s="1"/>
  <c r="A12" i="7"/>
  <c r="B12" i="7" s="1"/>
  <c r="A11" i="7"/>
  <c r="B11" i="7" s="1"/>
  <c r="A10" i="7"/>
  <c r="B10" i="7" s="1"/>
  <c r="A9" i="7"/>
  <c r="B9" i="7" s="1"/>
  <c r="A8" i="7"/>
  <c r="B8" i="7" s="1"/>
  <c r="A7" i="7"/>
  <c r="B7" i="7" s="1"/>
  <c r="A6" i="7"/>
  <c r="B6" i="7" s="1"/>
  <c r="A7" i="1"/>
  <c r="B7" i="1" s="1"/>
  <c r="A8" i="1"/>
  <c r="B8" i="1" s="1"/>
  <c r="A9" i="1"/>
  <c r="B9" i="1" s="1"/>
  <c r="A10" i="1"/>
  <c r="B10" i="1" s="1"/>
  <c r="A11" i="1"/>
  <c r="B11" i="1" s="1"/>
  <c r="A12" i="1"/>
  <c r="B12" i="1" s="1"/>
  <c r="A13" i="1"/>
  <c r="B13" i="1" s="1"/>
  <c r="A14" i="1"/>
  <c r="B14" i="1" s="1"/>
  <c r="A15" i="1"/>
  <c r="B15" i="1" s="1"/>
  <c r="A16" i="1"/>
  <c r="B16" i="1" s="1"/>
  <c r="A17" i="1"/>
  <c r="B17" i="1" s="1"/>
  <c r="A18" i="1"/>
  <c r="B18" i="1" s="1"/>
  <c r="A19" i="1"/>
  <c r="B19" i="1" s="1"/>
  <c r="A20" i="1"/>
  <c r="B20" i="1" s="1"/>
  <c r="A21" i="1"/>
  <c r="B21" i="1" s="1"/>
  <c r="A22" i="1"/>
  <c r="B22" i="1" s="1"/>
  <c r="A23" i="1"/>
  <c r="B23" i="1" s="1"/>
  <c r="A24" i="1"/>
  <c r="B24" i="1" s="1"/>
  <c r="A25" i="1"/>
  <c r="B25" i="1" s="1"/>
  <c r="A26" i="1"/>
  <c r="B26" i="1" s="1"/>
  <c r="A27" i="1"/>
  <c r="B27" i="1" s="1"/>
  <c r="A28" i="1"/>
  <c r="B28" i="1" s="1"/>
  <c r="A29" i="1"/>
  <c r="B29" i="1" s="1"/>
  <c r="A30" i="1"/>
  <c r="B30" i="1" s="1"/>
  <c r="A31" i="1"/>
  <c r="B31" i="1" s="1"/>
  <c r="A32" i="1"/>
  <c r="B32" i="1" s="1"/>
  <c r="A33" i="1"/>
  <c r="B33" i="1" s="1"/>
  <c r="A34" i="1"/>
  <c r="B34" i="1" s="1"/>
  <c r="A35" i="1"/>
  <c r="B35" i="1" s="1"/>
  <c r="A36" i="1"/>
  <c r="B36" i="1" s="1"/>
  <c r="A37" i="1"/>
  <c r="B37" i="1" s="1"/>
  <c r="A38" i="1"/>
  <c r="B38" i="1" s="1"/>
  <c r="A39" i="1"/>
  <c r="B39" i="1" s="1"/>
  <c r="A40" i="1"/>
  <c r="B40" i="1" s="1"/>
  <c r="A41" i="1"/>
  <c r="B41" i="1" s="1"/>
  <c r="A42" i="1"/>
  <c r="B42" i="1" s="1"/>
  <c r="A43" i="1"/>
  <c r="B43" i="1" s="1"/>
  <c r="A44" i="1"/>
  <c r="B44" i="1" s="1"/>
  <c r="A45" i="1"/>
  <c r="B45" i="1" s="1"/>
  <c r="A46" i="1"/>
  <c r="B46" i="1" s="1"/>
  <c r="A47" i="1"/>
  <c r="B47" i="1" s="1"/>
  <c r="A48" i="1"/>
  <c r="B48" i="1" s="1"/>
  <c r="A49" i="1"/>
  <c r="B49" i="1" s="1"/>
  <c r="A50" i="1"/>
  <c r="B50" i="1" s="1"/>
  <c r="A51" i="1"/>
  <c r="B51" i="1" s="1"/>
  <c r="A52" i="1"/>
  <c r="B52" i="1" s="1"/>
  <c r="A53" i="1"/>
  <c r="B53" i="1" s="1"/>
  <c r="A54" i="1"/>
  <c r="B54" i="1" s="1"/>
  <c r="A55" i="1"/>
  <c r="B55" i="1" s="1"/>
  <c r="A56" i="1"/>
  <c r="B56" i="1" s="1"/>
  <c r="A57" i="1"/>
  <c r="B57" i="1" s="1"/>
  <c r="A58" i="1"/>
  <c r="B58" i="1" s="1"/>
  <c r="A59" i="1"/>
  <c r="B59" i="1" s="1"/>
  <c r="A60" i="1"/>
  <c r="B60" i="1" s="1"/>
  <c r="A61" i="1"/>
  <c r="B61" i="1" s="1"/>
  <c r="A62" i="1"/>
  <c r="B62" i="1" s="1"/>
  <c r="A63" i="1"/>
  <c r="B63" i="1" s="1"/>
  <c r="A64" i="1"/>
  <c r="B64" i="1" s="1"/>
  <c r="A65" i="1"/>
  <c r="B65" i="1" s="1"/>
  <c r="A66" i="1"/>
  <c r="B66" i="1" s="1"/>
  <c r="A67" i="1"/>
  <c r="B67" i="1" s="1"/>
  <c r="A68" i="1"/>
  <c r="B68" i="1" s="1"/>
  <c r="A69" i="1"/>
  <c r="B69" i="1" s="1"/>
  <c r="A70" i="1"/>
  <c r="B70" i="1" s="1"/>
  <c r="A71" i="1"/>
  <c r="B71" i="1" s="1"/>
  <c r="A72" i="1"/>
  <c r="B72" i="1" s="1"/>
  <c r="A73" i="1"/>
  <c r="B73" i="1" s="1"/>
  <c r="A74" i="1"/>
  <c r="B74" i="1" s="1"/>
  <c r="A75" i="1"/>
  <c r="B75" i="1" s="1"/>
  <c r="A76" i="1"/>
  <c r="B76" i="1" s="1"/>
  <c r="A77" i="1"/>
  <c r="B77" i="1" s="1"/>
  <c r="A78" i="1"/>
  <c r="B78" i="1" s="1"/>
  <c r="A79" i="1"/>
  <c r="B79" i="1" s="1"/>
  <c r="A80" i="1"/>
  <c r="B80" i="1" s="1"/>
  <c r="A81" i="1"/>
  <c r="B81" i="1" s="1"/>
  <c r="A82" i="1"/>
  <c r="B82" i="1" s="1"/>
  <c r="A83" i="1"/>
  <c r="B83" i="1" s="1"/>
  <c r="A84" i="1"/>
  <c r="B84" i="1" s="1"/>
  <c r="A85" i="1"/>
  <c r="B85" i="1" s="1"/>
  <c r="A86" i="1"/>
  <c r="B86" i="1" s="1"/>
  <c r="A87" i="1"/>
  <c r="B87" i="1" s="1"/>
  <c r="A88" i="1"/>
  <c r="B88" i="1" s="1"/>
  <c r="A89" i="1"/>
  <c r="B89" i="1" s="1"/>
  <c r="A90" i="1"/>
  <c r="B90" i="1" s="1"/>
  <c r="A91" i="1"/>
  <c r="B91" i="1" s="1"/>
  <c r="A92" i="1"/>
  <c r="B92" i="1" s="1"/>
  <c r="A93" i="1"/>
  <c r="B93" i="1" s="1"/>
  <c r="A94" i="1"/>
  <c r="B94" i="1" s="1"/>
  <c r="A95" i="1"/>
  <c r="B95" i="1" s="1"/>
  <c r="A96" i="1"/>
  <c r="B96" i="1" s="1"/>
  <c r="A97" i="1"/>
  <c r="B97" i="1" s="1"/>
  <c r="A98" i="1"/>
  <c r="B98" i="1" s="1"/>
  <c r="A99" i="1"/>
  <c r="B99" i="1" s="1"/>
  <c r="A100" i="1"/>
  <c r="B100" i="1" s="1"/>
  <c r="A101" i="1"/>
  <c r="B101" i="1" s="1"/>
  <c r="A102" i="1"/>
  <c r="B102" i="1" s="1"/>
  <c r="A103" i="1"/>
  <c r="B103" i="1" s="1"/>
  <c r="A104" i="1"/>
  <c r="B104" i="1" s="1"/>
  <c r="A105" i="1"/>
  <c r="B105" i="1" s="1"/>
  <c r="A106" i="1"/>
  <c r="B106" i="1" s="1"/>
  <c r="A107" i="1"/>
  <c r="B107" i="1" s="1"/>
  <c r="A108" i="1"/>
  <c r="B108" i="1" s="1"/>
  <c r="A109" i="1"/>
  <c r="B109" i="1" s="1"/>
  <c r="A110" i="1"/>
  <c r="B110" i="1" s="1"/>
  <c r="A111" i="1"/>
  <c r="B111" i="1" s="1"/>
  <c r="A112" i="1"/>
  <c r="B112" i="1" s="1"/>
  <c r="A113" i="1"/>
  <c r="B113" i="1" s="1"/>
  <c r="A114" i="1"/>
  <c r="B114" i="1" s="1"/>
  <c r="A115" i="1"/>
  <c r="B115" i="1" s="1"/>
  <c r="A116" i="1"/>
  <c r="B116" i="1" s="1"/>
  <c r="A117" i="1"/>
  <c r="B117" i="1" s="1"/>
  <c r="A118" i="1"/>
  <c r="B118" i="1" s="1"/>
  <c r="A119" i="1"/>
  <c r="B119" i="1" s="1"/>
  <c r="A120" i="1"/>
  <c r="B120" i="1" s="1"/>
  <c r="A121" i="1"/>
  <c r="B121" i="1" s="1"/>
  <c r="A122" i="1"/>
  <c r="B122" i="1" s="1"/>
  <c r="A123" i="1"/>
  <c r="B123" i="1" s="1"/>
  <c r="A124" i="1"/>
  <c r="B124" i="1" s="1"/>
  <c r="A125" i="1"/>
  <c r="B125" i="1" s="1"/>
  <c r="A126" i="1"/>
  <c r="B126" i="1" s="1"/>
  <c r="A127" i="1"/>
  <c r="B127" i="1" s="1"/>
  <c r="A128" i="1"/>
  <c r="B128" i="1" s="1"/>
  <c r="A129" i="1"/>
  <c r="B129" i="1" s="1"/>
  <c r="A130" i="1"/>
  <c r="B130" i="1" s="1"/>
  <c r="A131" i="1"/>
  <c r="B131" i="1" s="1"/>
  <c r="A132" i="1"/>
  <c r="B132" i="1" s="1"/>
  <c r="A133" i="1"/>
  <c r="B133" i="1" s="1"/>
  <c r="A134" i="1"/>
  <c r="B134" i="1" s="1"/>
  <c r="A135" i="1"/>
  <c r="B135" i="1" s="1"/>
  <c r="A136" i="1"/>
  <c r="B136" i="1" s="1"/>
  <c r="A137" i="1"/>
  <c r="B137" i="1" s="1"/>
  <c r="A138" i="1"/>
  <c r="B138" i="1" s="1"/>
  <c r="A139" i="1"/>
  <c r="B139" i="1" s="1"/>
  <c r="A140" i="1"/>
  <c r="B140" i="1" s="1"/>
  <c r="A141" i="1"/>
  <c r="B141" i="1" s="1"/>
  <c r="A142" i="1"/>
  <c r="B142" i="1" s="1"/>
  <c r="A143" i="1"/>
  <c r="B143" i="1" s="1"/>
  <c r="A144" i="1"/>
  <c r="B144" i="1" s="1"/>
  <c r="A145" i="1"/>
  <c r="B145" i="1" s="1"/>
  <c r="A146" i="1"/>
  <c r="B146" i="1" s="1"/>
  <c r="A147" i="1"/>
  <c r="B147" i="1" s="1"/>
  <c r="A148" i="1"/>
  <c r="B148" i="1" s="1"/>
  <c r="A149" i="1"/>
  <c r="B149" i="1" s="1"/>
  <c r="A150" i="1"/>
  <c r="B150" i="1" s="1"/>
  <c r="A151" i="1"/>
  <c r="B151" i="1" s="1"/>
  <c r="A152" i="1"/>
  <c r="B152" i="1" s="1"/>
  <c r="A153" i="1"/>
  <c r="B153" i="1" s="1"/>
  <c r="A154" i="1"/>
  <c r="B154" i="1" s="1"/>
  <c r="A155" i="1"/>
  <c r="B155" i="1" s="1"/>
  <c r="A156" i="1"/>
  <c r="B156" i="1" s="1"/>
  <c r="A157" i="1"/>
  <c r="B157" i="1" s="1"/>
  <c r="A158" i="1"/>
  <c r="B158" i="1" s="1"/>
  <c r="A159" i="1"/>
  <c r="B159" i="1" s="1"/>
  <c r="A160" i="1"/>
  <c r="B160" i="1" s="1"/>
  <c r="A161" i="1"/>
  <c r="B161" i="1" s="1"/>
  <c r="A162" i="1"/>
  <c r="B162" i="1" s="1"/>
  <c r="A163" i="1"/>
  <c r="B163" i="1" s="1"/>
  <c r="A164" i="1"/>
  <c r="B164" i="1" s="1"/>
  <c r="A165" i="1"/>
  <c r="B165" i="1" s="1"/>
  <c r="A166" i="1"/>
  <c r="B166" i="1" s="1"/>
  <c r="A167" i="1"/>
  <c r="B167" i="1" s="1"/>
  <c r="A168" i="1"/>
  <c r="B168" i="1" s="1"/>
  <c r="A169" i="1"/>
  <c r="B169" i="1" s="1"/>
  <c r="A170" i="1"/>
  <c r="B170" i="1" s="1"/>
  <c r="A171" i="1"/>
  <c r="B171" i="1" s="1"/>
  <c r="A172" i="1"/>
  <c r="B172" i="1" s="1"/>
  <c r="A173" i="1"/>
  <c r="B173" i="1" s="1"/>
  <c r="A174" i="1"/>
  <c r="B174" i="1" s="1"/>
  <c r="A175" i="1"/>
  <c r="B175" i="1" s="1"/>
  <c r="A176" i="1"/>
  <c r="B176" i="1" s="1"/>
  <c r="A177" i="1"/>
  <c r="B177" i="1" s="1"/>
  <c r="A178" i="1"/>
  <c r="B178" i="1" s="1"/>
  <c r="A179" i="1"/>
  <c r="B179" i="1" s="1"/>
  <c r="A180" i="1"/>
  <c r="B180" i="1" s="1"/>
  <c r="A181" i="1"/>
  <c r="B181" i="1" s="1"/>
  <c r="A182" i="1"/>
  <c r="B182" i="1" s="1"/>
  <c r="A183" i="1"/>
  <c r="B183" i="1" s="1"/>
  <c r="A184" i="1"/>
  <c r="B184" i="1" s="1"/>
  <c r="A185" i="1"/>
  <c r="B185" i="1" s="1"/>
  <c r="A186" i="1"/>
  <c r="B186" i="1" s="1"/>
  <c r="A187" i="1"/>
  <c r="B187" i="1" s="1"/>
  <c r="A188" i="1"/>
  <c r="B188" i="1" s="1"/>
  <c r="A189" i="1"/>
  <c r="B189" i="1" s="1"/>
  <c r="A190" i="1"/>
  <c r="B190" i="1" s="1"/>
  <c r="A191" i="1"/>
  <c r="B191" i="1" s="1"/>
  <c r="A192" i="1"/>
  <c r="B192" i="1" s="1"/>
  <c r="A193" i="1"/>
  <c r="B193" i="1" s="1"/>
  <c r="A194" i="1"/>
  <c r="B194" i="1" s="1"/>
  <c r="A195" i="1"/>
  <c r="B195" i="1" s="1"/>
  <c r="A196" i="1"/>
  <c r="B196" i="1" s="1"/>
  <c r="A197" i="1"/>
  <c r="B197" i="1" s="1"/>
  <c r="A198" i="1"/>
  <c r="B198" i="1" s="1"/>
  <c r="A199" i="1"/>
  <c r="B199" i="1" s="1"/>
  <c r="A200" i="1"/>
  <c r="B200" i="1" s="1"/>
  <c r="A201" i="1"/>
  <c r="B201" i="1" s="1"/>
  <c r="A202" i="1"/>
  <c r="B202" i="1" s="1"/>
  <c r="A203" i="1"/>
  <c r="B203" i="1" s="1"/>
  <c r="A204" i="1"/>
  <c r="B204" i="1" s="1"/>
  <c r="A205" i="1"/>
  <c r="B205" i="1" s="1"/>
  <c r="A206" i="1"/>
  <c r="B206" i="1" s="1"/>
  <c r="A207" i="1"/>
  <c r="B207" i="1" s="1"/>
  <c r="A208" i="1"/>
  <c r="B208" i="1" s="1"/>
  <c r="A209" i="1"/>
  <c r="B209" i="1" s="1"/>
  <c r="A210" i="1"/>
  <c r="B210" i="1" s="1"/>
  <c r="A211" i="1"/>
  <c r="B211" i="1" s="1"/>
  <c r="A212" i="1"/>
  <c r="B212" i="1" s="1"/>
  <c r="A213" i="1"/>
  <c r="B213" i="1" s="1"/>
  <c r="A214" i="1"/>
  <c r="B214" i="1" s="1"/>
  <c r="A215" i="1"/>
  <c r="B215" i="1" s="1"/>
  <c r="A216" i="1"/>
  <c r="B216" i="1" s="1"/>
  <c r="A217" i="1"/>
  <c r="B217" i="1" s="1"/>
  <c r="A218" i="1"/>
  <c r="B218" i="1" s="1"/>
  <c r="A219" i="1"/>
  <c r="B219" i="1" s="1"/>
  <c r="A220" i="1"/>
  <c r="B220" i="1" s="1"/>
  <c r="A221" i="1"/>
  <c r="B221" i="1" s="1"/>
  <c r="A222" i="1"/>
  <c r="B222" i="1" s="1"/>
  <c r="A223" i="1"/>
  <c r="B223" i="1" s="1"/>
  <c r="A224" i="1"/>
  <c r="B224" i="1" s="1"/>
  <c r="A225" i="1"/>
  <c r="B225" i="1" s="1"/>
  <c r="A226" i="1"/>
  <c r="B226" i="1" s="1"/>
  <c r="A227" i="1"/>
  <c r="B227" i="1" s="1"/>
  <c r="A228" i="1"/>
  <c r="B228" i="1" s="1"/>
  <c r="A229" i="1"/>
  <c r="B229" i="1" s="1"/>
  <c r="A230" i="1"/>
  <c r="B230" i="1" s="1"/>
  <c r="A231" i="1"/>
  <c r="B231" i="1" s="1"/>
  <c r="A232" i="1"/>
  <c r="B232" i="1" s="1"/>
  <c r="A233" i="1"/>
  <c r="B233" i="1" s="1"/>
  <c r="A234" i="1"/>
  <c r="B234" i="1" s="1"/>
  <c r="A235" i="1"/>
  <c r="B235" i="1" s="1"/>
  <c r="A236" i="1"/>
  <c r="B236" i="1" s="1"/>
  <c r="A237" i="1"/>
  <c r="B237" i="1" s="1"/>
  <c r="A238" i="1"/>
  <c r="B238" i="1" s="1"/>
  <c r="A239" i="1"/>
  <c r="B239" i="1" s="1"/>
  <c r="A240" i="1"/>
  <c r="B240" i="1" s="1"/>
  <c r="A241" i="1"/>
  <c r="B241" i="1" s="1"/>
  <c r="A242" i="1"/>
  <c r="B242" i="1" s="1"/>
  <c r="A243" i="1"/>
  <c r="B243" i="1" s="1"/>
  <c r="A244" i="1"/>
  <c r="B244" i="1" s="1"/>
  <c r="A245" i="1"/>
  <c r="B245" i="1" s="1"/>
  <c r="A246" i="1"/>
  <c r="B246" i="1" s="1"/>
  <c r="A247" i="1"/>
  <c r="B247" i="1" s="1"/>
  <c r="A248" i="1"/>
  <c r="B248" i="1" s="1"/>
  <c r="A249" i="1"/>
  <c r="B249" i="1" s="1"/>
  <c r="A250" i="1"/>
  <c r="B250" i="1" s="1"/>
  <c r="A251" i="1"/>
  <c r="B251" i="1" s="1"/>
  <c r="A252" i="1"/>
  <c r="B252" i="1" s="1"/>
  <c r="A253" i="1"/>
  <c r="B253" i="1" s="1"/>
  <c r="A254" i="1"/>
  <c r="B254" i="1" s="1"/>
  <c r="A255" i="1"/>
  <c r="B255" i="1" s="1"/>
  <c r="A256" i="1"/>
  <c r="B256" i="1" s="1"/>
  <c r="A257" i="1"/>
  <c r="B257" i="1" s="1"/>
  <c r="A258" i="1"/>
  <c r="B258" i="1" s="1"/>
  <c r="A259" i="1"/>
  <c r="B259" i="1" s="1"/>
  <c r="A260" i="1"/>
  <c r="B260" i="1" s="1"/>
  <c r="A261" i="1"/>
  <c r="B261" i="1" s="1"/>
  <c r="A262" i="1"/>
  <c r="B262" i="1" s="1"/>
  <c r="A263" i="1"/>
  <c r="B263" i="1" s="1"/>
  <c r="A264" i="1"/>
  <c r="B264" i="1" s="1"/>
  <c r="A265" i="1"/>
  <c r="B265" i="1" s="1"/>
  <c r="A266" i="1"/>
  <c r="B266" i="1" s="1"/>
  <c r="A267" i="1"/>
  <c r="B267" i="1" s="1"/>
  <c r="A268" i="1"/>
  <c r="B268" i="1" s="1"/>
  <c r="A269" i="1"/>
  <c r="B269" i="1" s="1"/>
  <c r="A270" i="1"/>
  <c r="B270" i="1" s="1"/>
  <c r="A271" i="1"/>
  <c r="B271" i="1" s="1"/>
  <c r="A272" i="1"/>
  <c r="B272" i="1" s="1"/>
  <c r="A273" i="1"/>
  <c r="B273" i="1" s="1"/>
  <c r="A274" i="1"/>
  <c r="B274" i="1" s="1"/>
  <c r="A275" i="1"/>
  <c r="B275" i="1" s="1"/>
  <c r="A276" i="1"/>
  <c r="B276" i="1" s="1"/>
  <c r="A277" i="1"/>
  <c r="B277" i="1" s="1"/>
  <c r="A278" i="1"/>
  <c r="B278" i="1" s="1"/>
  <c r="A279" i="1"/>
  <c r="B279" i="1" s="1"/>
  <c r="A280" i="1"/>
  <c r="B280" i="1" s="1"/>
  <c r="A281" i="1"/>
  <c r="B281" i="1" s="1"/>
  <c r="A282" i="1"/>
  <c r="B282" i="1" s="1"/>
  <c r="A283" i="1"/>
  <c r="B283" i="1" s="1"/>
  <c r="A284" i="1"/>
  <c r="B284" i="1" s="1"/>
  <c r="A285" i="1"/>
  <c r="B285" i="1" s="1"/>
  <c r="A286" i="1"/>
  <c r="B286" i="1" s="1"/>
  <c r="A287" i="1"/>
  <c r="B287" i="1" s="1"/>
  <c r="A288" i="1"/>
  <c r="B288" i="1" s="1"/>
  <c r="A289" i="1"/>
  <c r="B289" i="1" s="1"/>
  <c r="A290" i="1"/>
  <c r="B290" i="1" s="1"/>
  <c r="A291" i="1"/>
  <c r="B291" i="1" s="1"/>
  <c r="A292" i="1"/>
  <c r="B292" i="1" s="1"/>
  <c r="A293" i="1"/>
  <c r="B293" i="1" s="1"/>
  <c r="A294" i="1"/>
  <c r="B294" i="1" s="1"/>
  <c r="A295" i="1"/>
  <c r="B295" i="1" s="1"/>
  <c r="A296" i="1"/>
  <c r="B296" i="1" s="1"/>
  <c r="A297" i="1"/>
  <c r="B297" i="1" s="1"/>
  <c r="A298" i="1"/>
  <c r="B298" i="1" s="1"/>
  <c r="A299" i="1"/>
  <c r="B299" i="1" s="1"/>
  <c r="A300" i="1"/>
  <c r="B300" i="1" s="1"/>
  <c r="A301" i="1"/>
  <c r="B301" i="1" s="1"/>
  <c r="A302" i="1"/>
  <c r="B302" i="1" s="1"/>
  <c r="A303" i="1"/>
  <c r="B303" i="1" s="1"/>
  <c r="A304" i="1"/>
  <c r="B304" i="1" s="1"/>
  <c r="A305" i="1"/>
  <c r="B305" i="1" s="1"/>
  <c r="A306" i="1"/>
  <c r="B306" i="1" s="1"/>
  <c r="A307" i="1"/>
  <c r="B307" i="1" s="1"/>
  <c r="A308" i="1"/>
  <c r="B308" i="1" s="1"/>
  <c r="A309" i="1"/>
  <c r="B309" i="1" s="1"/>
  <c r="A310" i="1"/>
  <c r="B310" i="1" s="1"/>
  <c r="A311" i="1"/>
  <c r="B311" i="1" s="1"/>
  <c r="A312" i="1"/>
  <c r="B312" i="1" s="1"/>
  <c r="A313" i="1"/>
  <c r="B313" i="1" s="1"/>
  <c r="A314" i="1"/>
  <c r="B314" i="1" s="1"/>
  <c r="A315" i="1"/>
  <c r="B315" i="1" s="1"/>
  <c r="A316" i="1"/>
  <c r="B316" i="1" s="1"/>
  <c r="A317" i="1"/>
  <c r="B317" i="1" s="1"/>
  <c r="A318" i="1"/>
  <c r="B318" i="1" s="1"/>
  <c r="A319" i="1"/>
  <c r="B319" i="1" s="1"/>
  <c r="A320" i="1"/>
  <c r="B320" i="1" s="1"/>
  <c r="A321" i="1"/>
  <c r="B321" i="1" s="1"/>
  <c r="A322" i="1"/>
  <c r="B322" i="1" s="1"/>
  <c r="A323" i="1"/>
  <c r="B323" i="1" s="1"/>
  <c r="A324" i="1"/>
  <c r="B324" i="1" s="1"/>
  <c r="A325" i="1"/>
  <c r="B325" i="1" s="1"/>
  <c r="A326" i="1"/>
  <c r="B326" i="1" s="1"/>
  <c r="A327" i="1"/>
  <c r="B327" i="1" s="1"/>
  <c r="A328" i="1"/>
  <c r="B328" i="1" s="1"/>
  <c r="A329" i="1"/>
  <c r="B329" i="1" s="1"/>
  <c r="A330" i="1"/>
  <c r="B330" i="1" s="1"/>
  <c r="A331" i="1"/>
  <c r="B331" i="1" s="1"/>
  <c r="A332" i="1"/>
  <c r="B332" i="1" s="1"/>
  <c r="A333" i="1"/>
  <c r="B333" i="1" s="1"/>
  <c r="A334" i="1"/>
  <c r="B334" i="1" s="1"/>
  <c r="A335" i="1"/>
  <c r="B335" i="1" s="1"/>
  <c r="A336" i="1"/>
  <c r="B336" i="1" s="1"/>
  <c r="A337" i="1"/>
  <c r="B337" i="1" s="1"/>
  <c r="A338" i="1"/>
  <c r="B338" i="1" s="1"/>
  <c r="A339" i="1"/>
  <c r="B339" i="1" s="1"/>
  <c r="A340" i="1"/>
  <c r="B340" i="1" s="1"/>
  <c r="A341" i="1"/>
  <c r="B341" i="1" s="1"/>
  <c r="A342" i="1"/>
  <c r="B342" i="1" s="1"/>
  <c r="A343" i="1"/>
  <c r="B343" i="1" s="1"/>
  <c r="A344" i="1"/>
  <c r="B344" i="1" s="1"/>
  <c r="A345" i="1"/>
  <c r="B345" i="1" s="1"/>
  <c r="A346" i="1"/>
  <c r="B346" i="1" s="1"/>
  <c r="A347" i="1"/>
  <c r="B347" i="1" s="1"/>
  <c r="A348" i="1"/>
  <c r="B348" i="1" s="1"/>
  <c r="A349" i="1"/>
  <c r="B349" i="1" s="1"/>
  <c r="A350" i="1"/>
  <c r="B350" i="1" s="1"/>
  <c r="A351" i="1"/>
  <c r="B351" i="1" s="1"/>
  <c r="A352" i="1"/>
  <c r="B352" i="1" s="1"/>
  <c r="A353" i="1"/>
  <c r="B353" i="1" s="1"/>
  <c r="A354" i="1"/>
  <c r="B354" i="1" s="1"/>
  <c r="A355" i="1"/>
  <c r="B355" i="1" s="1"/>
  <c r="A356" i="1"/>
  <c r="B356" i="1" s="1"/>
  <c r="A357" i="1"/>
  <c r="B357" i="1" s="1"/>
  <c r="A358" i="1"/>
  <c r="B358" i="1" s="1"/>
  <c r="A359" i="1"/>
  <c r="B359" i="1" s="1"/>
  <c r="A360" i="1"/>
  <c r="B360" i="1" s="1"/>
  <c r="A361" i="1"/>
  <c r="B361" i="1" s="1"/>
  <c r="A362" i="1"/>
  <c r="B362" i="1" s="1"/>
  <c r="A363" i="1"/>
  <c r="B363" i="1" s="1"/>
  <c r="A364" i="1"/>
  <c r="B364" i="1" s="1"/>
  <c r="A365" i="1"/>
  <c r="B365" i="1" s="1"/>
  <c r="A366" i="1"/>
  <c r="B366" i="1" s="1"/>
  <c r="A367" i="1"/>
  <c r="B367" i="1" s="1"/>
  <c r="A368" i="1"/>
  <c r="B368" i="1" s="1"/>
  <c r="A369" i="1"/>
  <c r="B369" i="1" s="1"/>
  <c r="A370" i="1"/>
  <c r="B370" i="1" s="1"/>
  <c r="A371" i="1"/>
  <c r="B371" i="1" s="1"/>
  <c r="A372" i="1"/>
  <c r="B372" i="1" s="1"/>
  <c r="A373" i="1"/>
  <c r="B373" i="1" s="1"/>
  <c r="A374" i="1"/>
  <c r="B374" i="1" s="1"/>
  <c r="A375" i="1"/>
  <c r="B375" i="1" s="1"/>
  <c r="A376" i="1"/>
  <c r="B376" i="1" s="1"/>
  <c r="A377" i="1"/>
  <c r="B377" i="1" s="1"/>
  <c r="A378" i="1"/>
  <c r="B378" i="1" s="1"/>
  <c r="A379" i="1"/>
  <c r="B379" i="1" s="1"/>
  <c r="A380" i="1"/>
  <c r="B380" i="1" s="1"/>
  <c r="A381" i="1"/>
  <c r="B381" i="1" s="1"/>
  <c r="A382" i="1"/>
  <c r="B382" i="1" s="1"/>
  <c r="A383" i="1"/>
  <c r="B383" i="1" s="1"/>
  <c r="A384" i="1"/>
  <c r="B384" i="1" s="1"/>
  <c r="A385" i="1"/>
  <c r="B385" i="1" s="1"/>
  <c r="A386" i="1"/>
  <c r="B386" i="1" s="1"/>
  <c r="A387" i="1"/>
  <c r="B387" i="1" s="1"/>
  <c r="A388" i="1"/>
  <c r="B388" i="1" s="1"/>
  <c r="A389" i="1"/>
  <c r="B389" i="1" s="1"/>
  <c r="A390" i="1"/>
  <c r="B390" i="1" s="1"/>
  <c r="A391" i="1"/>
  <c r="B391" i="1" s="1"/>
  <c r="A392" i="1"/>
  <c r="B392" i="1" s="1"/>
  <c r="A393" i="1"/>
  <c r="B393" i="1" s="1"/>
  <c r="A394" i="1"/>
  <c r="B394" i="1" s="1"/>
  <c r="A395" i="1"/>
  <c r="B395" i="1" s="1"/>
  <c r="A396" i="1"/>
  <c r="B396" i="1" s="1"/>
  <c r="A397" i="1"/>
  <c r="B397" i="1" s="1"/>
  <c r="A398" i="1"/>
  <c r="B398" i="1" s="1"/>
  <c r="A399" i="1"/>
  <c r="B399" i="1" s="1"/>
  <c r="A400" i="1"/>
  <c r="B400" i="1" s="1"/>
  <c r="A401" i="1"/>
  <c r="B401" i="1" s="1"/>
  <c r="A402" i="1"/>
  <c r="B402" i="1" s="1"/>
  <c r="A403" i="1"/>
  <c r="B403" i="1" s="1"/>
  <c r="A404" i="1"/>
  <c r="B404" i="1" s="1"/>
  <c r="A405" i="1"/>
  <c r="B405" i="1" s="1"/>
  <c r="A406" i="1"/>
  <c r="B406" i="1" s="1"/>
  <c r="A407" i="1"/>
  <c r="B407" i="1" s="1"/>
  <c r="A408" i="1"/>
  <c r="B408" i="1" s="1"/>
  <c r="A409" i="1"/>
  <c r="B409" i="1" s="1"/>
  <c r="A410" i="1"/>
  <c r="B410" i="1" s="1"/>
  <c r="A411" i="1"/>
  <c r="B411" i="1" s="1"/>
  <c r="A412" i="1"/>
  <c r="B412" i="1" s="1"/>
  <c r="A413" i="1"/>
  <c r="B413" i="1" s="1"/>
  <c r="A414" i="1"/>
  <c r="B414" i="1" s="1"/>
  <c r="A415" i="1"/>
  <c r="B415" i="1" s="1"/>
  <c r="A416" i="1"/>
  <c r="B416" i="1" s="1"/>
  <c r="A417" i="1"/>
  <c r="B417" i="1" s="1"/>
  <c r="A418" i="1"/>
  <c r="B418" i="1" s="1"/>
  <c r="A419" i="1"/>
  <c r="B419" i="1" s="1"/>
  <c r="A420" i="1"/>
  <c r="B420" i="1" s="1"/>
  <c r="A421" i="1"/>
  <c r="B421" i="1" s="1"/>
  <c r="A422" i="1"/>
  <c r="B422" i="1" s="1"/>
  <c r="A423" i="1"/>
  <c r="B423" i="1" s="1"/>
  <c r="A424" i="1"/>
  <c r="B424" i="1" s="1"/>
  <c r="A425" i="1"/>
  <c r="B425" i="1" s="1"/>
  <c r="A426" i="1"/>
  <c r="B426" i="1" s="1"/>
  <c r="A427" i="1"/>
  <c r="B427" i="1" s="1"/>
  <c r="A428" i="1"/>
  <c r="B428" i="1" s="1"/>
  <c r="A429" i="1"/>
  <c r="B429" i="1" s="1"/>
  <c r="A430" i="1"/>
  <c r="B430" i="1" s="1"/>
  <c r="A431" i="1"/>
  <c r="B431" i="1" s="1"/>
  <c r="A432" i="1"/>
  <c r="B432" i="1" s="1"/>
  <c r="A433" i="1"/>
  <c r="B433" i="1" s="1"/>
  <c r="A434" i="1"/>
  <c r="B434" i="1" s="1"/>
  <c r="A435" i="1"/>
  <c r="B435" i="1" s="1"/>
  <c r="A436" i="1"/>
  <c r="B436" i="1" s="1"/>
  <c r="A437" i="1"/>
  <c r="B437" i="1" s="1"/>
  <c r="A438" i="1"/>
  <c r="B438" i="1" s="1"/>
  <c r="A439" i="1"/>
  <c r="B439" i="1" s="1"/>
  <c r="A440" i="1"/>
  <c r="B440" i="1" s="1"/>
  <c r="A441" i="1"/>
  <c r="B441" i="1" s="1"/>
  <c r="A442" i="1"/>
  <c r="B442" i="1" s="1"/>
  <c r="A443" i="1"/>
  <c r="B443" i="1" s="1"/>
  <c r="A444" i="1"/>
  <c r="B444" i="1" s="1"/>
  <c r="A445" i="1"/>
  <c r="B445" i="1" s="1"/>
  <c r="A446" i="1"/>
  <c r="B446" i="1" s="1"/>
  <c r="A447" i="1"/>
  <c r="B447" i="1" s="1"/>
  <c r="A448" i="1"/>
  <c r="B448" i="1" s="1"/>
  <c r="A449" i="1"/>
  <c r="B449" i="1" s="1"/>
  <c r="A450" i="1"/>
  <c r="B450" i="1" s="1"/>
  <c r="A451" i="1"/>
  <c r="B451" i="1" s="1"/>
  <c r="A452" i="1"/>
  <c r="B452" i="1" s="1"/>
  <c r="A453" i="1"/>
  <c r="B453" i="1" s="1"/>
  <c r="A454" i="1"/>
  <c r="B454" i="1" s="1"/>
  <c r="A455" i="1"/>
  <c r="B455" i="1" s="1"/>
  <c r="A456" i="1"/>
  <c r="B456" i="1" s="1"/>
  <c r="A457" i="1"/>
  <c r="B457" i="1" s="1"/>
  <c r="A458" i="1"/>
  <c r="B458" i="1" s="1"/>
  <c r="A459" i="1"/>
  <c r="B459" i="1" s="1"/>
  <c r="A460" i="1"/>
  <c r="B460" i="1" s="1"/>
  <c r="A461" i="1"/>
  <c r="B461" i="1" s="1"/>
  <c r="A462" i="1"/>
  <c r="B462" i="1" s="1"/>
  <c r="A463" i="1"/>
  <c r="B463" i="1" s="1"/>
  <c r="A464" i="1"/>
  <c r="B464" i="1" s="1"/>
  <c r="A465" i="1"/>
  <c r="B465" i="1" s="1"/>
  <c r="A466" i="1"/>
  <c r="B466" i="1" s="1"/>
  <c r="A467" i="1"/>
  <c r="B467" i="1" s="1"/>
  <c r="A468" i="1"/>
  <c r="B468" i="1" s="1"/>
  <c r="A469" i="1"/>
  <c r="B469" i="1" s="1"/>
  <c r="A470" i="1"/>
  <c r="B470" i="1" s="1"/>
  <c r="A471" i="1"/>
  <c r="B471" i="1" s="1"/>
  <c r="A472" i="1"/>
  <c r="B472" i="1" s="1"/>
  <c r="A473" i="1"/>
  <c r="B473" i="1" s="1"/>
  <c r="A474" i="1"/>
  <c r="B474" i="1" s="1"/>
  <c r="A475" i="1"/>
  <c r="B475" i="1" s="1"/>
  <c r="A476" i="1"/>
  <c r="B476" i="1" s="1"/>
  <c r="A477" i="1"/>
  <c r="B477" i="1" s="1"/>
  <c r="A478" i="1"/>
  <c r="B478" i="1" s="1"/>
  <c r="A479" i="1"/>
  <c r="B479" i="1" s="1"/>
  <c r="A480" i="1"/>
  <c r="B480" i="1" s="1"/>
  <c r="A481" i="1"/>
  <c r="B481" i="1" s="1"/>
  <c r="A482" i="1"/>
  <c r="B482" i="1" s="1"/>
  <c r="A483" i="1"/>
  <c r="B483" i="1" s="1"/>
  <c r="A484" i="1"/>
  <c r="B484" i="1" s="1"/>
  <c r="A485" i="1"/>
  <c r="B485" i="1" s="1"/>
  <c r="A486" i="1"/>
  <c r="B486" i="1" s="1"/>
  <c r="A487" i="1"/>
  <c r="B487" i="1" s="1"/>
  <c r="A488" i="1"/>
  <c r="B488" i="1" s="1"/>
  <c r="A489" i="1"/>
  <c r="B489" i="1" s="1"/>
  <c r="A490" i="1"/>
  <c r="B490" i="1" s="1"/>
  <c r="A491" i="1"/>
  <c r="B491" i="1" s="1"/>
  <c r="A492" i="1"/>
  <c r="B492" i="1" s="1"/>
  <c r="A493" i="1"/>
  <c r="B493" i="1" s="1"/>
  <c r="A494" i="1"/>
  <c r="B494" i="1" s="1"/>
  <c r="A495" i="1"/>
  <c r="B495" i="1" s="1"/>
  <c r="A496" i="1"/>
  <c r="B496" i="1" s="1"/>
  <c r="A497" i="1"/>
  <c r="B497" i="1" s="1"/>
  <c r="A498" i="1"/>
  <c r="B498" i="1" s="1"/>
  <c r="A499" i="1"/>
  <c r="B499" i="1" s="1"/>
  <c r="A500" i="1"/>
  <c r="B500" i="1" s="1"/>
  <c r="A501" i="1"/>
  <c r="B501" i="1" s="1"/>
  <c r="A502" i="1"/>
  <c r="B502" i="1" s="1"/>
  <c r="A503" i="1"/>
  <c r="B503" i="1" s="1"/>
  <c r="A504" i="1"/>
  <c r="B504" i="1" s="1"/>
  <c r="A505" i="1"/>
  <c r="B505" i="1" s="1"/>
  <c r="A5" i="7"/>
  <c r="B5" i="7" s="1"/>
  <c r="A4" i="7"/>
  <c r="B4" i="7" s="1"/>
  <c r="A5" i="1"/>
  <c r="B5" i="1" s="1"/>
  <c r="A6" i="1"/>
  <c r="B6" i="1" s="1"/>
  <c r="A4" i="1"/>
  <c r="B4" i="1" s="1"/>
  <c r="B21" i="8" l="1"/>
  <c r="B22" i="8" s="1"/>
  <c r="A21" i="8"/>
  <c r="B20" i="8"/>
  <c r="A20" i="8" s="1"/>
  <c r="A19" i="8"/>
  <c r="B4" i="8"/>
  <c r="A4" i="8" s="1"/>
  <c r="A3" i="8"/>
  <c r="B23" i="8" l="1"/>
  <c r="A22" i="8"/>
  <c r="B5" i="8"/>
  <c r="G2" i="5"/>
  <c r="G2" i="4"/>
  <c r="G2" i="3"/>
  <c r="G2" i="2"/>
  <c r="G2" i="7"/>
  <c r="A37" i="6"/>
  <c r="G25" i="6"/>
  <c r="D23" i="6"/>
  <c r="AB3" i="5"/>
  <c r="H2" i="1"/>
  <c r="J23" i="6"/>
  <c r="J3" i="5"/>
  <c r="K3" i="4"/>
  <c r="AA3" i="4"/>
  <c r="P3" i="1"/>
  <c r="P25" i="6"/>
  <c r="X3" i="4"/>
  <c r="L3" i="5"/>
  <c r="S3" i="1"/>
  <c r="T6" i="6"/>
  <c r="E3" i="1"/>
  <c r="Q3" i="1"/>
  <c r="W3" i="1"/>
  <c r="Q3" i="4"/>
  <c r="N3" i="4"/>
  <c r="X3" i="5"/>
  <c r="U3" i="4"/>
  <c r="A3" i="5"/>
  <c r="J3" i="1"/>
  <c r="L3" i="4"/>
  <c r="S25" i="6"/>
  <c r="A3" i="4"/>
  <c r="K7" i="6"/>
  <c r="B3" i="1"/>
  <c r="AD3" i="4"/>
  <c r="P3" i="5"/>
  <c r="A3" i="3"/>
  <c r="G23" i="6"/>
  <c r="T3" i="5"/>
  <c r="I3" i="4"/>
  <c r="N3" i="1"/>
  <c r="R3" i="5"/>
  <c r="V3" i="5"/>
  <c r="Z3" i="4"/>
  <c r="G1" i="1"/>
  <c r="D3" i="4"/>
  <c r="T3" i="4"/>
  <c r="AD3" i="5"/>
  <c r="K3" i="1"/>
  <c r="C9" i="6"/>
  <c r="M23" i="6"/>
  <c r="N3" i="5"/>
  <c r="P23" i="6"/>
  <c r="R3" i="1"/>
  <c r="D26" i="6"/>
  <c r="H1" i="1"/>
  <c r="O3" i="4"/>
  <c r="AF3" i="1"/>
  <c r="Z3" i="5"/>
  <c r="H3" i="1"/>
  <c r="R3" i="4"/>
  <c r="S23" i="6"/>
  <c r="L3" i="1"/>
  <c r="AG3" i="1"/>
  <c r="U3" i="1"/>
  <c r="D11" i="6"/>
  <c r="W3" i="4"/>
  <c r="G3" i="1"/>
  <c r="X3" i="1"/>
  <c r="H3" i="5"/>
  <c r="AH3" i="1"/>
  <c r="H3" i="6"/>
  <c r="M3" i="1"/>
  <c r="O3" i="1"/>
  <c r="T3" i="1"/>
  <c r="A3" i="1"/>
  <c r="I3" i="1"/>
  <c r="J25" i="6"/>
  <c r="F1" i="1"/>
  <c r="AC3" i="4"/>
  <c r="AE3" i="1"/>
  <c r="V3" i="1"/>
  <c r="F2" i="1"/>
  <c r="H3" i="4"/>
  <c r="M25" i="6"/>
  <c r="AB3" i="3" l="1"/>
  <c r="X3" i="3"/>
  <c r="T3" i="3"/>
  <c r="P3" i="3"/>
  <c r="L3" i="3"/>
  <c r="H3" i="3"/>
  <c r="AA3" i="3"/>
  <c r="W3" i="3"/>
  <c r="S3" i="3"/>
  <c r="O3" i="3"/>
  <c r="K3" i="3"/>
  <c r="G3" i="3"/>
  <c r="AD3" i="3"/>
  <c r="Z3" i="3"/>
  <c r="V3" i="3"/>
  <c r="R3" i="3"/>
  <c r="N3" i="3"/>
  <c r="J3" i="3"/>
  <c r="AC3" i="3"/>
  <c r="Y3" i="3"/>
  <c r="U3" i="3"/>
  <c r="Q3" i="3"/>
  <c r="M3" i="3"/>
  <c r="I3" i="3"/>
  <c r="V3" i="4"/>
  <c r="J3" i="4"/>
  <c r="S3" i="4"/>
  <c r="G3" i="4"/>
  <c r="AB3" i="4"/>
  <c r="P3" i="4"/>
  <c r="Y3" i="4"/>
  <c r="M3" i="4"/>
  <c r="E3" i="5"/>
  <c r="I3" i="2"/>
  <c r="H3" i="2"/>
  <c r="B3" i="7"/>
  <c r="A3" i="7"/>
  <c r="S3" i="7"/>
  <c r="T3" i="7"/>
  <c r="U3" i="7"/>
  <c r="V3" i="7"/>
  <c r="W3" i="7"/>
  <c r="X3" i="7"/>
  <c r="L3" i="7"/>
  <c r="K3" i="7"/>
  <c r="J3" i="7"/>
  <c r="I3" i="7"/>
  <c r="H3" i="7"/>
  <c r="G3" i="2"/>
  <c r="G3" i="7"/>
  <c r="E3" i="4"/>
  <c r="E3" i="7"/>
  <c r="E3" i="3"/>
  <c r="E3" i="2"/>
  <c r="N3" i="7"/>
  <c r="AF3" i="2"/>
  <c r="AF3" i="4"/>
  <c r="AF3" i="7"/>
  <c r="AF3" i="3"/>
  <c r="AF3" i="5" s="1"/>
  <c r="H2" i="5"/>
  <c r="H2" i="4"/>
  <c r="H2" i="3"/>
  <c r="H2" i="2"/>
  <c r="H2" i="7"/>
  <c r="O3" i="7"/>
  <c r="AG3" i="4"/>
  <c r="AG3" i="7"/>
  <c r="AG3" i="3"/>
  <c r="AG3" i="5" s="1"/>
  <c r="AG3" i="2"/>
  <c r="P3" i="7"/>
  <c r="H1" i="7"/>
  <c r="H1" i="5"/>
  <c r="H1" i="4"/>
  <c r="H1" i="3"/>
  <c r="H1" i="2"/>
  <c r="M3" i="7"/>
  <c r="AH3" i="4"/>
  <c r="AH3" i="7"/>
  <c r="AH3" i="3"/>
  <c r="AH3" i="5" s="1"/>
  <c r="AH3" i="2"/>
  <c r="Q3" i="7"/>
  <c r="AE3" i="3"/>
  <c r="AE3" i="5" s="1"/>
  <c r="AE3" i="2"/>
  <c r="AE3" i="4"/>
  <c r="AE3" i="7"/>
  <c r="G1" i="7"/>
  <c r="G1" i="5"/>
  <c r="G1" i="4"/>
  <c r="G1" i="3"/>
  <c r="G1" i="2"/>
  <c r="R3" i="7"/>
  <c r="A5" i="8"/>
  <c r="B6" i="8"/>
  <c r="B24" i="8"/>
  <c r="A23" i="8"/>
  <c r="F3" i="7"/>
  <c r="G3" i="5"/>
  <c r="Y3" i="5"/>
  <c r="F3" i="2"/>
  <c r="O3" i="5"/>
  <c r="F3" i="4"/>
  <c r="AC3" i="5"/>
  <c r="F3" i="1"/>
  <c r="U3" i="5"/>
  <c r="M3" i="5"/>
  <c r="W3" i="5"/>
  <c r="F3" i="5"/>
  <c r="Q3" i="5"/>
  <c r="K3" i="5"/>
  <c r="F3" i="3"/>
  <c r="I3" i="5"/>
  <c r="S3" i="5"/>
  <c r="AA3" i="5"/>
  <c r="B25" i="8" l="1"/>
  <c r="A24" i="8"/>
  <c r="A6" i="8"/>
  <c r="B7" i="8"/>
  <c r="F2" i="4"/>
  <c r="F2" i="2"/>
  <c r="F2" i="7"/>
  <c r="F2" i="5"/>
  <c r="F2" i="3"/>
  <c r="F1" i="7"/>
  <c r="F1" i="5"/>
  <c r="F1" i="3"/>
  <c r="F1" i="4"/>
  <c r="F1" i="2"/>
  <c r="A7" i="8" l="1"/>
  <c r="B8" i="8"/>
  <c r="B26" i="8"/>
  <c r="A25" i="8"/>
  <c r="G2" i="1"/>
  <c r="D25" i="6"/>
  <c r="B27" i="8" l="1"/>
  <c r="A26" i="8"/>
  <c r="A8" i="8"/>
  <c r="B9" i="8"/>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505" i="3"/>
  <c r="A504" i="3"/>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A4" i="3"/>
  <c r="A9" i="8" l="1"/>
  <c r="B10" i="8"/>
  <c r="B28" i="8"/>
  <c r="A27" i="8"/>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B29" i="8" l="1"/>
  <c r="A28" i="8"/>
  <c r="A10" i="8"/>
  <c r="B11" i="8"/>
  <c r="A4" i="4"/>
  <c r="A11" i="8" l="1"/>
  <c r="B12" i="8"/>
  <c r="B30" i="8"/>
  <c r="A29" i="8"/>
  <c r="B31" i="8" l="1"/>
  <c r="A30" i="8"/>
  <c r="A12" i="8"/>
  <c r="B13" i="8"/>
  <c r="A13" i="8" l="1"/>
  <c r="B14" i="8"/>
  <c r="B32" i="8"/>
  <c r="A31" i="8"/>
  <c r="B33" i="8" l="1"/>
  <c r="A32" i="8"/>
  <c r="A14" i="8"/>
  <c r="B15" i="8"/>
  <c r="A15" i="8" l="1"/>
  <c r="B16" i="8"/>
  <c r="B34" i="8"/>
  <c r="A33" i="8"/>
  <c r="A16" i="8" l="1"/>
  <c r="B17" i="8"/>
  <c r="B35" i="8"/>
  <c r="A34" i="8"/>
  <c r="B36" i="8" l="1"/>
  <c r="A35" i="8"/>
  <c r="A17" i="8"/>
  <c r="B18" i="8"/>
  <c r="A18" i="8" s="1"/>
  <c r="B37" i="8" l="1"/>
  <c r="A36" i="8"/>
  <c r="B38" i="8" l="1"/>
  <c r="A37" i="8"/>
  <c r="B39" i="8" l="1"/>
  <c r="A38" i="8"/>
  <c r="B40" i="8" l="1"/>
  <c r="A39" i="8"/>
  <c r="B41" i="8" l="1"/>
  <c r="A40" i="8"/>
  <c r="B42" i="8" l="1"/>
  <c r="A42" i="8" s="1"/>
  <c r="A41" i="8"/>
</calcChain>
</file>

<file path=xl/comments1.xml><?xml version="1.0" encoding="utf-8"?>
<comments xmlns="http://schemas.openxmlformats.org/spreadsheetml/2006/main">
  <authors>
    <author>Milagros Huerta Gómez de Merodio</author>
  </authors>
  <commentList>
    <comment ref="A3" authorId="0" shapeId="0">
      <text>
        <r>
          <rPr>
            <b/>
            <sz val="9"/>
            <color indexed="81"/>
            <rFont val="Tahoma"/>
            <family val="2"/>
          </rPr>
          <t>Esta celda se calcula automáticamente al rellenar las respuestas.</t>
        </r>
      </text>
    </comment>
  </commentList>
</comments>
</file>

<file path=xl/comments2.xml><?xml version="1.0" encoding="utf-8"?>
<comments xmlns="http://schemas.openxmlformats.org/spreadsheetml/2006/main">
  <authors>
    <author>Milagros Huerta Gómez de Merodio</author>
  </authors>
  <commentList>
    <comment ref="A3" authorId="0" shapeId="0">
      <text>
        <r>
          <rPr>
            <b/>
            <sz val="9"/>
            <color indexed="81"/>
            <rFont val="Tahoma"/>
            <family val="2"/>
          </rPr>
          <t>Esta celda se calcula automáticamente al rellenar las respuestas.</t>
        </r>
      </text>
    </comment>
  </commentList>
</comments>
</file>

<file path=xl/comments3.xml><?xml version="1.0" encoding="utf-8"?>
<comments xmlns="http://schemas.openxmlformats.org/spreadsheetml/2006/main">
  <authors>
    <author>Milagros Huerta Gómez de Merodio</author>
  </authors>
  <commentList>
    <comment ref="A3" authorId="0" shapeId="0">
      <text>
        <r>
          <rPr>
            <b/>
            <sz val="9"/>
            <color indexed="81"/>
            <rFont val="Tahoma"/>
            <family val="2"/>
          </rPr>
          <t>Esta celda se calcula automáticamente al rellenar las respuestas.</t>
        </r>
      </text>
    </comment>
  </commentList>
</comments>
</file>

<file path=xl/sharedStrings.xml><?xml version="1.0" encoding="utf-8"?>
<sst xmlns="http://schemas.openxmlformats.org/spreadsheetml/2006/main" count="556" uniqueCount="384">
  <si>
    <t>Pista 1</t>
  </si>
  <si>
    <t>Pista 2</t>
  </si>
  <si>
    <t>Pista 3</t>
  </si>
  <si>
    <t>Pista 4</t>
  </si>
  <si>
    <t>MILAGROS HUERTA GÓMEZ DE MERODIO</t>
  </si>
  <si>
    <t>Universidad de Cádiz</t>
  </si>
  <si>
    <t>LEER CON ATENCIÓN</t>
  </si>
  <si>
    <t>Mayúsculas</t>
  </si>
  <si>
    <t>Esta Aplicación ha sido desarrollada, en la primera versión, por:</t>
  </si>
  <si>
    <t>FastTest PlugIn - DataBase</t>
  </si>
  <si>
    <t>Preguntas</t>
  </si>
  <si>
    <t>Verdadero / Falso</t>
  </si>
  <si>
    <t>Emparejar</t>
  </si>
  <si>
    <t>Respuesta Corta</t>
  </si>
  <si>
    <t>Palabra Perdida</t>
  </si>
  <si>
    <t>VIDEO TUTORIALES</t>
  </si>
  <si>
    <t>fasttestplugin@gmail.com</t>
  </si>
  <si>
    <t>INICIO</t>
  </si>
  <si>
    <t>FORMATO</t>
  </si>
  <si>
    <t>IDIOMA
LANGUAGE</t>
  </si>
  <si>
    <t>ESPAÑOL</t>
  </si>
  <si>
    <t>S</t>
  </si>
  <si>
    <t>I</t>
  </si>
  <si>
    <t>F</t>
  </si>
  <si>
    <t>P</t>
  </si>
  <si>
    <t>E</t>
  </si>
  <si>
    <t>Atención a la lectura</t>
  </si>
  <si>
    <t>¿De qué color es el caballo BLANCO de Santiago?</t>
  </si>
  <si>
    <t>Blanco</t>
  </si>
  <si>
    <t>Negro</t>
  </si>
  <si>
    <t>Marrón</t>
  </si>
  <si>
    <t>Gris</t>
  </si>
  <si>
    <t>Beige</t>
  </si>
  <si>
    <t>Pardo</t>
  </si>
  <si>
    <t>Muy bien, veo que has leído bien la pregunta</t>
  </si>
  <si>
    <t>Debes prestar atención a lo que lees 1.</t>
  </si>
  <si>
    <t>Debes prestar atención a lo que lees 2.</t>
  </si>
  <si>
    <t>Debes prestar atención a lo que lees 3.</t>
  </si>
  <si>
    <t>Debes prestar atención a lo que lees 4.</t>
  </si>
  <si>
    <t>Debes prestar atención a lo que lees 5.</t>
  </si>
  <si>
    <t/>
  </si>
  <si>
    <t>UNIDADES</t>
  </si>
  <si>
    <t>¿En qué unidades se mide la longitud?&lt;/p&gt;Lee bien la pregunta.</t>
  </si>
  <si>
    <t>m</t>
  </si>
  <si>
    <t>m^{2}</t>
  </si>
  <si>
    <t>m^{3}</t>
  </si>
  <si>
    <t>m^{4}</t>
  </si>
  <si>
    <t>m_{2}</t>
  </si>
  <si>
    <t>m_{3}</t>
  </si>
  <si>
    <t>MATEMÁTICAS</t>
  </si>
  <si>
    <t>¿Cuál es la derivada de la siguiente función? $$\frac{\sin(x)}{x-1}$$</t>
  </si>
  <si>
    <t>$$\frac{\cos(x)}{x-1}-\frac{\sin(x)}{(x-1)^2}$$</t>
  </si>
  <si>
    <t>$$\frac{\cos^2(x)}{x-1}$$</t>
  </si>
  <si>
    <t>$$-\frac{\cos^2(x)}{x-1}$$</t>
  </si>
  <si>
    <t>BLANCO</t>
  </si>
  <si>
    <t>blanco</t>
  </si>
  <si>
    <t>mm</t>
  </si>
  <si>
    <t>mm^{2}</t>
  </si>
  <si>
    <t>mm^{3}</t>
  </si>
  <si>
    <t>El caballo Blanco de Santiago es BLANCO</t>
  </si>
  <si>
    <t>Muy bien.</t>
  </si>
  <si>
    <t>Lee mejor la pregunta.</t>
  </si>
  <si>
    <t>Lectura</t>
  </si>
  <si>
    <t>El caballo NEGRO de Santiago es Blanco</t>
  </si>
  <si>
    <t>Muy bien, veo que has leído la pregunta</t>
  </si>
  <si>
    <t>Lee bien la pregunta</t>
  </si>
  <si>
    <t>Conocimientos</t>
  </si>
  <si>
    <t>Relacione los nombres.</t>
  </si>
  <si>
    <t>Mesa</t>
  </si>
  <si>
    <t>Silla</t>
  </si>
  <si>
    <t>Pizarra</t>
  </si>
  <si>
    <t>Tiza</t>
  </si>
  <si>
    <t>Playa</t>
  </si>
  <si>
    <t>Arena</t>
  </si>
  <si>
    <t>Sol</t>
  </si>
  <si>
    <t>Luna</t>
  </si>
  <si>
    <t>Comida</t>
  </si>
  <si>
    <t>Cena</t>
  </si>
  <si>
    <t>Niño</t>
  </si>
  <si>
    <t>Niña</t>
  </si>
  <si>
    <t>Juego de mesa</t>
  </si>
  <si>
    <t>Parchís</t>
  </si>
  <si>
    <t>Coche</t>
  </si>
  <si>
    <t>Moto</t>
  </si>
  <si>
    <t>Perro</t>
  </si>
  <si>
    <t>Gato</t>
  </si>
  <si>
    <t>Pico</t>
  </si>
  <si>
    <t>Pala</t>
  </si>
  <si>
    <t>Marido</t>
  </si>
  <si>
    <t>Mujer</t>
  </si>
  <si>
    <t>Ojos</t>
  </si>
  <si>
    <t>Nariz</t>
  </si>
  <si>
    <t>Lógica</t>
  </si>
  <si>
    <t>Enlace las parejas.</t>
  </si>
  <si>
    <t>uno</t>
  </si>
  <si>
    <t>dos</t>
  </si>
  <si>
    <t>tres</t>
  </si>
  <si>
    <t>cuatro</t>
  </si>
  <si>
    <t>cinco</t>
  </si>
  <si>
    <t>seis</t>
  </si>
  <si>
    <t>siete</t>
  </si>
  <si>
    <t>ocho</t>
  </si>
  <si>
    <t>nueve</t>
  </si>
  <si>
    <t>diez</t>
  </si>
  <si>
    <t>once</t>
  </si>
  <si>
    <t>doce</t>
  </si>
  <si>
    <t>Provincia</t>
  </si>
  <si>
    <t>Escribe una Capital de Provincia Andaluza. Cuidado con la ortografía.</t>
  </si>
  <si>
    <t>Cádiz</t>
  </si>
  <si>
    <t>Muy bien</t>
  </si>
  <si>
    <t>Sevilla</t>
  </si>
  <si>
    <t>Huelva</t>
  </si>
  <si>
    <t>Granada</t>
  </si>
  <si>
    <t>Jaén</t>
  </si>
  <si>
    <t>Córdoba</t>
  </si>
  <si>
    <t>Málaga</t>
  </si>
  <si>
    <t>Almería</t>
  </si>
  <si>
    <t>P1</t>
  </si>
  <si>
    <t>P2</t>
  </si>
  <si>
    <t>P3</t>
  </si>
  <si>
    <t>P4</t>
  </si>
  <si>
    <t>Países</t>
  </si>
  <si>
    <t>La Capital de España.</t>
  </si>
  <si>
    <t>Madrid</t>
  </si>
  <si>
    <t>madrid</t>
  </si>
  <si>
    <t>Cuidado con la ortografía</t>
  </si>
  <si>
    <t>MADRID</t>
  </si>
  <si>
    <t>No escribas todo en mayúsculas.</t>
  </si>
  <si>
    <t>Verano</t>
  </si>
  <si>
    <t>En la playa de [[1]] nos invitaron a pizza, comida típica de [[7]]. Si sumamos 2 + 2 tenemos [[11]].</t>
  </si>
  <si>
    <t>España</t>
  </si>
  <si>
    <t>Portugal</t>
  </si>
  <si>
    <t>Italia</t>
  </si>
  <si>
    <t>Uno</t>
  </si>
  <si>
    <t>Dos</t>
  </si>
  <si>
    <t>Tres</t>
  </si>
  <si>
    <t>Cuatro</t>
  </si>
  <si>
    <t>Cinco</t>
  </si>
  <si>
    <t>Primera pista</t>
  </si>
  <si>
    <t>Segunda pista</t>
  </si>
  <si>
    <t>Tercera pista</t>
  </si>
  <si>
    <t>Cuarta pista</t>
  </si>
  <si>
    <t>Cuando viajamos a [[5]], visitamos la Torre del Oro que está en [[2]], me confundí con la Torre de Pisa que está en [[7]]. &lt;/p&gt;
Si sumamos 1 + 2 tenemos [[10]], pero si los multiplicamos, tenemos [[9]].</t>
  </si>
  <si>
    <t>&lt;img src="https://dl.dropboxusercontent.com/s/oh1ssro2fay57yo/Alumno_hablando_rapido.gif" width="" height="100"&gt;</t>
  </si>
  <si>
    <t>&lt;img src="https://dl.dropboxusercontent.com/s/2smr0aec6oujybp/Antonio_hablando_izq_rapido.gif" width="" height="120"&gt;</t>
  </si>
  <si>
    <t>Chico</t>
  </si>
  <si>
    <t>&lt;img src="https://dl.dropboxusercontent.com/s/qfxkf5guj4pjibp/Profe_hablando_rapido.gif" width="" height="100"&gt;</t>
  </si>
  <si>
    <t>Profe</t>
  </si>
  <si>
    <t>&lt;img src="https://dl.dropboxusercontent.com/s/myylbuzhhn0uox7/Alicia_hablando_rapido.gif" width="" height="120"&gt;</t>
  </si>
  <si>
    <t>Chica</t>
  </si>
  <si>
    <t>Z_</t>
  </si>
  <si>
    <t>ENGLISH</t>
  </si>
  <si>
    <t>FRANÇAIS</t>
  </si>
  <si>
    <t>PORTUGUÊS</t>
  </si>
  <si>
    <t>ITALIEN</t>
  </si>
  <si>
    <t>DEUTSCH</t>
  </si>
  <si>
    <t>D</t>
  </si>
  <si>
    <t>IN</t>
  </si>
  <si>
    <t>00</t>
  </si>
  <si>
    <t>HOME</t>
  </si>
  <si>
    <t>MAISON</t>
  </si>
  <si>
    <t>CASA</t>
  </si>
  <si>
    <t>ANFANG</t>
  </si>
  <si>
    <t xml:space="preserve"> </t>
  </si>
  <si>
    <t>01</t>
  </si>
  <si>
    <t>VIDEO TUTORIALS</t>
  </si>
  <si>
    <t>TUTORIELS VIDÉOS</t>
  </si>
  <si>
    <t>TUTORIAIS DE VÍDEO</t>
  </si>
  <si>
    <t>TUTORIAL VIDEO</t>
  </si>
  <si>
    <t>VIDEOANLEITUNGEN</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</si>
  <si>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</si>
  <si>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</si>
  <si>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</si>
  <si>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</si>
  <si>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</si>
  <si>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</si>
  <si>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</si>
  <si>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</si>
  <si>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</si>
  <si>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</si>
  <si>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</si>
  <si>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</si>
  <si>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</si>
  <si>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</si>
  <si>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</si>
  <si>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</si>
  <si>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</si>
  <si>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</si>
  <si>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</si>
  <si>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</si>
  <si>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</si>
  <si>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</si>
  <si>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</si>
  <si>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</si>
  <si>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</si>
  <si>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</si>
  <si>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</si>
  <si>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</si>
  <si>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</si>
  <si>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</si>
  <si>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</si>
  <si>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</si>
  <si>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</si>
  <si>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Esta HOJA sirve para almacenar las preguntas y poder reutilizarlas cuando sea necesario, sin tener que volver a escribirlas para un nuevo BANCO DE PREGUNTAS.
Se puede almacenar hasta un máximo de 500 preguntas por cada Tipo de Pregunta.</t>
  </si>
  <si>
    <t>This SHEET is used to store the questions and to be able to reuse them when necessary, without having to retype them for a new BANK OF QUESTIONS.
A maximum of 500 questions can be stored for each Question Type.</t>
  </si>
  <si>
    <t>Cette FEUILLE permet de stocker les questions et de pouvoir les réutiliser si nécessaire, sans avoir à les retaper pour une nouvelle BANQUE DE QUESTIONS.
Un maximum de 500 questions peut être stocké pour chaque type de question.</t>
  </si>
  <si>
    <t>Esta FOLHA serve para armazenar as questões e poder reutilizá-las quando necessário, sem ter que redigitá-las para um novo BANCO DE PERGUNTAS.
No máximo 500 perguntas podem ser armazenadas para cada tipo de pergunta.</t>
  </si>
  <si>
    <t>Questo FOGLIO viene utilizzato per memorizzare le domande e per poterle riutilizzare quando necessario, senza doverle riscrivere per una nuova BANCA DELLE DOMANDE.
È possibile memorizzare un massimo di 500 domande per ogni tipo di domanda.</t>
  </si>
  <si>
    <t>Dieses BLATT wird verwendet, um die Fragen zu speichern und sie bei Bedarf wiederzuverwenden, ohne sie für eine neue BANK OF QUESTIONS erneut eingeben zu müssen.
Für jeden Fragetyp können maximal 500 Fragen gespeichert werden.</t>
  </si>
  <si>
    <t>08</t>
  </si>
  <si>
    <t xml:space="preserve">Opción Múltiple 1R </t>
  </si>
  <si>
    <t>Multiple Option 1R</t>
  </si>
  <si>
    <t>Choix Multiple 1R</t>
  </si>
  <si>
    <t>Múltipla Escolha 1R</t>
  </si>
  <si>
    <t>Scelta Multipla 1R</t>
  </si>
  <si>
    <t>Multiple Choice 1R</t>
  </si>
  <si>
    <t>09</t>
  </si>
  <si>
    <t xml:space="preserve">Opción Múltiple VR </t>
  </si>
  <si>
    <t>Multiple Option VR</t>
  </si>
  <si>
    <t>Choix Multiple VR</t>
  </si>
  <si>
    <t>Múltipla Escolha VR</t>
  </si>
  <si>
    <t>Scelta Multipla VR</t>
  </si>
  <si>
    <t>Multiple Choice VR</t>
  </si>
  <si>
    <t>10</t>
  </si>
  <si>
    <t>True / False</t>
  </si>
  <si>
    <t>Vrai / Faux</t>
  </si>
  <si>
    <t>Verdadeiro / Falso</t>
  </si>
  <si>
    <t>Vero / Falso</t>
  </si>
  <si>
    <t>Wahr / Falsch</t>
  </si>
  <si>
    <t>11</t>
  </si>
  <si>
    <t>Match Answers</t>
  </si>
  <si>
    <t>Correspondre</t>
  </si>
  <si>
    <t>Jogo</t>
  </si>
  <si>
    <t>Incontro</t>
  </si>
  <si>
    <t>Spiel</t>
  </si>
  <si>
    <t>12</t>
  </si>
  <si>
    <t>Short Answer</t>
  </si>
  <si>
    <t>Réponse courte</t>
  </si>
  <si>
    <t>Resposta curta</t>
  </si>
  <si>
    <t>Risposta breve</t>
  </si>
  <si>
    <t>Kurze Antwort</t>
  </si>
  <si>
    <t>13</t>
  </si>
  <si>
    <t>Missing Word</t>
  </si>
  <si>
    <t>Mot perdu</t>
  </si>
  <si>
    <t>Palavra perdida</t>
  </si>
  <si>
    <t>Parola persa</t>
  </si>
  <si>
    <t>Verlorenes Wort</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</si>
  <si>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</si>
  <si>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</si>
  <si>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</si>
  <si>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</si>
  <si>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</si>
  <si>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</si>
  <si>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</si>
  <si>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</si>
  <si>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</si>
  <si>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</si>
  <si>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</si>
  <si>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</si>
  <si>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</si>
  <si>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</si>
  <si>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</si>
  <si>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</si>
  <si>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</si>
  <si>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</si>
  <si>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</si>
  <si>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</si>
  <si>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</si>
  <si>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FORMAT</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</si>
  <si>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</si>
  <si>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</si>
  <si>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</si>
  <si>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</si>
  <si>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</si>
  <si>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</si>
  <si>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</si>
  <si>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</si>
  <si>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</si>
  <si>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</si>
  <si>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</si>
  <si>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</si>
  <si>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</si>
  <si>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</si>
  <si>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</si>
  <si>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</si>
  <si>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</si>
  <si>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</si>
  <si>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</si>
  <si>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</si>
  <si>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</si>
  <si>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</si>
  <si>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</si>
  <si>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</si>
  <si>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</si>
  <si>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</si>
  <si>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</si>
  <si>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</si>
  <si>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</si>
  <si>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</si>
  <si>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</si>
  <si>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</si>
  <si>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</si>
  <si>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</si>
  <si>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</si>
  <si>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</si>
  <si>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</si>
  <si>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</si>
  <si>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</si>
  <si>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</si>
  <si>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MO 1R</t>
  </si>
  <si>
    <t>CM 1R</t>
  </si>
  <si>
    <t>ME 1R</t>
  </si>
  <si>
    <t>SM 1R</t>
  </si>
  <si>
    <t>MC 1R</t>
  </si>
  <si>
    <t>OM VR</t>
  </si>
  <si>
    <t>MO VR</t>
  </si>
  <si>
    <t>CM VR</t>
  </si>
  <si>
    <t>ME VR</t>
  </si>
  <si>
    <t>SM VR</t>
  </si>
  <si>
    <t>MC VR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</si>
  <si>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</si>
  <si>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</si>
  <si>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</si>
  <si>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</si>
  <si>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</si>
  <si>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</si>
  <si>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</si>
  <si>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</si>
  <si>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</si>
  <si>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</si>
  <si>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</si>
  <si>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</si>
  <si>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</si>
  <si>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</si>
  <si>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</si>
  <si>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</si>
  <si>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</si>
  <si>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</si>
  <si>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</si>
  <si>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</si>
  <si>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</si>
  <si>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</si>
  <si>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</si>
  <si>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</si>
  <si>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</si>
  <si>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</si>
  <si>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</si>
  <si>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</si>
  <si>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</si>
  <si>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</si>
  <si>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</si>
  <si>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</si>
  <si>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</si>
  <si>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</si>
  <si>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</si>
  <si>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</si>
  <si>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</si>
  <si>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</si>
  <si>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</si>
  <si>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</si>
  <si>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</si>
  <si>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</si>
  <si>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</si>
  <si>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</si>
  <si>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</si>
  <si>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</si>
  <si>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</si>
  <si>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</si>
  <si>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</si>
  <si>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</si>
  <si>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</si>
  <si>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</si>
  <si>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</si>
  <si>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</si>
  <si>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</si>
  <si>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</si>
  <si>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</si>
  <si>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</si>
  <si>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</si>
  <si>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</si>
  <si>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</si>
  <si>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</si>
  <si>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</si>
  <si>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V - 2.0  - 09/04/2021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</si>
</sst>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1" x14ac:knownFonts="1">
    <font>
      <sz val="11"/>
      <color theme="1"/>
      <name val="Calibri"/>
      <family val="2"/>
      <scheme val="minor"/>
    </font>
    <font>
      <b/>
      <sz val="11"/>
      <color theme="1"/>
      <name val="Calibri"/>
      <family val="2"/>
      <scheme val="minor"/>
    </font>
    <font>
      <sz val="11"/>
      <color theme="0"/>
      <name val="Calibri"/>
      <family val="2"/>
      <scheme val="minor"/>
    </font>
    <font>
      <b/>
      <sz val="11"/>
      <color rgb="FF0000FF"/>
      <name val="Calibri"/>
      <family val="2"/>
    </font>
    <font>
      <b/>
      <sz val="9"/>
      <color rgb="FFFF0000"/>
      <name val="Calibri"/>
      <family val="2"/>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9"/>
      <color indexed="81"/>
      <name val="Tahoma"/>
      <family val="2"/>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b/>
      <sz val="11"/>
      <color rgb="FFFF0000"/>
      <name val="Calibri"/>
      <family val="2"/>
    </font>
    <font>
      <sz val="11"/>
      <color rgb="FFFF0000"/>
      <name val="Calibri"/>
      <family val="2"/>
      <scheme val="minor"/>
    </font>
    <font>
      <sz val="9"/>
      <color rgb="FF005877"/>
      <name val="Calibri"/>
      <family val="2"/>
      <scheme val="minor"/>
    </font>
    <font>
      <sz val="8"/>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1"/>
      <color rgb="FFE87B0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b/>
      <sz val="11"/>
      <color rgb="FF0000FF"/>
      <name val="Calibri"/>
      <family val="2"/>
      <scheme val="minor"/>
    </font>
    <font>
      <b/>
      <sz val="9"/>
      <color rgb="FFFF0000"/>
      <name val="Calibri"/>
      <family val="2"/>
      <scheme val="minor"/>
    </font>
    <font>
      <b/>
      <sz val="11"/>
      <name val="Calibri"/>
      <family val="2"/>
      <scheme val="minor"/>
    </font>
    <font>
      <sz val="11"/>
      <name val="Calibri"/>
      <family val="2"/>
      <scheme val="minor"/>
    </font>
  </fonts>
  <fills count="20">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s>
  <borders count="21">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E87B00"/>
      </left>
      <right style="medium">
        <color rgb="FFE87B00"/>
      </right>
      <top style="medium">
        <color rgb="FFE87B00"/>
      </top>
      <bottom style="medium">
        <color rgb="FFE87B00"/>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style="medium">
        <color rgb="FF005877"/>
      </left>
      <right style="thick">
        <color rgb="FF005877"/>
      </right>
      <top style="medium">
        <color rgb="FF005877"/>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
      <left style="medium">
        <color rgb="FF005877"/>
      </left>
      <right style="medium">
        <color rgb="FF005877"/>
      </right>
      <top style="medium">
        <color rgb="FFE87B00"/>
      </top>
      <bottom style="medium">
        <color rgb="FF005877"/>
      </bottom>
      <diagonal/>
    </border>
  </borders>
  <cellStyleXfs count="2">
    <xf numFmtId="0" fontId="0" fillId="0" borderId="0"/>
    <xf numFmtId="0" fontId="12" fillId="0" borderId="0" applyNumberFormat="0" applyFill="0" applyBorder="0" applyAlignment="0" applyProtection="0"/>
  </cellStyleXfs>
  <cellXfs count="176">
    <xf numFmtId="0" fontId="0" fillId="0" borderId="0" xfId="0"/>
    <xf numFmtId="0" fontId="2" fillId="0" borderId="0" xfId="0" applyFont="1" applyBorder="1" applyAlignment="1" applyProtection="1">
      <alignment horizontal="center" vertical="center"/>
    </xf>
    <xf numFmtId="0" fontId="0" fillId="0" borderId="0" xfId="0" applyBorder="1" applyProtection="1"/>
    <xf numFmtId="0" fontId="5" fillId="2" borderId="0" xfId="0" applyFont="1" applyFill="1" applyBorder="1" applyAlignment="1" applyProtection="1">
      <alignment vertical="center"/>
    </xf>
    <xf numFmtId="0" fontId="6" fillId="0" borderId="0" xfId="0" applyFont="1" applyBorder="1" applyProtection="1"/>
    <xf numFmtId="0" fontId="0" fillId="0" borderId="0" xfId="0" applyBorder="1"/>
    <xf numFmtId="0" fontId="6" fillId="0" borderId="0" xfId="0" applyFont="1" applyBorder="1"/>
    <xf numFmtId="0" fontId="5" fillId="0" borderId="0" xfId="0" applyFont="1" applyBorder="1" applyAlignment="1" applyProtection="1">
      <alignment horizontal="left" vertical="center" indent="1"/>
    </xf>
    <xf numFmtId="0" fontId="5" fillId="0" borderId="0" xfId="0" applyFont="1" applyBorder="1" applyAlignment="1" applyProtection="1">
      <alignment vertical="center"/>
    </xf>
    <xf numFmtId="0" fontId="9" fillId="17" borderId="0" xfId="0" applyFont="1" applyFill="1" applyBorder="1" applyAlignment="1" applyProtection="1">
      <alignment horizontal="center" wrapText="1"/>
    </xf>
    <xf numFmtId="0" fontId="9" fillId="17" borderId="0" xfId="0" applyFont="1" applyFill="1" applyBorder="1" applyAlignment="1" applyProtection="1">
      <alignment horizontal="center" vertical="center"/>
    </xf>
    <xf numFmtId="0" fontId="0" fillId="0" borderId="0" xfId="0" applyBorder="1" applyAlignment="1" applyProtection="1">
      <alignment vertical="top"/>
    </xf>
    <xf numFmtId="0" fontId="0" fillId="17" borderId="4" xfId="0" applyFill="1" applyBorder="1"/>
    <xf numFmtId="0" fontId="0" fillId="17" borderId="0" xfId="0" applyFill="1" applyBorder="1"/>
    <xf numFmtId="0" fontId="0" fillId="17" borderId="5" xfId="0" applyFill="1" applyBorder="1"/>
    <xf numFmtId="0" fontId="13" fillId="17" borderId="0" xfId="0" applyFont="1" applyFill="1" applyBorder="1" applyAlignment="1"/>
    <xf numFmtId="0" fontId="12" fillId="17" borderId="0" xfId="1" applyFill="1" applyBorder="1" applyAlignment="1">
      <alignment vertical="center"/>
    </xf>
    <xf numFmtId="0" fontId="15" fillId="17" borderId="0" xfId="0" applyFont="1" applyFill="1" applyBorder="1" applyAlignment="1">
      <alignment vertical="top" wrapText="1"/>
    </xf>
    <xf numFmtId="0" fontId="0" fillId="17" borderId="6" xfId="0" applyFill="1" applyBorder="1"/>
    <xf numFmtId="0" fontId="0" fillId="17" borderId="7" xfId="0" applyFill="1" applyBorder="1"/>
    <xf numFmtId="0" fontId="11" fillId="16" borderId="0" xfId="0" applyFont="1" applyFill="1" applyBorder="1" applyAlignment="1" applyProtection="1">
      <alignment horizontal="center" wrapText="1"/>
    </xf>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17" fillId="0" borderId="0" xfId="0" applyFont="1" applyBorder="1" applyAlignment="1" applyProtection="1">
      <alignment vertical="center"/>
    </xf>
    <xf numFmtId="0" fontId="17" fillId="0" borderId="0" xfId="0" applyFont="1" applyBorder="1" applyAlignment="1" applyProtection="1">
      <alignmen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9" fillId="2" borderId="0" xfId="0" applyFont="1" applyFill="1" applyBorder="1" applyAlignment="1" applyProtection="1">
      <alignment vertical="center"/>
    </xf>
    <xf numFmtId="0" fontId="9" fillId="2" borderId="0" xfId="0" applyFont="1" applyFill="1" applyBorder="1" applyAlignment="1" applyProtection="1">
      <alignment vertical="center"/>
      <protection locked="0"/>
    </xf>
    <xf numFmtId="0" fontId="18" fillId="6" borderId="0" xfId="0" applyFont="1" applyFill="1" applyBorder="1" applyAlignment="1" applyProtection="1">
      <alignment horizontal="left" vertical="center" wrapText="1"/>
    </xf>
    <xf numFmtId="0" fontId="18" fillId="7" borderId="0" xfId="0" applyFont="1" applyFill="1" applyBorder="1" applyAlignment="1" applyProtection="1">
      <alignment horizontal="left" vertical="center" wrapText="1"/>
    </xf>
    <xf numFmtId="0" fontId="18" fillId="8" borderId="0" xfId="0" applyFont="1" applyFill="1" applyBorder="1" applyAlignment="1" applyProtection="1">
      <alignment horizontal="left" vertical="center" wrapText="1"/>
    </xf>
    <xf numFmtId="0" fontId="18" fillId="9" borderId="0" xfId="0" applyFont="1" applyFill="1" applyBorder="1" applyAlignment="1" applyProtection="1">
      <alignment horizontal="left" vertical="center" wrapText="1"/>
    </xf>
    <xf numFmtId="0" fontId="18" fillId="10" borderId="0" xfId="0" applyFont="1" applyFill="1" applyBorder="1" applyAlignment="1" applyProtection="1">
      <alignment horizontal="left" vertical="center" wrapText="1"/>
    </xf>
    <xf numFmtId="0" fontId="18" fillId="11" borderId="0" xfId="0" applyFont="1" applyFill="1" applyBorder="1" applyAlignment="1" applyProtection="1">
      <alignment horizontal="left" vertical="center" wrapText="1"/>
    </xf>
    <xf numFmtId="0" fontId="18" fillId="6" borderId="0" xfId="0" applyFont="1" applyFill="1" applyBorder="1" applyAlignment="1" applyProtection="1">
      <alignment horizontal="left" vertical="center" wrapText="1"/>
      <protection locked="0"/>
    </xf>
    <xf numFmtId="0" fontId="18" fillId="7" borderId="0" xfId="0" applyFont="1" applyFill="1" applyBorder="1" applyAlignment="1" applyProtection="1">
      <alignment horizontal="left" vertical="center" wrapText="1"/>
      <protection locked="0"/>
    </xf>
    <xf numFmtId="0" fontId="18" fillId="8" borderId="0" xfId="0" applyFont="1" applyFill="1" applyBorder="1" applyAlignment="1" applyProtection="1">
      <alignment horizontal="left" vertical="center" wrapText="1"/>
      <protection locked="0"/>
    </xf>
    <xf numFmtId="0" fontId="18" fillId="9" borderId="0" xfId="0" applyFont="1" applyFill="1" applyBorder="1" applyAlignment="1" applyProtection="1">
      <alignment horizontal="left" vertical="center" wrapText="1"/>
      <protection locked="0"/>
    </xf>
    <xf numFmtId="0" fontId="18" fillId="10" borderId="0" xfId="0" applyFont="1" applyFill="1" applyBorder="1" applyAlignment="1" applyProtection="1">
      <alignment horizontal="left" vertical="center" wrapText="1"/>
      <protection locked="0"/>
    </xf>
    <xf numFmtId="0" fontId="18" fillId="11" borderId="0" xfId="0" applyFont="1" applyFill="1" applyBorder="1" applyAlignment="1" applyProtection="1">
      <alignment horizontal="left" vertical="center" wrapText="1"/>
      <protection locked="0"/>
    </xf>
    <xf numFmtId="0" fontId="1" fillId="0" borderId="0" xfId="0" applyFont="1" applyBorder="1" applyAlignment="1" applyProtection="1"/>
    <xf numFmtId="0" fontId="0" fillId="6" borderId="0" xfId="0" applyFont="1" applyFill="1" applyBorder="1" applyAlignment="1">
      <alignment horizontal="center" vertical="center" wrapText="1"/>
    </xf>
    <xf numFmtId="0" fontId="0" fillId="7" borderId="0" xfId="0" applyFont="1" applyFill="1" applyBorder="1" applyAlignment="1">
      <alignment horizontal="center" vertical="center" wrapText="1"/>
    </xf>
    <xf numFmtId="0" fontId="0" fillId="8" borderId="0" xfId="0" applyFont="1" applyFill="1" applyBorder="1" applyAlignment="1">
      <alignment horizontal="center" vertical="center" wrapText="1"/>
    </xf>
    <xf numFmtId="0" fontId="0" fillId="9" borderId="0" xfId="0" applyFont="1" applyFill="1" applyBorder="1" applyAlignment="1">
      <alignment horizontal="center" vertical="center" wrapText="1"/>
    </xf>
    <xf numFmtId="0" fontId="0" fillId="10" borderId="0" xfId="0" applyFont="1" applyFill="1" applyBorder="1" applyAlignment="1">
      <alignment horizontal="center" vertical="center" wrapText="1"/>
    </xf>
    <xf numFmtId="0" fontId="0" fillId="11" borderId="0" xfId="0" applyFont="1" applyFill="1" applyBorder="1" applyAlignment="1">
      <alignment horizontal="center" vertical="center" wrapText="1"/>
    </xf>
    <xf numFmtId="0" fontId="20" fillId="0" borderId="0" xfId="0" applyFont="1" applyBorder="1" applyAlignment="1" applyProtection="1">
      <alignment vertical="center"/>
    </xf>
    <xf numFmtId="0" fontId="5" fillId="0" borderId="0" xfId="0" applyFont="1" applyBorder="1" applyAlignment="1" applyProtection="1">
      <alignment vertical="center"/>
      <protection locked="0"/>
    </xf>
    <xf numFmtId="0" fontId="20" fillId="0" borderId="0" xfId="0" applyFont="1" applyBorder="1" applyAlignment="1" applyProtection="1">
      <alignment vertical="center"/>
      <protection locked="0"/>
    </xf>
    <xf numFmtId="0" fontId="0" fillId="6" borderId="0" xfId="0" applyFont="1" applyFill="1" applyBorder="1" applyAlignment="1" applyProtection="1">
      <alignment horizontal="center" vertical="center" wrapText="1"/>
      <protection locked="0"/>
    </xf>
    <xf numFmtId="0" fontId="0" fillId="7" borderId="0" xfId="0" applyFont="1" applyFill="1" applyBorder="1" applyAlignment="1" applyProtection="1">
      <alignment horizontal="center" vertical="center" wrapText="1"/>
      <protection locked="0"/>
    </xf>
    <xf numFmtId="0" fontId="0" fillId="8" borderId="0" xfId="0" applyFont="1" applyFill="1" applyBorder="1" applyAlignment="1" applyProtection="1">
      <alignment horizontal="center" vertical="center" wrapText="1"/>
      <protection locked="0"/>
    </xf>
    <xf numFmtId="0" fontId="0" fillId="9" borderId="0" xfId="0" applyFont="1" applyFill="1" applyBorder="1" applyAlignment="1" applyProtection="1">
      <alignment horizontal="center" vertical="center" wrapText="1"/>
      <protection locked="0"/>
    </xf>
    <xf numFmtId="0" fontId="0" fillId="10" borderId="0" xfId="0" applyFont="1" applyFill="1" applyBorder="1" applyAlignment="1" applyProtection="1">
      <alignment horizontal="center" vertical="center" wrapText="1"/>
      <protection locked="0"/>
    </xf>
    <xf numFmtId="0" fontId="0" fillId="11" borderId="0" xfId="0" applyFont="1" applyFill="1" applyBorder="1" applyAlignment="1" applyProtection="1">
      <alignment horizontal="center" vertical="center" wrapText="1"/>
      <protection locked="0"/>
    </xf>
    <xf numFmtId="0" fontId="0" fillId="6" borderId="0" xfId="0" applyFont="1" applyFill="1" applyBorder="1" applyAlignment="1" applyProtection="1">
      <alignment horizontal="center" vertical="center" wrapText="1"/>
    </xf>
    <xf numFmtId="0" fontId="0" fillId="7" borderId="0" xfId="0" applyFont="1" applyFill="1" applyBorder="1" applyAlignment="1" applyProtection="1">
      <alignment horizontal="center" vertical="center" wrapText="1"/>
    </xf>
    <xf numFmtId="0" fontId="0" fillId="9" borderId="0" xfId="0" applyFont="1" applyFill="1" applyBorder="1" applyAlignment="1" applyProtection="1">
      <alignment horizontal="center" vertical="center" wrapText="1"/>
    </xf>
    <xf numFmtId="0" fontId="0" fillId="10" borderId="0" xfId="0" applyFont="1" applyFill="1" applyBorder="1" applyAlignment="1" applyProtection="1">
      <alignment horizontal="center" vertical="center" wrapText="1"/>
    </xf>
    <xf numFmtId="0" fontId="0" fillId="11" borderId="0" xfId="0" applyFont="1" applyFill="1" applyBorder="1" applyAlignment="1" applyProtection="1">
      <alignment horizontal="center" vertical="center" wrapText="1"/>
    </xf>
    <xf numFmtId="0" fontId="8" fillId="4" borderId="0" xfId="0" applyFont="1" applyFill="1" applyBorder="1" applyAlignment="1" applyProtection="1">
      <alignment horizontal="center" vertical="center"/>
    </xf>
    <xf numFmtId="0" fontId="9" fillId="2" borderId="0" xfId="0" applyFont="1" applyFill="1" applyBorder="1" applyAlignment="1" applyProtection="1">
      <alignment horizontal="left" vertical="center"/>
    </xf>
    <xf numFmtId="0" fontId="18" fillId="6" borderId="0" xfId="0" applyFont="1" applyFill="1" applyBorder="1" applyAlignment="1" applyProtection="1">
      <alignment horizontal="left" vertical="center"/>
    </xf>
    <xf numFmtId="0" fontId="18" fillId="7" borderId="0" xfId="0" applyFont="1" applyFill="1" applyBorder="1" applyAlignment="1" applyProtection="1">
      <alignment horizontal="left" vertical="center"/>
    </xf>
    <xf numFmtId="0" fontId="18" fillId="8" borderId="0" xfId="0" applyFont="1" applyFill="1" applyBorder="1" applyAlignment="1" applyProtection="1">
      <alignment horizontal="left" vertical="center"/>
    </xf>
    <xf numFmtId="0" fontId="18" fillId="9" borderId="0" xfId="0" applyFont="1" applyFill="1" applyBorder="1" applyAlignment="1" applyProtection="1">
      <alignment horizontal="left" vertical="center"/>
    </xf>
    <xf numFmtId="0" fontId="18" fillId="10" borderId="0" xfId="0" applyFont="1" applyFill="1" applyBorder="1" applyAlignment="1" applyProtection="1">
      <alignment horizontal="left" vertical="center"/>
    </xf>
    <xf numFmtId="0" fontId="18" fillId="11" borderId="0" xfId="0" applyFont="1" applyFill="1" applyBorder="1" applyAlignment="1" applyProtection="1">
      <alignment horizontal="left" vertical="center"/>
    </xf>
    <xf numFmtId="0" fontId="18" fillId="12" borderId="0" xfId="0" applyFont="1" applyFill="1" applyBorder="1" applyAlignment="1" applyProtection="1">
      <alignment horizontal="left" vertical="center"/>
    </xf>
    <xf numFmtId="0" fontId="18" fillId="13" borderId="0" xfId="0" applyFont="1" applyFill="1" applyBorder="1" applyAlignment="1" applyProtection="1">
      <alignment horizontal="left" vertical="center"/>
    </xf>
    <xf numFmtId="0" fontId="18" fillId="14" borderId="0" xfId="0" applyFont="1" applyFill="1" applyBorder="1" applyAlignment="1" applyProtection="1">
      <alignment horizontal="left" vertical="center"/>
    </xf>
    <xf numFmtId="0" fontId="18" fillId="15" borderId="0" xfId="0" applyFont="1" applyFill="1" applyBorder="1" applyAlignment="1" applyProtection="1">
      <alignment horizontal="left" vertical="center"/>
    </xf>
    <xf numFmtId="0" fontId="8" fillId="4" borderId="0" xfId="0" applyFont="1" applyFill="1" applyBorder="1" applyAlignment="1" applyProtection="1">
      <alignment horizontal="center" vertical="center"/>
      <protection locked="0"/>
    </xf>
    <xf numFmtId="0" fontId="9" fillId="2" borderId="0" xfId="0" applyFont="1" applyFill="1" applyBorder="1" applyAlignment="1" applyProtection="1">
      <alignment horizontal="left" vertical="center"/>
      <protection locked="0"/>
    </xf>
    <xf numFmtId="0" fontId="18" fillId="6" borderId="0" xfId="0" applyFont="1" applyFill="1" applyBorder="1" applyAlignment="1" applyProtection="1">
      <alignment horizontal="left" vertical="center"/>
      <protection locked="0"/>
    </xf>
    <xf numFmtId="0" fontId="18" fillId="7" borderId="0" xfId="0" applyFont="1" applyFill="1" applyBorder="1" applyAlignment="1" applyProtection="1">
      <alignment horizontal="left" vertical="center"/>
      <protection locked="0"/>
    </xf>
    <xf numFmtId="0" fontId="18" fillId="8" borderId="0" xfId="0" applyFont="1" applyFill="1" applyBorder="1" applyAlignment="1" applyProtection="1">
      <alignment horizontal="left" vertical="center"/>
      <protection locked="0"/>
    </xf>
    <xf numFmtId="0" fontId="18" fillId="9" borderId="0" xfId="0" applyFont="1" applyFill="1" applyBorder="1" applyAlignment="1" applyProtection="1">
      <alignment horizontal="left" vertical="center"/>
      <protection locked="0"/>
    </xf>
    <xf numFmtId="0" fontId="18" fillId="10" borderId="0" xfId="0" applyFont="1" applyFill="1" applyBorder="1" applyAlignment="1" applyProtection="1">
      <alignment horizontal="left" vertical="center"/>
      <protection locked="0"/>
    </xf>
    <xf numFmtId="0" fontId="18" fillId="11" borderId="0" xfId="0" applyFont="1" applyFill="1" applyBorder="1" applyAlignment="1" applyProtection="1">
      <alignment horizontal="left" vertical="center"/>
      <protection locked="0"/>
    </xf>
    <xf numFmtId="0" fontId="18" fillId="12" borderId="0" xfId="0" applyFont="1" applyFill="1" applyBorder="1" applyAlignment="1" applyProtection="1">
      <alignment horizontal="left" vertical="center"/>
      <protection locked="0"/>
    </xf>
    <xf numFmtId="0" fontId="18" fillId="13" borderId="0" xfId="0" applyFont="1" applyFill="1" applyBorder="1" applyAlignment="1" applyProtection="1">
      <alignment horizontal="left" vertical="center"/>
      <protection locked="0"/>
    </xf>
    <xf numFmtId="0" fontId="18" fillId="14" borderId="0" xfId="0" applyFont="1" applyFill="1" applyBorder="1" applyAlignment="1" applyProtection="1">
      <alignment horizontal="left" vertical="center"/>
      <protection locked="0"/>
    </xf>
    <xf numFmtId="0" fontId="18" fillId="15" borderId="0" xfId="0" applyFont="1" applyFill="1" applyBorder="1" applyAlignment="1" applyProtection="1">
      <alignment horizontal="left" vertical="center"/>
      <protection locked="0"/>
    </xf>
    <xf numFmtId="0" fontId="17" fillId="0" borderId="0" xfId="0" applyFont="1" applyBorder="1" applyAlignment="1" applyProtection="1">
      <alignment horizontal="left" vertical="center"/>
    </xf>
    <xf numFmtId="0" fontId="6" fillId="0" borderId="0" xfId="0" applyFont="1" applyBorder="1" applyAlignment="1" applyProtection="1"/>
    <xf numFmtId="0" fontId="6" fillId="0" borderId="0" xfId="0" applyFont="1" applyBorder="1" applyAlignment="1" applyProtection="1">
      <protection locked="0"/>
    </xf>
    <xf numFmtId="0" fontId="0" fillId="12" borderId="0" xfId="0" applyFont="1" applyFill="1" applyBorder="1" applyAlignment="1">
      <alignment horizontal="center" vertical="center"/>
    </xf>
    <xf numFmtId="0" fontId="0" fillId="13" borderId="0" xfId="0" applyFont="1" applyFill="1" applyBorder="1" applyAlignment="1">
      <alignment horizontal="center" vertical="center"/>
    </xf>
    <xf numFmtId="0" fontId="0" fillId="14" borderId="0" xfId="0" applyFont="1" applyFill="1" applyBorder="1" applyAlignment="1">
      <alignment horizontal="center" vertical="center"/>
    </xf>
    <xf numFmtId="0" fontId="0" fillId="15" borderId="0" xfId="0" applyFont="1" applyFill="1" applyBorder="1" applyAlignment="1">
      <alignment horizontal="center" vertical="center"/>
    </xf>
    <xf numFmtId="0" fontId="0" fillId="12" borderId="0" xfId="0" applyFont="1" applyFill="1" applyBorder="1" applyAlignment="1" applyProtection="1">
      <alignment horizontal="center" vertical="center"/>
      <protection locked="0"/>
    </xf>
    <xf numFmtId="0" fontId="0" fillId="13" borderId="0" xfId="0" applyFont="1" applyFill="1" applyBorder="1" applyAlignment="1" applyProtection="1">
      <alignment horizontal="center" vertical="center"/>
      <protection locked="0"/>
    </xf>
    <xf numFmtId="0" fontId="0" fillId="14" borderId="0" xfId="0" applyFont="1" applyFill="1" applyBorder="1" applyAlignment="1" applyProtection="1">
      <alignment horizontal="center" vertical="center"/>
      <protection locked="0"/>
    </xf>
    <xf numFmtId="0" fontId="0" fillId="15" borderId="0" xfId="0" applyFont="1" applyFill="1" applyBorder="1" applyAlignment="1" applyProtection="1">
      <alignment horizontal="center" vertical="center"/>
      <protection locked="0"/>
    </xf>
    <xf numFmtId="0" fontId="0" fillId="6" borderId="0" xfId="0" applyFont="1" applyFill="1" applyBorder="1" applyAlignment="1" applyProtection="1">
      <alignment horizontal="center" vertical="center"/>
    </xf>
    <xf numFmtId="0" fontId="0" fillId="7" borderId="0" xfId="0" applyFont="1" applyFill="1" applyBorder="1" applyAlignment="1" applyProtection="1">
      <alignment horizontal="center" vertical="center"/>
    </xf>
    <xf numFmtId="0" fontId="0" fillId="9" borderId="0" xfId="0" applyFont="1" applyFill="1" applyBorder="1" applyAlignment="1" applyProtection="1">
      <alignment horizontal="center" vertical="center"/>
    </xf>
    <xf numFmtId="0" fontId="0" fillId="10" borderId="0" xfId="0" applyFont="1" applyFill="1" applyBorder="1" applyAlignment="1" applyProtection="1">
      <alignment horizontal="center" vertical="center"/>
    </xf>
    <xf numFmtId="0" fontId="0" fillId="11" borderId="0" xfId="0" applyFont="1" applyFill="1" applyBorder="1" applyAlignment="1" applyProtection="1">
      <alignment horizontal="center" vertical="center"/>
    </xf>
    <xf numFmtId="0" fontId="0" fillId="12" borderId="0" xfId="0" applyFont="1" applyFill="1" applyBorder="1" applyAlignment="1" applyProtection="1">
      <alignment horizontal="center" vertical="center"/>
    </xf>
    <xf numFmtId="0" fontId="0" fillId="13" borderId="0" xfId="0" applyFont="1" applyFill="1" applyBorder="1" applyAlignment="1" applyProtection="1">
      <alignment horizontal="center" vertical="center"/>
    </xf>
    <xf numFmtId="0" fontId="0" fillId="14" borderId="0" xfId="0" applyFont="1" applyFill="1" applyBorder="1" applyAlignment="1" applyProtection="1">
      <alignment horizontal="center" vertical="center"/>
    </xf>
    <xf numFmtId="0" fontId="0" fillId="15" borderId="0" xfId="0" applyFont="1" applyFill="1" applyBorder="1" applyAlignment="1" applyProtection="1">
      <alignment horizontal="center" vertical="center"/>
    </xf>
    <xf numFmtId="0" fontId="0" fillId="6" borderId="0" xfId="0" applyFont="1" applyFill="1" applyBorder="1" applyAlignment="1" applyProtection="1">
      <alignment horizontal="center" vertical="center"/>
      <protection locked="0"/>
    </xf>
    <xf numFmtId="0" fontId="0" fillId="7" borderId="0" xfId="0" applyFont="1" applyFill="1" applyBorder="1" applyAlignment="1" applyProtection="1">
      <alignment horizontal="center" vertical="center"/>
      <protection locked="0"/>
    </xf>
    <xf numFmtId="0" fontId="0" fillId="9" borderId="0" xfId="0" applyFont="1" applyFill="1" applyBorder="1" applyAlignment="1" applyProtection="1">
      <alignment horizontal="center" vertical="center"/>
      <protection locked="0"/>
    </xf>
    <xf numFmtId="0" fontId="0" fillId="10" borderId="0" xfId="0" applyFont="1" applyFill="1" applyBorder="1" applyAlignment="1" applyProtection="1">
      <alignment horizontal="center" vertical="center"/>
      <protection locked="0"/>
    </xf>
    <xf numFmtId="0" fontId="0" fillId="11" borderId="0" xfId="0" applyFont="1" applyFill="1" applyBorder="1" applyAlignment="1" applyProtection="1">
      <alignment horizontal="center" vertical="center"/>
      <protection locked="0"/>
    </xf>
    <xf numFmtId="0" fontId="6" fillId="0" borderId="0" xfId="0" applyFont="1" applyBorder="1" applyAlignment="1" applyProtection="1">
      <alignment vertical="center"/>
    </xf>
    <xf numFmtId="0" fontId="0" fillId="0" borderId="0" xfId="0" applyFont="1" applyBorder="1" applyAlignment="1" applyProtection="1">
      <alignment vertical="center"/>
    </xf>
    <xf numFmtId="0" fontId="6" fillId="0" borderId="0" xfId="0" applyFont="1" applyBorder="1" applyAlignment="1" applyProtection="1">
      <alignment vertical="center"/>
      <protection locked="0"/>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3"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22" fillId="4" borderId="0" xfId="0" applyFont="1" applyFill="1" applyBorder="1" applyAlignment="1" applyProtection="1">
      <alignment horizontal="left" vertical="center" wrapText="1"/>
    </xf>
    <xf numFmtId="0" fontId="22" fillId="3" borderId="0" xfId="0" applyFont="1" applyFill="1" applyBorder="1" applyAlignment="1" applyProtection="1">
      <alignment horizontal="center" vertical="center" shrinkToFit="1"/>
    </xf>
    <xf numFmtId="0" fontId="22" fillId="3" borderId="9" xfId="0" applyFont="1" applyFill="1" applyBorder="1" applyAlignment="1" applyProtection="1">
      <alignment horizontal="center" vertical="center" shrinkToFit="1"/>
    </xf>
    <xf numFmtId="0" fontId="1" fillId="5" borderId="0" xfId="0" applyFont="1" applyFill="1" applyAlignment="1">
      <alignment horizontal="center" vertical="center"/>
    </xf>
    <xf numFmtId="0" fontId="0" fillId="0" borderId="11" xfId="0" applyBorder="1"/>
    <xf numFmtId="0" fontId="0" fillId="0" borderId="12" xfId="0" applyBorder="1"/>
    <xf numFmtId="0" fontId="0" fillId="0" borderId="13" xfId="0" applyBorder="1"/>
    <xf numFmtId="0" fontId="25" fillId="2" borderId="10" xfId="0" applyFont="1" applyFill="1" applyBorder="1" applyAlignment="1">
      <alignment vertical="center" wrapText="1"/>
    </xf>
    <xf numFmtId="0" fontId="25" fillId="2" borderId="14" xfId="0" applyFont="1" applyFill="1" applyBorder="1" applyAlignment="1">
      <alignment horizontal="center" vertical="center" wrapText="1"/>
    </xf>
    <xf numFmtId="0" fontId="0" fillId="0" borderId="15" xfId="0" applyBorder="1"/>
    <xf numFmtId="0" fontId="0" fillId="0" borderId="16" xfId="0" applyBorder="1"/>
    <xf numFmtId="0" fontId="0" fillId="0" borderId="17" xfId="0" applyBorder="1"/>
    <xf numFmtId="0" fontId="22" fillId="4" borderId="0" xfId="0" applyFont="1" applyFill="1" applyBorder="1" applyAlignment="1" applyProtection="1">
      <alignment horizontal="left" vertical="center" wrapText="1"/>
      <protection locked="0"/>
    </xf>
    <xf numFmtId="0" fontId="29" fillId="0" borderId="0" xfId="0" applyFont="1" applyFill="1" applyBorder="1" applyAlignment="1">
      <alignment horizontal="center" vertical="top"/>
    </xf>
    <xf numFmtId="0" fontId="30" fillId="0" borderId="0" xfId="0" applyFont="1" applyFill="1" applyBorder="1" applyAlignment="1">
      <alignment horizontal="center" vertical="top"/>
    </xf>
    <xf numFmtId="0" fontId="30" fillId="0" borderId="0" xfId="0" applyFont="1" applyFill="1" applyBorder="1" applyAlignment="1">
      <alignment horizontal="right" vertical="top"/>
    </xf>
    <xf numFmtId="0" fontId="13" fillId="0" borderId="0" xfId="0" applyFont="1" applyFill="1" applyBorder="1" applyAlignment="1">
      <alignment vertical="top"/>
    </xf>
    <xf numFmtId="0" fontId="13" fillId="0" borderId="0" xfId="0" applyFont="1" applyFill="1" applyBorder="1" applyAlignment="1">
      <alignment horizontal="left" vertical="top"/>
    </xf>
    <xf numFmtId="0" fontId="30" fillId="0" borderId="0" xfId="0" applyFont="1" applyFill="1" applyBorder="1" applyAlignment="1">
      <alignment vertical="top"/>
    </xf>
    <xf numFmtId="0" fontId="22" fillId="18" borderId="0" xfId="0" applyFont="1" applyFill="1" applyBorder="1" applyAlignment="1">
      <alignment horizontal="center" vertical="top"/>
    </xf>
    <xf numFmtId="0" fontId="22" fillId="18" borderId="0" xfId="0" quotePrefix="1" applyFont="1" applyFill="1" applyBorder="1" applyAlignment="1">
      <alignment horizontal="center" vertical="top"/>
    </xf>
    <xf numFmtId="0" fontId="22" fillId="18" borderId="0" xfId="0" applyFont="1" applyFill="1" applyBorder="1" applyAlignment="1">
      <alignment vertical="top"/>
    </xf>
    <xf numFmtId="0" fontId="30" fillId="19" borderId="0" xfId="0" applyFont="1" applyFill="1" applyBorder="1" applyAlignment="1">
      <alignment horizontal="center" vertical="top"/>
    </xf>
    <xf numFmtId="0" fontId="30" fillId="19" borderId="0" xfId="0" quotePrefix="1" applyFont="1" applyFill="1" applyBorder="1" applyAlignment="1">
      <alignment horizontal="center" vertical="top"/>
    </xf>
    <xf numFmtId="0" fontId="30" fillId="19" borderId="0" xfId="0" applyFont="1" applyFill="1" applyBorder="1" applyAlignment="1">
      <alignment vertical="top"/>
    </xf>
    <xf numFmtId="0" fontId="30" fillId="0" borderId="0" xfId="0" quotePrefix="1" applyFont="1" applyFill="1" applyBorder="1" applyAlignment="1">
      <alignment horizontal="center" vertical="top"/>
    </xf>
    <xf numFmtId="0" fontId="22" fillId="3" borderId="0" xfId="0" applyFont="1" applyFill="1" applyAlignment="1" applyProtection="1">
      <alignment horizontal="center" vertical="center" shrinkToFit="1"/>
      <protection locked="0"/>
    </xf>
    <xf numFmtId="0" fontId="25" fillId="0" borderId="0" xfId="0" applyFont="1" applyBorder="1" applyAlignment="1" applyProtection="1">
      <alignment horizontal="center" vertical="center" wrapText="1"/>
    </xf>
    <xf numFmtId="0" fontId="11" fillId="16" borderId="0" xfId="0" applyFont="1" applyFill="1" applyBorder="1" applyAlignment="1" applyProtection="1">
      <alignment horizontal="center" vertical="center" textRotation="90" wrapText="1"/>
    </xf>
    <xf numFmtId="0" fontId="5" fillId="2" borderId="0" xfId="0" applyFont="1" applyFill="1" applyBorder="1" applyAlignment="1" applyProtection="1">
      <alignment vertical="center"/>
      <protection locked="0"/>
    </xf>
    <xf numFmtId="0" fontId="9" fillId="17" borderId="0" xfId="0" applyFont="1" applyFill="1" applyBorder="1" applyAlignment="1" applyProtection="1">
      <alignment horizontal="center" vertical="center" textRotation="90"/>
    </xf>
    <xf numFmtId="0" fontId="8" fillId="4" borderId="0" xfId="0" applyFont="1" applyFill="1" applyBorder="1" applyAlignment="1" applyProtection="1">
      <alignment horizontal="left" vertical="center" textRotation="90" shrinkToFit="1"/>
    </xf>
    <xf numFmtId="0" fontId="8" fillId="4" borderId="0" xfId="0" applyFont="1" applyFill="1" applyBorder="1" applyAlignment="1" applyProtection="1">
      <alignment horizontal="left" vertical="center" textRotation="90" shrinkToFit="1"/>
      <protection locked="0"/>
    </xf>
    <xf numFmtId="0" fontId="19" fillId="16" borderId="0" xfId="0" applyFont="1" applyFill="1" applyBorder="1" applyAlignment="1" applyProtection="1">
      <alignment horizontal="center" vertical="center" textRotation="90"/>
    </xf>
    <xf numFmtId="0" fontId="11" fillId="16" borderId="0" xfId="0" applyFont="1" applyFill="1" applyBorder="1" applyAlignment="1" applyProtection="1">
      <alignment horizontal="center" vertical="center" wrapText="1"/>
    </xf>
    <xf numFmtId="0" fontId="8" fillId="4" borderId="0" xfId="0" applyFont="1" applyFill="1" applyBorder="1" applyAlignment="1" applyProtection="1">
      <alignment horizontal="center" vertical="center" shrinkToFit="1"/>
      <protection locked="0"/>
    </xf>
    <xf numFmtId="0" fontId="0" fillId="0" borderId="0" xfId="0" applyBorder="1" applyProtection="1">
      <protection locked="0"/>
    </xf>
    <xf numFmtId="0" fontId="21" fillId="2" borderId="20" xfId="1" applyFont="1" applyFill="1" applyBorder="1" applyAlignment="1">
      <alignment horizontal="center" vertical="center"/>
    </xf>
    <xf numFmtId="0" fontId="7" fillId="3" borderId="18" xfId="0" applyFont="1" applyFill="1" applyBorder="1" applyAlignment="1">
      <alignment horizontal="center" vertical="center" shrinkToFit="1"/>
    </xf>
    <xf numFmtId="0" fontId="7" fillId="3" borderId="19" xfId="0" applyFont="1" applyFill="1" applyBorder="1" applyAlignment="1">
      <alignment horizontal="center" vertical="center" shrinkToFit="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26" fillId="4" borderId="1" xfId="1" applyFont="1" applyFill="1" applyBorder="1" applyAlignment="1">
      <alignment horizontal="center" vertical="center"/>
    </xf>
    <xf numFmtId="0" fontId="26" fillId="4" borderId="2" xfId="1" applyFont="1" applyFill="1" applyBorder="1" applyAlignment="1">
      <alignment horizontal="center" vertical="center"/>
    </xf>
    <xf numFmtId="0" fontId="26" fillId="4" borderId="3" xfId="1" applyFont="1" applyFill="1" applyBorder="1" applyAlignment="1">
      <alignment horizontal="center" vertical="center"/>
    </xf>
    <xf numFmtId="0" fontId="13" fillId="17" borderId="0" xfId="0" applyFont="1" applyFill="1" applyBorder="1" applyAlignment="1">
      <alignment horizontal="center" vertical="center"/>
    </xf>
    <xf numFmtId="0" fontId="23" fillId="2" borderId="0" xfId="1" applyFont="1" applyFill="1" applyBorder="1" applyAlignment="1">
      <alignment horizontal="center" vertical="center"/>
    </xf>
    <xf numFmtId="0" fontId="14" fillId="5" borderId="0" xfId="0" applyFont="1" applyFill="1" applyBorder="1" applyAlignment="1">
      <alignment horizontal="center" vertical="center" shrinkToFit="1"/>
    </xf>
    <xf numFmtId="0" fontId="12" fillId="17" borderId="0" xfId="1" applyFill="1" applyBorder="1" applyAlignment="1">
      <alignment horizontal="center" vertical="center"/>
    </xf>
    <xf numFmtId="0" fontId="22" fillId="4" borderId="0" xfId="0" applyFont="1" applyFill="1" applyAlignment="1">
      <alignment horizontal="center" vertical="center"/>
    </xf>
    <xf numFmtId="0" fontId="15" fillId="17" borderId="0" xfId="0" applyFont="1" applyFill="1" applyBorder="1" applyAlignment="1">
      <alignment horizontal="justify" vertical="center" wrapText="1"/>
    </xf>
    <xf numFmtId="0" fontId="15" fillId="17" borderId="0" xfId="0" applyFont="1" applyFill="1" applyBorder="1" applyAlignment="1">
      <alignment horizontal="left" vertical="center" wrapText="1"/>
    </xf>
    <xf numFmtId="0" fontId="24" fillId="3" borderId="0" xfId="0" applyFont="1" applyFill="1" applyAlignment="1">
      <alignment horizontal="center" vertical="center" shrinkToFit="1"/>
    </xf>
  </cellXfs>
  <cellStyles count="2">
    <cellStyle name="Hipervínculo" xfId="1" builtinId="8"/>
    <cellStyle name="Normal" xfId="0" builtinId="0"/>
  </cellStyles>
  <dxfs count="0"/>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udinnovacion.uca.es/" TargetMode="External"/><Relationship Id="rId2" Type="http://schemas.openxmlformats.org/officeDocument/2006/relationships/image" Target="../media/image1.jpeg"/><Relationship Id="rId1" Type="http://schemas.openxmlformats.org/officeDocument/2006/relationships/hyperlink" Target="https://www.uca.es" TargetMode="External"/><Relationship Id="rId5" Type="http://schemas.openxmlformats.org/officeDocument/2006/relationships/hyperlink" Target="https://github.com/MilagrosHuerta/FastTest-PlugIn" TargetMode="External"/><Relationship Id="rId4" Type="http://schemas.openxmlformats.org/officeDocument/2006/relationships/hyperlink" Target="https://www.youtube.com/channel/UCTkOmf2IiTvxn1ch9hYjYQQ"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channel/UCTkOmf2IiTvxn1ch9hYjYQQ"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hyperlink" Target="https://www.youtube.com/channel/UCTkOmf2IiTvxn1ch9hYjYQQ" TargetMode="External"/><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19.png"/><Relationship Id="rId7" Type="http://schemas.openxmlformats.org/officeDocument/2006/relationships/image" Target="../media/image22.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image" Target="../media/image18.png"/><Relationship Id="rId16" Type="http://schemas.openxmlformats.org/officeDocument/2006/relationships/image" Target="../media/image15.png"/><Relationship Id="rId1" Type="http://schemas.openxmlformats.org/officeDocument/2006/relationships/hyperlink" Target="https://www.youtube.com/channel/UCTkOmf2IiTvxn1ch9hYjYQQ" TargetMode="External"/><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21.png"/><Relationship Id="rId15" Type="http://schemas.openxmlformats.org/officeDocument/2006/relationships/image" Target="../media/image14.png"/><Relationship Id="rId10" Type="http://schemas.openxmlformats.org/officeDocument/2006/relationships/image" Target="../media/image9.png"/><Relationship Id="rId4" Type="http://schemas.openxmlformats.org/officeDocument/2006/relationships/image" Target="../media/image20.png"/><Relationship Id="rId9" Type="http://schemas.openxmlformats.org/officeDocument/2006/relationships/image" Target="../media/image23.png"/><Relationship Id="rId14" Type="http://schemas.openxmlformats.org/officeDocument/2006/relationships/image" Target="../media/image13.png"/></Relationships>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19.png"/><Relationship Id="rId7" Type="http://schemas.openxmlformats.org/officeDocument/2006/relationships/image" Target="../media/image22.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image" Target="../media/image18.png"/><Relationship Id="rId16" Type="http://schemas.openxmlformats.org/officeDocument/2006/relationships/image" Target="../media/image15.png"/><Relationship Id="rId1" Type="http://schemas.openxmlformats.org/officeDocument/2006/relationships/hyperlink" Target="https://www.youtube.com/channel/UCTkOmf2IiTvxn1ch9hYjYQQ" TargetMode="External"/><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21.png"/><Relationship Id="rId15" Type="http://schemas.openxmlformats.org/officeDocument/2006/relationships/image" Target="../media/image14.png"/><Relationship Id="rId10" Type="http://schemas.openxmlformats.org/officeDocument/2006/relationships/image" Target="../media/image9.png"/><Relationship Id="rId4" Type="http://schemas.openxmlformats.org/officeDocument/2006/relationships/image" Target="../media/image20.png"/><Relationship Id="rId9" Type="http://schemas.openxmlformats.org/officeDocument/2006/relationships/image" Target="../media/image23.png"/><Relationship Id="rId14" Type="http://schemas.openxmlformats.org/officeDocument/2006/relationships/image" Target="../media/image13.png"/></Relationships>
</file>

<file path=xl/drawings/_rels/drawing6.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19.png"/><Relationship Id="rId7" Type="http://schemas.openxmlformats.org/officeDocument/2006/relationships/image" Target="../media/image22.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image" Target="../media/image18.png"/><Relationship Id="rId16" Type="http://schemas.openxmlformats.org/officeDocument/2006/relationships/image" Target="../media/image15.png"/><Relationship Id="rId1" Type="http://schemas.openxmlformats.org/officeDocument/2006/relationships/hyperlink" Target="https://www.youtube.com/channel/UCTkOmf2IiTvxn1ch9hYjYQQ" TargetMode="External"/><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21.png"/><Relationship Id="rId15" Type="http://schemas.openxmlformats.org/officeDocument/2006/relationships/image" Target="../media/image14.png"/><Relationship Id="rId10" Type="http://schemas.openxmlformats.org/officeDocument/2006/relationships/image" Target="../media/image9.png"/><Relationship Id="rId4" Type="http://schemas.openxmlformats.org/officeDocument/2006/relationships/image" Target="../media/image20.png"/><Relationship Id="rId9" Type="http://schemas.openxmlformats.org/officeDocument/2006/relationships/image" Target="../media/image23.png"/><Relationship Id="rId1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19.png"/><Relationship Id="rId7" Type="http://schemas.openxmlformats.org/officeDocument/2006/relationships/image" Target="../media/image22.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image" Target="../media/image18.png"/><Relationship Id="rId16" Type="http://schemas.openxmlformats.org/officeDocument/2006/relationships/image" Target="../media/image15.png"/><Relationship Id="rId1" Type="http://schemas.openxmlformats.org/officeDocument/2006/relationships/hyperlink" Target="https://www.youtube.com/channel/UCTkOmf2IiTvxn1ch9hYjYQQ" TargetMode="External"/><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21.png"/><Relationship Id="rId15" Type="http://schemas.openxmlformats.org/officeDocument/2006/relationships/image" Target="../media/image14.png"/><Relationship Id="rId10" Type="http://schemas.openxmlformats.org/officeDocument/2006/relationships/image" Target="../media/image9.png"/><Relationship Id="rId4" Type="http://schemas.openxmlformats.org/officeDocument/2006/relationships/image" Target="../media/image20.png"/><Relationship Id="rId9" Type="http://schemas.openxmlformats.org/officeDocument/2006/relationships/image" Target="../media/image23.png"/><Relationship Id="rId14"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editAs="absolute">
    <xdr:from>
      <xdr:col>18</xdr:col>
      <xdr:colOff>307004</xdr:colOff>
      <xdr:row>28</xdr:row>
      <xdr:rowOff>7151</xdr:rowOff>
    </xdr:from>
    <xdr:to>
      <xdr:col>22</xdr:col>
      <xdr:colOff>527504</xdr:colOff>
      <xdr:row>32</xdr:row>
      <xdr:rowOff>156221</xdr:rowOff>
    </xdr:to>
    <xdr:pic>
      <xdr:nvPicPr>
        <xdr:cNvPr id="9" name="Imagen 8">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54690" y="3950973"/>
          <a:ext cx="1731905" cy="684360"/>
        </a:xfrm>
        <a:prstGeom prst="rect">
          <a:avLst/>
        </a:prstGeom>
        <a:ln w="25400">
          <a:solidFill>
            <a:srgbClr val="E87B00"/>
          </a:solidFill>
        </a:ln>
      </xdr:spPr>
    </xdr:pic>
    <xdr:clientData/>
  </xdr:twoCellAnchor>
  <xdr:twoCellAnchor>
    <xdr:from>
      <xdr:col>2</xdr:col>
      <xdr:colOff>528394</xdr:colOff>
      <xdr:row>10</xdr:row>
      <xdr:rowOff>6953</xdr:rowOff>
    </xdr:from>
    <xdr:to>
      <xdr:col>23</xdr:col>
      <xdr:colOff>41716</xdr:colOff>
      <xdr:row>12</xdr:row>
      <xdr:rowOff>139051</xdr:rowOff>
    </xdr:to>
    <xdr:sp macro="" textlink="">
      <xdr:nvSpPr>
        <xdr:cNvPr id="3" name="Rectángulo 2">
          <a:hlinkClick xmlns:r="http://schemas.openxmlformats.org/officeDocument/2006/relationships" r:id="rId3"/>
        </xdr:cNvPr>
        <xdr:cNvSpPr/>
      </xdr:nvSpPr>
      <xdr:spPr>
        <a:xfrm>
          <a:off x="1425274" y="153651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21</xdr:row>
      <xdr:rowOff>38101</xdr:rowOff>
    </xdr:from>
    <xdr:to>
      <xdr:col>20</xdr:col>
      <xdr:colOff>304797</xdr:colOff>
      <xdr:row>24</xdr:row>
      <xdr:rowOff>16933</xdr:rowOff>
    </xdr:to>
    <xdr:grpSp>
      <xdr:nvGrpSpPr>
        <xdr:cNvPr id="7" name="Grupo 6"/>
        <xdr:cNvGrpSpPr/>
      </xdr:nvGrpSpPr>
      <xdr:grpSpPr>
        <a:xfrm>
          <a:off x="0" y="3076367"/>
          <a:ext cx="8286330" cy="312555"/>
          <a:chOff x="0" y="3014134"/>
          <a:chExt cx="8877297" cy="313266"/>
        </a:xfrm>
      </xdr:grpSpPr>
      <xdr:grpSp>
        <xdr:nvGrpSpPr>
          <xdr:cNvPr id="6" name="Grupo 5"/>
          <xdr:cNvGrpSpPr/>
        </xdr:nvGrpSpPr>
        <xdr:grpSpPr>
          <a:xfrm>
            <a:off x="1655233" y="3026833"/>
            <a:ext cx="7222064" cy="300567"/>
            <a:chOff x="1655233" y="3026833"/>
            <a:chExt cx="7222064" cy="300567"/>
          </a:xfrm>
        </xdr:grpSpPr>
        <xdr:sp macro="[0]!IR_OM" textlink="">
          <xdr:nvSpPr>
            <xdr:cNvPr id="5" name="Rectángulo 4"/>
            <xdr:cNvSpPr/>
          </xdr:nvSpPr>
          <xdr:spPr>
            <a:xfrm>
              <a:off x="1655233" y="30268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14" name="Rectángulo 13"/>
            <xdr:cNvSpPr/>
          </xdr:nvSpPr>
          <xdr:spPr>
            <a:xfrm>
              <a:off x="2908297"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15" name="Rectángulo 14"/>
            <xdr:cNvSpPr/>
          </xdr:nvSpPr>
          <xdr:spPr>
            <a:xfrm>
              <a:off x="4178295"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16" name="Rectángulo 15"/>
            <xdr:cNvSpPr/>
          </xdr:nvSpPr>
          <xdr:spPr>
            <a:xfrm>
              <a:off x="5435599"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17" name="Rectángulo 16"/>
            <xdr:cNvSpPr/>
          </xdr:nvSpPr>
          <xdr:spPr>
            <a:xfrm>
              <a:off x="6633632"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18" name="Rectángulo 17"/>
            <xdr:cNvSpPr/>
          </xdr:nvSpPr>
          <xdr:spPr>
            <a:xfrm>
              <a:off x="7861297" y="3052233"/>
              <a:ext cx="1016000"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 textlink="">
        <xdr:nvSpPr>
          <xdr:cNvPr id="20" name="Rectángulo 19"/>
          <xdr:cNvSpPr/>
        </xdr:nvSpPr>
        <xdr:spPr>
          <a:xfrm>
            <a:off x="0" y="3014134"/>
            <a:ext cx="1591732" cy="275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19</xdr:col>
      <xdr:colOff>23616</xdr:colOff>
      <xdr:row>5</xdr:row>
      <xdr:rowOff>7872</xdr:rowOff>
    </xdr:from>
    <xdr:to>
      <xdr:col>23</xdr:col>
      <xdr:colOff>133822</xdr:colOff>
      <xdr:row>6</xdr:row>
      <xdr:rowOff>173182</xdr:rowOff>
    </xdr:to>
    <xdr:sp macro="" textlink="">
      <xdr:nvSpPr>
        <xdr:cNvPr id="13" name="Rectángulo 12">
          <a:hlinkClick xmlns:r="http://schemas.openxmlformats.org/officeDocument/2006/relationships" r:id="rId4"/>
        </xdr:cNvPr>
        <xdr:cNvSpPr/>
      </xdr:nvSpPr>
      <xdr:spPr>
        <a:xfrm>
          <a:off x="7595991" y="931797"/>
          <a:ext cx="1834231" cy="24151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8</xdr:row>
      <xdr:rowOff>0</xdr:rowOff>
    </xdr:from>
    <xdr:to>
      <xdr:col>24</xdr:col>
      <xdr:colOff>15745</xdr:colOff>
      <xdr:row>8</xdr:row>
      <xdr:rowOff>165310</xdr:rowOff>
    </xdr:to>
    <xdr:sp macro="" textlink="">
      <xdr:nvSpPr>
        <xdr:cNvPr id="19" name="Rectángulo 18">
          <a:hlinkClick xmlns:r="http://schemas.openxmlformats.org/officeDocument/2006/relationships" r:id="rId5"/>
        </xdr:cNvPr>
        <xdr:cNvSpPr/>
      </xdr:nvSpPr>
      <xdr:spPr>
        <a:xfrm>
          <a:off x="7525537" y="1267376"/>
          <a:ext cx="1912873" cy="16531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5597</xdr:colOff>
      <xdr:row>0</xdr:row>
      <xdr:rowOff>0</xdr:rowOff>
    </xdr:from>
    <xdr:to>
      <xdr:col>7</xdr:col>
      <xdr:colOff>361587</xdr:colOff>
      <xdr:row>1</xdr:row>
      <xdr:rowOff>4072</xdr:rowOff>
    </xdr:to>
    <xdr:grpSp>
      <xdr:nvGrpSpPr>
        <xdr:cNvPr id="2" name="Grupo 1"/>
        <xdr:cNvGrpSpPr/>
      </xdr:nvGrpSpPr>
      <xdr:grpSpPr>
        <a:xfrm>
          <a:off x="1582937" y="0"/>
          <a:ext cx="4508890" cy="316492"/>
          <a:chOff x="1086141" y="4619"/>
          <a:chExt cx="4470653" cy="585097"/>
        </a:xfrm>
      </xdr:grpSpPr>
      <xdr:sp macro="" textlink="">
        <xdr:nvSpPr>
          <xdr:cNvPr id="7169" name="Button 23" hidden="1">
            <a:extLst>
              <a:ext uri="{63B3BB69-23CF-44E3-9099-C40C66FF867C}">
                <a14:compatExt xmlns:a14="http://schemas.microsoft.com/office/drawing/2010/main" spid="_x0000_s7169"/>
              </a:ext>
            </a:extLst>
          </xdr:cNvPr>
          <xdr:cNvSpPr/>
        </xdr:nvSpPr>
        <xdr:spPr bwMode="auto">
          <a:xfrm>
            <a:off x="2953690" y="9956"/>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7170" name="Button 24" hidden="1">
            <a:extLst>
              <a:ext uri="{63B3BB69-23CF-44E3-9099-C40C66FF867C}">
                <a14:compatExt xmlns:a14="http://schemas.microsoft.com/office/drawing/2010/main" spid="_x0000_s7170"/>
              </a:ext>
            </a:extLst>
          </xdr:cNvPr>
          <xdr:cNvSpPr/>
        </xdr:nvSpPr>
        <xdr:spPr bwMode="auto">
          <a:xfrm>
            <a:off x="1652437" y="9956"/>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7171" name="Button 25" hidden="1">
            <a:extLst>
              <a:ext uri="{63B3BB69-23CF-44E3-9099-C40C66FF867C}">
                <a14:compatExt xmlns:a14="http://schemas.microsoft.com/office/drawing/2010/main" spid="_x0000_s7171"/>
              </a:ext>
            </a:extLst>
          </xdr:cNvPr>
          <xdr:cNvSpPr/>
        </xdr:nvSpPr>
        <xdr:spPr bwMode="auto">
          <a:xfrm>
            <a:off x="1648308" y="300701"/>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7172" name="Button 26" hidden="1">
            <a:extLst>
              <a:ext uri="{63B3BB69-23CF-44E3-9099-C40C66FF867C}">
                <a14:compatExt xmlns:a14="http://schemas.microsoft.com/office/drawing/2010/main" spid="_x0000_s7172"/>
              </a:ext>
            </a:extLst>
          </xdr:cNvPr>
          <xdr:cNvSpPr/>
        </xdr:nvSpPr>
        <xdr:spPr bwMode="auto">
          <a:xfrm>
            <a:off x="4258522" y="4619"/>
            <a:ext cx="1298272"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7173" name="Button 27" hidden="1">
            <a:extLst>
              <a:ext uri="{63B3BB69-23CF-44E3-9099-C40C66FF867C}">
                <a14:compatExt xmlns:a14="http://schemas.microsoft.com/office/drawing/2010/main" spid="_x0000_s7173"/>
              </a:ext>
            </a:extLst>
          </xdr:cNvPr>
          <xdr:cNvSpPr/>
        </xdr:nvSpPr>
        <xdr:spPr bwMode="auto">
          <a:xfrm>
            <a:off x="2956124" y="301173"/>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7174" name="Button 28" hidden="1">
            <a:extLst>
              <a:ext uri="{63B3BB69-23CF-44E3-9099-C40C66FF867C}">
                <a14:compatExt xmlns:a14="http://schemas.microsoft.com/office/drawing/2010/main" spid="_x0000_s7174"/>
              </a:ext>
            </a:extLst>
          </xdr:cNvPr>
          <xdr:cNvSpPr/>
        </xdr:nvSpPr>
        <xdr:spPr bwMode="auto">
          <a:xfrm>
            <a:off x="4257383" y="300701"/>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7175" name="Button 29" hidden="1">
            <a:extLst>
              <a:ext uri="{63B3BB69-23CF-44E3-9099-C40C66FF867C}">
                <a14:compatExt xmlns:a14="http://schemas.microsoft.com/office/drawing/2010/main" spid="_x0000_s7175"/>
              </a:ext>
            </a:extLst>
          </xdr:cNvPr>
          <xdr:cNvSpPr/>
        </xdr:nvSpPr>
        <xdr:spPr bwMode="auto">
          <a:xfrm>
            <a:off x="1088124" y="13430"/>
            <a:ext cx="551961" cy="28617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7176" name="Button 30" hidden="1">
            <a:extLst>
              <a:ext uri="{63B3BB69-23CF-44E3-9099-C40C66FF867C}">
                <a14:compatExt xmlns:a14="http://schemas.microsoft.com/office/drawing/2010/main" spid="_x0000_s7176"/>
              </a:ext>
            </a:extLst>
          </xdr:cNvPr>
          <xdr:cNvSpPr/>
        </xdr:nvSpPr>
        <xdr:spPr bwMode="auto">
          <a:xfrm>
            <a:off x="1086141" y="304523"/>
            <a:ext cx="552342" cy="285193"/>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xdr:twoCellAnchor>
    <xdr:from>
      <xdr:col>5</xdr:col>
      <xdr:colOff>9930</xdr:colOff>
      <xdr:row>0</xdr:row>
      <xdr:rowOff>9517</xdr:rowOff>
    </xdr:from>
    <xdr:to>
      <xdr:col>7</xdr:col>
      <xdr:colOff>310283</xdr:colOff>
      <xdr:row>1</xdr:row>
      <xdr:rowOff>2005</xdr:rowOff>
    </xdr:to>
    <xdr:grpSp>
      <xdr:nvGrpSpPr>
        <xdr:cNvPr id="3" name="Grupo 2"/>
        <xdr:cNvGrpSpPr/>
      </xdr:nvGrpSpPr>
      <xdr:grpSpPr>
        <a:xfrm>
          <a:off x="1587270" y="9517"/>
          <a:ext cx="4453253" cy="304908"/>
          <a:chOff x="1398573" y="9517"/>
          <a:chExt cx="4451249" cy="619133"/>
        </a:xfrm>
      </xdr:grpSpPr>
      <xdr:sp macro="" textlink="">
        <xdr:nvSpPr>
          <xdr:cNvPr id="7177" name="Button 9" hidden="1">
            <a:extLst>
              <a:ext uri="{63B3BB69-23CF-44E3-9099-C40C66FF867C}">
                <a14:compatExt xmlns:a14="http://schemas.microsoft.com/office/drawing/2010/main" spid="_x0000_s7177"/>
              </a:ext>
            </a:extLst>
          </xdr:cNvPr>
          <xdr:cNvSpPr/>
        </xdr:nvSpPr>
        <xdr:spPr bwMode="auto">
          <a:xfrm>
            <a:off x="4551848" y="10178"/>
            <a:ext cx="1292292" cy="305337"/>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7178" name="Button 10" hidden="1">
            <a:extLst>
              <a:ext uri="{63B3BB69-23CF-44E3-9099-C40C66FF867C}">
                <a14:compatExt xmlns:a14="http://schemas.microsoft.com/office/drawing/2010/main" spid="_x0000_s7178"/>
              </a:ext>
            </a:extLst>
          </xdr:cNvPr>
          <xdr:cNvSpPr/>
        </xdr:nvSpPr>
        <xdr:spPr bwMode="auto">
          <a:xfrm>
            <a:off x="1947695" y="9525"/>
            <a:ext cx="1294125" cy="30480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36576" tIns="32004" rIns="36576" bIns="32004" anchor="ctr" upright="1"/>
          <a:lstStyle/>
          <a:p>
            <a:pPr algn="ctr" rtl="0">
              <a:defRPr sz="1000"/>
            </a:pPr>
            <a:r>
              <a:rPr lang="es-ES" sz="1100" b="1" i="0" u="none" strike="noStrike" baseline="0">
                <a:solidFill>
                  <a:srgbClr val="FF0000"/>
                </a:solidFill>
                <a:latin typeface="Calibri"/>
                <a:cs typeface="Calibri"/>
              </a:rPr>
              <a:t>Opción Múltiple 1R</a:t>
            </a:r>
          </a:p>
        </xdr:txBody>
      </xdr:sp>
      <xdr:sp macro="" textlink="">
        <xdr:nvSpPr>
          <xdr:cNvPr id="7179" name="Button 11" hidden="1">
            <a:extLst>
              <a:ext uri="{63B3BB69-23CF-44E3-9099-C40C66FF867C}">
                <a14:compatExt xmlns:a14="http://schemas.microsoft.com/office/drawing/2010/main" spid="_x0000_s7179"/>
              </a:ext>
            </a:extLst>
          </xdr:cNvPr>
          <xdr:cNvSpPr/>
        </xdr:nvSpPr>
        <xdr:spPr bwMode="auto">
          <a:xfrm>
            <a:off x="3256560" y="323850"/>
            <a:ext cx="1294125" cy="30480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7180" name="Button 12" hidden="1">
            <a:extLst>
              <a:ext uri="{63B3BB69-23CF-44E3-9099-C40C66FF867C}">
                <a14:compatExt xmlns:a14="http://schemas.microsoft.com/office/drawing/2010/main" spid="_x0000_s7180"/>
              </a:ext>
            </a:extLst>
          </xdr:cNvPr>
          <xdr:cNvSpPr/>
        </xdr:nvSpPr>
        <xdr:spPr bwMode="auto">
          <a:xfrm>
            <a:off x="1954941" y="321315"/>
            <a:ext cx="1294125" cy="30480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7181" name="Button 13" hidden="1">
            <a:extLst>
              <a:ext uri="{63B3BB69-23CF-44E3-9099-C40C66FF867C}">
                <a14:compatExt xmlns:a14="http://schemas.microsoft.com/office/drawing/2010/main" spid="_x0000_s7181"/>
              </a:ext>
            </a:extLst>
          </xdr:cNvPr>
          <xdr:cNvSpPr/>
        </xdr:nvSpPr>
        <xdr:spPr bwMode="auto">
          <a:xfrm>
            <a:off x="4555697" y="323850"/>
            <a:ext cx="1294125" cy="304800"/>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grpSp>
        <xdr:nvGrpSpPr>
          <xdr:cNvPr id="19" name="Grupo 2"/>
          <xdr:cNvGrpSpPr>
            <a:grpSpLocks/>
          </xdr:cNvGrpSpPr>
        </xdr:nvGrpSpPr>
        <xdr:grpSpPr bwMode="auto">
          <a:xfrm>
            <a:off x="1398573" y="9517"/>
            <a:ext cx="571035" cy="617541"/>
            <a:chOff x="1090308" y="29781"/>
            <a:chExt cx="572846" cy="573112"/>
          </a:xfrm>
        </xdr:grpSpPr>
        <xdr:grpSp>
          <xdr:nvGrpSpPr>
            <xdr:cNvPr id="20" name="Grupo 1"/>
            <xdr:cNvGrpSpPr>
              <a:grpSpLocks/>
            </xdr:cNvGrpSpPr>
          </xdr:nvGrpSpPr>
          <xdr:grpSpPr bwMode="auto">
            <a:xfrm>
              <a:off x="1090308" y="29781"/>
              <a:ext cx="572846" cy="573112"/>
              <a:chOff x="1070083" y="4455"/>
              <a:chExt cx="572956" cy="569470"/>
            </a:xfrm>
          </xdr:grpSpPr>
          <xdr:sp macro="" textlink="">
            <xdr:nvSpPr>
              <xdr:cNvPr id="7183" name="Button 15" hidden="1">
                <a:extLst>
                  <a:ext uri="{63B3BB69-23CF-44E3-9099-C40C66FF867C}">
                    <a14:compatExt xmlns:a14="http://schemas.microsoft.com/office/drawing/2010/main" spid="_x0000_s7183"/>
                  </a:ext>
                </a:extLst>
              </xdr:cNvPr>
              <xdr:cNvSpPr/>
            </xdr:nvSpPr>
            <xdr:spPr bwMode="auto">
              <a:xfrm>
                <a:off x="1070083" y="4455"/>
                <a:ext cx="572956" cy="280355"/>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7184" name="Button 16" hidden="1">
                <a:extLst>
                  <a:ext uri="{63B3BB69-23CF-44E3-9099-C40C66FF867C}">
                    <a14:compatExt xmlns:a14="http://schemas.microsoft.com/office/drawing/2010/main" spid="_x0000_s7184"/>
                  </a:ext>
                </a:extLst>
              </xdr:cNvPr>
              <xdr:cNvSpPr/>
            </xdr:nvSpPr>
            <xdr:spPr bwMode="auto">
              <a:xfrm>
                <a:off x="1070083" y="293570"/>
                <a:ext cx="572956" cy="280355"/>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grpSp>
      <xdr:sp macro="" textlink="">
        <xdr:nvSpPr>
          <xdr:cNvPr id="7186" name="Button 18" descr="Opción Múltiple VR" hidden="1">
            <a:extLst>
              <a:ext uri="{63B3BB69-23CF-44E3-9099-C40C66FF867C}">
                <a14:compatExt xmlns:a14="http://schemas.microsoft.com/office/drawing/2010/main" spid="_x0000_s7186"/>
              </a:ext>
            </a:extLst>
          </xdr:cNvPr>
          <xdr:cNvSpPr/>
        </xdr:nvSpPr>
        <xdr:spPr bwMode="auto">
          <a:xfrm>
            <a:off x="3257627" y="12681"/>
            <a:ext cx="1294894" cy="302795"/>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grpSp>
    <xdr:clientData/>
  </xdr:twoCellAnchor>
  <xdr:twoCellAnchor>
    <xdr:from>
      <xdr:col>0</xdr:col>
      <xdr:colOff>0</xdr:colOff>
      <xdr:row>0</xdr:row>
      <xdr:rowOff>7620</xdr:rowOff>
    </xdr:from>
    <xdr:to>
      <xdr:col>5</xdr:col>
      <xdr:colOff>3305546</xdr:colOff>
      <xdr:row>0</xdr:row>
      <xdr:rowOff>627884</xdr:rowOff>
    </xdr:to>
    <xdr:grpSp>
      <xdr:nvGrpSpPr>
        <xdr:cNvPr id="23" name="Grupo 22"/>
        <xdr:cNvGrpSpPr/>
      </xdr:nvGrpSpPr>
      <xdr:grpSpPr>
        <a:xfrm>
          <a:off x="0" y="7620"/>
          <a:ext cx="4882886" cy="305939"/>
          <a:chOff x="1170126" y="9525"/>
          <a:chExt cx="4674009" cy="619125"/>
        </a:xfrm>
      </xdr:grpSpPr>
      <xdr:sp macro="" textlink="">
        <xdr:nvSpPr>
          <xdr:cNvPr id="7187" name="Button 19" hidden="1">
            <a:extLst>
              <a:ext uri="{63B3BB69-23CF-44E3-9099-C40C66FF867C}">
                <a14:compatExt xmlns:a14="http://schemas.microsoft.com/office/drawing/2010/main" spid="_x0000_s7187"/>
              </a:ext>
            </a:extLst>
          </xdr:cNvPr>
          <xdr:cNvSpPr/>
        </xdr:nvSpPr>
        <xdr:spPr bwMode="auto">
          <a:xfrm>
            <a:off x="4551848" y="10178"/>
            <a:ext cx="1292287" cy="305337"/>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7188" name="Button 20" hidden="1">
            <a:extLst>
              <a:ext uri="{63B3BB69-23CF-44E3-9099-C40C66FF867C}">
                <a14:compatExt xmlns:a14="http://schemas.microsoft.com/office/drawing/2010/main" spid="_x0000_s7188"/>
              </a:ext>
            </a:extLst>
          </xdr:cNvPr>
          <xdr:cNvSpPr/>
        </xdr:nvSpPr>
        <xdr:spPr bwMode="auto">
          <a:xfrm>
            <a:off x="1947695" y="9525"/>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FF0000"/>
                </a:solidFill>
                <a:latin typeface="Calibri"/>
                <a:cs typeface="Calibri"/>
              </a:rPr>
              <a:t>Opción Múltiple 1R</a:t>
            </a:r>
          </a:p>
        </xdr:txBody>
      </xdr:sp>
      <xdr:sp macro="" textlink="">
        <xdr:nvSpPr>
          <xdr:cNvPr id="7189" name="Button 21" hidden="1">
            <a:extLst>
              <a:ext uri="{63B3BB69-23CF-44E3-9099-C40C66FF867C}">
                <a14:compatExt xmlns:a14="http://schemas.microsoft.com/office/drawing/2010/main" spid="_x0000_s7189"/>
              </a:ext>
            </a:extLst>
          </xdr:cNvPr>
          <xdr:cNvSpPr/>
        </xdr:nvSpPr>
        <xdr:spPr bwMode="auto">
          <a:xfrm>
            <a:off x="3256560" y="323850"/>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7190" name="Button 22" hidden="1">
            <a:extLst>
              <a:ext uri="{63B3BB69-23CF-44E3-9099-C40C66FF867C}">
                <a14:compatExt xmlns:a14="http://schemas.microsoft.com/office/drawing/2010/main" spid="_x0000_s7190"/>
              </a:ext>
            </a:extLst>
          </xdr:cNvPr>
          <xdr:cNvSpPr/>
        </xdr:nvSpPr>
        <xdr:spPr bwMode="auto">
          <a:xfrm>
            <a:off x="1954941" y="321315"/>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7191" name="Button 23" hidden="1">
            <a:extLst>
              <a:ext uri="{63B3BB69-23CF-44E3-9099-C40C66FF867C}">
                <a14:compatExt xmlns:a14="http://schemas.microsoft.com/office/drawing/2010/main" spid="_x0000_s7191"/>
              </a:ext>
            </a:extLst>
          </xdr:cNvPr>
          <xdr:cNvSpPr/>
        </xdr:nvSpPr>
        <xdr:spPr bwMode="auto">
          <a:xfrm>
            <a:off x="4548076" y="323850"/>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Palabra Perdida</a:t>
            </a:r>
          </a:p>
        </xdr:txBody>
      </xdr:sp>
      <xdr:grpSp>
        <xdr:nvGrpSpPr>
          <xdr:cNvPr id="29" name="Grupo 2"/>
          <xdr:cNvGrpSpPr>
            <a:grpSpLocks/>
          </xdr:cNvGrpSpPr>
        </xdr:nvGrpSpPr>
        <xdr:grpSpPr bwMode="auto">
          <a:xfrm>
            <a:off x="1170126" y="9525"/>
            <a:ext cx="799481" cy="617527"/>
            <a:chOff x="861137" y="29789"/>
            <a:chExt cx="802017" cy="573098"/>
          </a:xfrm>
        </xdr:grpSpPr>
        <xdr:grpSp>
          <xdr:nvGrpSpPr>
            <xdr:cNvPr id="31" name="Grupo 1"/>
            <xdr:cNvGrpSpPr>
              <a:grpSpLocks/>
            </xdr:cNvGrpSpPr>
          </xdr:nvGrpSpPr>
          <xdr:grpSpPr bwMode="auto">
            <a:xfrm>
              <a:off x="861137" y="29789"/>
              <a:ext cx="802017" cy="573098"/>
              <a:chOff x="840868" y="4463"/>
              <a:chExt cx="802171" cy="569456"/>
            </a:xfrm>
          </xdr:grpSpPr>
          <xdr:sp macro="" textlink="">
            <xdr:nvSpPr>
              <xdr:cNvPr id="7192" name="Button 24" hidden="1">
                <a:extLst>
                  <a:ext uri="{63B3BB69-23CF-44E3-9099-C40C66FF867C}">
                    <a14:compatExt xmlns:a14="http://schemas.microsoft.com/office/drawing/2010/main" spid="_x0000_s7192"/>
                  </a:ext>
                </a:extLst>
              </xdr:cNvPr>
              <xdr:cNvSpPr/>
            </xdr:nvSpPr>
            <xdr:spPr bwMode="auto">
              <a:xfrm>
                <a:off x="840868" y="4463"/>
                <a:ext cx="802171" cy="280349"/>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7193" name="Button 25" hidden="1">
                <a:extLst>
                  <a:ext uri="{63B3BB69-23CF-44E3-9099-C40C66FF867C}">
                    <a14:compatExt xmlns:a14="http://schemas.microsoft.com/office/drawing/2010/main" spid="_x0000_s7193"/>
                  </a:ext>
                </a:extLst>
              </xdr:cNvPr>
              <xdr:cNvSpPr/>
            </xdr:nvSpPr>
            <xdr:spPr bwMode="auto">
              <a:xfrm>
                <a:off x="840868" y="293571"/>
                <a:ext cx="802171" cy="280348"/>
              </a:xfrm>
              <a:prstGeom prst="rect">
                <a:avLst/>
              </a:prstGeom>
              <a:noFill/>
              <a:ln w="9525">
                <a:miter lim="800000"/>
                <a:headEnd/>
                <a:tailEnd/>
              </a:ln>
            </xdr:spPr>
            <xdr:txBody>
              <a:bodyPr vertOverflow="clip" wrap="square" lIns="0" tIns="0" rIns="0" bIns="0" anchor="ctr" upright="1"/>
              <a:lstStyle/>
              <a:p>
                <a:pPr algn="ctr" rtl="0">
                  <a:defRPr sz="1000"/>
                </a:pPr>
                <a:r>
                  <a:rPr lang="es-ES" sz="900" b="1" i="0" u="none" strike="noStrike" baseline="0">
                    <a:solidFill>
                      <a:srgbClr val="FF0000"/>
                    </a:solidFill>
                    <a:latin typeface="Calibri"/>
                    <a:cs typeface="Calibri"/>
                  </a:rPr>
                  <a:t>DAR FORMATO</a:t>
                </a:r>
              </a:p>
            </xdr:txBody>
          </xdr:sp>
        </xdr:grpSp>
      </xdr:grpSp>
      <xdr:sp macro="" textlink="">
        <xdr:nvSpPr>
          <xdr:cNvPr id="7194" name="Button 26" descr="Opción Múltiple VR" hidden="1">
            <a:extLst>
              <a:ext uri="{63B3BB69-23CF-44E3-9099-C40C66FF867C}">
                <a14:compatExt xmlns:a14="http://schemas.microsoft.com/office/drawing/2010/main" spid="_x0000_s7194"/>
              </a:ext>
            </a:extLst>
          </xdr:cNvPr>
          <xdr:cNvSpPr/>
        </xdr:nvSpPr>
        <xdr:spPr bwMode="auto">
          <a:xfrm>
            <a:off x="3257627" y="12681"/>
            <a:ext cx="1294894" cy="302795"/>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Opción Múltiple VR</a:t>
            </a:r>
          </a:p>
        </xdr:txBody>
      </xdr:sp>
    </xdr:grpSp>
    <xdr:clientData/>
  </xdr:twoCellAnchor>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4" name="Button 23" hidden="1">
              <a:extLst>
                <a:ext uri="{63B3BB69-23CF-44E3-9099-C40C66FF867C}">
                  <a14:compatExt spid="_x0000_s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5" name="Button 24" hidden="1">
              <a:extLst>
                <a:ext uri="{63B3BB69-23CF-44E3-9099-C40C66FF867C}">
                  <a14:compatExt spid="_x0000_s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6" name="Button 25" hidden="1">
              <a:extLst>
                <a:ext uri="{63B3BB69-23CF-44E3-9099-C40C66FF867C}">
                  <a14:compatExt spid="_x0000_s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7" name="Button 26" hidden="1">
              <a:extLst>
                <a:ext uri="{63B3BB69-23CF-44E3-9099-C40C66FF867C}">
                  <a14:compatExt spid="_x0000_s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8" name="Button 27" hidden="1">
              <a:extLst>
                <a:ext uri="{63B3BB69-23CF-44E3-9099-C40C66FF867C}">
                  <a14:compatExt spid="_x0000_s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9" name="Button 28" hidden="1">
              <a:extLst>
                <a:ext uri="{63B3BB69-23CF-44E3-9099-C40C66FF867C}">
                  <a14:compatExt spid="_x0000_s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0" name="Button 29" hidden="1">
              <a:extLst>
                <a:ext uri="{63B3BB69-23CF-44E3-9099-C40C66FF867C}">
                  <a14:compatExt spid="_x0000_s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1" name="Button 30" hidden="1">
              <a:extLst>
                <a:ext uri="{63B3BB69-23CF-44E3-9099-C40C66FF867C}">
                  <a14:compatExt spid="_x0000_s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9324</xdr:rowOff>
        </xdr:from>
        <xdr:to>
          <xdr:col>7</xdr:col>
          <xdr:colOff>314425</xdr:colOff>
          <xdr:row>1</xdr:row>
          <xdr:rowOff>0</xdr:rowOff>
        </xdr:to>
        <xdr:grpSp>
          <xdr:nvGrpSpPr>
            <xdr:cNvPr id="7196" name="Grupo 2"/>
            <xdr:cNvGrpSpPr>
              <a:grpSpLocks/>
            </xdr:cNvGrpSpPr>
          </xdr:nvGrpSpPr>
          <xdr:grpSpPr bwMode="auto">
            <a:xfrm>
              <a:off x="1586865" y="9324"/>
              <a:ext cx="4457800" cy="303096"/>
              <a:chOff x="13985" y="93"/>
              <a:chExt cx="44513" cy="6193"/>
            </a:xfrm>
          </xdr:grpSpPr>
          <xdr:sp macro="" textlink="">
            <xdr:nvSpPr>
              <xdr:cNvPr id="22" name="Button 9" hidden="1">
                <a:extLst>
                  <a:ext uri="{63B3BB69-23CF-44E3-9099-C40C66FF867C}">
                    <a14:compatExt spid="_x0000_s22"/>
                  </a:ext>
                </a:extLst>
              </xdr:cNvPr>
              <xdr:cNvSpPr/>
            </xdr:nvSpPr>
            <xdr:spPr bwMode="auto">
              <a:xfrm>
                <a:off x="45518" y="101"/>
                <a:ext cx="12923" cy="3054"/>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24" name="Button 10" hidden="1">
                <a:extLst>
                  <a:ext uri="{63B3BB69-23CF-44E3-9099-C40C66FF867C}">
                    <a14:compatExt spid="_x0000_s24"/>
                  </a:ext>
                </a:extLst>
              </xdr:cNvPr>
              <xdr:cNvSpPr/>
            </xdr:nvSpPr>
            <xdr:spPr bwMode="auto">
              <a:xfrm>
                <a:off x="19476" y="95"/>
                <a:ext cx="12942" cy="304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sp macro="" textlink="">
            <xdr:nvSpPr>
              <xdr:cNvPr id="25" name="Button 11" hidden="1">
                <a:extLst>
                  <a:ext uri="{63B3BB69-23CF-44E3-9099-C40C66FF867C}">
                    <a14:compatExt spid="_x0000_s25"/>
                  </a:ext>
                </a:extLst>
              </xdr:cNvPr>
              <xdr:cNvSpPr/>
            </xdr:nvSpPr>
            <xdr:spPr bwMode="auto">
              <a:xfrm>
                <a:off x="32565" y="3238"/>
                <a:ext cx="12941" cy="304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26" name="Button 12" hidden="1">
                <a:extLst>
                  <a:ext uri="{63B3BB69-23CF-44E3-9099-C40C66FF867C}">
                    <a14:compatExt spid="_x0000_s26"/>
                  </a:ext>
                </a:extLst>
              </xdr:cNvPr>
              <xdr:cNvSpPr/>
            </xdr:nvSpPr>
            <xdr:spPr bwMode="auto">
              <a:xfrm>
                <a:off x="19549" y="3213"/>
                <a:ext cx="12941" cy="304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27" name="Button 13" hidden="1">
                <a:extLst>
                  <a:ext uri="{63B3BB69-23CF-44E3-9099-C40C66FF867C}">
                    <a14:compatExt spid="_x0000_s27"/>
                  </a:ext>
                </a:extLst>
              </xdr:cNvPr>
              <xdr:cNvSpPr/>
            </xdr:nvSpPr>
            <xdr:spPr bwMode="auto">
              <a:xfrm>
                <a:off x="45556" y="3238"/>
                <a:ext cx="12942" cy="304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grpSp>
            <xdr:nvGrpSpPr>
              <xdr:cNvPr id="7197" name="Group 29"/>
              <xdr:cNvGrpSpPr>
                <a:grpSpLocks/>
              </xdr:cNvGrpSpPr>
            </xdr:nvGrpSpPr>
            <xdr:grpSpPr bwMode="auto">
              <a:xfrm>
                <a:off x="13985" y="93"/>
                <a:ext cx="5712" cy="6179"/>
                <a:chOff x="10903" y="295"/>
                <a:chExt cx="5729" cy="5734"/>
              </a:xfrm>
            </xdr:grpSpPr>
            <xdr:grpSp>
              <xdr:nvGrpSpPr>
                <xdr:cNvPr id="7198" name="Group 30"/>
                <xdr:cNvGrpSpPr>
                  <a:grpSpLocks/>
                </xdr:cNvGrpSpPr>
              </xdr:nvGrpSpPr>
              <xdr:grpSpPr bwMode="auto">
                <a:xfrm>
                  <a:off x="10903" y="295"/>
                  <a:ext cx="5729" cy="5734"/>
                  <a:chOff x="10700" y="42"/>
                  <a:chExt cx="5730" cy="5697"/>
                </a:xfrm>
              </xdr:grpSpPr>
              <xdr:sp macro="" textlink="">
                <xdr:nvSpPr>
                  <xdr:cNvPr id="30" name="Button 15" hidden="1">
                    <a:extLst>
                      <a:ext uri="{63B3BB69-23CF-44E3-9099-C40C66FF867C}">
                        <a14:compatExt spid="_x0000_s30"/>
                      </a:ext>
                    </a:extLst>
                  </xdr:cNvPr>
                  <xdr:cNvSpPr/>
                </xdr:nvSpPr>
                <xdr:spPr bwMode="auto">
                  <a:xfrm>
                    <a:off x="10700" y="42"/>
                    <a:ext cx="5730" cy="2804"/>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32" name="Button 16" hidden="1">
                    <a:extLst>
                      <a:ext uri="{63B3BB69-23CF-44E3-9099-C40C66FF867C}">
                        <a14:compatExt spid="_x0000_s32"/>
                      </a:ext>
                    </a:extLst>
                  </xdr:cNvPr>
                  <xdr:cNvSpPr/>
                </xdr:nvSpPr>
                <xdr:spPr bwMode="auto">
                  <a:xfrm>
                    <a:off x="10700" y="2935"/>
                    <a:ext cx="5730" cy="2804"/>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grpSp>
          <xdr:sp macro="" textlink="">
            <xdr:nvSpPr>
              <xdr:cNvPr id="28" name="Button 18" descr="Opción Múltiple VR" hidden="1">
                <a:extLst>
                  <a:ext uri="{63B3BB69-23CF-44E3-9099-C40C66FF867C}">
                    <a14:compatExt spid="_x0000_s28"/>
                  </a:ext>
                </a:extLst>
              </xdr:cNvPr>
              <xdr:cNvSpPr/>
            </xdr:nvSpPr>
            <xdr:spPr bwMode="auto">
              <a:xfrm>
                <a:off x="32576" y="126"/>
                <a:ext cx="12949" cy="302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grpSp>
        <xdr:clientData/>
      </xdr:twoCellAnchor>
    </mc:Choice>
    <mc:Fallback/>
  </mc:AlternateContent>
  <xdr:twoCellAnchor>
    <xdr:from>
      <xdr:col>0</xdr:col>
      <xdr:colOff>0</xdr:colOff>
      <xdr:row>0</xdr:row>
      <xdr:rowOff>0</xdr:rowOff>
    </xdr:from>
    <xdr:to>
      <xdr:col>7</xdr:col>
      <xdr:colOff>837127</xdr:colOff>
      <xdr:row>2</xdr:row>
      <xdr:rowOff>1454</xdr:rowOff>
    </xdr:to>
    <xdr:grpSp>
      <xdr:nvGrpSpPr>
        <xdr:cNvPr id="42" name="Grupo 41"/>
        <xdr:cNvGrpSpPr/>
      </xdr:nvGrpSpPr>
      <xdr:grpSpPr>
        <a:xfrm>
          <a:off x="0" y="0"/>
          <a:ext cx="6567367" cy="626294"/>
          <a:chOff x="29155" y="0"/>
          <a:chExt cx="6571834" cy="629184"/>
        </a:xfrm>
      </xdr:grpSpPr>
      <xdr:pic>
        <xdr:nvPicPr>
          <xdr:cNvPr id="34" name="Imagen 33">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55" y="0"/>
            <a:ext cx="1578027" cy="629184"/>
          </a:xfrm>
          <a:prstGeom prst="rect">
            <a:avLst/>
          </a:prstGeom>
          <a:ln w="25400">
            <a:solidFill>
              <a:srgbClr val="E87B00"/>
            </a:solidFill>
          </a:ln>
        </xdr:spPr>
      </xdr:pic>
      <xdr:grpSp>
        <xdr:nvGrpSpPr>
          <xdr:cNvPr id="41" name="Grupo 40"/>
          <xdr:cNvGrpSpPr/>
        </xdr:nvGrpSpPr>
        <xdr:grpSpPr>
          <a:xfrm>
            <a:off x="1616283" y="2557"/>
            <a:ext cx="4984706" cy="621233"/>
            <a:chOff x="1616283" y="2557"/>
            <a:chExt cx="4984706" cy="621233"/>
          </a:xfrm>
        </xdr:grpSpPr>
        <xdr:grpSp>
          <xdr:nvGrpSpPr>
            <xdr:cNvPr id="39" name="Grupo 38"/>
            <xdr:cNvGrpSpPr/>
          </xdr:nvGrpSpPr>
          <xdr:grpSpPr>
            <a:xfrm>
              <a:off x="1616283" y="2557"/>
              <a:ext cx="3310606" cy="621233"/>
              <a:chOff x="1616283" y="2557"/>
              <a:chExt cx="3310606" cy="621233"/>
            </a:xfrm>
          </xdr:grpSpPr>
          <xdr:grpSp>
            <xdr:nvGrpSpPr>
              <xdr:cNvPr id="37" name="Grupo 36"/>
              <xdr:cNvGrpSpPr/>
            </xdr:nvGrpSpPr>
            <xdr:grpSpPr>
              <a:xfrm>
                <a:off x="1617302" y="326677"/>
                <a:ext cx="3309587" cy="297113"/>
                <a:chOff x="1617302" y="326677"/>
                <a:chExt cx="3309587" cy="297113"/>
              </a:xfrm>
            </xdr:grpSpPr>
            <xdr:sp macro="[0]!IR_E" textlink="">
              <xdr:nvSpPr>
                <xdr:cNvPr id="33" name="Rectángulo 32"/>
                <xdr:cNvSpPr/>
              </xdr:nvSpPr>
              <xdr:spPr>
                <a:xfrm>
                  <a:off x="1617302" y="326678"/>
                  <a:ext cx="1111490" cy="297112"/>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63" name="Rectángulo 62"/>
                <xdr:cNvSpPr/>
              </xdr:nvSpPr>
              <xdr:spPr>
                <a:xfrm>
                  <a:off x="2728791" y="326677"/>
                  <a:ext cx="1111490" cy="297112"/>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64" name="Rectángulo 63"/>
                <xdr:cNvSpPr/>
              </xdr:nvSpPr>
              <xdr:spPr>
                <a:xfrm>
                  <a:off x="3840282" y="326677"/>
                  <a:ext cx="1086607" cy="297112"/>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38" name="Grupo 37"/>
              <xdr:cNvGrpSpPr/>
            </xdr:nvGrpSpPr>
            <xdr:grpSpPr>
              <a:xfrm>
                <a:off x="1616283" y="2557"/>
                <a:ext cx="3308150" cy="324660"/>
                <a:chOff x="1616283" y="2557"/>
                <a:chExt cx="3308150" cy="324660"/>
              </a:xfrm>
            </xdr:grpSpPr>
            <xdr:sp macro="[0]!IR_OM" textlink="">
              <xdr:nvSpPr>
                <xdr:cNvPr id="67" name="Rectángulo 66"/>
                <xdr:cNvSpPr/>
              </xdr:nvSpPr>
              <xdr:spPr>
                <a:xfrm>
                  <a:off x="1616283" y="2558"/>
                  <a:ext cx="1111008" cy="324659"/>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68" name="Rectángulo 67"/>
                <xdr:cNvSpPr/>
              </xdr:nvSpPr>
              <xdr:spPr>
                <a:xfrm>
                  <a:off x="2727290" y="2557"/>
                  <a:ext cx="1111008" cy="324659"/>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69" name="Rectángulo 68"/>
                <xdr:cNvSpPr/>
              </xdr:nvSpPr>
              <xdr:spPr>
                <a:xfrm>
                  <a:off x="3838298" y="2557"/>
                  <a:ext cx="1086135" cy="324659"/>
                </a:xfrm>
                <a:prstGeom prst="rect">
                  <a:avLst/>
                </a:prstGeom>
                <a:no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grpSp>
          <xdr:nvGrpSpPr>
            <xdr:cNvPr id="40" name="Grupo 39"/>
            <xdr:cNvGrpSpPr/>
          </xdr:nvGrpSpPr>
          <xdr:grpSpPr>
            <a:xfrm>
              <a:off x="4923094" y="5013"/>
              <a:ext cx="1677895" cy="316249"/>
              <a:chOff x="4923094" y="5013"/>
              <a:chExt cx="1677895" cy="316249"/>
            </a:xfrm>
          </xdr:grpSpPr>
          <xdr:sp macro="[0]!IR_INICIO" textlink="">
            <xdr:nvSpPr>
              <xdr:cNvPr id="71" name="Rectángulo 70"/>
              <xdr:cNvSpPr/>
            </xdr:nvSpPr>
            <xdr:spPr>
              <a:xfrm>
                <a:off x="4923094" y="5014"/>
                <a:ext cx="868270" cy="310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72" name="Rectángulo 71"/>
              <xdr:cNvSpPr/>
            </xdr:nvSpPr>
            <xdr:spPr>
              <a:xfrm>
                <a:off x="5794925" y="5013"/>
                <a:ext cx="806064" cy="31624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grpSp>
    <xdr:clientData/>
  </xdr:twoCellAnchor>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352" name="Button 23" hidden="1">
              <a:extLst>
                <a:ext uri="{63B3BB69-23CF-44E3-9099-C40C66FF867C}">
                  <a14:compatExt spid="_x0000_s143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351" name="Button 24" hidden="1">
              <a:extLst>
                <a:ext uri="{63B3BB69-23CF-44E3-9099-C40C66FF867C}">
                  <a14:compatExt spid="_x0000_s143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350" name="Button 25" hidden="1">
              <a:extLst>
                <a:ext uri="{63B3BB69-23CF-44E3-9099-C40C66FF867C}">
                  <a14:compatExt spid="_x0000_s143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349" name="Button 26" hidden="1">
              <a:extLst>
                <a:ext uri="{63B3BB69-23CF-44E3-9099-C40C66FF867C}">
                  <a14:compatExt spid="_x0000_s143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348" name="Button 27" hidden="1">
              <a:extLst>
                <a:ext uri="{63B3BB69-23CF-44E3-9099-C40C66FF867C}">
                  <a14:compatExt spid="_x0000_s143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347" name="Button 28" hidden="1">
              <a:extLst>
                <a:ext uri="{63B3BB69-23CF-44E3-9099-C40C66FF867C}">
                  <a14:compatExt spid="_x0000_s143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346" name="Button 29" hidden="1">
              <a:extLst>
                <a:ext uri="{63B3BB69-23CF-44E3-9099-C40C66FF867C}">
                  <a14:compatExt spid="_x0000_s143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345" name="Button 30" hidden="1">
              <a:extLst>
                <a:ext uri="{63B3BB69-23CF-44E3-9099-C40C66FF867C}">
                  <a14:compatExt spid="_x0000_s143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344" name="Button 9" hidden="1">
              <a:extLst>
                <a:ext uri="{63B3BB69-23CF-44E3-9099-C40C66FF867C}">
                  <a14:compatExt spid="_x0000_s143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343" name="Button 10" hidden="1">
              <a:extLst>
                <a:ext uri="{63B3BB69-23CF-44E3-9099-C40C66FF867C}">
                  <a14:compatExt spid="_x0000_s143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342" name="Button 11" hidden="1">
              <a:extLst>
                <a:ext uri="{63B3BB69-23CF-44E3-9099-C40C66FF867C}">
                  <a14:compatExt spid="_x0000_s143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341" name="Button 12" hidden="1">
              <a:extLst>
                <a:ext uri="{63B3BB69-23CF-44E3-9099-C40C66FF867C}">
                  <a14:compatExt spid="_x0000_s143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340" name="Button 13" hidden="1">
              <a:extLst>
                <a:ext uri="{63B3BB69-23CF-44E3-9099-C40C66FF867C}">
                  <a14:compatExt spid="_x0000_s143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339" name="Button 15" hidden="1">
              <a:extLst>
                <a:ext uri="{63B3BB69-23CF-44E3-9099-C40C66FF867C}">
                  <a14:compatExt spid="_x0000_s143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338" name="Button 16" hidden="1">
              <a:extLst>
                <a:ext uri="{63B3BB69-23CF-44E3-9099-C40C66FF867C}">
                  <a14:compatExt spid="_x0000_s143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337" name="Button 18" descr="Opción Múltiple VR"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368" name="Button 32" hidden="1">
              <a:extLst>
                <a:ext uri="{63B3BB69-23CF-44E3-9099-C40C66FF867C}">
                  <a14:compatExt spid="_x0000_s143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367" name="Button 31" hidden="1">
              <a:extLst>
                <a:ext uri="{63B3BB69-23CF-44E3-9099-C40C66FF867C}">
                  <a14:compatExt spid="_x0000_s143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366" name="Button 30" hidden="1">
              <a:extLst>
                <a:ext uri="{63B3BB69-23CF-44E3-9099-C40C66FF867C}">
                  <a14:compatExt spid="_x0000_s143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365" name="Button 29" hidden="1">
              <a:extLst>
                <a:ext uri="{63B3BB69-23CF-44E3-9099-C40C66FF867C}">
                  <a14:compatExt spid="_x0000_s143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364" name="Button 28" hidden="1">
              <a:extLst>
                <a:ext uri="{63B3BB69-23CF-44E3-9099-C40C66FF867C}">
                  <a14:compatExt spid="_x0000_s143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363" name="Button 27" hidden="1">
              <a:extLst>
                <a:ext uri="{63B3BB69-23CF-44E3-9099-C40C66FF867C}">
                  <a14:compatExt spid="_x0000_s143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362" name="Button 26" hidden="1">
              <a:extLst>
                <a:ext uri="{63B3BB69-23CF-44E3-9099-C40C66FF867C}">
                  <a14:compatExt spid="_x0000_s143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361" name="Button 25" hidden="1">
              <a:extLst>
                <a:ext uri="{63B3BB69-23CF-44E3-9099-C40C66FF867C}">
                  <a14:compatExt spid="_x0000_s143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360" name="Button 24" hidden="1">
              <a:extLst>
                <a:ext uri="{63B3BB69-23CF-44E3-9099-C40C66FF867C}">
                  <a14:compatExt spid="_x0000_s143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359" name="Button 23" hidden="1">
              <a:extLst>
                <a:ext uri="{63B3BB69-23CF-44E3-9099-C40C66FF867C}">
                  <a14:compatExt spid="_x0000_s143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358" name="Button 22" hidden="1">
              <a:extLst>
                <a:ext uri="{63B3BB69-23CF-44E3-9099-C40C66FF867C}">
                  <a14:compatExt spid="_x0000_s143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357" name="Button 21" hidden="1">
              <a:extLst>
                <a:ext uri="{63B3BB69-23CF-44E3-9099-C40C66FF867C}">
                  <a14:compatExt spid="_x0000_s143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356" name="Button 20" hidden="1">
              <a:extLst>
                <a:ext uri="{63B3BB69-23CF-44E3-9099-C40C66FF867C}">
                  <a14:compatExt spid="_x0000_s143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355" name="Button 19" hidden="1">
              <a:extLst>
                <a:ext uri="{63B3BB69-23CF-44E3-9099-C40C66FF867C}">
                  <a14:compatExt spid="_x0000_s143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354" name="Button 18" hidden="1">
              <a:extLst>
                <a:ext uri="{63B3BB69-23CF-44E3-9099-C40C66FF867C}">
                  <a14:compatExt spid="_x0000_s143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353" name="Button 17" descr="Opción Múltiple VR" hidden="1">
              <a:extLst>
                <a:ext uri="{63B3BB69-23CF-44E3-9099-C40C66FF867C}">
                  <a14:compatExt spid="_x0000_s143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384" name="Button 48" hidden="1">
              <a:extLst>
                <a:ext uri="{63B3BB69-23CF-44E3-9099-C40C66FF867C}">
                  <a14:compatExt spid="_x0000_s143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383" name="Button 47" hidden="1">
              <a:extLst>
                <a:ext uri="{63B3BB69-23CF-44E3-9099-C40C66FF867C}">
                  <a14:compatExt spid="_x0000_s143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382" name="Button 46" hidden="1">
              <a:extLst>
                <a:ext uri="{63B3BB69-23CF-44E3-9099-C40C66FF867C}">
                  <a14:compatExt spid="_x0000_s143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381" name="Button 45" hidden="1">
              <a:extLst>
                <a:ext uri="{63B3BB69-23CF-44E3-9099-C40C66FF867C}">
                  <a14:compatExt spid="_x0000_s143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380" name="Button 44" hidden="1">
              <a:extLst>
                <a:ext uri="{63B3BB69-23CF-44E3-9099-C40C66FF867C}">
                  <a14:compatExt spid="_x0000_s143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379" name="Button 43" hidden="1">
              <a:extLst>
                <a:ext uri="{63B3BB69-23CF-44E3-9099-C40C66FF867C}">
                  <a14:compatExt spid="_x0000_s143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378" name="Button 42" hidden="1">
              <a:extLst>
                <a:ext uri="{63B3BB69-23CF-44E3-9099-C40C66FF867C}">
                  <a14:compatExt spid="_x0000_s143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377" name="Button 41" hidden="1">
              <a:extLst>
                <a:ext uri="{63B3BB69-23CF-44E3-9099-C40C66FF867C}">
                  <a14:compatExt spid="_x0000_s143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376" name="Button 40" hidden="1">
              <a:extLst>
                <a:ext uri="{63B3BB69-23CF-44E3-9099-C40C66FF867C}">
                  <a14:compatExt spid="_x0000_s143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375" name="Button 39" hidden="1">
              <a:extLst>
                <a:ext uri="{63B3BB69-23CF-44E3-9099-C40C66FF867C}">
                  <a14:compatExt spid="_x0000_s143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374" name="Button 38" hidden="1">
              <a:extLst>
                <a:ext uri="{63B3BB69-23CF-44E3-9099-C40C66FF867C}">
                  <a14:compatExt spid="_x0000_s143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373" name="Button 37" hidden="1">
              <a:extLst>
                <a:ext uri="{63B3BB69-23CF-44E3-9099-C40C66FF867C}">
                  <a14:compatExt spid="_x0000_s143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372" name="Button 36" hidden="1">
              <a:extLst>
                <a:ext uri="{63B3BB69-23CF-44E3-9099-C40C66FF867C}">
                  <a14:compatExt spid="_x0000_s143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371" name="Button 35" hidden="1">
              <a:extLst>
                <a:ext uri="{63B3BB69-23CF-44E3-9099-C40C66FF867C}">
                  <a14:compatExt spid="_x0000_s143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370" name="Button 34" hidden="1">
              <a:extLst>
                <a:ext uri="{63B3BB69-23CF-44E3-9099-C40C66FF867C}">
                  <a14:compatExt spid="_x0000_s143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369" name="Button 33" descr="Opción Múltiple VR" hidden="1">
              <a:extLst>
                <a:ext uri="{63B3BB69-23CF-44E3-9099-C40C66FF867C}">
                  <a14:compatExt spid="_x0000_s143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00" name="Button 64" hidden="1">
              <a:extLst>
                <a:ext uri="{63B3BB69-23CF-44E3-9099-C40C66FF867C}">
                  <a14:compatExt spid="_x0000_s14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399" name="Button 63" hidden="1">
              <a:extLst>
                <a:ext uri="{63B3BB69-23CF-44E3-9099-C40C66FF867C}">
                  <a14:compatExt spid="_x0000_s143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398" name="Button 62" hidden="1">
              <a:extLst>
                <a:ext uri="{63B3BB69-23CF-44E3-9099-C40C66FF867C}">
                  <a14:compatExt spid="_x0000_s143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397" name="Button 61" hidden="1">
              <a:extLst>
                <a:ext uri="{63B3BB69-23CF-44E3-9099-C40C66FF867C}">
                  <a14:compatExt spid="_x0000_s143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396" name="Button 60" hidden="1">
              <a:extLst>
                <a:ext uri="{63B3BB69-23CF-44E3-9099-C40C66FF867C}">
                  <a14:compatExt spid="_x0000_s143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395" name="Button 59" hidden="1">
              <a:extLst>
                <a:ext uri="{63B3BB69-23CF-44E3-9099-C40C66FF867C}">
                  <a14:compatExt spid="_x0000_s143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394" name="Button 58" hidden="1">
              <a:extLst>
                <a:ext uri="{63B3BB69-23CF-44E3-9099-C40C66FF867C}">
                  <a14:compatExt spid="_x0000_s143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393" name="Button 57" hidden="1">
              <a:extLst>
                <a:ext uri="{63B3BB69-23CF-44E3-9099-C40C66FF867C}">
                  <a14:compatExt spid="_x0000_s143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392" name="Button 56" hidden="1">
              <a:extLst>
                <a:ext uri="{63B3BB69-23CF-44E3-9099-C40C66FF867C}">
                  <a14:compatExt spid="_x0000_s143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391" name="Button 55" hidden="1">
              <a:extLst>
                <a:ext uri="{63B3BB69-23CF-44E3-9099-C40C66FF867C}">
                  <a14:compatExt spid="_x0000_s143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390" name="Button 54" hidden="1">
              <a:extLst>
                <a:ext uri="{63B3BB69-23CF-44E3-9099-C40C66FF867C}">
                  <a14:compatExt spid="_x0000_s143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389" name="Button 53" hidden="1">
              <a:extLst>
                <a:ext uri="{63B3BB69-23CF-44E3-9099-C40C66FF867C}">
                  <a14:compatExt spid="_x0000_s143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388" name="Button 52" hidden="1">
              <a:extLst>
                <a:ext uri="{63B3BB69-23CF-44E3-9099-C40C66FF867C}">
                  <a14:compatExt spid="_x0000_s143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387" name="Button 51" hidden="1">
              <a:extLst>
                <a:ext uri="{63B3BB69-23CF-44E3-9099-C40C66FF867C}">
                  <a14:compatExt spid="_x0000_s143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386" name="Button 50" hidden="1">
              <a:extLst>
                <a:ext uri="{63B3BB69-23CF-44E3-9099-C40C66FF867C}">
                  <a14:compatExt spid="_x0000_s143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385" name="Button 49" descr="Opción Múltiple VR" hidden="1">
              <a:extLst>
                <a:ext uri="{63B3BB69-23CF-44E3-9099-C40C66FF867C}">
                  <a14:compatExt spid="_x0000_s143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16" name="Button 80" hidden="1">
              <a:extLst>
                <a:ext uri="{63B3BB69-23CF-44E3-9099-C40C66FF867C}">
                  <a14:compatExt spid="_x0000_s144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15" name="Button 79" hidden="1">
              <a:extLst>
                <a:ext uri="{63B3BB69-23CF-44E3-9099-C40C66FF867C}">
                  <a14:compatExt spid="_x0000_s144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14" name="Button 78" hidden="1">
              <a:extLst>
                <a:ext uri="{63B3BB69-23CF-44E3-9099-C40C66FF867C}">
                  <a14:compatExt spid="_x0000_s144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13" name="Button 77" hidden="1">
              <a:extLst>
                <a:ext uri="{63B3BB69-23CF-44E3-9099-C40C66FF867C}">
                  <a14:compatExt spid="_x0000_s144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12" name="Button 76" hidden="1">
              <a:extLst>
                <a:ext uri="{63B3BB69-23CF-44E3-9099-C40C66FF867C}">
                  <a14:compatExt spid="_x0000_s144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11" name="Button 75" hidden="1">
              <a:extLst>
                <a:ext uri="{63B3BB69-23CF-44E3-9099-C40C66FF867C}">
                  <a14:compatExt spid="_x0000_s144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10" name="Button 74" hidden="1">
              <a:extLst>
                <a:ext uri="{63B3BB69-23CF-44E3-9099-C40C66FF867C}">
                  <a14:compatExt spid="_x0000_s144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09" name="Button 73" hidden="1">
              <a:extLst>
                <a:ext uri="{63B3BB69-23CF-44E3-9099-C40C66FF867C}">
                  <a14:compatExt spid="_x0000_s144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408" name="Button 72" hidden="1">
              <a:extLst>
                <a:ext uri="{63B3BB69-23CF-44E3-9099-C40C66FF867C}">
                  <a14:compatExt spid="_x0000_s144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07" name="Button 71" hidden="1">
              <a:extLst>
                <a:ext uri="{63B3BB69-23CF-44E3-9099-C40C66FF867C}">
                  <a14:compatExt spid="_x0000_s144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06" name="Button 70" hidden="1">
              <a:extLst>
                <a:ext uri="{63B3BB69-23CF-44E3-9099-C40C66FF867C}">
                  <a14:compatExt spid="_x0000_s144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1</xdr:row>
          <xdr:rowOff>0</xdr:rowOff>
        </xdr:to>
        <xdr:sp macro="" textlink="">
          <xdr:nvSpPr>
            <xdr:cNvPr id="14405" name="Button 69" hidden="1">
              <a:extLst>
                <a:ext uri="{63B3BB69-23CF-44E3-9099-C40C66FF867C}">
                  <a14:compatExt spid="_x0000_s144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04" name="Button 68" hidden="1">
              <a:extLst>
                <a:ext uri="{63B3BB69-23CF-44E3-9099-C40C66FF867C}">
                  <a14:compatExt spid="_x0000_s144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03" name="Button 67" hidden="1">
              <a:extLst>
                <a:ext uri="{63B3BB69-23CF-44E3-9099-C40C66FF867C}">
                  <a14:compatExt spid="_x0000_s144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1</xdr:row>
          <xdr:rowOff>0</xdr:rowOff>
        </xdr:to>
        <xdr:sp macro="" textlink="">
          <xdr:nvSpPr>
            <xdr:cNvPr id="14402" name="Button 66" hidden="1">
              <a:extLst>
                <a:ext uri="{63B3BB69-23CF-44E3-9099-C40C66FF867C}">
                  <a14:compatExt spid="_x0000_s144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401" name="Button 65" descr="Opción Múltiple VR" hidden="1">
              <a:extLst>
                <a:ext uri="{63B3BB69-23CF-44E3-9099-C40C66FF867C}">
                  <a14:compatExt spid="_x0000_s144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32" name="Button 96" hidden="1">
              <a:extLst>
                <a:ext uri="{63B3BB69-23CF-44E3-9099-C40C66FF867C}">
                  <a14:compatExt spid="_x0000_s144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31" name="Button 95" hidden="1">
              <a:extLst>
                <a:ext uri="{63B3BB69-23CF-44E3-9099-C40C66FF867C}">
                  <a14:compatExt spid="_x0000_s144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30" name="Button 94" hidden="1">
              <a:extLst>
                <a:ext uri="{63B3BB69-23CF-44E3-9099-C40C66FF867C}">
                  <a14:compatExt spid="_x0000_s144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29" name="Button 93" hidden="1">
              <a:extLst>
                <a:ext uri="{63B3BB69-23CF-44E3-9099-C40C66FF867C}">
                  <a14:compatExt spid="_x0000_s144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28" name="Button 92" hidden="1">
              <a:extLst>
                <a:ext uri="{63B3BB69-23CF-44E3-9099-C40C66FF867C}">
                  <a14:compatExt spid="_x0000_s144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27" name="Button 91" hidden="1">
              <a:extLst>
                <a:ext uri="{63B3BB69-23CF-44E3-9099-C40C66FF867C}">
                  <a14:compatExt spid="_x0000_s144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26" name="Button 90" hidden="1">
              <a:extLst>
                <a:ext uri="{63B3BB69-23CF-44E3-9099-C40C66FF867C}">
                  <a14:compatExt spid="_x0000_s144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25" name="Button 89" hidden="1">
              <a:extLst>
                <a:ext uri="{63B3BB69-23CF-44E3-9099-C40C66FF867C}">
                  <a14:compatExt spid="_x0000_s144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3162300</xdr:colOff>
          <xdr:row>0</xdr:row>
          <xdr:rowOff>9525</xdr:rowOff>
        </xdr:from>
        <xdr:to>
          <xdr:col>7</xdr:col>
          <xdr:colOff>304800</xdr:colOff>
          <xdr:row>0</xdr:row>
          <xdr:rowOff>161925</xdr:rowOff>
        </xdr:to>
        <xdr:sp macro="" textlink="">
          <xdr:nvSpPr>
            <xdr:cNvPr id="14424" name="Button 88" hidden="1">
              <a:extLst>
                <a:ext uri="{63B3BB69-23CF-44E3-9099-C40C66FF867C}">
                  <a14:compatExt spid="_x0000_s144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23" name="Button 87" hidden="1">
              <a:extLst>
                <a:ext uri="{63B3BB69-23CF-44E3-9099-C40C66FF867C}">
                  <a14:compatExt spid="_x0000_s144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22" name="Button 86" hidden="1">
              <a:extLst>
                <a:ext uri="{63B3BB69-23CF-44E3-9099-C40C66FF867C}">
                  <a14:compatExt spid="_x0000_s144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1857375</xdr:colOff>
          <xdr:row>0</xdr:row>
          <xdr:rowOff>314325</xdr:rowOff>
        </xdr:to>
        <xdr:sp macro="" textlink="">
          <xdr:nvSpPr>
            <xdr:cNvPr id="14421" name="Button 85" hidden="1">
              <a:extLst>
                <a:ext uri="{63B3BB69-23CF-44E3-9099-C40C66FF867C}">
                  <a14:compatExt spid="_x0000_s144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20" name="Button 84" hidden="1">
              <a:extLst>
                <a:ext uri="{63B3BB69-23CF-44E3-9099-C40C66FF867C}">
                  <a14:compatExt spid="_x0000_s144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19" name="Button 83" hidden="1">
              <a:extLst>
                <a:ext uri="{63B3BB69-23CF-44E3-9099-C40C66FF867C}">
                  <a14:compatExt spid="_x0000_s144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18" name="Button 82" hidden="1">
              <a:extLst>
                <a:ext uri="{63B3BB69-23CF-44E3-9099-C40C66FF867C}">
                  <a14:compatExt spid="_x0000_s144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3162300</xdr:colOff>
          <xdr:row>0</xdr:row>
          <xdr:rowOff>161925</xdr:rowOff>
        </xdr:to>
        <xdr:sp macro="" textlink="">
          <xdr:nvSpPr>
            <xdr:cNvPr id="14417" name="Button 81" descr="Opción Múltiple VR" hidden="1">
              <a:extLst>
                <a:ext uri="{63B3BB69-23CF-44E3-9099-C40C66FF867C}">
                  <a14:compatExt spid="_x0000_s144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48" name="Button 112" hidden="1">
              <a:extLst>
                <a:ext uri="{63B3BB69-23CF-44E3-9099-C40C66FF867C}">
                  <a14:compatExt spid="_x0000_s144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47" name="Button 111" hidden="1">
              <a:extLst>
                <a:ext uri="{63B3BB69-23CF-44E3-9099-C40C66FF867C}">
                  <a14:compatExt spid="_x0000_s144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46" name="Button 110" hidden="1">
              <a:extLst>
                <a:ext uri="{63B3BB69-23CF-44E3-9099-C40C66FF867C}">
                  <a14:compatExt spid="_x0000_s144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45" name="Button 109" hidden="1">
              <a:extLst>
                <a:ext uri="{63B3BB69-23CF-44E3-9099-C40C66FF867C}">
                  <a14:compatExt spid="_x0000_s144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44" name="Button 108" hidden="1">
              <a:extLst>
                <a:ext uri="{63B3BB69-23CF-44E3-9099-C40C66FF867C}">
                  <a14:compatExt spid="_x0000_s144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43" name="Button 107" hidden="1">
              <a:extLst>
                <a:ext uri="{63B3BB69-23CF-44E3-9099-C40C66FF867C}">
                  <a14:compatExt spid="_x0000_s144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42" name="Button 106" hidden="1">
              <a:extLst>
                <a:ext uri="{63B3BB69-23CF-44E3-9099-C40C66FF867C}">
                  <a14:compatExt spid="_x0000_s144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41" name="Button 105" hidden="1">
              <a:extLst>
                <a:ext uri="{63B3BB69-23CF-44E3-9099-C40C66FF867C}">
                  <a14:compatExt spid="_x0000_s144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3162300</xdr:colOff>
          <xdr:row>0</xdr:row>
          <xdr:rowOff>9525</xdr:rowOff>
        </xdr:from>
        <xdr:to>
          <xdr:col>7</xdr:col>
          <xdr:colOff>304800</xdr:colOff>
          <xdr:row>0</xdr:row>
          <xdr:rowOff>161925</xdr:rowOff>
        </xdr:to>
        <xdr:sp macro="" textlink="">
          <xdr:nvSpPr>
            <xdr:cNvPr id="14440" name="Button 104" hidden="1">
              <a:extLst>
                <a:ext uri="{63B3BB69-23CF-44E3-9099-C40C66FF867C}">
                  <a14:compatExt spid="_x0000_s144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39" name="Button 103" hidden="1">
              <a:extLst>
                <a:ext uri="{63B3BB69-23CF-44E3-9099-C40C66FF867C}">
                  <a14:compatExt spid="_x0000_s144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38" name="Button 102" hidden="1">
              <a:extLst>
                <a:ext uri="{63B3BB69-23CF-44E3-9099-C40C66FF867C}">
                  <a14:compatExt spid="_x0000_s144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1857375</xdr:colOff>
          <xdr:row>0</xdr:row>
          <xdr:rowOff>314325</xdr:rowOff>
        </xdr:to>
        <xdr:sp macro="" textlink="">
          <xdr:nvSpPr>
            <xdr:cNvPr id="14437" name="Button 101" hidden="1">
              <a:extLst>
                <a:ext uri="{63B3BB69-23CF-44E3-9099-C40C66FF867C}">
                  <a14:compatExt spid="_x0000_s144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36" name="Button 100" hidden="1">
              <a:extLst>
                <a:ext uri="{63B3BB69-23CF-44E3-9099-C40C66FF867C}">
                  <a14:compatExt spid="_x0000_s1443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35" name="Button 99" hidden="1">
              <a:extLst>
                <a:ext uri="{63B3BB69-23CF-44E3-9099-C40C66FF867C}">
                  <a14:compatExt spid="_x0000_s144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34" name="Button 98" hidden="1">
              <a:extLst>
                <a:ext uri="{63B3BB69-23CF-44E3-9099-C40C66FF867C}">
                  <a14:compatExt spid="_x0000_s144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3162300</xdr:colOff>
          <xdr:row>0</xdr:row>
          <xdr:rowOff>161925</xdr:rowOff>
        </xdr:to>
        <xdr:sp macro="" textlink="">
          <xdr:nvSpPr>
            <xdr:cNvPr id="14433" name="Button 97" descr="Opción Múltiple VR" hidden="1">
              <a:extLst>
                <a:ext uri="{63B3BB69-23CF-44E3-9099-C40C66FF867C}">
                  <a14:compatExt spid="_x0000_s144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64" name="Button 128" hidden="1">
              <a:extLst>
                <a:ext uri="{63B3BB69-23CF-44E3-9099-C40C66FF867C}">
                  <a14:compatExt spid="_x0000_s144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63" name="Button 127" hidden="1">
              <a:extLst>
                <a:ext uri="{63B3BB69-23CF-44E3-9099-C40C66FF867C}">
                  <a14:compatExt spid="_x0000_s144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62" name="Button 126" hidden="1">
              <a:extLst>
                <a:ext uri="{63B3BB69-23CF-44E3-9099-C40C66FF867C}">
                  <a14:compatExt spid="_x0000_s144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61" name="Button 125" hidden="1">
              <a:extLst>
                <a:ext uri="{63B3BB69-23CF-44E3-9099-C40C66FF867C}">
                  <a14:compatExt spid="_x0000_s144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60" name="Button 124" hidden="1">
              <a:extLst>
                <a:ext uri="{63B3BB69-23CF-44E3-9099-C40C66FF867C}">
                  <a14:compatExt spid="_x0000_s144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59" name="Button 123" hidden="1">
              <a:extLst>
                <a:ext uri="{63B3BB69-23CF-44E3-9099-C40C66FF867C}">
                  <a14:compatExt spid="_x0000_s144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58" name="Button 122" hidden="1">
              <a:extLst>
                <a:ext uri="{63B3BB69-23CF-44E3-9099-C40C66FF867C}">
                  <a14:compatExt spid="_x0000_s144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57" name="Button 121" hidden="1">
              <a:extLst>
                <a:ext uri="{63B3BB69-23CF-44E3-9099-C40C66FF867C}">
                  <a14:compatExt spid="_x0000_s144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3162300</xdr:colOff>
          <xdr:row>0</xdr:row>
          <xdr:rowOff>9525</xdr:rowOff>
        </xdr:from>
        <xdr:to>
          <xdr:col>7</xdr:col>
          <xdr:colOff>304800</xdr:colOff>
          <xdr:row>0</xdr:row>
          <xdr:rowOff>161925</xdr:rowOff>
        </xdr:to>
        <xdr:sp macro="" textlink="">
          <xdr:nvSpPr>
            <xdr:cNvPr id="14456" name="Button 120" hidden="1">
              <a:extLst>
                <a:ext uri="{63B3BB69-23CF-44E3-9099-C40C66FF867C}">
                  <a14:compatExt spid="_x0000_s144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55" name="Button 119" hidden="1">
              <a:extLst>
                <a:ext uri="{63B3BB69-23CF-44E3-9099-C40C66FF867C}">
                  <a14:compatExt spid="_x0000_s144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54" name="Button 118" hidden="1">
              <a:extLst>
                <a:ext uri="{63B3BB69-23CF-44E3-9099-C40C66FF867C}">
                  <a14:compatExt spid="_x0000_s144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1857375</xdr:colOff>
          <xdr:row>0</xdr:row>
          <xdr:rowOff>314325</xdr:rowOff>
        </xdr:to>
        <xdr:sp macro="" textlink="">
          <xdr:nvSpPr>
            <xdr:cNvPr id="14453" name="Button 117" hidden="1">
              <a:extLst>
                <a:ext uri="{63B3BB69-23CF-44E3-9099-C40C66FF867C}">
                  <a14:compatExt spid="_x0000_s144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52" name="Button 116" hidden="1">
              <a:extLst>
                <a:ext uri="{63B3BB69-23CF-44E3-9099-C40C66FF867C}">
                  <a14:compatExt spid="_x0000_s144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51" name="Button 115" hidden="1">
              <a:extLst>
                <a:ext uri="{63B3BB69-23CF-44E3-9099-C40C66FF867C}">
                  <a14:compatExt spid="_x0000_s144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50" name="Button 114" hidden="1">
              <a:extLst>
                <a:ext uri="{63B3BB69-23CF-44E3-9099-C40C66FF867C}">
                  <a14:compatExt spid="_x0000_s144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3162300</xdr:colOff>
          <xdr:row>0</xdr:row>
          <xdr:rowOff>161925</xdr:rowOff>
        </xdr:to>
        <xdr:sp macro="" textlink="">
          <xdr:nvSpPr>
            <xdr:cNvPr id="14449" name="Button 113" descr="Opción Múltiple VR" hidden="1">
              <a:extLst>
                <a:ext uri="{63B3BB69-23CF-44E3-9099-C40C66FF867C}">
                  <a14:compatExt spid="_x0000_s144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80" name="Button 144" hidden="1">
              <a:extLst>
                <a:ext uri="{63B3BB69-23CF-44E3-9099-C40C66FF867C}">
                  <a14:compatExt spid="_x0000_s144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79" name="Button 143" hidden="1">
              <a:extLst>
                <a:ext uri="{63B3BB69-23CF-44E3-9099-C40C66FF867C}">
                  <a14:compatExt spid="_x0000_s144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78" name="Button 142" hidden="1">
              <a:extLst>
                <a:ext uri="{63B3BB69-23CF-44E3-9099-C40C66FF867C}">
                  <a14:compatExt spid="_x0000_s144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77" name="Button 141" hidden="1">
              <a:extLst>
                <a:ext uri="{63B3BB69-23CF-44E3-9099-C40C66FF867C}">
                  <a14:compatExt spid="_x0000_s144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76" name="Button 140" hidden="1">
              <a:extLst>
                <a:ext uri="{63B3BB69-23CF-44E3-9099-C40C66FF867C}">
                  <a14:compatExt spid="_x0000_s144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75" name="Button 139" hidden="1">
              <a:extLst>
                <a:ext uri="{63B3BB69-23CF-44E3-9099-C40C66FF867C}">
                  <a14:compatExt spid="_x0000_s144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74" name="Button 138" hidden="1">
              <a:extLst>
                <a:ext uri="{63B3BB69-23CF-44E3-9099-C40C66FF867C}">
                  <a14:compatExt spid="_x0000_s144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73" name="Button 137" hidden="1">
              <a:extLst>
                <a:ext uri="{63B3BB69-23CF-44E3-9099-C40C66FF867C}">
                  <a14:compatExt spid="_x0000_s144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472" name="Button 136" hidden="1">
              <a:extLst>
                <a:ext uri="{63B3BB69-23CF-44E3-9099-C40C66FF867C}">
                  <a14:compatExt spid="_x0000_s144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71" name="Button 135" hidden="1">
              <a:extLst>
                <a:ext uri="{63B3BB69-23CF-44E3-9099-C40C66FF867C}">
                  <a14:compatExt spid="_x0000_s144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70" name="Button 134" hidden="1">
              <a:extLst>
                <a:ext uri="{63B3BB69-23CF-44E3-9099-C40C66FF867C}">
                  <a14:compatExt spid="_x0000_s144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469" name="Button 133" hidden="1">
              <a:extLst>
                <a:ext uri="{63B3BB69-23CF-44E3-9099-C40C66FF867C}">
                  <a14:compatExt spid="_x0000_s144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68" name="Button 132" hidden="1">
              <a:extLst>
                <a:ext uri="{63B3BB69-23CF-44E3-9099-C40C66FF867C}">
                  <a14:compatExt spid="_x0000_s144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67" name="Button 131" hidden="1">
              <a:extLst>
                <a:ext uri="{63B3BB69-23CF-44E3-9099-C40C66FF867C}">
                  <a14:compatExt spid="_x0000_s144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66" name="Button 130" hidden="1">
              <a:extLst>
                <a:ext uri="{63B3BB69-23CF-44E3-9099-C40C66FF867C}">
                  <a14:compatExt spid="_x0000_s144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465" name="Button 129" descr="Opción Múltiple VR" hidden="1">
              <a:extLst>
                <a:ext uri="{63B3BB69-23CF-44E3-9099-C40C66FF867C}">
                  <a14:compatExt spid="_x0000_s144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496" name="Button 160" hidden="1">
              <a:extLst>
                <a:ext uri="{63B3BB69-23CF-44E3-9099-C40C66FF867C}">
                  <a14:compatExt spid="_x0000_s144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495" name="Button 159" hidden="1">
              <a:extLst>
                <a:ext uri="{63B3BB69-23CF-44E3-9099-C40C66FF867C}">
                  <a14:compatExt spid="_x0000_s144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494" name="Button 158" hidden="1">
              <a:extLst>
                <a:ext uri="{63B3BB69-23CF-44E3-9099-C40C66FF867C}">
                  <a14:compatExt spid="_x0000_s144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493" name="Button 157" hidden="1">
              <a:extLst>
                <a:ext uri="{63B3BB69-23CF-44E3-9099-C40C66FF867C}">
                  <a14:compatExt spid="_x0000_s144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492" name="Button 156" hidden="1">
              <a:extLst>
                <a:ext uri="{63B3BB69-23CF-44E3-9099-C40C66FF867C}">
                  <a14:compatExt spid="_x0000_s144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491" name="Button 155" hidden="1">
              <a:extLst>
                <a:ext uri="{63B3BB69-23CF-44E3-9099-C40C66FF867C}">
                  <a14:compatExt spid="_x0000_s144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490" name="Button 154" hidden="1">
              <a:extLst>
                <a:ext uri="{63B3BB69-23CF-44E3-9099-C40C66FF867C}">
                  <a14:compatExt spid="_x0000_s144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489" name="Button 153" hidden="1">
              <a:extLst>
                <a:ext uri="{63B3BB69-23CF-44E3-9099-C40C66FF867C}">
                  <a14:compatExt spid="_x0000_s144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488" name="Button 152" hidden="1">
              <a:extLst>
                <a:ext uri="{63B3BB69-23CF-44E3-9099-C40C66FF867C}">
                  <a14:compatExt spid="_x0000_s144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487" name="Button 151" hidden="1">
              <a:extLst>
                <a:ext uri="{63B3BB69-23CF-44E3-9099-C40C66FF867C}">
                  <a14:compatExt spid="_x0000_s144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486" name="Button 150" hidden="1">
              <a:extLst>
                <a:ext uri="{63B3BB69-23CF-44E3-9099-C40C66FF867C}">
                  <a14:compatExt spid="_x0000_s144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485" name="Button 149" hidden="1">
              <a:extLst>
                <a:ext uri="{63B3BB69-23CF-44E3-9099-C40C66FF867C}">
                  <a14:compatExt spid="_x0000_s144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484" name="Button 148" hidden="1">
              <a:extLst>
                <a:ext uri="{63B3BB69-23CF-44E3-9099-C40C66FF867C}">
                  <a14:compatExt spid="_x0000_s144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83" name="Button 147" hidden="1">
              <a:extLst>
                <a:ext uri="{63B3BB69-23CF-44E3-9099-C40C66FF867C}">
                  <a14:compatExt spid="_x0000_s144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82" name="Button 146" hidden="1">
              <a:extLst>
                <a:ext uri="{63B3BB69-23CF-44E3-9099-C40C66FF867C}">
                  <a14:compatExt spid="_x0000_s144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481" name="Button 145" descr="Opción Múltiple VR" hidden="1">
              <a:extLst>
                <a:ext uri="{63B3BB69-23CF-44E3-9099-C40C66FF867C}">
                  <a14:compatExt spid="_x0000_s144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12" name="Button 176" hidden="1">
              <a:extLst>
                <a:ext uri="{63B3BB69-23CF-44E3-9099-C40C66FF867C}">
                  <a14:compatExt spid="_x0000_s145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11" name="Button 175" hidden="1">
              <a:extLst>
                <a:ext uri="{63B3BB69-23CF-44E3-9099-C40C66FF867C}">
                  <a14:compatExt spid="_x0000_s145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10" name="Button 174" hidden="1">
              <a:extLst>
                <a:ext uri="{63B3BB69-23CF-44E3-9099-C40C66FF867C}">
                  <a14:compatExt spid="_x0000_s145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09" name="Button 173" hidden="1">
              <a:extLst>
                <a:ext uri="{63B3BB69-23CF-44E3-9099-C40C66FF867C}">
                  <a14:compatExt spid="_x0000_s145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08" name="Button 172" hidden="1">
              <a:extLst>
                <a:ext uri="{63B3BB69-23CF-44E3-9099-C40C66FF867C}">
                  <a14:compatExt spid="_x0000_s145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07" name="Button 171" hidden="1">
              <a:extLst>
                <a:ext uri="{63B3BB69-23CF-44E3-9099-C40C66FF867C}">
                  <a14:compatExt spid="_x0000_s145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06" name="Button 170" hidden="1">
              <a:extLst>
                <a:ext uri="{63B3BB69-23CF-44E3-9099-C40C66FF867C}">
                  <a14:compatExt spid="_x0000_s145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05" name="Button 169" hidden="1">
              <a:extLst>
                <a:ext uri="{63B3BB69-23CF-44E3-9099-C40C66FF867C}">
                  <a14:compatExt spid="_x0000_s145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04" name="Button 168" hidden="1">
              <a:extLst>
                <a:ext uri="{63B3BB69-23CF-44E3-9099-C40C66FF867C}">
                  <a14:compatExt spid="_x0000_s145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03" name="Button 167" hidden="1">
              <a:extLst>
                <a:ext uri="{63B3BB69-23CF-44E3-9099-C40C66FF867C}">
                  <a14:compatExt spid="_x0000_s145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02" name="Button 166" hidden="1">
              <a:extLst>
                <a:ext uri="{63B3BB69-23CF-44E3-9099-C40C66FF867C}">
                  <a14:compatExt spid="_x0000_s145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01" name="Button 165" hidden="1">
              <a:extLst>
                <a:ext uri="{63B3BB69-23CF-44E3-9099-C40C66FF867C}">
                  <a14:compatExt spid="_x0000_s145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00" name="Button 164" hidden="1">
              <a:extLst>
                <a:ext uri="{63B3BB69-23CF-44E3-9099-C40C66FF867C}">
                  <a14:compatExt spid="_x0000_s14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499" name="Button 163" hidden="1">
              <a:extLst>
                <a:ext uri="{63B3BB69-23CF-44E3-9099-C40C66FF867C}">
                  <a14:compatExt spid="_x0000_s144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498" name="Button 162" hidden="1">
              <a:extLst>
                <a:ext uri="{63B3BB69-23CF-44E3-9099-C40C66FF867C}">
                  <a14:compatExt spid="_x0000_s144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497" name="Button 161" descr="Opción Múltiple VR" hidden="1">
              <a:extLst>
                <a:ext uri="{63B3BB69-23CF-44E3-9099-C40C66FF867C}">
                  <a14:compatExt spid="_x0000_s144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28" name="Button 192" hidden="1">
              <a:extLst>
                <a:ext uri="{63B3BB69-23CF-44E3-9099-C40C66FF867C}">
                  <a14:compatExt spid="_x0000_s145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27" name="Button 191" hidden="1">
              <a:extLst>
                <a:ext uri="{63B3BB69-23CF-44E3-9099-C40C66FF867C}">
                  <a14:compatExt spid="_x0000_s145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26" name="Button 190" hidden="1">
              <a:extLst>
                <a:ext uri="{63B3BB69-23CF-44E3-9099-C40C66FF867C}">
                  <a14:compatExt spid="_x0000_s145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25" name="Button 189" hidden="1">
              <a:extLst>
                <a:ext uri="{63B3BB69-23CF-44E3-9099-C40C66FF867C}">
                  <a14:compatExt spid="_x0000_s145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24" name="Button 188" hidden="1">
              <a:extLst>
                <a:ext uri="{63B3BB69-23CF-44E3-9099-C40C66FF867C}">
                  <a14:compatExt spid="_x0000_s145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23" name="Button 187" hidden="1">
              <a:extLst>
                <a:ext uri="{63B3BB69-23CF-44E3-9099-C40C66FF867C}">
                  <a14:compatExt spid="_x0000_s145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22" name="Button 186" hidden="1">
              <a:extLst>
                <a:ext uri="{63B3BB69-23CF-44E3-9099-C40C66FF867C}">
                  <a14:compatExt spid="_x0000_s145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21" name="Button 185" hidden="1">
              <a:extLst>
                <a:ext uri="{63B3BB69-23CF-44E3-9099-C40C66FF867C}">
                  <a14:compatExt spid="_x0000_s145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20" name="Button 184" hidden="1">
              <a:extLst>
                <a:ext uri="{63B3BB69-23CF-44E3-9099-C40C66FF867C}">
                  <a14:compatExt spid="_x0000_s145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19" name="Button 183" hidden="1">
              <a:extLst>
                <a:ext uri="{63B3BB69-23CF-44E3-9099-C40C66FF867C}">
                  <a14:compatExt spid="_x0000_s145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18" name="Button 182" hidden="1">
              <a:extLst>
                <a:ext uri="{63B3BB69-23CF-44E3-9099-C40C66FF867C}">
                  <a14:compatExt spid="_x0000_s145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17" name="Button 181" hidden="1">
              <a:extLst>
                <a:ext uri="{63B3BB69-23CF-44E3-9099-C40C66FF867C}">
                  <a14:compatExt spid="_x0000_s145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16" name="Button 180" hidden="1">
              <a:extLst>
                <a:ext uri="{63B3BB69-23CF-44E3-9099-C40C66FF867C}">
                  <a14:compatExt spid="_x0000_s145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515" name="Button 179" hidden="1">
              <a:extLst>
                <a:ext uri="{63B3BB69-23CF-44E3-9099-C40C66FF867C}">
                  <a14:compatExt spid="_x0000_s145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514" name="Button 178" hidden="1">
              <a:extLst>
                <a:ext uri="{63B3BB69-23CF-44E3-9099-C40C66FF867C}">
                  <a14:compatExt spid="_x0000_s145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513" name="Button 177" descr="Opción Múltiple VR" hidden="1">
              <a:extLst>
                <a:ext uri="{63B3BB69-23CF-44E3-9099-C40C66FF867C}">
                  <a14:compatExt spid="_x0000_s145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44" name="Button 208" hidden="1">
              <a:extLst>
                <a:ext uri="{63B3BB69-23CF-44E3-9099-C40C66FF867C}">
                  <a14:compatExt spid="_x0000_s145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43" name="Button 207" hidden="1">
              <a:extLst>
                <a:ext uri="{63B3BB69-23CF-44E3-9099-C40C66FF867C}">
                  <a14:compatExt spid="_x0000_s145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42" name="Button 206" hidden="1">
              <a:extLst>
                <a:ext uri="{63B3BB69-23CF-44E3-9099-C40C66FF867C}">
                  <a14:compatExt spid="_x0000_s145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41" name="Button 205" hidden="1">
              <a:extLst>
                <a:ext uri="{63B3BB69-23CF-44E3-9099-C40C66FF867C}">
                  <a14:compatExt spid="_x0000_s145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40" name="Button 204" hidden="1">
              <a:extLst>
                <a:ext uri="{63B3BB69-23CF-44E3-9099-C40C66FF867C}">
                  <a14:compatExt spid="_x0000_s145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39" name="Button 203" hidden="1">
              <a:extLst>
                <a:ext uri="{63B3BB69-23CF-44E3-9099-C40C66FF867C}">
                  <a14:compatExt spid="_x0000_s145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38" name="Button 202" hidden="1">
              <a:extLst>
                <a:ext uri="{63B3BB69-23CF-44E3-9099-C40C66FF867C}">
                  <a14:compatExt spid="_x0000_s145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37" name="Button 201" hidden="1">
              <a:extLst>
                <a:ext uri="{63B3BB69-23CF-44E3-9099-C40C66FF867C}">
                  <a14:compatExt spid="_x0000_s145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36" name="Button 200" hidden="1">
              <a:extLst>
                <a:ext uri="{63B3BB69-23CF-44E3-9099-C40C66FF867C}">
                  <a14:compatExt spid="_x0000_s1453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35" name="Button 199" hidden="1">
              <a:extLst>
                <a:ext uri="{63B3BB69-23CF-44E3-9099-C40C66FF867C}">
                  <a14:compatExt spid="_x0000_s145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34" name="Button 198" hidden="1">
              <a:extLst>
                <a:ext uri="{63B3BB69-23CF-44E3-9099-C40C66FF867C}">
                  <a14:compatExt spid="_x0000_s145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33" name="Button 197" hidden="1">
              <a:extLst>
                <a:ext uri="{63B3BB69-23CF-44E3-9099-C40C66FF867C}">
                  <a14:compatExt spid="_x0000_s145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32" name="Button 196" hidden="1">
              <a:extLst>
                <a:ext uri="{63B3BB69-23CF-44E3-9099-C40C66FF867C}">
                  <a14:compatExt spid="_x0000_s145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531" name="Button 195" hidden="1">
              <a:extLst>
                <a:ext uri="{63B3BB69-23CF-44E3-9099-C40C66FF867C}">
                  <a14:compatExt spid="_x0000_s145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530" name="Button 194" hidden="1">
              <a:extLst>
                <a:ext uri="{63B3BB69-23CF-44E3-9099-C40C66FF867C}">
                  <a14:compatExt spid="_x0000_s145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529" name="Button 193" descr="Opción Múltiple VR" hidden="1">
              <a:extLst>
                <a:ext uri="{63B3BB69-23CF-44E3-9099-C40C66FF867C}">
                  <a14:compatExt spid="_x0000_s145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1885950</xdr:colOff>
          <xdr:row>0</xdr:row>
          <xdr:rowOff>9525</xdr:rowOff>
        </xdr:from>
        <xdr:to>
          <xdr:col>5</xdr:col>
          <xdr:colOff>3200400</xdr:colOff>
          <xdr:row>0</xdr:row>
          <xdr:rowOff>314325</xdr:rowOff>
        </xdr:to>
        <xdr:sp macro="" textlink="">
          <xdr:nvSpPr>
            <xdr:cNvPr id="14560" name="Button 224" hidden="1">
              <a:extLst>
                <a:ext uri="{63B3BB69-23CF-44E3-9099-C40C66FF867C}">
                  <a14:compatExt spid="_x0000_s145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9525</xdr:rowOff>
        </xdr:from>
        <xdr:to>
          <xdr:col>5</xdr:col>
          <xdr:colOff>1885950</xdr:colOff>
          <xdr:row>0</xdr:row>
          <xdr:rowOff>314325</xdr:rowOff>
        </xdr:to>
        <xdr:sp macro="" textlink="">
          <xdr:nvSpPr>
            <xdr:cNvPr id="14559" name="Button 223" hidden="1">
              <a:extLst>
                <a:ext uri="{63B3BB69-23CF-44E3-9099-C40C66FF867C}">
                  <a14:compatExt spid="_x0000_s145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0</xdr:row>
          <xdr:rowOff>323850</xdr:rowOff>
        </xdr:from>
        <xdr:to>
          <xdr:col>5</xdr:col>
          <xdr:colOff>1885950</xdr:colOff>
          <xdr:row>1</xdr:row>
          <xdr:rowOff>0</xdr:rowOff>
        </xdr:to>
        <xdr:sp macro="" textlink="">
          <xdr:nvSpPr>
            <xdr:cNvPr id="14558" name="Button 222" hidden="1">
              <a:extLst>
                <a:ext uri="{63B3BB69-23CF-44E3-9099-C40C66FF867C}">
                  <a14:compatExt spid="_x0000_s145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0</xdr:rowOff>
        </xdr:from>
        <xdr:to>
          <xdr:col>7</xdr:col>
          <xdr:colOff>361950</xdr:colOff>
          <xdr:row>0</xdr:row>
          <xdr:rowOff>314325</xdr:rowOff>
        </xdr:to>
        <xdr:sp macro="" textlink="">
          <xdr:nvSpPr>
            <xdr:cNvPr id="14557" name="Button 221" hidden="1">
              <a:extLst>
                <a:ext uri="{63B3BB69-23CF-44E3-9099-C40C66FF867C}">
                  <a14:compatExt spid="_x0000_s145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1895475</xdr:colOff>
          <xdr:row>0</xdr:row>
          <xdr:rowOff>323850</xdr:rowOff>
        </xdr:from>
        <xdr:to>
          <xdr:col>5</xdr:col>
          <xdr:colOff>3200400</xdr:colOff>
          <xdr:row>1</xdr:row>
          <xdr:rowOff>0</xdr:rowOff>
        </xdr:to>
        <xdr:sp macro="" textlink="">
          <xdr:nvSpPr>
            <xdr:cNvPr id="14556" name="Button 220" hidden="1">
              <a:extLst>
                <a:ext uri="{63B3BB69-23CF-44E3-9099-C40C66FF867C}">
                  <a14:compatExt spid="_x0000_s145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3200400</xdr:colOff>
          <xdr:row>0</xdr:row>
          <xdr:rowOff>323850</xdr:rowOff>
        </xdr:from>
        <xdr:to>
          <xdr:col>7</xdr:col>
          <xdr:colOff>361950</xdr:colOff>
          <xdr:row>1</xdr:row>
          <xdr:rowOff>0</xdr:rowOff>
        </xdr:to>
        <xdr:sp macro="" textlink="">
          <xdr:nvSpPr>
            <xdr:cNvPr id="14555" name="Button 219" hidden="1">
              <a:extLst>
                <a:ext uri="{63B3BB69-23CF-44E3-9099-C40C66FF867C}">
                  <a14:compatExt spid="_x0000_s145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561975</xdr:colOff>
          <xdr:row>0</xdr:row>
          <xdr:rowOff>323850</xdr:rowOff>
        </xdr:to>
        <xdr:sp macro="" textlink="">
          <xdr:nvSpPr>
            <xdr:cNvPr id="14554" name="Button 218" hidden="1">
              <a:extLst>
                <a:ext uri="{63B3BB69-23CF-44E3-9099-C40C66FF867C}">
                  <a14:compatExt spid="_x0000_s145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323850</xdr:rowOff>
        </xdr:from>
        <xdr:to>
          <xdr:col>5</xdr:col>
          <xdr:colOff>561975</xdr:colOff>
          <xdr:row>1</xdr:row>
          <xdr:rowOff>0</xdr:rowOff>
        </xdr:to>
        <xdr:sp macro="" textlink="">
          <xdr:nvSpPr>
            <xdr:cNvPr id="14553" name="Button 217" hidden="1">
              <a:extLst>
                <a:ext uri="{63B3BB69-23CF-44E3-9099-C40C66FF867C}">
                  <a14:compatExt spid="_x0000_s14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9525</xdr:rowOff>
        </xdr:from>
        <xdr:to>
          <xdr:col>7</xdr:col>
          <xdr:colOff>304800</xdr:colOff>
          <xdr:row>0</xdr:row>
          <xdr:rowOff>161925</xdr:rowOff>
        </xdr:to>
        <xdr:sp macro="" textlink="">
          <xdr:nvSpPr>
            <xdr:cNvPr id="14552" name="Button 216" hidden="1">
              <a:extLst>
                <a:ext uri="{63B3BB69-23CF-44E3-9099-C40C66FF867C}">
                  <a14:compatExt spid="_x0000_s145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9525</xdr:rowOff>
        </xdr:from>
        <xdr:to>
          <xdr:col>5</xdr:col>
          <xdr:colOff>1857375</xdr:colOff>
          <xdr:row>0</xdr:row>
          <xdr:rowOff>161925</xdr:rowOff>
        </xdr:to>
        <xdr:sp macro="" textlink="">
          <xdr:nvSpPr>
            <xdr:cNvPr id="14551" name="Button 215" hidden="1">
              <a:extLst>
                <a:ext uri="{63B3BB69-23CF-44E3-9099-C40C66FF867C}">
                  <a14:compatExt spid="_x0000_s145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FF0000"/>
                  </a:solidFill>
                  <a:latin typeface="Calibri"/>
                  <a:cs typeface="Calibri"/>
                </a:rPr>
                <a:t>Opción Múltiple 1R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161925</xdr:rowOff>
        </xdr:from>
        <xdr:to>
          <xdr:col>5</xdr:col>
          <xdr:colOff>3162300</xdr:colOff>
          <xdr:row>1</xdr:row>
          <xdr:rowOff>0</xdr:rowOff>
        </xdr:to>
        <xdr:sp macro="" textlink="">
          <xdr:nvSpPr>
            <xdr:cNvPr id="14550" name="Button 214" hidden="1">
              <a:extLst>
                <a:ext uri="{63B3BB69-23CF-44E3-9099-C40C66FF867C}">
                  <a14:compatExt spid="_x0000_s145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561975</xdr:colOff>
          <xdr:row>0</xdr:row>
          <xdr:rowOff>161925</xdr:rowOff>
        </xdr:from>
        <xdr:to>
          <xdr:col>5</xdr:col>
          <xdr:colOff>1866900</xdr:colOff>
          <xdr:row>0</xdr:row>
          <xdr:rowOff>314325</xdr:rowOff>
        </xdr:to>
        <xdr:sp macro="" textlink="">
          <xdr:nvSpPr>
            <xdr:cNvPr id="14549" name="Button 213" hidden="1">
              <a:extLst>
                <a:ext uri="{63B3BB69-23CF-44E3-9099-C40C66FF867C}">
                  <a14:compatExt spid="_x0000_s145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3171825</xdr:colOff>
          <xdr:row>0</xdr:row>
          <xdr:rowOff>161925</xdr:rowOff>
        </xdr:from>
        <xdr:to>
          <xdr:col>7</xdr:col>
          <xdr:colOff>314325</xdr:colOff>
          <xdr:row>1</xdr:row>
          <xdr:rowOff>0</xdr:rowOff>
        </xdr:to>
        <xdr:sp macro="" textlink="">
          <xdr:nvSpPr>
            <xdr:cNvPr id="14548" name="Button 212" hidden="1">
              <a:extLst>
                <a:ext uri="{63B3BB69-23CF-44E3-9099-C40C66FF867C}">
                  <a14:compatExt spid="_x0000_s145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581025</xdr:colOff>
          <xdr:row>0</xdr:row>
          <xdr:rowOff>161925</xdr:rowOff>
        </xdr:to>
        <xdr:sp macro="" textlink="">
          <xdr:nvSpPr>
            <xdr:cNvPr id="14547" name="Button 211" hidden="1">
              <a:extLst>
                <a:ext uri="{63B3BB69-23CF-44E3-9099-C40C66FF867C}">
                  <a14:compatExt spid="_x0000_s145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161925</xdr:rowOff>
        </xdr:from>
        <xdr:to>
          <xdr:col>5</xdr:col>
          <xdr:colOff>581025</xdr:colOff>
          <xdr:row>0</xdr:row>
          <xdr:rowOff>314325</xdr:rowOff>
        </xdr:to>
        <xdr:sp macro="" textlink="">
          <xdr:nvSpPr>
            <xdr:cNvPr id="14546" name="Button 210" hidden="1">
              <a:extLst>
                <a:ext uri="{63B3BB69-23CF-44E3-9099-C40C66FF867C}">
                  <a14:compatExt spid="_x0000_s145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1866900</xdr:colOff>
          <xdr:row>0</xdr:row>
          <xdr:rowOff>9525</xdr:rowOff>
        </xdr:from>
        <xdr:to>
          <xdr:col>5</xdr:col>
          <xdr:colOff>3171825</xdr:colOff>
          <xdr:row>0</xdr:row>
          <xdr:rowOff>161925</xdr:rowOff>
        </xdr:to>
        <xdr:sp macro="" textlink="">
          <xdr:nvSpPr>
            <xdr:cNvPr id="14545" name="Button 209" descr="Opción Múltiple VR" hidden="1">
              <a:extLst>
                <a:ext uri="{63B3BB69-23CF-44E3-9099-C40C66FF867C}">
                  <a14:compatExt spid="_x0000_s145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 VR</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5597</xdr:colOff>
      <xdr:row>0</xdr:row>
      <xdr:rowOff>0</xdr:rowOff>
    </xdr:from>
    <xdr:to>
      <xdr:col>7</xdr:col>
      <xdr:colOff>361587</xdr:colOff>
      <xdr:row>1</xdr:row>
      <xdr:rowOff>4072</xdr:rowOff>
    </xdr:to>
    <xdr:grpSp>
      <xdr:nvGrpSpPr>
        <xdr:cNvPr id="2" name="Grupo 1"/>
        <xdr:cNvGrpSpPr/>
      </xdr:nvGrpSpPr>
      <xdr:grpSpPr>
        <a:xfrm>
          <a:off x="1582937" y="0"/>
          <a:ext cx="4508890" cy="316492"/>
          <a:chOff x="1086141" y="4619"/>
          <a:chExt cx="4470653" cy="585097"/>
        </a:xfrm>
      </xdr:grpSpPr>
      <xdr:sp macro="" textlink="">
        <xdr:nvSpPr>
          <xdr:cNvPr id="12289" name="Button 23" hidden="1">
            <a:extLst>
              <a:ext uri="{63B3BB69-23CF-44E3-9099-C40C66FF867C}">
                <a14:compatExt xmlns:a14="http://schemas.microsoft.com/office/drawing/2010/main" spid="_x0000_s12289"/>
              </a:ext>
            </a:extLst>
          </xdr:cNvPr>
          <xdr:cNvSpPr/>
        </xdr:nvSpPr>
        <xdr:spPr bwMode="auto">
          <a:xfrm>
            <a:off x="2953690" y="9956"/>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12290" name="Button 24" hidden="1">
            <a:extLst>
              <a:ext uri="{63B3BB69-23CF-44E3-9099-C40C66FF867C}">
                <a14:compatExt xmlns:a14="http://schemas.microsoft.com/office/drawing/2010/main" spid="_x0000_s12290"/>
              </a:ext>
            </a:extLst>
          </xdr:cNvPr>
          <xdr:cNvSpPr/>
        </xdr:nvSpPr>
        <xdr:spPr bwMode="auto">
          <a:xfrm>
            <a:off x="1652437" y="9956"/>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12291" name="Button 25" hidden="1">
            <a:extLst>
              <a:ext uri="{63B3BB69-23CF-44E3-9099-C40C66FF867C}">
                <a14:compatExt xmlns:a14="http://schemas.microsoft.com/office/drawing/2010/main" spid="_x0000_s12291"/>
              </a:ext>
            </a:extLst>
          </xdr:cNvPr>
          <xdr:cNvSpPr/>
        </xdr:nvSpPr>
        <xdr:spPr bwMode="auto">
          <a:xfrm>
            <a:off x="1648308" y="300701"/>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12292" name="Button 26" hidden="1">
            <a:extLst>
              <a:ext uri="{63B3BB69-23CF-44E3-9099-C40C66FF867C}">
                <a14:compatExt xmlns:a14="http://schemas.microsoft.com/office/drawing/2010/main" spid="_x0000_s12292"/>
              </a:ext>
            </a:extLst>
          </xdr:cNvPr>
          <xdr:cNvSpPr/>
        </xdr:nvSpPr>
        <xdr:spPr bwMode="auto">
          <a:xfrm>
            <a:off x="4258522" y="4619"/>
            <a:ext cx="1298272"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12293" name="Button 27" hidden="1">
            <a:extLst>
              <a:ext uri="{63B3BB69-23CF-44E3-9099-C40C66FF867C}">
                <a14:compatExt xmlns:a14="http://schemas.microsoft.com/office/drawing/2010/main" spid="_x0000_s12293"/>
              </a:ext>
            </a:extLst>
          </xdr:cNvPr>
          <xdr:cNvSpPr/>
        </xdr:nvSpPr>
        <xdr:spPr bwMode="auto">
          <a:xfrm>
            <a:off x="2956124" y="301173"/>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12294" name="Button 28" hidden="1">
            <a:extLst>
              <a:ext uri="{63B3BB69-23CF-44E3-9099-C40C66FF867C}">
                <a14:compatExt xmlns:a14="http://schemas.microsoft.com/office/drawing/2010/main" spid="_x0000_s12294"/>
              </a:ext>
            </a:extLst>
          </xdr:cNvPr>
          <xdr:cNvSpPr/>
        </xdr:nvSpPr>
        <xdr:spPr bwMode="auto">
          <a:xfrm>
            <a:off x="4257383" y="300701"/>
            <a:ext cx="1298270" cy="28621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12295" name="Button 29" hidden="1">
            <a:extLst>
              <a:ext uri="{63B3BB69-23CF-44E3-9099-C40C66FF867C}">
                <a14:compatExt xmlns:a14="http://schemas.microsoft.com/office/drawing/2010/main" spid="_x0000_s12295"/>
              </a:ext>
            </a:extLst>
          </xdr:cNvPr>
          <xdr:cNvSpPr/>
        </xdr:nvSpPr>
        <xdr:spPr bwMode="auto">
          <a:xfrm>
            <a:off x="1088124" y="13430"/>
            <a:ext cx="551961" cy="286171"/>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12296" name="Button 30" hidden="1">
            <a:extLst>
              <a:ext uri="{63B3BB69-23CF-44E3-9099-C40C66FF867C}">
                <a14:compatExt xmlns:a14="http://schemas.microsoft.com/office/drawing/2010/main" spid="_x0000_s12296"/>
              </a:ext>
            </a:extLst>
          </xdr:cNvPr>
          <xdr:cNvSpPr/>
        </xdr:nvSpPr>
        <xdr:spPr bwMode="auto">
          <a:xfrm>
            <a:off x="1086141" y="304523"/>
            <a:ext cx="552344" cy="285193"/>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AlternateContent xmlns:mc="http://schemas.openxmlformats.org/markup-compatibility/2006">
    <mc:Choice xmlns:a14="http://schemas.microsoft.com/office/drawing/2010/main" Requires="a14">
      <xdr:twoCellAnchor>
        <xdr:from>
          <xdr:col>1</xdr:col>
          <xdr:colOff>4649</xdr:colOff>
          <xdr:row>0</xdr:row>
          <xdr:rowOff>-2456</xdr:rowOff>
        </xdr:from>
        <xdr:to>
          <xdr:col>1</xdr:col>
          <xdr:colOff>4649</xdr:colOff>
          <xdr:row>0</xdr:row>
          <xdr:rowOff>-2456</xdr:rowOff>
        </xdr:to>
        <xdr:grpSp>
          <xdr:nvGrpSpPr>
            <xdr:cNvPr id="12321" name="Grupo 1"/>
            <xdr:cNvGrpSpPr>
              <a:grpSpLocks/>
            </xdr:cNvGrpSpPr>
          </xdr:nvGrpSpPr>
          <xdr:grpSpPr bwMode="auto">
            <a:xfrm>
              <a:off x="256109" y="-2456"/>
              <a:ext cx="0" cy="0"/>
              <a:chOff x="256109" y="-2456"/>
              <a:chExt cx="0" cy="0"/>
            </a:xfrm>
          </xdr:grpSpPr>
        </xdr:grpSp>
        <xdr:clientData/>
      </xdr:twoCellAnchor>
    </mc:Choice>
    <mc:Fallback/>
  </mc:AlternateContent>
  <xdr:twoCellAnchor>
    <xdr:from>
      <xdr:col>0</xdr:col>
      <xdr:colOff>0</xdr:colOff>
      <xdr:row>0</xdr:row>
      <xdr:rowOff>7620</xdr:rowOff>
    </xdr:from>
    <xdr:to>
      <xdr:col>5</xdr:col>
      <xdr:colOff>3305546</xdr:colOff>
      <xdr:row>0</xdr:row>
      <xdr:rowOff>313559</xdr:rowOff>
    </xdr:to>
    <xdr:grpSp>
      <xdr:nvGrpSpPr>
        <xdr:cNvPr id="42" name="Grupo 41"/>
        <xdr:cNvGrpSpPr/>
      </xdr:nvGrpSpPr>
      <xdr:grpSpPr>
        <a:xfrm>
          <a:off x="0" y="7620"/>
          <a:ext cx="4882886" cy="305939"/>
          <a:chOff x="1170126" y="9525"/>
          <a:chExt cx="4674009" cy="619125"/>
        </a:xfrm>
      </xdr:grpSpPr>
      <xdr:sp macro="" textlink="">
        <xdr:nvSpPr>
          <xdr:cNvPr id="43" name="Button 19" hidden="1">
            <a:extLst>
              <a:ext uri="{63B3BB69-23CF-44E3-9099-C40C66FF867C}">
                <a14:compatExt xmlns:a14="http://schemas.microsoft.com/office/drawing/2010/main" spid="_x0000_s7187"/>
              </a:ext>
            </a:extLst>
          </xdr:cNvPr>
          <xdr:cNvSpPr/>
        </xdr:nvSpPr>
        <xdr:spPr bwMode="auto">
          <a:xfrm>
            <a:off x="4551848" y="10178"/>
            <a:ext cx="1292287" cy="305337"/>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44" name="Button 20" hidden="1">
            <a:extLst>
              <a:ext uri="{63B3BB69-23CF-44E3-9099-C40C66FF867C}">
                <a14:compatExt xmlns:a14="http://schemas.microsoft.com/office/drawing/2010/main" spid="_x0000_s7188"/>
              </a:ext>
            </a:extLst>
          </xdr:cNvPr>
          <xdr:cNvSpPr/>
        </xdr:nvSpPr>
        <xdr:spPr bwMode="auto">
          <a:xfrm>
            <a:off x="1947695" y="9525"/>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FF0000"/>
                </a:solidFill>
                <a:latin typeface="Calibri"/>
                <a:cs typeface="Calibri"/>
              </a:rPr>
              <a:t>Opción Múltiple 1R</a:t>
            </a:r>
          </a:p>
        </xdr:txBody>
      </xdr:sp>
      <xdr:sp macro="" textlink="">
        <xdr:nvSpPr>
          <xdr:cNvPr id="45" name="Button 21" hidden="1">
            <a:extLst>
              <a:ext uri="{63B3BB69-23CF-44E3-9099-C40C66FF867C}">
                <a14:compatExt xmlns:a14="http://schemas.microsoft.com/office/drawing/2010/main" spid="_x0000_s7189"/>
              </a:ext>
            </a:extLst>
          </xdr:cNvPr>
          <xdr:cNvSpPr/>
        </xdr:nvSpPr>
        <xdr:spPr bwMode="auto">
          <a:xfrm>
            <a:off x="3256560" y="323850"/>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46" name="Button 22" hidden="1">
            <a:extLst>
              <a:ext uri="{63B3BB69-23CF-44E3-9099-C40C66FF867C}">
                <a14:compatExt xmlns:a14="http://schemas.microsoft.com/office/drawing/2010/main" spid="_x0000_s7190"/>
              </a:ext>
            </a:extLst>
          </xdr:cNvPr>
          <xdr:cNvSpPr/>
        </xdr:nvSpPr>
        <xdr:spPr bwMode="auto">
          <a:xfrm>
            <a:off x="1954941" y="321315"/>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47" name="Button 23" hidden="1">
            <a:extLst>
              <a:ext uri="{63B3BB69-23CF-44E3-9099-C40C66FF867C}">
                <a14:compatExt xmlns:a14="http://schemas.microsoft.com/office/drawing/2010/main" spid="_x0000_s7191"/>
              </a:ext>
            </a:extLst>
          </xdr:cNvPr>
          <xdr:cNvSpPr/>
        </xdr:nvSpPr>
        <xdr:spPr bwMode="auto">
          <a:xfrm>
            <a:off x="4548076" y="323850"/>
            <a:ext cx="1294125" cy="304800"/>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Palabra Perdida</a:t>
            </a:r>
          </a:p>
        </xdr:txBody>
      </xdr:sp>
      <xdr:grpSp>
        <xdr:nvGrpSpPr>
          <xdr:cNvPr id="48" name="Grupo 2"/>
          <xdr:cNvGrpSpPr>
            <a:grpSpLocks/>
          </xdr:cNvGrpSpPr>
        </xdr:nvGrpSpPr>
        <xdr:grpSpPr bwMode="auto">
          <a:xfrm>
            <a:off x="1170126" y="9525"/>
            <a:ext cx="799481" cy="617527"/>
            <a:chOff x="861137" y="29789"/>
            <a:chExt cx="802017" cy="573098"/>
          </a:xfrm>
        </xdr:grpSpPr>
        <xdr:grpSp>
          <xdr:nvGrpSpPr>
            <xdr:cNvPr id="50" name="Grupo 1"/>
            <xdr:cNvGrpSpPr>
              <a:grpSpLocks/>
            </xdr:cNvGrpSpPr>
          </xdr:nvGrpSpPr>
          <xdr:grpSpPr bwMode="auto">
            <a:xfrm>
              <a:off x="861137" y="29789"/>
              <a:ext cx="802017" cy="573098"/>
              <a:chOff x="840868" y="4463"/>
              <a:chExt cx="802171" cy="569456"/>
            </a:xfrm>
          </xdr:grpSpPr>
          <xdr:sp macro="" textlink="">
            <xdr:nvSpPr>
              <xdr:cNvPr id="51" name="Button 24" hidden="1">
                <a:extLst>
                  <a:ext uri="{63B3BB69-23CF-44E3-9099-C40C66FF867C}">
                    <a14:compatExt xmlns:a14="http://schemas.microsoft.com/office/drawing/2010/main" spid="_x0000_s7192"/>
                  </a:ext>
                </a:extLst>
              </xdr:cNvPr>
              <xdr:cNvSpPr/>
            </xdr:nvSpPr>
            <xdr:spPr bwMode="auto">
              <a:xfrm>
                <a:off x="840868" y="4463"/>
                <a:ext cx="802171" cy="280349"/>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52" name="Button 25" hidden="1">
                <a:extLst>
                  <a:ext uri="{63B3BB69-23CF-44E3-9099-C40C66FF867C}">
                    <a14:compatExt xmlns:a14="http://schemas.microsoft.com/office/drawing/2010/main" spid="_x0000_s7193"/>
                  </a:ext>
                </a:extLst>
              </xdr:cNvPr>
              <xdr:cNvSpPr/>
            </xdr:nvSpPr>
            <xdr:spPr bwMode="auto">
              <a:xfrm>
                <a:off x="840868" y="293571"/>
                <a:ext cx="802171" cy="280348"/>
              </a:xfrm>
              <a:prstGeom prst="rect">
                <a:avLst/>
              </a:prstGeom>
              <a:noFill/>
              <a:ln w="9525">
                <a:miter lim="800000"/>
                <a:headEnd/>
                <a:tailEnd/>
              </a:ln>
            </xdr:spPr>
            <xdr:txBody>
              <a:bodyPr vertOverflow="clip" wrap="square" lIns="0" tIns="0" rIns="0" bIns="0" anchor="ctr" upright="1"/>
              <a:lstStyle/>
              <a:p>
                <a:pPr algn="ctr" rtl="0">
                  <a:defRPr sz="1000"/>
                </a:pPr>
                <a:r>
                  <a:rPr lang="es-ES" sz="900" b="1" i="0" u="none" strike="noStrike" baseline="0">
                    <a:solidFill>
                      <a:srgbClr val="FF0000"/>
                    </a:solidFill>
                    <a:latin typeface="Calibri"/>
                    <a:cs typeface="Calibri"/>
                  </a:rPr>
                  <a:t>DAR FORMATO</a:t>
                </a:r>
              </a:p>
            </xdr:txBody>
          </xdr:sp>
        </xdr:grpSp>
      </xdr:grpSp>
      <xdr:sp macro="" textlink="">
        <xdr:nvSpPr>
          <xdr:cNvPr id="49" name="Button 26" descr="Opción Múltiple VR" hidden="1">
            <a:extLst>
              <a:ext uri="{63B3BB69-23CF-44E3-9099-C40C66FF867C}">
                <a14:compatExt xmlns:a14="http://schemas.microsoft.com/office/drawing/2010/main" spid="_x0000_s7194"/>
              </a:ext>
            </a:extLst>
          </xdr:cNvPr>
          <xdr:cNvSpPr/>
        </xdr:nvSpPr>
        <xdr:spPr bwMode="auto">
          <a:xfrm>
            <a:off x="3257627" y="12681"/>
            <a:ext cx="1294894" cy="302795"/>
          </a:xfrm>
          <a:prstGeom prst="rect">
            <a:avLst/>
          </a:prstGeom>
          <a:noFill/>
          <a:ln w="9525">
            <a:miter lim="800000"/>
            <a:headEnd/>
            <a:tailEnd/>
          </a:ln>
        </xdr:spPr>
        <xdr:txBody>
          <a:bodyPr vertOverflow="clip" wrap="square" lIns="72000" tIns="36000" rIns="72000" bIns="36000" anchor="ctr" upright="1"/>
          <a:lstStyle/>
          <a:p>
            <a:pPr algn="ctr" rtl="0">
              <a:defRPr sz="1000"/>
            </a:pPr>
            <a:r>
              <a:rPr lang="es-ES" sz="1100" b="1" i="0" u="none" strike="noStrike" baseline="0">
                <a:solidFill>
                  <a:srgbClr val="0000FF"/>
                </a:solidFill>
                <a:latin typeface="Calibri"/>
                <a:cs typeface="Calibri"/>
              </a:rPr>
              <a:t>Opción Múltiple VR</a:t>
            </a:r>
          </a:p>
        </xdr:txBody>
      </xdr:sp>
    </xdr:grpSp>
    <xdr:clientData/>
  </xdr:twoCellAnchor>
  <xdr:twoCellAnchor>
    <xdr:from>
      <xdr:col>0</xdr:col>
      <xdr:colOff>14654</xdr:colOff>
      <xdr:row>0</xdr:row>
      <xdr:rowOff>0</xdr:rowOff>
    </xdr:from>
    <xdr:to>
      <xdr:col>8</xdr:col>
      <xdr:colOff>1467</xdr:colOff>
      <xdr:row>2</xdr:row>
      <xdr:rowOff>0</xdr:rowOff>
    </xdr:to>
    <xdr:grpSp>
      <xdr:nvGrpSpPr>
        <xdr:cNvPr id="19" name="Grupo 41"/>
        <xdr:cNvGrpSpPr>
          <a:grpSpLocks/>
        </xdr:cNvGrpSpPr>
      </xdr:nvGrpSpPr>
      <xdr:grpSpPr bwMode="auto">
        <a:xfrm>
          <a:off x="14654" y="0"/>
          <a:ext cx="6555253" cy="624840"/>
          <a:chOff x="29155" y="0"/>
          <a:chExt cx="6571834" cy="629184"/>
        </a:xfrm>
      </xdr:grpSpPr>
      <xdr:pic>
        <xdr:nvPicPr>
          <xdr:cNvPr id="55"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72" y="-24497"/>
            <a:ext cx="1623223" cy="679778"/>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2323" name="Grupo 40"/>
          <xdr:cNvGrpSpPr>
            <a:grpSpLocks/>
          </xdr:cNvGrpSpPr>
        </xdr:nvGrpSpPr>
        <xdr:grpSpPr bwMode="auto">
          <a:xfrm>
            <a:off x="1616283" y="2557"/>
            <a:ext cx="4984706" cy="621233"/>
            <a:chOff x="1616283" y="2557"/>
            <a:chExt cx="4984706" cy="621233"/>
          </a:xfrm>
        </xdr:grpSpPr>
        <xdr:grpSp>
          <xdr:nvGrpSpPr>
            <xdr:cNvPr id="12324" name="Grupo 38"/>
            <xdr:cNvGrpSpPr>
              <a:grpSpLocks/>
            </xdr:cNvGrpSpPr>
          </xdr:nvGrpSpPr>
          <xdr:grpSpPr bwMode="auto">
            <a:xfrm>
              <a:off x="1616283" y="2557"/>
              <a:ext cx="3310606" cy="621233"/>
              <a:chOff x="1616283" y="2557"/>
              <a:chExt cx="3310606" cy="621233"/>
            </a:xfrm>
          </xdr:grpSpPr>
          <xdr:grpSp>
            <xdr:nvGrpSpPr>
              <xdr:cNvPr id="12325" name="Grupo 36"/>
              <xdr:cNvGrpSpPr>
                <a:grpSpLocks/>
              </xdr:cNvGrpSpPr>
            </xdr:nvGrpSpPr>
            <xdr:grpSpPr bwMode="auto">
              <a:xfrm>
                <a:off x="1617302" y="326677"/>
                <a:ext cx="3309587" cy="297113"/>
                <a:chOff x="1617302" y="326677"/>
                <a:chExt cx="3309587" cy="297113"/>
              </a:xfrm>
            </xdr:grpSpPr>
            <xdr:pic macro="[0]!IR_E">
              <xdr:nvPicPr>
                <xdr:cNvPr id="66"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10988" y="318455"/>
                  <a:ext cx="1122831" cy="312330"/>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67" name="Rectángulo 6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721615" y="318455"/>
                  <a:ext cx="1122831" cy="312330"/>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68" name="Rectángulo 63"/>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32242" y="318455"/>
                  <a:ext cx="1098422" cy="312330"/>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12329" name="Grupo 37"/>
              <xdr:cNvGrpSpPr>
                <a:grpSpLocks/>
              </xdr:cNvGrpSpPr>
            </xdr:nvGrpSpPr>
            <xdr:grpSpPr bwMode="auto">
              <a:xfrm>
                <a:off x="1616283" y="2557"/>
                <a:ext cx="3308150" cy="324660"/>
                <a:chOff x="1616283" y="2557"/>
                <a:chExt cx="3308150" cy="324660"/>
              </a:xfrm>
            </xdr:grpSpPr>
            <xdr:pic macro="[0]!IR_OM">
              <xdr:nvPicPr>
                <xdr:cNvPr id="63" name="Rectángulo 66"/>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10988" y="-6124"/>
                  <a:ext cx="1122831" cy="336827"/>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64" name="Rectángulo 67"/>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21615" y="-6124"/>
                  <a:ext cx="1122831" cy="336827"/>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65" name="Rectángulo 68"/>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32242" y="-6124"/>
                  <a:ext cx="1098422" cy="336827"/>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12333" name="Grupo 39"/>
            <xdr:cNvGrpSpPr>
              <a:grpSpLocks/>
            </xdr:cNvGrpSpPr>
          </xdr:nvGrpSpPr>
          <xdr:grpSpPr bwMode="auto">
            <a:xfrm>
              <a:off x="4923094" y="5013"/>
              <a:ext cx="1677895" cy="316249"/>
              <a:chOff x="4923094" y="5013"/>
              <a:chExt cx="1677895" cy="316249"/>
            </a:xfrm>
          </xdr:grpSpPr>
          <xdr:pic macro="[0]!IR_INICIO">
            <xdr:nvPicPr>
              <xdr:cNvPr id="59" name="Rectángulo 70"/>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924562" y="6124"/>
                <a:ext cx="866533" cy="312330"/>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60" name="Rectángulo 71"/>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797197" y="6124"/>
                <a:ext cx="805509" cy="312330"/>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9525</xdr:colOff>
          <xdr:row>0</xdr:row>
          <xdr:rowOff>0</xdr:rowOff>
        </xdr:from>
        <xdr:to>
          <xdr:col>7</xdr:col>
          <xdr:colOff>361950</xdr:colOff>
          <xdr:row>1</xdr:row>
          <xdr:rowOff>0</xdr:rowOff>
        </xdr:to>
        <xdr:grpSp>
          <xdr:nvGrpSpPr>
            <xdr:cNvPr id="12371" name="Group 83"/>
            <xdr:cNvGrpSpPr>
              <a:grpSpLocks/>
            </xdr:cNvGrpSpPr>
          </xdr:nvGrpSpPr>
          <xdr:grpSpPr bwMode="auto">
            <a:xfrm>
              <a:off x="1586865" y="0"/>
              <a:ext cx="4505325" cy="312420"/>
              <a:chOff x="10861" y="46"/>
              <a:chExt cx="44706" cy="5851"/>
            </a:xfrm>
          </xdr:grpSpPr>
        </xdr:grpSp>
        <xdr:clientData/>
      </xdr:twoCellAnchor>
    </mc:Choice>
    <mc:Fallback/>
  </mc:AlternateContent>
  <xdr:twoCellAnchor>
    <xdr:from>
      <xdr:col>0</xdr:col>
      <xdr:colOff>0</xdr:colOff>
      <xdr:row>0</xdr:row>
      <xdr:rowOff>9525</xdr:rowOff>
    </xdr:from>
    <xdr:to>
      <xdr:col>5</xdr:col>
      <xdr:colOff>3305175</xdr:colOff>
      <xdr:row>1</xdr:row>
      <xdr:rowOff>0</xdr:rowOff>
    </xdr:to>
    <xdr:grpSp>
      <xdr:nvGrpSpPr>
        <xdr:cNvPr id="12372" name="Group 84"/>
        <xdr:cNvGrpSpPr>
          <a:grpSpLocks/>
        </xdr:cNvGrpSpPr>
      </xdr:nvGrpSpPr>
      <xdr:grpSpPr bwMode="auto">
        <a:xfrm>
          <a:off x="0" y="9525"/>
          <a:ext cx="4882515" cy="302895"/>
          <a:chOff x="11701" y="95"/>
          <a:chExt cx="46740" cy="6191"/>
        </a:xfrm>
      </xdr:grpSpPr>
      <xdr:pic>
        <xdr:nvPicPr>
          <xdr:cNvPr id="12388" name="Button 19" hidden="1"/>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5493" y="64"/>
            <a:ext cx="12920" cy="320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89" name="Button 20" hidden="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9476" y="64"/>
            <a:ext cx="12921" cy="308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90" name="Button 21"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2572" y="3148"/>
            <a:ext cx="12921" cy="320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91" name="Button 22"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535" y="3148"/>
            <a:ext cx="12979" cy="320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92" name="Button 23"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5493" y="3148"/>
            <a:ext cx="12920" cy="3207"/>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2393" name="Grupo 2"/>
          <xdr:cNvGrpSpPr>
            <a:grpSpLocks/>
          </xdr:cNvGrpSpPr>
        </xdr:nvGrpSpPr>
        <xdr:grpSpPr bwMode="auto">
          <a:xfrm>
            <a:off x="11701" y="95"/>
            <a:ext cx="7995" cy="6175"/>
            <a:chOff x="8611" y="297"/>
            <a:chExt cx="8020" cy="5730"/>
          </a:xfrm>
        </xdr:grpSpPr>
        <xdr:grpSp>
          <xdr:nvGrpSpPr>
            <xdr:cNvPr id="12395" name="Group 107"/>
            <xdr:cNvGrpSpPr>
              <a:grpSpLocks/>
            </xdr:cNvGrpSpPr>
          </xdr:nvGrpSpPr>
          <xdr:grpSpPr bwMode="auto">
            <a:xfrm>
              <a:off x="8611" y="297"/>
              <a:ext cx="8020" cy="5731"/>
              <a:chOff x="8408" y="44"/>
              <a:chExt cx="8021" cy="5694"/>
            </a:xfrm>
          </xdr:grpSpPr>
          <xdr:pic>
            <xdr:nvPicPr>
              <xdr:cNvPr id="12396" name="Button 24"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8408" y="16"/>
                <a:ext cx="8037" cy="284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397" name="Button 25"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8115" y="2860"/>
                <a:ext cx="8564" cy="2957"/>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12394" name="Button 26" descr="Opción Múltiple VR"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2572" y="64"/>
            <a:ext cx="12979" cy="320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15240</xdr:colOff>
      <xdr:row>0</xdr:row>
      <xdr:rowOff>0</xdr:rowOff>
    </xdr:from>
    <xdr:to>
      <xdr:col>7</xdr:col>
      <xdr:colOff>830580</xdr:colOff>
      <xdr:row>2</xdr:row>
      <xdr:rowOff>0</xdr:rowOff>
    </xdr:to>
    <xdr:grpSp>
      <xdr:nvGrpSpPr>
        <xdr:cNvPr id="2075" name="Grupo 41"/>
        <xdr:cNvGrpSpPr>
          <a:grpSpLocks/>
        </xdr:cNvGrpSpPr>
      </xdr:nvGrpSpPr>
      <xdr:grpSpPr bwMode="auto">
        <a:xfrm>
          <a:off x="15240" y="0"/>
          <a:ext cx="6553200" cy="624840"/>
          <a:chOff x="29155" y="0"/>
          <a:chExt cx="6571834" cy="629184"/>
        </a:xfrm>
      </xdr:grpSpPr>
      <xdr:pic>
        <xdr:nvPicPr>
          <xdr:cNvPr id="16"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95" y="-24373"/>
            <a:ext cx="1621263" cy="682433"/>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2077" name="Grupo 40"/>
          <xdr:cNvGrpSpPr>
            <a:grpSpLocks/>
          </xdr:cNvGrpSpPr>
        </xdr:nvGrpSpPr>
        <xdr:grpSpPr bwMode="auto">
          <a:xfrm>
            <a:off x="1616283" y="2557"/>
            <a:ext cx="4984706" cy="621233"/>
            <a:chOff x="1616283" y="2557"/>
            <a:chExt cx="4984706" cy="621233"/>
          </a:xfrm>
        </xdr:grpSpPr>
        <xdr:grpSp>
          <xdr:nvGrpSpPr>
            <xdr:cNvPr id="2078" name="Grupo 38"/>
            <xdr:cNvGrpSpPr>
              <a:grpSpLocks/>
            </xdr:cNvGrpSpPr>
          </xdr:nvGrpSpPr>
          <xdr:grpSpPr bwMode="auto">
            <a:xfrm>
              <a:off x="1616283" y="2557"/>
              <a:ext cx="3310606" cy="621233"/>
              <a:chOff x="1616283" y="2557"/>
              <a:chExt cx="3310606" cy="621233"/>
            </a:xfrm>
          </xdr:grpSpPr>
          <xdr:grpSp>
            <xdr:nvGrpSpPr>
              <xdr:cNvPr id="2079" name="Grupo 36"/>
              <xdr:cNvGrpSpPr>
                <a:grpSpLocks/>
              </xdr:cNvGrpSpPr>
            </xdr:nvGrpSpPr>
            <xdr:grpSpPr bwMode="auto">
              <a:xfrm>
                <a:off x="1617302" y="326677"/>
                <a:ext cx="3309587" cy="297113"/>
                <a:chOff x="1617302" y="326677"/>
                <a:chExt cx="3309587" cy="297113"/>
              </a:xfrm>
            </xdr:grpSpPr>
            <xdr:pic macro="[0]!IR_E">
              <xdr:nvPicPr>
                <xdr:cNvPr id="27"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09504" y="316845"/>
                  <a:ext cx="1125707" cy="316844"/>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28" name="Rectángulo 62"/>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22975" y="316845"/>
                  <a:ext cx="1119589" cy="316844"/>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29" name="Rectángulo 63"/>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30328" y="316845"/>
                  <a:ext cx="1101235" cy="316844"/>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2083" name="Grupo 37"/>
              <xdr:cNvGrpSpPr>
                <a:grpSpLocks/>
              </xdr:cNvGrpSpPr>
            </xdr:nvGrpSpPr>
            <xdr:grpSpPr bwMode="auto">
              <a:xfrm>
                <a:off x="1616283" y="2557"/>
                <a:ext cx="3308150" cy="324660"/>
                <a:chOff x="1616283" y="2557"/>
                <a:chExt cx="3308150" cy="324660"/>
              </a:xfrm>
            </xdr:grpSpPr>
            <xdr:pic macro="[0]!IR_OM">
              <xdr:nvPicPr>
                <xdr:cNvPr id="24" name="Rectángulo 66"/>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09504" y="-6093"/>
                  <a:ext cx="1125707" cy="335123"/>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25" name="Rectángulo 67"/>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722975" y="-6093"/>
                  <a:ext cx="1119589" cy="335123"/>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26" name="Rectángulo 68"/>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30328" y="-6093"/>
                  <a:ext cx="1101235" cy="335123"/>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2087" name="Grupo 39"/>
            <xdr:cNvGrpSpPr>
              <a:grpSpLocks/>
            </xdr:cNvGrpSpPr>
          </xdr:nvGrpSpPr>
          <xdr:grpSpPr bwMode="auto">
            <a:xfrm>
              <a:off x="4923094" y="5013"/>
              <a:ext cx="1677895" cy="316249"/>
              <a:chOff x="4923094" y="5013"/>
              <a:chExt cx="1677895" cy="316249"/>
            </a:xfrm>
          </xdr:grpSpPr>
          <xdr:pic macro="[0]!IR_INICIO">
            <xdr:nvPicPr>
              <xdr:cNvPr id="20" name="Rectángulo 70"/>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925445" y="6093"/>
                <a:ext cx="862635" cy="310751"/>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22" name="Rectángulo 7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794198" y="6093"/>
                <a:ext cx="807573" cy="310751"/>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361950</xdr:colOff>
          <xdr:row>0</xdr:row>
          <xdr:rowOff>0</xdr:rowOff>
        </xdr:from>
        <xdr:to>
          <xdr:col>7</xdr:col>
          <xdr:colOff>600075</xdr:colOff>
          <xdr:row>1</xdr:row>
          <xdr:rowOff>0</xdr:rowOff>
        </xdr:to>
        <xdr:grpSp>
          <xdr:nvGrpSpPr>
            <xdr:cNvPr id="2108" name="Grupo 1"/>
            <xdr:cNvGrpSpPr>
              <a:grpSpLocks/>
            </xdr:cNvGrpSpPr>
          </xdr:nvGrpSpPr>
          <xdr:grpSpPr bwMode="auto">
            <a:xfrm>
              <a:off x="1946910" y="0"/>
              <a:ext cx="4391025" cy="312420"/>
              <a:chOff x="10861" y="46"/>
              <a:chExt cx="44706" cy="5851"/>
            </a:xfrm>
          </xdr:grpSpPr>
          <xdr:sp macro="" textlink="">
            <xdr:nvSpPr>
              <xdr:cNvPr id="2109" name="Button 23" hidden="1">
                <a:extLst>
                  <a:ext uri="{63B3BB69-23CF-44E3-9099-C40C66FF867C}">
                    <a14:compatExt spid="_x0000_s2109"/>
                  </a:ext>
                </a:extLst>
              </xdr:cNvPr>
              <xdr:cNvSpPr/>
            </xdr:nvSpPr>
            <xdr:spPr bwMode="auto">
              <a:xfrm>
                <a:off x="29536"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2110" name="Button 24" hidden="1">
                <a:extLst>
                  <a:ext uri="{63B3BB69-23CF-44E3-9099-C40C66FF867C}">
                    <a14:compatExt spid="_x0000_s2110"/>
                  </a:ext>
                </a:extLst>
              </xdr:cNvPr>
              <xdr:cNvSpPr/>
            </xdr:nvSpPr>
            <xdr:spPr bwMode="auto">
              <a:xfrm>
                <a:off x="16524"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2111" name="Button 25" hidden="1">
                <a:extLst>
                  <a:ext uri="{63B3BB69-23CF-44E3-9099-C40C66FF867C}">
                    <a14:compatExt spid="_x0000_s2111"/>
                  </a:ext>
                </a:extLst>
              </xdr:cNvPr>
              <xdr:cNvSpPr/>
            </xdr:nvSpPr>
            <xdr:spPr bwMode="auto">
              <a:xfrm>
                <a:off x="16483" y="3007"/>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2112" name="Button 26" hidden="1">
                <a:extLst>
                  <a:ext uri="{63B3BB69-23CF-44E3-9099-C40C66FF867C}">
                    <a14:compatExt spid="_x0000_s2112"/>
                  </a:ext>
                </a:extLst>
              </xdr:cNvPr>
              <xdr:cNvSpPr/>
            </xdr:nvSpPr>
            <xdr:spPr bwMode="auto">
              <a:xfrm>
                <a:off x="42585" y="46"/>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2113" name="Button 27" hidden="1">
                <a:extLst>
                  <a:ext uri="{63B3BB69-23CF-44E3-9099-C40C66FF867C}">
                    <a14:compatExt spid="_x0000_s2113"/>
                  </a:ext>
                </a:extLst>
              </xdr:cNvPr>
              <xdr:cNvSpPr/>
            </xdr:nvSpPr>
            <xdr:spPr bwMode="auto">
              <a:xfrm>
                <a:off x="29561" y="3011"/>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2114" name="Button 28" hidden="1">
                <a:extLst>
                  <a:ext uri="{63B3BB69-23CF-44E3-9099-C40C66FF867C}">
                    <a14:compatExt spid="_x0000_s2114"/>
                  </a:ext>
                </a:extLst>
              </xdr:cNvPr>
              <xdr:cNvSpPr/>
            </xdr:nvSpPr>
            <xdr:spPr bwMode="auto">
              <a:xfrm>
                <a:off x="42573" y="3007"/>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2115" name="Button 29" hidden="1">
                <a:extLst>
                  <a:ext uri="{63B3BB69-23CF-44E3-9099-C40C66FF867C}">
                    <a14:compatExt spid="_x0000_s2115"/>
                  </a:ext>
                </a:extLst>
              </xdr:cNvPr>
              <xdr:cNvSpPr/>
            </xdr:nvSpPr>
            <xdr:spPr bwMode="auto">
              <a:xfrm>
                <a:off x="10881" y="134"/>
                <a:ext cx="5519"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2116" name="Button 30" hidden="1">
                <a:extLst>
                  <a:ext uri="{63B3BB69-23CF-44E3-9099-C40C66FF867C}">
                    <a14:compatExt spid="_x0000_s2116"/>
                  </a:ext>
                </a:extLst>
              </xdr:cNvPr>
              <xdr:cNvSpPr/>
            </xdr:nvSpPr>
            <xdr:spPr bwMode="auto">
              <a:xfrm>
                <a:off x="10861" y="3045"/>
                <a:ext cx="5523" cy="285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Choice>
    <mc:Fallback/>
  </mc:AlternateContent>
  <xdr:twoCellAnchor>
    <xdr:from>
      <xdr:col>4</xdr:col>
      <xdr:colOff>28575</xdr:colOff>
      <xdr:row>0</xdr:row>
      <xdr:rowOff>9525</xdr:rowOff>
    </xdr:from>
    <xdr:to>
      <xdr:col>6</xdr:col>
      <xdr:colOff>228600</xdr:colOff>
      <xdr:row>1</xdr:row>
      <xdr:rowOff>0</xdr:rowOff>
    </xdr:to>
    <xdr:grpSp>
      <xdr:nvGrpSpPr>
        <xdr:cNvPr id="2117" name="Grupo 41"/>
        <xdr:cNvGrpSpPr>
          <a:grpSpLocks/>
        </xdr:cNvGrpSpPr>
      </xdr:nvGrpSpPr>
      <xdr:grpSpPr bwMode="auto">
        <a:xfrm>
          <a:off x="28575" y="9525"/>
          <a:ext cx="5099685" cy="302895"/>
          <a:chOff x="1170126" y="9525"/>
          <a:chExt cx="4674009" cy="619125"/>
        </a:xfrm>
      </xdr:grpSpPr>
      <xdr:pic>
        <xdr:nvPicPr>
          <xdr:cNvPr id="55" name="Button 19"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549309" y="644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6" name="Button 20"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47689" y="6441"/>
            <a:ext cx="1292040" cy="30841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7" name="Button 21"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57268"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8" name="Button 22"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953535" y="314851"/>
            <a:ext cx="1297887"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9" name="Button 23"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549309"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2123" name="Grupo 2"/>
          <xdr:cNvGrpSpPr>
            <a:grpSpLocks/>
          </xdr:cNvGrpSpPr>
        </xdr:nvGrpSpPr>
        <xdr:grpSpPr bwMode="auto">
          <a:xfrm>
            <a:off x="1170126" y="9525"/>
            <a:ext cx="799481" cy="617527"/>
            <a:chOff x="861137" y="29789"/>
            <a:chExt cx="802017" cy="573098"/>
          </a:xfrm>
        </xdr:grpSpPr>
        <xdr:grpSp>
          <xdr:nvGrpSpPr>
            <xdr:cNvPr id="2124" name="Grupo 1"/>
            <xdr:cNvGrpSpPr>
              <a:grpSpLocks/>
            </xdr:cNvGrpSpPr>
          </xdr:nvGrpSpPr>
          <xdr:grpSpPr bwMode="auto">
            <a:xfrm>
              <a:off x="861137" y="29789"/>
              <a:ext cx="802017" cy="573098"/>
              <a:chOff x="840868" y="4463"/>
              <a:chExt cx="802171" cy="569456"/>
            </a:xfrm>
          </xdr:grpSpPr>
          <xdr:pic>
            <xdr:nvPicPr>
              <xdr:cNvPr id="63" name="Button 24"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40868" y="1619"/>
                <a:ext cx="803643" cy="2844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Button 25" hidden="1"/>
              <xdr:cNvPicPr>
                <a:picLocks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11538" y="286021"/>
                <a:ext cx="856437" cy="295778"/>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61" name="Button 26" descr="Opción Múltiple VR" hidden="1"/>
          <xdr:cNvPicPr>
            <a:picLocks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257268" y="6441"/>
            <a:ext cx="1297887" cy="32074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817245</xdr:colOff>
      <xdr:row>2</xdr:row>
      <xdr:rowOff>0</xdr:rowOff>
    </xdr:to>
    <xdr:grpSp>
      <xdr:nvGrpSpPr>
        <xdr:cNvPr id="3100" name="Grupo 41"/>
        <xdr:cNvGrpSpPr>
          <a:grpSpLocks/>
        </xdr:cNvGrpSpPr>
      </xdr:nvGrpSpPr>
      <xdr:grpSpPr bwMode="auto">
        <a:xfrm>
          <a:off x="0" y="0"/>
          <a:ext cx="6524625" cy="624840"/>
          <a:chOff x="29155" y="0"/>
          <a:chExt cx="6571834" cy="629184"/>
        </a:xfrm>
      </xdr:grpSpPr>
      <xdr:pic>
        <xdr:nvPicPr>
          <xdr:cNvPr id="16"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95" y="-24373"/>
            <a:ext cx="1621263" cy="682433"/>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3102" name="Grupo 40"/>
          <xdr:cNvGrpSpPr>
            <a:grpSpLocks/>
          </xdr:cNvGrpSpPr>
        </xdr:nvGrpSpPr>
        <xdr:grpSpPr bwMode="auto">
          <a:xfrm>
            <a:off x="1616283" y="2557"/>
            <a:ext cx="4984706" cy="621233"/>
            <a:chOff x="1616283" y="2557"/>
            <a:chExt cx="4984706" cy="621233"/>
          </a:xfrm>
        </xdr:grpSpPr>
        <xdr:grpSp>
          <xdr:nvGrpSpPr>
            <xdr:cNvPr id="3103" name="Grupo 38"/>
            <xdr:cNvGrpSpPr>
              <a:grpSpLocks/>
            </xdr:cNvGrpSpPr>
          </xdr:nvGrpSpPr>
          <xdr:grpSpPr bwMode="auto">
            <a:xfrm>
              <a:off x="1616283" y="2557"/>
              <a:ext cx="3310606" cy="621233"/>
              <a:chOff x="1616283" y="2557"/>
              <a:chExt cx="3310606" cy="621233"/>
            </a:xfrm>
          </xdr:grpSpPr>
          <xdr:grpSp>
            <xdr:nvGrpSpPr>
              <xdr:cNvPr id="3104" name="Grupo 36"/>
              <xdr:cNvGrpSpPr>
                <a:grpSpLocks/>
              </xdr:cNvGrpSpPr>
            </xdr:nvGrpSpPr>
            <xdr:grpSpPr bwMode="auto">
              <a:xfrm>
                <a:off x="1617302" y="326677"/>
                <a:ext cx="3309587" cy="297113"/>
                <a:chOff x="1617302" y="326677"/>
                <a:chExt cx="3309587" cy="297113"/>
              </a:xfrm>
            </xdr:grpSpPr>
            <xdr:pic macro="[0]!IR_E">
              <xdr:nvPicPr>
                <xdr:cNvPr id="27"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09504" y="316845"/>
                  <a:ext cx="1125707" cy="316844"/>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28" name="Rectángulo 62"/>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22975" y="316845"/>
                  <a:ext cx="1119589" cy="316844"/>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31" name="Rectángulo 63"/>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30328" y="316845"/>
                  <a:ext cx="1101235" cy="316844"/>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3108" name="Grupo 37"/>
              <xdr:cNvGrpSpPr>
                <a:grpSpLocks/>
              </xdr:cNvGrpSpPr>
            </xdr:nvGrpSpPr>
            <xdr:grpSpPr bwMode="auto">
              <a:xfrm>
                <a:off x="1616283" y="2557"/>
                <a:ext cx="3308150" cy="324660"/>
                <a:chOff x="1616283" y="2557"/>
                <a:chExt cx="3308150" cy="324660"/>
              </a:xfrm>
            </xdr:grpSpPr>
            <xdr:pic macro="[0]!IR_OM">
              <xdr:nvPicPr>
                <xdr:cNvPr id="24" name="Rectángulo 66"/>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09504" y="-6093"/>
                  <a:ext cx="1125707" cy="335123"/>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25" name="Rectángulo 67"/>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722975" y="-6093"/>
                  <a:ext cx="1119589" cy="335123"/>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26" name="Rectángulo 68"/>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30328" y="-6093"/>
                  <a:ext cx="1101235" cy="335123"/>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3112" name="Grupo 39"/>
            <xdr:cNvGrpSpPr>
              <a:grpSpLocks/>
            </xdr:cNvGrpSpPr>
          </xdr:nvGrpSpPr>
          <xdr:grpSpPr bwMode="auto">
            <a:xfrm>
              <a:off x="4923094" y="5013"/>
              <a:ext cx="1677895" cy="316249"/>
              <a:chOff x="4923094" y="5013"/>
              <a:chExt cx="1677895" cy="316249"/>
            </a:xfrm>
          </xdr:grpSpPr>
          <xdr:pic macro="[0]!IR_INICIO">
            <xdr:nvPicPr>
              <xdr:cNvPr id="20" name="Rectángulo 70"/>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925445" y="6093"/>
                <a:ext cx="862635" cy="310751"/>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21" name="Rectángulo 7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794198" y="6093"/>
                <a:ext cx="807573" cy="310751"/>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314325</xdr:colOff>
          <xdr:row>0</xdr:row>
          <xdr:rowOff>0</xdr:rowOff>
        </xdr:from>
        <xdr:to>
          <xdr:col>7</xdr:col>
          <xdr:colOff>561975</xdr:colOff>
          <xdr:row>1</xdr:row>
          <xdr:rowOff>0</xdr:rowOff>
        </xdr:to>
        <xdr:grpSp>
          <xdr:nvGrpSpPr>
            <xdr:cNvPr id="3133" name="Grupo 1"/>
            <xdr:cNvGrpSpPr>
              <a:grpSpLocks/>
            </xdr:cNvGrpSpPr>
          </xdr:nvGrpSpPr>
          <xdr:grpSpPr bwMode="auto">
            <a:xfrm>
              <a:off x="1868805" y="0"/>
              <a:ext cx="4400550" cy="312420"/>
              <a:chOff x="10861" y="46"/>
              <a:chExt cx="44706" cy="5851"/>
            </a:xfrm>
          </xdr:grpSpPr>
          <xdr:sp macro="" textlink="">
            <xdr:nvSpPr>
              <xdr:cNvPr id="3134" name="Button 23" hidden="1">
                <a:extLst>
                  <a:ext uri="{63B3BB69-23CF-44E3-9099-C40C66FF867C}">
                    <a14:compatExt spid="_x0000_s3134"/>
                  </a:ext>
                </a:extLst>
              </xdr:cNvPr>
              <xdr:cNvSpPr/>
            </xdr:nvSpPr>
            <xdr:spPr bwMode="auto">
              <a:xfrm>
                <a:off x="29536"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3135" name="Button 24" hidden="1">
                <a:extLst>
                  <a:ext uri="{63B3BB69-23CF-44E3-9099-C40C66FF867C}">
                    <a14:compatExt spid="_x0000_s3135"/>
                  </a:ext>
                </a:extLst>
              </xdr:cNvPr>
              <xdr:cNvSpPr/>
            </xdr:nvSpPr>
            <xdr:spPr bwMode="auto">
              <a:xfrm>
                <a:off x="16524"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3136" name="Button 25" hidden="1">
                <a:extLst>
                  <a:ext uri="{63B3BB69-23CF-44E3-9099-C40C66FF867C}">
                    <a14:compatExt spid="_x0000_s3136"/>
                  </a:ext>
                </a:extLst>
              </xdr:cNvPr>
              <xdr:cNvSpPr/>
            </xdr:nvSpPr>
            <xdr:spPr bwMode="auto">
              <a:xfrm>
                <a:off x="16483" y="3007"/>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3137" name="Button 26" hidden="1">
                <a:extLst>
                  <a:ext uri="{63B3BB69-23CF-44E3-9099-C40C66FF867C}">
                    <a14:compatExt spid="_x0000_s3137"/>
                  </a:ext>
                </a:extLst>
              </xdr:cNvPr>
              <xdr:cNvSpPr/>
            </xdr:nvSpPr>
            <xdr:spPr bwMode="auto">
              <a:xfrm>
                <a:off x="42585" y="46"/>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3138" name="Button 27" hidden="1">
                <a:extLst>
                  <a:ext uri="{63B3BB69-23CF-44E3-9099-C40C66FF867C}">
                    <a14:compatExt spid="_x0000_s3138"/>
                  </a:ext>
                </a:extLst>
              </xdr:cNvPr>
              <xdr:cNvSpPr/>
            </xdr:nvSpPr>
            <xdr:spPr bwMode="auto">
              <a:xfrm>
                <a:off x="29561" y="3011"/>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3139" name="Button 28" hidden="1">
                <a:extLst>
                  <a:ext uri="{63B3BB69-23CF-44E3-9099-C40C66FF867C}">
                    <a14:compatExt spid="_x0000_s3139"/>
                  </a:ext>
                </a:extLst>
              </xdr:cNvPr>
              <xdr:cNvSpPr/>
            </xdr:nvSpPr>
            <xdr:spPr bwMode="auto">
              <a:xfrm>
                <a:off x="42573" y="3007"/>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3140" name="Button 29" hidden="1">
                <a:extLst>
                  <a:ext uri="{63B3BB69-23CF-44E3-9099-C40C66FF867C}">
                    <a14:compatExt spid="_x0000_s3140"/>
                  </a:ext>
                </a:extLst>
              </xdr:cNvPr>
              <xdr:cNvSpPr/>
            </xdr:nvSpPr>
            <xdr:spPr bwMode="auto">
              <a:xfrm>
                <a:off x="10881" y="134"/>
                <a:ext cx="5519"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3141" name="Button 30" hidden="1">
                <a:extLst>
                  <a:ext uri="{63B3BB69-23CF-44E3-9099-C40C66FF867C}">
                    <a14:compatExt spid="_x0000_s3141"/>
                  </a:ext>
                </a:extLst>
              </xdr:cNvPr>
              <xdr:cNvSpPr/>
            </xdr:nvSpPr>
            <xdr:spPr bwMode="auto">
              <a:xfrm>
                <a:off x="10861" y="3045"/>
                <a:ext cx="5523" cy="285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Choice>
    <mc:Fallback/>
  </mc:AlternateContent>
  <xdr:twoCellAnchor>
    <xdr:from>
      <xdr:col>0</xdr:col>
      <xdr:colOff>28575</xdr:colOff>
      <xdr:row>0</xdr:row>
      <xdr:rowOff>9525</xdr:rowOff>
    </xdr:from>
    <xdr:to>
      <xdr:col>6</xdr:col>
      <xdr:colOff>190500</xdr:colOff>
      <xdr:row>1</xdr:row>
      <xdr:rowOff>0</xdr:rowOff>
    </xdr:to>
    <xdr:grpSp>
      <xdr:nvGrpSpPr>
        <xdr:cNvPr id="3142" name="Grupo 41"/>
        <xdr:cNvGrpSpPr>
          <a:grpSpLocks/>
        </xdr:cNvGrpSpPr>
      </xdr:nvGrpSpPr>
      <xdr:grpSpPr bwMode="auto">
        <a:xfrm>
          <a:off x="28575" y="9525"/>
          <a:ext cx="5031105" cy="302895"/>
          <a:chOff x="1170126" y="9525"/>
          <a:chExt cx="4674009" cy="619125"/>
        </a:xfrm>
      </xdr:grpSpPr>
      <xdr:pic>
        <xdr:nvPicPr>
          <xdr:cNvPr id="55" name="Button 19"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549309" y="644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6" name="Button 20"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47689" y="6441"/>
            <a:ext cx="1292040" cy="30841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7" name="Button 21"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57268"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8" name="Button 22"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953535" y="314851"/>
            <a:ext cx="1297887"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9" name="Button 23"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549309"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3148" name="Grupo 2"/>
          <xdr:cNvGrpSpPr>
            <a:grpSpLocks/>
          </xdr:cNvGrpSpPr>
        </xdr:nvGrpSpPr>
        <xdr:grpSpPr bwMode="auto">
          <a:xfrm>
            <a:off x="1170126" y="9525"/>
            <a:ext cx="799481" cy="617527"/>
            <a:chOff x="861137" y="29789"/>
            <a:chExt cx="802017" cy="573098"/>
          </a:xfrm>
        </xdr:grpSpPr>
        <xdr:grpSp>
          <xdr:nvGrpSpPr>
            <xdr:cNvPr id="3149" name="Grupo 1"/>
            <xdr:cNvGrpSpPr>
              <a:grpSpLocks/>
            </xdr:cNvGrpSpPr>
          </xdr:nvGrpSpPr>
          <xdr:grpSpPr bwMode="auto">
            <a:xfrm>
              <a:off x="861137" y="29789"/>
              <a:ext cx="802017" cy="573098"/>
              <a:chOff x="840868" y="4463"/>
              <a:chExt cx="802171" cy="569456"/>
            </a:xfrm>
          </xdr:grpSpPr>
          <xdr:pic>
            <xdr:nvPicPr>
              <xdr:cNvPr id="63" name="Button 24"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40868" y="1619"/>
                <a:ext cx="803643" cy="2844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Button 25" hidden="1"/>
              <xdr:cNvPicPr>
                <a:picLocks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11538" y="286021"/>
                <a:ext cx="856437" cy="295778"/>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61" name="Button 26" descr="Opción Múltiple VR" hidden="1"/>
          <xdr:cNvPicPr>
            <a:picLocks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257268" y="6441"/>
            <a:ext cx="1297887" cy="32074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19630</xdr:colOff>
      <xdr:row>0</xdr:row>
      <xdr:rowOff>0</xdr:rowOff>
    </xdr:from>
    <xdr:to>
      <xdr:col>8</xdr:col>
      <xdr:colOff>55825</xdr:colOff>
      <xdr:row>2</xdr:row>
      <xdr:rowOff>0</xdr:rowOff>
    </xdr:to>
    <xdr:grpSp>
      <xdr:nvGrpSpPr>
        <xdr:cNvPr id="4132" name="Grupo 41"/>
        <xdr:cNvGrpSpPr>
          <a:grpSpLocks/>
        </xdr:cNvGrpSpPr>
      </xdr:nvGrpSpPr>
      <xdr:grpSpPr bwMode="auto">
        <a:xfrm>
          <a:off x="19630" y="0"/>
          <a:ext cx="6551295" cy="624840"/>
          <a:chOff x="29155" y="0"/>
          <a:chExt cx="6571834" cy="629184"/>
        </a:xfrm>
      </xdr:grpSpPr>
      <xdr:pic>
        <xdr:nvPicPr>
          <xdr:cNvPr id="16"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95" y="-24373"/>
            <a:ext cx="1621263" cy="682433"/>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4134" name="Grupo 40"/>
          <xdr:cNvGrpSpPr>
            <a:grpSpLocks/>
          </xdr:cNvGrpSpPr>
        </xdr:nvGrpSpPr>
        <xdr:grpSpPr bwMode="auto">
          <a:xfrm>
            <a:off x="1616283" y="2557"/>
            <a:ext cx="4984706" cy="621233"/>
            <a:chOff x="1616283" y="2557"/>
            <a:chExt cx="4984706" cy="621233"/>
          </a:xfrm>
        </xdr:grpSpPr>
        <xdr:grpSp>
          <xdr:nvGrpSpPr>
            <xdr:cNvPr id="4135" name="Grupo 38"/>
            <xdr:cNvGrpSpPr>
              <a:grpSpLocks/>
            </xdr:cNvGrpSpPr>
          </xdr:nvGrpSpPr>
          <xdr:grpSpPr bwMode="auto">
            <a:xfrm>
              <a:off x="1616283" y="2557"/>
              <a:ext cx="3310606" cy="621233"/>
              <a:chOff x="1616283" y="2557"/>
              <a:chExt cx="3310606" cy="621233"/>
            </a:xfrm>
          </xdr:grpSpPr>
          <xdr:grpSp>
            <xdr:nvGrpSpPr>
              <xdr:cNvPr id="4136" name="Grupo 36"/>
              <xdr:cNvGrpSpPr>
                <a:grpSpLocks/>
              </xdr:cNvGrpSpPr>
            </xdr:nvGrpSpPr>
            <xdr:grpSpPr bwMode="auto">
              <a:xfrm>
                <a:off x="1617302" y="326677"/>
                <a:ext cx="3309587" cy="297113"/>
                <a:chOff x="1617302" y="326677"/>
                <a:chExt cx="3309587" cy="297113"/>
              </a:xfrm>
            </xdr:grpSpPr>
            <xdr:pic macro="[0]!IR_E">
              <xdr:nvPicPr>
                <xdr:cNvPr id="27"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09504" y="316845"/>
                  <a:ext cx="1125707" cy="316844"/>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28" name="Rectángulo 62"/>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22975" y="316845"/>
                  <a:ext cx="1119589" cy="316844"/>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29" name="Rectángulo 63"/>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30328" y="316845"/>
                  <a:ext cx="1101235" cy="316844"/>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4140" name="Grupo 37"/>
              <xdr:cNvGrpSpPr>
                <a:grpSpLocks/>
              </xdr:cNvGrpSpPr>
            </xdr:nvGrpSpPr>
            <xdr:grpSpPr bwMode="auto">
              <a:xfrm>
                <a:off x="1616283" y="2557"/>
                <a:ext cx="3308150" cy="324660"/>
                <a:chOff x="1616283" y="2557"/>
                <a:chExt cx="3308150" cy="324660"/>
              </a:xfrm>
            </xdr:grpSpPr>
            <xdr:pic macro="[0]!IR_OM">
              <xdr:nvPicPr>
                <xdr:cNvPr id="24" name="Rectángulo 66"/>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09504" y="-6093"/>
                  <a:ext cx="1125707" cy="335123"/>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25" name="Rectángulo 67"/>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722975" y="-6093"/>
                  <a:ext cx="1119589" cy="335123"/>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26" name="Rectángulo 68"/>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30328" y="-6093"/>
                  <a:ext cx="1101235" cy="335123"/>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4144" name="Grupo 39"/>
            <xdr:cNvGrpSpPr>
              <a:grpSpLocks/>
            </xdr:cNvGrpSpPr>
          </xdr:nvGrpSpPr>
          <xdr:grpSpPr bwMode="auto">
            <a:xfrm>
              <a:off x="4923094" y="5013"/>
              <a:ext cx="1677895" cy="316249"/>
              <a:chOff x="4923094" y="5013"/>
              <a:chExt cx="1677895" cy="316249"/>
            </a:xfrm>
          </xdr:grpSpPr>
          <xdr:pic macro="[0]!IR_INICIO">
            <xdr:nvPicPr>
              <xdr:cNvPr id="20" name="Rectángulo 70"/>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925445" y="6093"/>
                <a:ext cx="862635" cy="310751"/>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23" name="Rectángulo 7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794198" y="6093"/>
                <a:ext cx="807573" cy="310751"/>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38100</xdr:colOff>
          <xdr:row>0</xdr:row>
          <xdr:rowOff>0</xdr:rowOff>
        </xdr:from>
        <xdr:to>
          <xdr:col>7</xdr:col>
          <xdr:colOff>457200</xdr:colOff>
          <xdr:row>1</xdr:row>
          <xdr:rowOff>0</xdr:rowOff>
        </xdr:to>
        <xdr:grpSp>
          <xdr:nvGrpSpPr>
            <xdr:cNvPr id="4165" name="Grupo 1"/>
            <xdr:cNvGrpSpPr>
              <a:grpSpLocks/>
            </xdr:cNvGrpSpPr>
          </xdr:nvGrpSpPr>
          <xdr:grpSpPr bwMode="auto">
            <a:xfrm>
              <a:off x="1653540" y="0"/>
              <a:ext cx="4526280" cy="312420"/>
              <a:chOff x="10861" y="46"/>
              <a:chExt cx="44706" cy="5851"/>
            </a:xfrm>
          </xdr:grpSpPr>
          <xdr:sp macro="" textlink="">
            <xdr:nvSpPr>
              <xdr:cNvPr id="4166" name="Button 23" hidden="1">
                <a:extLst>
                  <a:ext uri="{63B3BB69-23CF-44E3-9099-C40C66FF867C}">
                    <a14:compatExt spid="_x0000_s4166"/>
                  </a:ext>
                </a:extLst>
              </xdr:cNvPr>
              <xdr:cNvSpPr/>
            </xdr:nvSpPr>
            <xdr:spPr bwMode="auto">
              <a:xfrm>
                <a:off x="29536"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4167" name="Button 24" hidden="1">
                <a:extLst>
                  <a:ext uri="{63B3BB69-23CF-44E3-9099-C40C66FF867C}">
                    <a14:compatExt spid="_x0000_s4167"/>
                  </a:ext>
                </a:extLst>
              </xdr:cNvPr>
              <xdr:cNvSpPr/>
            </xdr:nvSpPr>
            <xdr:spPr bwMode="auto">
              <a:xfrm>
                <a:off x="16524"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4168" name="Button 25" hidden="1">
                <a:extLst>
                  <a:ext uri="{63B3BB69-23CF-44E3-9099-C40C66FF867C}">
                    <a14:compatExt spid="_x0000_s4168"/>
                  </a:ext>
                </a:extLst>
              </xdr:cNvPr>
              <xdr:cNvSpPr/>
            </xdr:nvSpPr>
            <xdr:spPr bwMode="auto">
              <a:xfrm>
                <a:off x="16483" y="3007"/>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4169" name="Button 26" hidden="1">
                <a:extLst>
                  <a:ext uri="{63B3BB69-23CF-44E3-9099-C40C66FF867C}">
                    <a14:compatExt spid="_x0000_s4169"/>
                  </a:ext>
                </a:extLst>
              </xdr:cNvPr>
              <xdr:cNvSpPr/>
            </xdr:nvSpPr>
            <xdr:spPr bwMode="auto">
              <a:xfrm>
                <a:off x="42585" y="46"/>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4170" name="Button 27" hidden="1">
                <a:extLst>
                  <a:ext uri="{63B3BB69-23CF-44E3-9099-C40C66FF867C}">
                    <a14:compatExt spid="_x0000_s4170"/>
                  </a:ext>
                </a:extLst>
              </xdr:cNvPr>
              <xdr:cNvSpPr/>
            </xdr:nvSpPr>
            <xdr:spPr bwMode="auto">
              <a:xfrm>
                <a:off x="29561" y="3011"/>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4171" name="Button 28" hidden="1">
                <a:extLst>
                  <a:ext uri="{63B3BB69-23CF-44E3-9099-C40C66FF867C}">
                    <a14:compatExt spid="_x0000_s4171"/>
                  </a:ext>
                </a:extLst>
              </xdr:cNvPr>
              <xdr:cNvSpPr/>
            </xdr:nvSpPr>
            <xdr:spPr bwMode="auto">
              <a:xfrm>
                <a:off x="42573" y="3007"/>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4172" name="Button 29" hidden="1">
                <a:extLst>
                  <a:ext uri="{63B3BB69-23CF-44E3-9099-C40C66FF867C}">
                    <a14:compatExt spid="_x0000_s4172"/>
                  </a:ext>
                </a:extLst>
              </xdr:cNvPr>
              <xdr:cNvSpPr/>
            </xdr:nvSpPr>
            <xdr:spPr bwMode="auto">
              <a:xfrm>
                <a:off x="10881" y="134"/>
                <a:ext cx="5519"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4173" name="Button 30" hidden="1">
                <a:extLst>
                  <a:ext uri="{63B3BB69-23CF-44E3-9099-C40C66FF867C}">
                    <a14:compatExt spid="_x0000_s4173"/>
                  </a:ext>
                </a:extLst>
              </xdr:cNvPr>
              <xdr:cNvSpPr/>
            </xdr:nvSpPr>
            <xdr:spPr bwMode="auto">
              <a:xfrm>
                <a:off x="10861" y="3045"/>
                <a:ext cx="5523" cy="285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Choice>
    <mc:Fallback/>
  </mc:AlternateContent>
  <xdr:twoCellAnchor>
    <xdr:from>
      <xdr:col>0</xdr:col>
      <xdr:colOff>28575</xdr:colOff>
      <xdr:row>0</xdr:row>
      <xdr:rowOff>9525</xdr:rowOff>
    </xdr:from>
    <xdr:to>
      <xdr:col>6</xdr:col>
      <xdr:colOff>85725</xdr:colOff>
      <xdr:row>1</xdr:row>
      <xdr:rowOff>0</xdr:rowOff>
    </xdr:to>
    <xdr:grpSp>
      <xdr:nvGrpSpPr>
        <xdr:cNvPr id="4174" name="Grupo 41"/>
        <xdr:cNvGrpSpPr>
          <a:grpSpLocks/>
        </xdr:cNvGrpSpPr>
      </xdr:nvGrpSpPr>
      <xdr:grpSpPr bwMode="auto">
        <a:xfrm>
          <a:off x="28575" y="9525"/>
          <a:ext cx="4941570" cy="302895"/>
          <a:chOff x="1170126" y="9525"/>
          <a:chExt cx="4674009" cy="619125"/>
        </a:xfrm>
      </xdr:grpSpPr>
      <xdr:pic>
        <xdr:nvPicPr>
          <xdr:cNvPr id="55" name="Button 19"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549309" y="644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6" name="Button 20"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47689" y="6441"/>
            <a:ext cx="1292040" cy="30841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7" name="Button 21"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57268"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8" name="Button 22"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953535" y="314851"/>
            <a:ext cx="1297887"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9" name="Button 23"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549309"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4180" name="Grupo 2"/>
          <xdr:cNvGrpSpPr>
            <a:grpSpLocks/>
          </xdr:cNvGrpSpPr>
        </xdr:nvGrpSpPr>
        <xdr:grpSpPr bwMode="auto">
          <a:xfrm>
            <a:off x="1170126" y="9525"/>
            <a:ext cx="799481" cy="617527"/>
            <a:chOff x="861137" y="29789"/>
            <a:chExt cx="802017" cy="573098"/>
          </a:xfrm>
        </xdr:grpSpPr>
        <xdr:grpSp>
          <xdr:nvGrpSpPr>
            <xdr:cNvPr id="4181" name="Grupo 1"/>
            <xdr:cNvGrpSpPr>
              <a:grpSpLocks/>
            </xdr:cNvGrpSpPr>
          </xdr:nvGrpSpPr>
          <xdr:grpSpPr bwMode="auto">
            <a:xfrm>
              <a:off x="861137" y="29789"/>
              <a:ext cx="802017" cy="573098"/>
              <a:chOff x="840868" y="4463"/>
              <a:chExt cx="802171" cy="569456"/>
            </a:xfrm>
          </xdr:grpSpPr>
          <xdr:pic>
            <xdr:nvPicPr>
              <xdr:cNvPr id="63" name="Button 24"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40868" y="1619"/>
                <a:ext cx="803643" cy="2844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Button 25" hidden="1"/>
              <xdr:cNvPicPr>
                <a:picLocks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11538" y="286021"/>
                <a:ext cx="856437" cy="295778"/>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61" name="Button 26" descr="Opción Múltiple VR" hidden="1"/>
          <xdr:cNvPicPr>
            <a:picLocks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257268" y="6441"/>
            <a:ext cx="1297887" cy="32074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11430</xdr:colOff>
      <xdr:row>2</xdr:row>
      <xdr:rowOff>0</xdr:rowOff>
    </xdr:to>
    <xdr:grpSp>
      <xdr:nvGrpSpPr>
        <xdr:cNvPr id="5156" name="Grupo 41"/>
        <xdr:cNvGrpSpPr>
          <a:grpSpLocks/>
        </xdr:cNvGrpSpPr>
      </xdr:nvGrpSpPr>
      <xdr:grpSpPr bwMode="auto">
        <a:xfrm>
          <a:off x="0" y="0"/>
          <a:ext cx="6557010" cy="624840"/>
          <a:chOff x="29155" y="0"/>
          <a:chExt cx="6571834" cy="629184"/>
        </a:xfrm>
      </xdr:grpSpPr>
      <xdr:pic>
        <xdr:nvPicPr>
          <xdr:cNvPr id="16" name="Imagen 3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95" y="-24373"/>
            <a:ext cx="1621263" cy="682433"/>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5158" name="Grupo 40"/>
          <xdr:cNvGrpSpPr>
            <a:grpSpLocks/>
          </xdr:cNvGrpSpPr>
        </xdr:nvGrpSpPr>
        <xdr:grpSpPr bwMode="auto">
          <a:xfrm>
            <a:off x="1616283" y="2557"/>
            <a:ext cx="4984706" cy="621233"/>
            <a:chOff x="1616283" y="2557"/>
            <a:chExt cx="4984706" cy="621233"/>
          </a:xfrm>
        </xdr:grpSpPr>
        <xdr:grpSp>
          <xdr:nvGrpSpPr>
            <xdr:cNvPr id="5159" name="Grupo 38"/>
            <xdr:cNvGrpSpPr>
              <a:grpSpLocks/>
            </xdr:cNvGrpSpPr>
          </xdr:nvGrpSpPr>
          <xdr:grpSpPr bwMode="auto">
            <a:xfrm>
              <a:off x="1616283" y="2557"/>
              <a:ext cx="3310606" cy="621233"/>
              <a:chOff x="1616283" y="2557"/>
              <a:chExt cx="3310606" cy="621233"/>
            </a:xfrm>
          </xdr:grpSpPr>
          <xdr:grpSp>
            <xdr:nvGrpSpPr>
              <xdr:cNvPr id="5160" name="Grupo 36"/>
              <xdr:cNvGrpSpPr>
                <a:grpSpLocks/>
              </xdr:cNvGrpSpPr>
            </xdr:nvGrpSpPr>
            <xdr:grpSpPr bwMode="auto">
              <a:xfrm>
                <a:off x="1617302" y="326677"/>
                <a:ext cx="3309587" cy="297113"/>
                <a:chOff x="1617302" y="326677"/>
                <a:chExt cx="3309587" cy="297113"/>
              </a:xfrm>
            </xdr:grpSpPr>
            <xdr:pic macro="[0]!IR_E">
              <xdr:nvPicPr>
                <xdr:cNvPr id="27" name="Rectángulo 32"/>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09504" y="316845"/>
                  <a:ext cx="1125707" cy="316844"/>
                </a:xfrm>
                <a:prstGeom prst="rect">
                  <a:avLst/>
                </a:prstGeom>
                <a:noFill/>
                <a:extLst>
                  <a:ext uri="{909E8E84-426E-40DD-AFC4-6F175D3DCCD1}">
                    <a14:hiddenFill xmlns:a14="http://schemas.microsoft.com/office/drawing/2010/main">
                      <a:solidFill>
                        <a:srgbClr val="FFFFFF"/>
                      </a:solidFill>
                    </a14:hiddenFill>
                  </a:ext>
                </a:extLst>
              </xdr:spPr>
            </xdr:pic>
            <xdr:pic macro="[0]!IR_RC">
              <xdr:nvPicPr>
                <xdr:cNvPr id="28" name="Rectángulo 62"/>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22975" y="316845"/>
                  <a:ext cx="1119589" cy="316844"/>
                </a:xfrm>
                <a:prstGeom prst="rect">
                  <a:avLst/>
                </a:prstGeom>
                <a:noFill/>
                <a:extLst>
                  <a:ext uri="{909E8E84-426E-40DD-AFC4-6F175D3DCCD1}">
                    <a14:hiddenFill xmlns:a14="http://schemas.microsoft.com/office/drawing/2010/main">
                      <a:solidFill>
                        <a:srgbClr val="FFFFFF"/>
                      </a:solidFill>
                    </a14:hiddenFill>
                  </a:ext>
                </a:extLst>
              </xdr:spPr>
            </xdr:pic>
            <xdr:pic macro="[0]!IR_PP">
              <xdr:nvPicPr>
                <xdr:cNvPr id="29" name="Rectángulo 63"/>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30328" y="316845"/>
                  <a:ext cx="1101235" cy="316844"/>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5164" name="Grupo 37"/>
              <xdr:cNvGrpSpPr>
                <a:grpSpLocks/>
              </xdr:cNvGrpSpPr>
            </xdr:nvGrpSpPr>
            <xdr:grpSpPr bwMode="auto">
              <a:xfrm>
                <a:off x="1616283" y="2557"/>
                <a:ext cx="3308150" cy="324660"/>
                <a:chOff x="1616283" y="2557"/>
                <a:chExt cx="3308150" cy="324660"/>
              </a:xfrm>
            </xdr:grpSpPr>
            <xdr:pic macro="[0]!IR_OM">
              <xdr:nvPicPr>
                <xdr:cNvPr id="24" name="Rectángulo 66"/>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09504" y="-6093"/>
                  <a:ext cx="1125707" cy="335123"/>
                </a:xfrm>
                <a:prstGeom prst="rect">
                  <a:avLst/>
                </a:prstGeom>
                <a:noFill/>
                <a:extLst>
                  <a:ext uri="{909E8E84-426E-40DD-AFC4-6F175D3DCCD1}">
                    <a14:hiddenFill xmlns:a14="http://schemas.microsoft.com/office/drawing/2010/main">
                      <a:solidFill>
                        <a:srgbClr val="FFFFFF"/>
                      </a:solidFill>
                    </a14:hiddenFill>
                  </a:ext>
                </a:extLst>
              </xdr:spPr>
            </xdr:pic>
            <xdr:pic macro="[0]!IR_O2">
              <xdr:nvPicPr>
                <xdr:cNvPr id="25" name="Rectángulo 67"/>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722975" y="-6093"/>
                  <a:ext cx="1119589" cy="335123"/>
                </a:xfrm>
                <a:prstGeom prst="rect">
                  <a:avLst/>
                </a:prstGeom>
                <a:noFill/>
                <a:extLst>
                  <a:ext uri="{909E8E84-426E-40DD-AFC4-6F175D3DCCD1}">
                    <a14:hiddenFill xmlns:a14="http://schemas.microsoft.com/office/drawing/2010/main">
                      <a:solidFill>
                        <a:srgbClr val="FFFFFF"/>
                      </a:solidFill>
                    </a14:hiddenFill>
                  </a:ext>
                </a:extLst>
              </xdr:spPr>
            </xdr:pic>
            <xdr:pic macro="[0]!IR_VF">
              <xdr:nvPicPr>
                <xdr:cNvPr id="26" name="Rectángulo 68"/>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30328" y="-6093"/>
                  <a:ext cx="1101235" cy="335123"/>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nvGrpSpPr>
            <xdr:cNvPr id="5168" name="Grupo 39"/>
            <xdr:cNvGrpSpPr>
              <a:grpSpLocks/>
            </xdr:cNvGrpSpPr>
          </xdr:nvGrpSpPr>
          <xdr:grpSpPr bwMode="auto">
            <a:xfrm>
              <a:off x="4923094" y="5013"/>
              <a:ext cx="1677895" cy="316249"/>
              <a:chOff x="4923094" y="5013"/>
              <a:chExt cx="1677895" cy="316249"/>
            </a:xfrm>
          </xdr:grpSpPr>
          <xdr:pic macro="[0]!IR_INICIO">
            <xdr:nvPicPr>
              <xdr:cNvPr id="20" name="Rectángulo 70"/>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925445" y="6093"/>
                <a:ext cx="862635" cy="310751"/>
              </a:xfrm>
              <a:prstGeom prst="rect">
                <a:avLst/>
              </a:prstGeom>
              <a:noFill/>
              <a:extLst>
                <a:ext uri="{909E8E84-426E-40DD-AFC4-6F175D3DCCD1}">
                  <a14:hiddenFill xmlns:a14="http://schemas.microsoft.com/office/drawing/2010/main">
                    <a:solidFill>
                      <a:srgbClr val="FFFFFF"/>
                    </a:solidFill>
                  </a14:hiddenFill>
                </a:ext>
              </a:extLst>
            </xdr:spPr>
          </xdr:pic>
          <xdr:pic macro="[0]!Copiar_Formatos">
            <xdr:nvPicPr>
              <xdr:cNvPr id="23" name="Rectángulo 71"/>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794198" y="6093"/>
                <a:ext cx="807573" cy="310751"/>
              </a:xfrm>
              <a:prstGeom prst="rect">
                <a:avLst/>
              </a:prstGeom>
              <a:noFill/>
              <a:extLst>
                <a:ext uri="{909E8E84-426E-40DD-AFC4-6F175D3DCCD1}">
                  <a14:hiddenFill xmlns:a14="http://schemas.microsoft.com/office/drawing/2010/main">
                    <a:solidFill>
                      <a:srgbClr val="FFFFFF"/>
                    </a:solidFill>
                  </a14:hiddenFill>
                </a:ext>
              </a:extLst>
            </xdr:spPr>
          </xdr:pic>
        </xdr:grpSp>
      </xdr:grpSp>
    </xdr:grpSp>
    <xdr:clientData/>
  </xdr:twoCellAnchor>
  <mc:AlternateContent xmlns:mc="http://schemas.openxmlformats.org/markup-compatibility/2006">
    <mc:Choice xmlns:a14="http://schemas.microsoft.com/office/drawing/2010/main" Requires="a14">
      <xdr:twoCellAnchor>
        <xdr:from>
          <xdr:col>5</xdr:col>
          <xdr:colOff>314325</xdr:colOff>
          <xdr:row>0</xdr:row>
          <xdr:rowOff>0</xdr:rowOff>
        </xdr:from>
        <xdr:to>
          <xdr:col>7</xdr:col>
          <xdr:colOff>647700</xdr:colOff>
          <xdr:row>1</xdr:row>
          <xdr:rowOff>0</xdr:rowOff>
        </xdr:to>
        <xdr:grpSp>
          <xdr:nvGrpSpPr>
            <xdr:cNvPr id="5189" name="Grupo 1"/>
            <xdr:cNvGrpSpPr>
              <a:grpSpLocks/>
            </xdr:cNvGrpSpPr>
          </xdr:nvGrpSpPr>
          <xdr:grpSpPr bwMode="auto">
            <a:xfrm>
              <a:off x="1868805" y="0"/>
              <a:ext cx="4486275" cy="312420"/>
              <a:chOff x="10861" y="46"/>
              <a:chExt cx="44706" cy="5851"/>
            </a:xfrm>
          </xdr:grpSpPr>
          <xdr:sp macro="" textlink="">
            <xdr:nvSpPr>
              <xdr:cNvPr id="5190" name="Button 23" hidden="1">
                <a:extLst>
                  <a:ext uri="{63B3BB69-23CF-44E3-9099-C40C66FF867C}">
                    <a14:compatExt spid="_x0000_s5190"/>
                  </a:ext>
                </a:extLst>
              </xdr:cNvPr>
              <xdr:cNvSpPr/>
            </xdr:nvSpPr>
            <xdr:spPr bwMode="auto">
              <a:xfrm>
                <a:off x="29536"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Verdadero/Falso</a:t>
                </a:r>
              </a:p>
            </xdr:txBody>
          </xdr:sp>
          <xdr:sp macro="" textlink="">
            <xdr:nvSpPr>
              <xdr:cNvPr id="5191" name="Button 24" hidden="1">
                <a:extLst>
                  <a:ext uri="{63B3BB69-23CF-44E3-9099-C40C66FF867C}">
                    <a14:compatExt spid="_x0000_s5191"/>
                  </a:ext>
                </a:extLst>
              </xdr:cNvPr>
              <xdr:cNvSpPr/>
            </xdr:nvSpPr>
            <xdr:spPr bwMode="auto">
              <a:xfrm>
                <a:off x="16524" y="99"/>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Opción Múltiple</a:t>
                </a:r>
              </a:p>
            </xdr:txBody>
          </xdr:sp>
          <xdr:sp macro="" textlink="">
            <xdr:nvSpPr>
              <xdr:cNvPr id="5192" name="Button 25" hidden="1">
                <a:extLst>
                  <a:ext uri="{63B3BB69-23CF-44E3-9099-C40C66FF867C}">
                    <a14:compatExt spid="_x0000_s5192"/>
                  </a:ext>
                </a:extLst>
              </xdr:cNvPr>
              <xdr:cNvSpPr/>
            </xdr:nvSpPr>
            <xdr:spPr bwMode="auto">
              <a:xfrm>
                <a:off x="16483" y="3007"/>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Respuesta Corta</a:t>
                </a:r>
              </a:p>
            </xdr:txBody>
          </xdr:sp>
          <xdr:sp macro="" textlink="">
            <xdr:nvSpPr>
              <xdr:cNvPr id="5193" name="Button 26" hidden="1">
                <a:extLst>
                  <a:ext uri="{63B3BB69-23CF-44E3-9099-C40C66FF867C}">
                    <a14:compatExt spid="_x0000_s5193"/>
                  </a:ext>
                </a:extLst>
              </xdr:cNvPr>
              <xdr:cNvSpPr/>
            </xdr:nvSpPr>
            <xdr:spPr bwMode="auto">
              <a:xfrm>
                <a:off x="42585" y="46"/>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Emparejar</a:t>
                </a:r>
              </a:p>
            </xdr:txBody>
          </xdr:sp>
          <xdr:sp macro="" textlink="">
            <xdr:nvSpPr>
              <xdr:cNvPr id="5194" name="Button 27" hidden="1">
                <a:extLst>
                  <a:ext uri="{63B3BB69-23CF-44E3-9099-C40C66FF867C}">
                    <a14:compatExt spid="_x0000_s5194"/>
                  </a:ext>
                </a:extLst>
              </xdr:cNvPr>
              <xdr:cNvSpPr/>
            </xdr:nvSpPr>
            <xdr:spPr bwMode="auto">
              <a:xfrm>
                <a:off x="29561" y="3011"/>
                <a:ext cx="12982"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Palabra Perdida</a:t>
                </a:r>
              </a:p>
            </xdr:txBody>
          </xdr:sp>
          <xdr:sp macro="" textlink="">
            <xdr:nvSpPr>
              <xdr:cNvPr id="5195" name="Button 28" hidden="1">
                <a:extLst>
                  <a:ext uri="{63B3BB69-23CF-44E3-9099-C40C66FF867C}">
                    <a14:compatExt spid="_x0000_s5195"/>
                  </a:ext>
                </a:extLst>
              </xdr:cNvPr>
              <xdr:cNvSpPr/>
            </xdr:nvSpPr>
            <xdr:spPr bwMode="auto">
              <a:xfrm>
                <a:off x="42573" y="3007"/>
                <a:ext cx="12983"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Quiz</a:t>
                </a:r>
              </a:p>
            </xdr:txBody>
          </xdr:sp>
          <xdr:sp macro="" textlink="">
            <xdr:nvSpPr>
              <xdr:cNvPr id="5196" name="Button 29" hidden="1">
                <a:extLst>
                  <a:ext uri="{63B3BB69-23CF-44E3-9099-C40C66FF867C}">
                    <a14:compatExt spid="_x0000_s5196"/>
                  </a:ext>
                </a:extLst>
              </xdr:cNvPr>
              <xdr:cNvSpPr/>
            </xdr:nvSpPr>
            <xdr:spPr bwMode="auto">
              <a:xfrm>
                <a:off x="10881" y="134"/>
                <a:ext cx="5519" cy="286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cs typeface="Calibri"/>
                  </a:rPr>
                  <a:t>INICIO</a:t>
                </a:r>
              </a:p>
            </xdr:txBody>
          </xdr:sp>
          <xdr:sp macro="" textlink="">
            <xdr:nvSpPr>
              <xdr:cNvPr id="5197" name="Button 30" hidden="1">
                <a:extLst>
                  <a:ext uri="{63B3BB69-23CF-44E3-9099-C40C66FF867C}">
                    <a14:compatExt spid="_x0000_s5197"/>
                  </a:ext>
                </a:extLst>
              </xdr:cNvPr>
              <xdr:cNvSpPr/>
            </xdr:nvSpPr>
            <xdr:spPr bwMode="auto">
              <a:xfrm>
                <a:off x="10861" y="3045"/>
                <a:ext cx="5523" cy="285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Calibri"/>
                    <a:cs typeface="Calibri"/>
                  </a:rPr>
                  <a:t>DAR FORMATO</a:t>
                </a:r>
              </a:p>
            </xdr:txBody>
          </xdr:sp>
        </xdr:grpSp>
        <xdr:clientData/>
      </xdr:twoCellAnchor>
    </mc:Choice>
    <mc:Fallback/>
  </mc:AlternateContent>
  <xdr:twoCellAnchor>
    <xdr:from>
      <xdr:col>0</xdr:col>
      <xdr:colOff>28575</xdr:colOff>
      <xdr:row>0</xdr:row>
      <xdr:rowOff>9525</xdr:rowOff>
    </xdr:from>
    <xdr:to>
      <xdr:col>6</xdr:col>
      <xdr:colOff>276225</xdr:colOff>
      <xdr:row>1</xdr:row>
      <xdr:rowOff>0</xdr:rowOff>
    </xdr:to>
    <xdr:grpSp>
      <xdr:nvGrpSpPr>
        <xdr:cNvPr id="5198" name="Grupo 41"/>
        <xdr:cNvGrpSpPr>
          <a:grpSpLocks/>
        </xdr:cNvGrpSpPr>
      </xdr:nvGrpSpPr>
      <xdr:grpSpPr bwMode="auto">
        <a:xfrm>
          <a:off x="28575" y="9525"/>
          <a:ext cx="5116830" cy="302895"/>
          <a:chOff x="1170126" y="9525"/>
          <a:chExt cx="4674009" cy="619125"/>
        </a:xfrm>
      </xdr:grpSpPr>
      <xdr:pic>
        <xdr:nvPicPr>
          <xdr:cNvPr id="55" name="Button 19" hidden="1"/>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549309" y="644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6" name="Button 20" hidden="1"/>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47689" y="6441"/>
            <a:ext cx="1292040" cy="30841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7" name="Button 21" hidden="1"/>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57268"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8" name="Button 22" hidden="1"/>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953535" y="314851"/>
            <a:ext cx="1297887" cy="32074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9" name="Button 23" hidden="1"/>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549309" y="314851"/>
            <a:ext cx="1292040" cy="320746"/>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5204" name="Grupo 2"/>
          <xdr:cNvGrpSpPr>
            <a:grpSpLocks/>
          </xdr:cNvGrpSpPr>
        </xdr:nvGrpSpPr>
        <xdr:grpSpPr bwMode="auto">
          <a:xfrm>
            <a:off x="1170126" y="9525"/>
            <a:ext cx="799481" cy="617527"/>
            <a:chOff x="861137" y="29789"/>
            <a:chExt cx="802017" cy="573098"/>
          </a:xfrm>
        </xdr:grpSpPr>
        <xdr:grpSp>
          <xdr:nvGrpSpPr>
            <xdr:cNvPr id="5205" name="Grupo 1"/>
            <xdr:cNvGrpSpPr>
              <a:grpSpLocks/>
            </xdr:cNvGrpSpPr>
          </xdr:nvGrpSpPr>
          <xdr:grpSpPr bwMode="auto">
            <a:xfrm>
              <a:off x="861137" y="29789"/>
              <a:ext cx="802017" cy="573098"/>
              <a:chOff x="840868" y="4463"/>
              <a:chExt cx="802171" cy="569456"/>
            </a:xfrm>
          </xdr:grpSpPr>
          <xdr:pic>
            <xdr:nvPicPr>
              <xdr:cNvPr id="63" name="Button 24" hidden="1"/>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40868" y="1619"/>
                <a:ext cx="803643" cy="2844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Button 25" hidden="1"/>
              <xdr:cNvPicPr>
                <a:picLocks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11538" y="286021"/>
                <a:ext cx="856437" cy="295778"/>
              </a:xfrm>
              <a:prstGeom prst="rect">
                <a:avLst/>
              </a:prstGeom>
              <a:noFill/>
              <a:extLst>
                <a:ext uri="{909E8E84-426E-40DD-AFC4-6F175D3DCCD1}">
                  <a14:hiddenFill xmlns:a14="http://schemas.microsoft.com/office/drawing/2010/main">
                    <a:solidFill>
                      <a:srgbClr val="FFFFFF"/>
                    </a:solidFill>
                  </a14:hiddenFill>
                </a:ext>
              </a:extLst>
            </xdr:spPr>
          </xdr:pic>
        </xdr:grpSp>
      </xdr:grpSp>
      <xdr:pic>
        <xdr:nvPicPr>
          <xdr:cNvPr id="61" name="Button 26" descr="Opción Múltiple VR" hidden="1"/>
          <xdr:cNvPicPr>
            <a:picLocks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257268" y="6441"/>
            <a:ext cx="1297887" cy="32074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channel/UC8O0Q5YfdpcmcZKuFeYvsow"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5.xml"/><Relationship Id="rId21" Type="http://schemas.openxmlformats.org/officeDocument/2006/relationships/ctrlProp" Target="../ctrlProps/ctrlProp19.xml"/><Relationship Id="rId42" Type="http://schemas.openxmlformats.org/officeDocument/2006/relationships/ctrlProp" Target="../ctrlProps/ctrlProp40.xml"/><Relationship Id="rId63" Type="http://schemas.openxmlformats.org/officeDocument/2006/relationships/ctrlProp" Target="../ctrlProps/ctrlProp61.xml"/><Relationship Id="rId84" Type="http://schemas.openxmlformats.org/officeDocument/2006/relationships/ctrlProp" Target="../ctrlProps/ctrlProp82.xml"/><Relationship Id="rId138" Type="http://schemas.openxmlformats.org/officeDocument/2006/relationships/ctrlProp" Target="../ctrlProps/ctrlProp136.xml"/><Relationship Id="rId159" Type="http://schemas.openxmlformats.org/officeDocument/2006/relationships/ctrlProp" Target="../ctrlProps/ctrlProp157.xml"/><Relationship Id="rId170" Type="http://schemas.openxmlformats.org/officeDocument/2006/relationships/ctrlProp" Target="../ctrlProps/ctrlProp168.xml"/><Relationship Id="rId191" Type="http://schemas.openxmlformats.org/officeDocument/2006/relationships/ctrlProp" Target="../ctrlProps/ctrlProp189.xml"/><Relationship Id="rId205" Type="http://schemas.openxmlformats.org/officeDocument/2006/relationships/ctrlProp" Target="../ctrlProps/ctrlProp203.xml"/><Relationship Id="rId226" Type="http://schemas.openxmlformats.org/officeDocument/2006/relationships/ctrlProp" Target="../ctrlProps/ctrlProp224.xml"/><Relationship Id="rId107" Type="http://schemas.openxmlformats.org/officeDocument/2006/relationships/ctrlProp" Target="../ctrlProps/ctrlProp105.xml"/><Relationship Id="rId11" Type="http://schemas.openxmlformats.org/officeDocument/2006/relationships/ctrlProp" Target="../ctrlProps/ctrlProp9.xml"/><Relationship Id="rId32" Type="http://schemas.openxmlformats.org/officeDocument/2006/relationships/ctrlProp" Target="../ctrlProps/ctrlProp30.xml"/><Relationship Id="rId53" Type="http://schemas.openxmlformats.org/officeDocument/2006/relationships/ctrlProp" Target="../ctrlProps/ctrlProp51.xml"/><Relationship Id="rId74" Type="http://schemas.openxmlformats.org/officeDocument/2006/relationships/ctrlProp" Target="../ctrlProps/ctrlProp72.xml"/><Relationship Id="rId128" Type="http://schemas.openxmlformats.org/officeDocument/2006/relationships/ctrlProp" Target="../ctrlProps/ctrlProp126.xml"/><Relationship Id="rId149" Type="http://schemas.openxmlformats.org/officeDocument/2006/relationships/ctrlProp" Target="../ctrlProps/ctrlProp147.xml"/><Relationship Id="rId5" Type="http://schemas.openxmlformats.org/officeDocument/2006/relationships/ctrlProp" Target="../ctrlProps/ctrlProp3.xml"/><Relationship Id="rId95" Type="http://schemas.openxmlformats.org/officeDocument/2006/relationships/ctrlProp" Target="../ctrlProps/ctrlProp93.xml"/><Relationship Id="rId160" Type="http://schemas.openxmlformats.org/officeDocument/2006/relationships/ctrlProp" Target="../ctrlProps/ctrlProp158.xml"/><Relationship Id="rId181" Type="http://schemas.openxmlformats.org/officeDocument/2006/relationships/ctrlProp" Target="../ctrlProps/ctrlProp179.xml"/><Relationship Id="rId216" Type="http://schemas.openxmlformats.org/officeDocument/2006/relationships/ctrlProp" Target="../ctrlProps/ctrlProp214.xml"/><Relationship Id="rId237" Type="http://schemas.openxmlformats.org/officeDocument/2006/relationships/ctrlProp" Target="../ctrlProps/ctrlProp235.xml"/><Relationship Id="rId22" Type="http://schemas.openxmlformats.org/officeDocument/2006/relationships/ctrlProp" Target="../ctrlProps/ctrlProp20.xml"/><Relationship Id="rId43" Type="http://schemas.openxmlformats.org/officeDocument/2006/relationships/ctrlProp" Target="../ctrlProps/ctrlProp41.xml"/><Relationship Id="rId64" Type="http://schemas.openxmlformats.org/officeDocument/2006/relationships/ctrlProp" Target="../ctrlProps/ctrlProp62.xml"/><Relationship Id="rId118" Type="http://schemas.openxmlformats.org/officeDocument/2006/relationships/ctrlProp" Target="../ctrlProps/ctrlProp116.xml"/><Relationship Id="rId139" Type="http://schemas.openxmlformats.org/officeDocument/2006/relationships/ctrlProp" Target="../ctrlProps/ctrlProp137.xml"/><Relationship Id="rId85" Type="http://schemas.openxmlformats.org/officeDocument/2006/relationships/ctrlProp" Target="../ctrlProps/ctrlProp83.xml"/><Relationship Id="rId150" Type="http://schemas.openxmlformats.org/officeDocument/2006/relationships/ctrlProp" Target="../ctrlProps/ctrlProp148.xml"/><Relationship Id="rId171" Type="http://schemas.openxmlformats.org/officeDocument/2006/relationships/ctrlProp" Target="../ctrlProps/ctrlProp169.xml"/><Relationship Id="rId192" Type="http://schemas.openxmlformats.org/officeDocument/2006/relationships/ctrlProp" Target="../ctrlProps/ctrlProp190.xml"/><Relationship Id="rId206" Type="http://schemas.openxmlformats.org/officeDocument/2006/relationships/ctrlProp" Target="../ctrlProps/ctrlProp204.xml"/><Relationship Id="rId227" Type="http://schemas.openxmlformats.org/officeDocument/2006/relationships/ctrlProp" Target="../ctrlProps/ctrlProp225.xml"/><Relationship Id="rId12" Type="http://schemas.openxmlformats.org/officeDocument/2006/relationships/ctrlProp" Target="../ctrlProps/ctrlProp10.xml"/><Relationship Id="rId33" Type="http://schemas.openxmlformats.org/officeDocument/2006/relationships/ctrlProp" Target="../ctrlProps/ctrlProp31.xml"/><Relationship Id="rId108" Type="http://schemas.openxmlformats.org/officeDocument/2006/relationships/ctrlProp" Target="../ctrlProps/ctrlProp106.xml"/><Relationship Id="rId129" Type="http://schemas.openxmlformats.org/officeDocument/2006/relationships/ctrlProp" Target="../ctrlProps/ctrlProp127.xml"/><Relationship Id="rId54" Type="http://schemas.openxmlformats.org/officeDocument/2006/relationships/ctrlProp" Target="../ctrlProps/ctrlProp52.xml"/><Relationship Id="rId75" Type="http://schemas.openxmlformats.org/officeDocument/2006/relationships/ctrlProp" Target="../ctrlProps/ctrlProp73.xml"/><Relationship Id="rId96" Type="http://schemas.openxmlformats.org/officeDocument/2006/relationships/ctrlProp" Target="../ctrlProps/ctrlProp94.xml"/><Relationship Id="rId140" Type="http://schemas.openxmlformats.org/officeDocument/2006/relationships/ctrlProp" Target="../ctrlProps/ctrlProp138.xml"/><Relationship Id="rId161" Type="http://schemas.openxmlformats.org/officeDocument/2006/relationships/ctrlProp" Target="../ctrlProps/ctrlProp159.xml"/><Relationship Id="rId182" Type="http://schemas.openxmlformats.org/officeDocument/2006/relationships/ctrlProp" Target="../ctrlProps/ctrlProp180.xml"/><Relationship Id="rId217" Type="http://schemas.openxmlformats.org/officeDocument/2006/relationships/ctrlProp" Target="../ctrlProps/ctrlProp215.xml"/><Relationship Id="rId6" Type="http://schemas.openxmlformats.org/officeDocument/2006/relationships/ctrlProp" Target="../ctrlProps/ctrlProp4.xml"/><Relationship Id="rId238" Type="http://schemas.openxmlformats.org/officeDocument/2006/relationships/ctrlProp" Target="../ctrlProps/ctrlProp236.xml"/><Relationship Id="rId23" Type="http://schemas.openxmlformats.org/officeDocument/2006/relationships/ctrlProp" Target="../ctrlProps/ctrlProp21.xml"/><Relationship Id="rId119" Type="http://schemas.openxmlformats.org/officeDocument/2006/relationships/ctrlProp" Target="../ctrlProps/ctrlProp117.xml"/><Relationship Id="rId44" Type="http://schemas.openxmlformats.org/officeDocument/2006/relationships/ctrlProp" Target="../ctrlProps/ctrlProp42.xml"/><Relationship Id="rId65" Type="http://schemas.openxmlformats.org/officeDocument/2006/relationships/ctrlProp" Target="../ctrlProps/ctrlProp63.xml"/><Relationship Id="rId86" Type="http://schemas.openxmlformats.org/officeDocument/2006/relationships/ctrlProp" Target="../ctrlProps/ctrlProp84.xml"/><Relationship Id="rId130" Type="http://schemas.openxmlformats.org/officeDocument/2006/relationships/ctrlProp" Target="../ctrlProps/ctrlProp128.xml"/><Relationship Id="rId151" Type="http://schemas.openxmlformats.org/officeDocument/2006/relationships/ctrlProp" Target="../ctrlProps/ctrlProp149.xml"/><Relationship Id="rId172" Type="http://schemas.openxmlformats.org/officeDocument/2006/relationships/ctrlProp" Target="../ctrlProps/ctrlProp170.xml"/><Relationship Id="rId193" Type="http://schemas.openxmlformats.org/officeDocument/2006/relationships/ctrlProp" Target="../ctrlProps/ctrlProp191.xml"/><Relationship Id="rId207" Type="http://schemas.openxmlformats.org/officeDocument/2006/relationships/ctrlProp" Target="../ctrlProps/ctrlProp205.xml"/><Relationship Id="rId228" Type="http://schemas.openxmlformats.org/officeDocument/2006/relationships/ctrlProp" Target="../ctrlProps/ctrlProp226.xml"/><Relationship Id="rId13" Type="http://schemas.openxmlformats.org/officeDocument/2006/relationships/ctrlProp" Target="../ctrlProps/ctrlProp11.xml"/><Relationship Id="rId109" Type="http://schemas.openxmlformats.org/officeDocument/2006/relationships/ctrlProp" Target="../ctrlProps/ctrlProp107.xml"/><Relationship Id="rId34" Type="http://schemas.openxmlformats.org/officeDocument/2006/relationships/ctrlProp" Target="../ctrlProps/ctrlProp32.xml"/><Relationship Id="rId55" Type="http://schemas.openxmlformats.org/officeDocument/2006/relationships/ctrlProp" Target="../ctrlProps/ctrlProp53.xml"/><Relationship Id="rId76" Type="http://schemas.openxmlformats.org/officeDocument/2006/relationships/ctrlProp" Target="../ctrlProps/ctrlProp74.xml"/><Relationship Id="rId97" Type="http://schemas.openxmlformats.org/officeDocument/2006/relationships/ctrlProp" Target="../ctrlProps/ctrlProp95.xml"/><Relationship Id="rId120" Type="http://schemas.openxmlformats.org/officeDocument/2006/relationships/ctrlProp" Target="../ctrlProps/ctrlProp118.xml"/><Relationship Id="rId141" Type="http://schemas.openxmlformats.org/officeDocument/2006/relationships/ctrlProp" Target="../ctrlProps/ctrlProp139.xml"/><Relationship Id="rId7" Type="http://schemas.openxmlformats.org/officeDocument/2006/relationships/ctrlProp" Target="../ctrlProps/ctrlProp5.xml"/><Relationship Id="rId162" Type="http://schemas.openxmlformats.org/officeDocument/2006/relationships/ctrlProp" Target="../ctrlProps/ctrlProp160.xml"/><Relationship Id="rId183" Type="http://schemas.openxmlformats.org/officeDocument/2006/relationships/ctrlProp" Target="../ctrlProps/ctrlProp181.xml"/><Relationship Id="rId218" Type="http://schemas.openxmlformats.org/officeDocument/2006/relationships/ctrlProp" Target="../ctrlProps/ctrlProp216.xml"/><Relationship Id="rId239" Type="http://schemas.openxmlformats.org/officeDocument/2006/relationships/ctrlProp" Target="../ctrlProps/ctrlProp237.xml"/><Relationship Id="rId24" Type="http://schemas.openxmlformats.org/officeDocument/2006/relationships/ctrlProp" Target="../ctrlProps/ctrlProp22.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ctrlProp" Target="../ctrlProps/ctrlProp85.xml"/><Relationship Id="rId110" Type="http://schemas.openxmlformats.org/officeDocument/2006/relationships/ctrlProp" Target="../ctrlProps/ctrlProp108.xml"/><Relationship Id="rId131" Type="http://schemas.openxmlformats.org/officeDocument/2006/relationships/ctrlProp" Target="../ctrlProps/ctrlProp129.xml"/><Relationship Id="rId152" Type="http://schemas.openxmlformats.org/officeDocument/2006/relationships/ctrlProp" Target="../ctrlProps/ctrlProp150.xml"/><Relationship Id="rId173" Type="http://schemas.openxmlformats.org/officeDocument/2006/relationships/ctrlProp" Target="../ctrlProps/ctrlProp171.xml"/><Relationship Id="rId194" Type="http://schemas.openxmlformats.org/officeDocument/2006/relationships/ctrlProp" Target="../ctrlProps/ctrlProp192.xml"/><Relationship Id="rId208" Type="http://schemas.openxmlformats.org/officeDocument/2006/relationships/ctrlProp" Target="../ctrlProps/ctrlProp206.xml"/><Relationship Id="rId229" Type="http://schemas.openxmlformats.org/officeDocument/2006/relationships/ctrlProp" Target="../ctrlProps/ctrlProp227.xml"/><Relationship Id="rId240" Type="http://schemas.openxmlformats.org/officeDocument/2006/relationships/ctrlProp" Target="../ctrlProps/ctrlProp238.xml"/><Relationship Id="rId14" Type="http://schemas.openxmlformats.org/officeDocument/2006/relationships/ctrlProp" Target="../ctrlProps/ctrlProp12.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ctrlProp" Target="../ctrlProps/ctrlProp75.xml"/><Relationship Id="rId100" Type="http://schemas.openxmlformats.org/officeDocument/2006/relationships/ctrlProp" Target="../ctrlProps/ctrlProp98.xml"/><Relationship Id="rId8" Type="http://schemas.openxmlformats.org/officeDocument/2006/relationships/ctrlProp" Target="../ctrlProps/ctrlProp6.xml"/><Relationship Id="rId98" Type="http://schemas.openxmlformats.org/officeDocument/2006/relationships/ctrlProp" Target="../ctrlProps/ctrlProp96.xml"/><Relationship Id="rId121" Type="http://schemas.openxmlformats.org/officeDocument/2006/relationships/ctrlProp" Target="../ctrlProps/ctrlProp119.xml"/><Relationship Id="rId142" Type="http://schemas.openxmlformats.org/officeDocument/2006/relationships/ctrlProp" Target="../ctrlProps/ctrlProp140.xml"/><Relationship Id="rId163" Type="http://schemas.openxmlformats.org/officeDocument/2006/relationships/ctrlProp" Target="../ctrlProps/ctrlProp161.xml"/><Relationship Id="rId184" Type="http://schemas.openxmlformats.org/officeDocument/2006/relationships/ctrlProp" Target="../ctrlProps/ctrlProp182.xml"/><Relationship Id="rId219" Type="http://schemas.openxmlformats.org/officeDocument/2006/relationships/ctrlProp" Target="../ctrlProps/ctrlProp217.xml"/><Relationship Id="rId230" Type="http://schemas.openxmlformats.org/officeDocument/2006/relationships/ctrlProp" Target="../ctrlProps/ctrlProp228.xml"/><Relationship Id="rId25" Type="http://schemas.openxmlformats.org/officeDocument/2006/relationships/ctrlProp" Target="../ctrlProps/ctrlProp23.xml"/><Relationship Id="rId46" Type="http://schemas.openxmlformats.org/officeDocument/2006/relationships/ctrlProp" Target="../ctrlProps/ctrlProp44.xml"/><Relationship Id="rId67" Type="http://schemas.openxmlformats.org/officeDocument/2006/relationships/ctrlProp" Target="../ctrlProps/ctrlProp65.xml"/><Relationship Id="rId88" Type="http://schemas.openxmlformats.org/officeDocument/2006/relationships/ctrlProp" Target="../ctrlProps/ctrlProp86.xml"/><Relationship Id="rId111" Type="http://schemas.openxmlformats.org/officeDocument/2006/relationships/ctrlProp" Target="../ctrlProps/ctrlProp109.xml"/><Relationship Id="rId132" Type="http://schemas.openxmlformats.org/officeDocument/2006/relationships/ctrlProp" Target="../ctrlProps/ctrlProp130.xml"/><Relationship Id="rId153" Type="http://schemas.openxmlformats.org/officeDocument/2006/relationships/ctrlProp" Target="../ctrlProps/ctrlProp151.xml"/><Relationship Id="rId174" Type="http://schemas.openxmlformats.org/officeDocument/2006/relationships/ctrlProp" Target="../ctrlProps/ctrlProp172.xml"/><Relationship Id="rId195" Type="http://schemas.openxmlformats.org/officeDocument/2006/relationships/ctrlProp" Target="../ctrlProps/ctrlProp193.xml"/><Relationship Id="rId209" Type="http://schemas.openxmlformats.org/officeDocument/2006/relationships/ctrlProp" Target="../ctrlProps/ctrlProp207.xml"/><Relationship Id="rId220" Type="http://schemas.openxmlformats.org/officeDocument/2006/relationships/ctrlProp" Target="../ctrlProps/ctrlProp218.xml"/><Relationship Id="rId241" Type="http://schemas.openxmlformats.org/officeDocument/2006/relationships/ctrlProp" Target="../ctrlProps/ctrlProp239.xml"/><Relationship Id="rId15" Type="http://schemas.openxmlformats.org/officeDocument/2006/relationships/ctrlProp" Target="../ctrlProps/ctrlProp13.xml"/><Relationship Id="rId36" Type="http://schemas.openxmlformats.org/officeDocument/2006/relationships/ctrlProp" Target="../ctrlProps/ctrlProp34.xml"/><Relationship Id="rId57" Type="http://schemas.openxmlformats.org/officeDocument/2006/relationships/ctrlProp" Target="../ctrlProps/ctrlProp55.xml"/><Relationship Id="rId106" Type="http://schemas.openxmlformats.org/officeDocument/2006/relationships/ctrlProp" Target="../ctrlProps/ctrlProp104.xml"/><Relationship Id="rId127" Type="http://schemas.openxmlformats.org/officeDocument/2006/relationships/ctrlProp" Target="../ctrlProps/ctrlProp125.xml"/><Relationship Id="rId10" Type="http://schemas.openxmlformats.org/officeDocument/2006/relationships/ctrlProp" Target="../ctrlProps/ctrlProp8.xml"/><Relationship Id="rId31" Type="http://schemas.openxmlformats.org/officeDocument/2006/relationships/ctrlProp" Target="../ctrlProps/ctrlProp29.xml"/><Relationship Id="rId52" Type="http://schemas.openxmlformats.org/officeDocument/2006/relationships/ctrlProp" Target="../ctrlProps/ctrlProp50.xml"/><Relationship Id="rId73" Type="http://schemas.openxmlformats.org/officeDocument/2006/relationships/ctrlProp" Target="../ctrlProps/ctrlProp71.xml"/><Relationship Id="rId78" Type="http://schemas.openxmlformats.org/officeDocument/2006/relationships/ctrlProp" Target="../ctrlProps/ctrlProp76.xml"/><Relationship Id="rId94" Type="http://schemas.openxmlformats.org/officeDocument/2006/relationships/ctrlProp" Target="../ctrlProps/ctrlProp92.xml"/><Relationship Id="rId99" Type="http://schemas.openxmlformats.org/officeDocument/2006/relationships/ctrlProp" Target="../ctrlProps/ctrlProp97.xml"/><Relationship Id="rId101" Type="http://schemas.openxmlformats.org/officeDocument/2006/relationships/ctrlProp" Target="../ctrlProps/ctrlProp99.xml"/><Relationship Id="rId122" Type="http://schemas.openxmlformats.org/officeDocument/2006/relationships/ctrlProp" Target="../ctrlProps/ctrlProp120.xml"/><Relationship Id="rId143" Type="http://schemas.openxmlformats.org/officeDocument/2006/relationships/ctrlProp" Target="../ctrlProps/ctrlProp141.xml"/><Relationship Id="rId148" Type="http://schemas.openxmlformats.org/officeDocument/2006/relationships/ctrlProp" Target="../ctrlProps/ctrlProp146.xml"/><Relationship Id="rId164" Type="http://schemas.openxmlformats.org/officeDocument/2006/relationships/ctrlProp" Target="../ctrlProps/ctrlProp162.xml"/><Relationship Id="rId169" Type="http://schemas.openxmlformats.org/officeDocument/2006/relationships/ctrlProp" Target="../ctrlProps/ctrlProp167.xml"/><Relationship Id="rId185" Type="http://schemas.openxmlformats.org/officeDocument/2006/relationships/ctrlProp" Target="../ctrlProps/ctrlProp183.xml"/><Relationship Id="rId4" Type="http://schemas.openxmlformats.org/officeDocument/2006/relationships/ctrlProp" Target="../ctrlProps/ctrlProp2.xml"/><Relationship Id="rId9" Type="http://schemas.openxmlformats.org/officeDocument/2006/relationships/ctrlProp" Target="../ctrlProps/ctrlProp7.xml"/><Relationship Id="rId180" Type="http://schemas.openxmlformats.org/officeDocument/2006/relationships/ctrlProp" Target="../ctrlProps/ctrlProp178.xml"/><Relationship Id="rId210" Type="http://schemas.openxmlformats.org/officeDocument/2006/relationships/ctrlProp" Target="../ctrlProps/ctrlProp208.xml"/><Relationship Id="rId215" Type="http://schemas.openxmlformats.org/officeDocument/2006/relationships/ctrlProp" Target="../ctrlProps/ctrlProp213.xml"/><Relationship Id="rId236" Type="http://schemas.openxmlformats.org/officeDocument/2006/relationships/ctrlProp" Target="../ctrlProps/ctrlProp234.xml"/><Relationship Id="rId26" Type="http://schemas.openxmlformats.org/officeDocument/2006/relationships/ctrlProp" Target="../ctrlProps/ctrlProp24.xml"/><Relationship Id="rId231" Type="http://schemas.openxmlformats.org/officeDocument/2006/relationships/ctrlProp" Target="../ctrlProps/ctrlProp229.xml"/><Relationship Id="rId47" Type="http://schemas.openxmlformats.org/officeDocument/2006/relationships/ctrlProp" Target="../ctrlProps/ctrlProp45.xml"/><Relationship Id="rId68" Type="http://schemas.openxmlformats.org/officeDocument/2006/relationships/ctrlProp" Target="../ctrlProps/ctrlProp66.xml"/><Relationship Id="rId89" Type="http://schemas.openxmlformats.org/officeDocument/2006/relationships/ctrlProp" Target="../ctrlProps/ctrlProp87.xml"/><Relationship Id="rId112" Type="http://schemas.openxmlformats.org/officeDocument/2006/relationships/ctrlProp" Target="../ctrlProps/ctrlProp110.xml"/><Relationship Id="rId133" Type="http://schemas.openxmlformats.org/officeDocument/2006/relationships/ctrlProp" Target="../ctrlProps/ctrlProp131.xml"/><Relationship Id="rId154" Type="http://schemas.openxmlformats.org/officeDocument/2006/relationships/ctrlProp" Target="../ctrlProps/ctrlProp152.xml"/><Relationship Id="rId175" Type="http://schemas.openxmlformats.org/officeDocument/2006/relationships/ctrlProp" Target="../ctrlProps/ctrlProp173.xml"/><Relationship Id="rId196" Type="http://schemas.openxmlformats.org/officeDocument/2006/relationships/ctrlProp" Target="../ctrlProps/ctrlProp194.xml"/><Relationship Id="rId200" Type="http://schemas.openxmlformats.org/officeDocument/2006/relationships/ctrlProp" Target="../ctrlProps/ctrlProp198.xml"/><Relationship Id="rId16" Type="http://schemas.openxmlformats.org/officeDocument/2006/relationships/ctrlProp" Target="../ctrlProps/ctrlProp14.xml"/><Relationship Id="rId221" Type="http://schemas.openxmlformats.org/officeDocument/2006/relationships/ctrlProp" Target="../ctrlProps/ctrlProp219.xml"/><Relationship Id="rId242" Type="http://schemas.openxmlformats.org/officeDocument/2006/relationships/ctrlProp" Target="../ctrlProps/ctrlProp240.xml"/><Relationship Id="rId37" Type="http://schemas.openxmlformats.org/officeDocument/2006/relationships/ctrlProp" Target="../ctrlProps/ctrlProp35.xml"/><Relationship Id="rId58" Type="http://schemas.openxmlformats.org/officeDocument/2006/relationships/ctrlProp" Target="../ctrlProps/ctrlProp56.xml"/><Relationship Id="rId79" Type="http://schemas.openxmlformats.org/officeDocument/2006/relationships/ctrlProp" Target="../ctrlProps/ctrlProp77.xml"/><Relationship Id="rId102" Type="http://schemas.openxmlformats.org/officeDocument/2006/relationships/ctrlProp" Target="../ctrlProps/ctrlProp100.xml"/><Relationship Id="rId123" Type="http://schemas.openxmlformats.org/officeDocument/2006/relationships/ctrlProp" Target="../ctrlProps/ctrlProp121.xml"/><Relationship Id="rId144" Type="http://schemas.openxmlformats.org/officeDocument/2006/relationships/ctrlProp" Target="../ctrlProps/ctrlProp142.xml"/><Relationship Id="rId90" Type="http://schemas.openxmlformats.org/officeDocument/2006/relationships/ctrlProp" Target="../ctrlProps/ctrlProp88.xml"/><Relationship Id="rId165" Type="http://schemas.openxmlformats.org/officeDocument/2006/relationships/ctrlProp" Target="../ctrlProps/ctrlProp163.xml"/><Relationship Id="rId186" Type="http://schemas.openxmlformats.org/officeDocument/2006/relationships/ctrlProp" Target="../ctrlProps/ctrlProp184.xml"/><Relationship Id="rId211" Type="http://schemas.openxmlformats.org/officeDocument/2006/relationships/ctrlProp" Target="../ctrlProps/ctrlProp209.xml"/><Relationship Id="rId232" Type="http://schemas.openxmlformats.org/officeDocument/2006/relationships/ctrlProp" Target="../ctrlProps/ctrlProp230.xml"/><Relationship Id="rId27" Type="http://schemas.openxmlformats.org/officeDocument/2006/relationships/ctrlProp" Target="../ctrlProps/ctrlProp25.xml"/><Relationship Id="rId48" Type="http://schemas.openxmlformats.org/officeDocument/2006/relationships/ctrlProp" Target="../ctrlProps/ctrlProp46.xml"/><Relationship Id="rId69" Type="http://schemas.openxmlformats.org/officeDocument/2006/relationships/ctrlProp" Target="../ctrlProps/ctrlProp67.xml"/><Relationship Id="rId113" Type="http://schemas.openxmlformats.org/officeDocument/2006/relationships/ctrlProp" Target="../ctrlProps/ctrlProp111.xml"/><Relationship Id="rId134" Type="http://schemas.openxmlformats.org/officeDocument/2006/relationships/ctrlProp" Target="../ctrlProps/ctrlProp132.xml"/><Relationship Id="rId80" Type="http://schemas.openxmlformats.org/officeDocument/2006/relationships/ctrlProp" Target="../ctrlProps/ctrlProp78.xml"/><Relationship Id="rId155" Type="http://schemas.openxmlformats.org/officeDocument/2006/relationships/ctrlProp" Target="../ctrlProps/ctrlProp153.xml"/><Relationship Id="rId176" Type="http://schemas.openxmlformats.org/officeDocument/2006/relationships/ctrlProp" Target="../ctrlProps/ctrlProp174.xml"/><Relationship Id="rId197" Type="http://schemas.openxmlformats.org/officeDocument/2006/relationships/ctrlProp" Target="../ctrlProps/ctrlProp195.xml"/><Relationship Id="rId201" Type="http://schemas.openxmlformats.org/officeDocument/2006/relationships/ctrlProp" Target="../ctrlProps/ctrlProp199.xml"/><Relationship Id="rId222" Type="http://schemas.openxmlformats.org/officeDocument/2006/relationships/ctrlProp" Target="../ctrlProps/ctrlProp220.xml"/><Relationship Id="rId17" Type="http://schemas.openxmlformats.org/officeDocument/2006/relationships/ctrlProp" Target="../ctrlProps/ctrlProp15.xml"/><Relationship Id="rId38" Type="http://schemas.openxmlformats.org/officeDocument/2006/relationships/ctrlProp" Target="../ctrlProps/ctrlProp36.xml"/><Relationship Id="rId59" Type="http://schemas.openxmlformats.org/officeDocument/2006/relationships/ctrlProp" Target="../ctrlProps/ctrlProp57.xml"/><Relationship Id="rId103" Type="http://schemas.openxmlformats.org/officeDocument/2006/relationships/ctrlProp" Target="../ctrlProps/ctrlProp101.xml"/><Relationship Id="rId124" Type="http://schemas.openxmlformats.org/officeDocument/2006/relationships/ctrlProp" Target="../ctrlProps/ctrlProp122.xml"/><Relationship Id="rId70" Type="http://schemas.openxmlformats.org/officeDocument/2006/relationships/ctrlProp" Target="../ctrlProps/ctrlProp68.xml"/><Relationship Id="rId91" Type="http://schemas.openxmlformats.org/officeDocument/2006/relationships/ctrlProp" Target="../ctrlProps/ctrlProp89.xml"/><Relationship Id="rId145" Type="http://schemas.openxmlformats.org/officeDocument/2006/relationships/ctrlProp" Target="../ctrlProps/ctrlProp143.xml"/><Relationship Id="rId166" Type="http://schemas.openxmlformats.org/officeDocument/2006/relationships/ctrlProp" Target="../ctrlProps/ctrlProp164.xml"/><Relationship Id="rId187" Type="http://schemas.openxmlformats.org/officeDocument/2006/relationships/ctrlProp" Target="../ctrlProps/ctrlProp185.xml"/><Relationship Id="rId1" Type="http://schemas.openxmlformats.org/officeDocument/2006/relationships/drawing" Target="../drawings/drawing2.xml"/><Relationship Id="rId212" Type="http://schemas.openxmlformats.org/officeDocument/2006/relationships/ctrlProp" Target="../ctrlProps/ctrlProp210.xml"/><Relationship Id="rId233" Type="http://schemas.openxmlformats.org/officeDocument/2006/relationships/ctrlProp" Target="../ctrlProps/ctrlProp231.xml"/><Relationship Id="rId28" Type="http://schemas.openxmlformats.org/officeDocument/2006/relationships/ctrlProp" Target="../ctrlProps/ctrlProp26.xml"/><Relationship Id="rId49" Type="http://schemas.openxmlformats.org/officeDocument/2006/relationships/ctrlProp" Target="../ctrlProps/ctrlProp47.xml"/><Relationship Id="rId114" Type="http://schemas.openxmlformats.org/officeDocument/2006/relationships/ctrlProp" Target="../ctrlProps/ctrlProp112.xml"/><Relationship Id="rId60" Type="http://schemas.openxmlformats.org/officeDocument/2006/relationships/ctrlProp" Target="../ctrlProps/ctrlProp58.xml"/><Relationship Id="rId81" Type="http://schemas.openxmlformats.org/officeDocument/2006/relationships/ctrlProp" Target="../ctrlProps/ctrlProp79.xml"/><Relationship Id="rId135" Type="http://schemas.openxmlformats.org/officeDocument/2006/relationships/ctrlProp" Target="../ctrlProps/ctrlProp133.xml"/><Relationship Id="rId156" Type="http://schemas.openxmlformats.org/officeDocument/2006/relationships/ctrlProp" Target="../ctrlProps/ctrlProp154.xml"/><Relationship Id="rId177" Type="http://schemas.openxmlformats.org/officeDocument/2006/relationships/ctrlProp" Target="../ctrlProps/ctrlProp175.xml"/><Relationship Id="rId198" Type="http://schemas.openxmlformats.org/officeDocument/2006/relationships/ctrlProp" Target="../ctrlProps/ctrlProp196.xml"/><Relationship Id="rId202" Type="http://schemas.openxmlformats.org/officeDocument/2006/relationships/ctrlProp" Target="../ctrlProps/ctrlProp200.xml"/><Relationship Id="rId223" Type="http://schemas.openxmlformats.org/officeDocument/2006/relationships/ctrlProp" Target="../ctrlProps/ctrlProp221.xml"/><Relationship Id="rId18" Type="http://schemas.openxmlformats.org/officeDocument/2006/relationships/ctrlProp" Target="../ctrlProps/ctrlProp16.xml"/><Relationship Id="rId39" Type="http://schemas.openxmlformats.org/officeDocument/2006/relationships/ctrlProp" Target="../ctrlProps/ctrlProp37.xml"/><Relationship Id="rId50" Type="http://schemas.openxmlformats.org/officeDocument/2006/relationships/ctrlProp" Target="../ctrlProps/ctrlProp48.xml"/><Relationship Id="rId104" Type="http://schemas.openxmlformats.org/officeDocument/2006/relationships/ctrlProp" Target="../ctrlProps/ctrlProp102.xml"/><Relationship Id="rId125" Type="http://schemas.openxmlformats.org/officeDocument/2006/relationships/ctrlProp" Target="../ctrlProps/ctrlProp123.xml"/><Relationship Id="rId146" Type="http://schemas.openxmlformats.org/officeDocument/2006/relationships/ctrlProp" Target="../ctrlProps/ctrlProp144.xml"/><Relationship Id="rId167" Type="http://schemas.openxmlformats.org/officeDocument/2006/relationships/ctrlProp" Target="../ctrlProps/ctrlProp165.xml"/><Relationship Id="rId188" Type="http://schemas.openxmlformats.org/officeDocument/2006/relationships/ctrlProp" Target="../ctrlProps/ctrlProp186.xml"/><Relationship Id="rId71" Type="http://schemas.openxmlformats.org/officeDocument/2006/relationships/ctrlProp" Target="../ctrlProps/ctrlProp69.xml"/><Relationship Id="rId92" Type="http://schemas.openxmlformats.org/officeDocument/2006/relationships/ctrlProp" Target="../ctrlProps/ctrlProp90.xml"/><Relationship Id="rId213" Type="http://schemas.openxmlformats.org/officeDocument/2006/relationships/ctrlProp" Target="../ctrlProps/ctrlProp211.xml"/><Relationship Id="rId234" Type="http://schemas.openxmlformats.org/officeDocument/2006/relationships/ctrlProp" Target="../ctrlProps/ctrlProp232.xml"/><Relationship Id="rId2" Type="http://schemas.openxmlformats.org/officeDocument/2006/relationships/vmlDrawing" Target="../drawings/vmlDrawing1.vml"/><Relationship Id="rId29" Type="http://schemas.openxmlformats.org/officeDocument/2006/relationships/ctrlProp" Target="../ctrlProps/ctrlProp27.xml"/><Relationship Id="rId40" Type="http://schemas.openxmlformats.org/officeDocument/2006/relationships/ctrlProp" Target="../ctrlProps/ctrlProp38.xml"/><Relationship Id="rId115" Type="http://schemas.openxmlformats.org/officeDocument/2006/relationships/ctrlProp" Target="../ctrlProps/ctrlProp113.xml"/><Relationship Id="rId136" Type="http://schemas.openxmlformats.org/officeDocument/2006/relationships/ctrlProp" Target="../ctrlProps/ctrlProp134.xml"/><Relationship Id="rId157" Type="http://schemas.openxmlformats.org/officeDocument/2006/relationships/ctrlProp" Target="../ctrlProps/ctrlProp155.xml"/><Relationship Id="rId178" Type="http://schemas.openxmlformats.org/officeDocument/2006/relationships/ctrlProp" Target="../ctrlProps/ctrlProp176.xml"/><Relationship Id="rId61" Type="http://schemas.openxmlformats.org/officeDocument/2006/relationships/ctrlProp" Target="../ctrlProps/ctrlProp59.xml"/><Relationship Id="rId82" Type="http://schemas.openxmlformats.org/officeDocument/2006/relationships/ctrlProp" Target="../ctrlProps/ctrlProp80.xml"/><Relationship Id="rId199" Type="http://schemas.openxmlformats.org/officeDocument/2006/relationships/ctrlProp" Target="../ctrlProps/ctrlProp197.xml"/><Relationship Id="rId203" Type="http://schemas.openxmlformats.org/officeDocument/2006/relationships/ctrlProp" Target="../ctrlProps/ctrlProp201.xml"/><Relationship Id="rId19" Type="http://schemas.openxmlformats.org/officeDocument/2006/relationships/ctrlProp" Target="../ctrlProps/ctrlProp17.xml"/><Relationship Id="rId224" Type="http://schemas.openxmlformats.org/officeDocument/2006/relationships/ctrlProp" Target="../ctrlProps/ctrlProp222.xml"/><Relationship Id="rId30" Type="http://schemas.openxmlformats.org/officeDocument/2006/relationships/ctrlProp" Target="../ctrlProps/ctrlProp28.xml"/><Relationship Id="rId105" Type="http://schemas.openxmlformats.org/officeDocument/2006/relationships/ctrlProp" Target="../ctrlProps/ctrlProp103.xml"/><Relationship Id="rId126" Type="http://schemas.openxmlformats.org/officeDocument/2006/relationships/ctrlProp" Target="../ctrlProps/ctrlProp124.xml"/><Relationship Id="rId147" Type="http://schemas.openxmlformats.org/officeDocument/2006/relationships/ctrlProp" Target="../ctrlProps/ctrlProp145.xml"/><Relationship Id="rId168" Type="http://schemas.openxmlformats.org/officeDocument/2006/relationships/ctrlProp" Target="../ctrlProps/ctrlProp166.xml"/><Relationship Id="rId51" Type="http://schemas.openxmlformats.org/officeDocument/2006/relationships/ctrlProp" Target="../ctrlProps/ctrlProp49.xml"/><Relationship Id="rId72" Type="http://schemas.openxmlformats.org/officeDocument/2006/relationships/ctrlProp" Target="../ctrlProps/ctrlProp70.xml"/><Relationship Id="rId93" Type="http://schemas.openxmlformats.org/officeDocument/2006/relationships/ctrlProp" Target="../ctrlProps/ctrlProp91.xml"/><Relationship Id="rId189" Type="http://schemas.openxmlformats.org/officeDocument/2006/relationships/ctrlProp" Target="../ctrlProps/ctrlProp187.xml"/><Relationship Id="rId3" Type="http://schemas.openxmlformats.org/officeDocument/2006/relationships/ctrlProp" Target="../ctrlProps/ctrlProp1.xml"/><Relationship Id="rId214" Type="http://schemas.openxmlformats.org/officeDocument/2006/relationships/ctrlProp" Target="../ctrlProps/ctrlProp212.xml"/><Relationship Id="rId235" Type="http://schemas.openxmlformats.org/officeDocument/2006/relationships/ctrlProp" Target="../ctrlProps/ctrlProp233.xml"/><Relationship Id="rId116" Type="http://schemas.openxmlformats.org/officeDocument/2006/relationships/ctrlProp" Target="../ctrlProps/ctrlProp114.xml"/><Relationship Id="rId137" Type="http://schemas.openxmlformats.org/officeDocument/2006/relationships/ctrlProp" Target="../ctrlProps/ctrlProp135.xml"/><Relationship Id="rId158" Type="http://schemas.openxmlformats.org/officeDocument/2006/relationships/ctrlProp" Target="../ctrlProps/ctrlProp156.xml"/><Relationship Id="rId20" Type="http://schemas.openxmlformats.org/officeDocument/2006/relationships/ctrlProp" Target="../ctrlProps/ctrlProp18.xml"/><Relationship Id="rId41" Type="http://schemas.openxmlformats.org/officeDocument/2006/relationships/ctrlProp" Target="../ctrlProps/ctrlProp39.xml"/><Relationship Id="rId62" Type="http://schemas.openxmlformats.org/officeDocument/2006/relationships/ctrlProp" Target="../ctrlProps/ctrlProp60.xml"/><Relationship Id="rId83" Type="http://schemas.openxmlformats.org/officeDocument/2006/relationships/ctrlProp" Target="../ctrlProps/ctrlProp81.xml"/><Relationship Id="rId179" Type="http://schemas.openxmlformats.org/officeDocument/2006/relationships/ctrlProp" Target="../ctrlProps/ctrlProp177.xml"/><Relationship Id="rId190" Type="http://schemas.openxmlformats.org/officeDocument/2006/relationships/ctrlProp" Target="../ctrlProps/ctrlProp188.xml"/><Relationship Id="rId204" Type="http://schemas.openxmlformats.org/officeDocument/2006/relationships/ctrlProp" Target="../ctrlProps/ctrlProp202.xml"/><Relationship Id="rId225" Type="http://schemas.openxmlformats.org/officeDocument/2006/relationships/ctrlProp" Target="../ctrlProps/ctrlProp22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46.xml"/><Relationship Id="rId3" Type="http://schemas.openxmlformats.org/officeDocument/2006/relationships/ctrlProp" Target="../ctrlProps/ctrlProp241.xml"/><Relationship Id="rId7" Type="http://schemas.openxmlformats.org/officeDocument/2006/relationships/ctrlProp" Target="../ctrlProps/ctrlProp245.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244.xml"/><Relationship Id="rId5" Type="http://schemas.openxmlformats.org/officeDocument/2006/relationships/ctrlProp" Target="../ctrlProps/ctrlProp243.xml"/><Relationship Id="rId10" Type="http://schemas.openxmlformats.org/officeDocument/2006/relationships/ctrlProp" Target="../ctrlProps/ctrlProp248.xml"/><Relationship Id="rId4" Type="http://schemas.openxmlformats.org/officeDocument/2006/relationships/ctrlProp" Target="../ctrlProps/ctrlProp242.xml"/><Relationship Id="rId9" Type="http://schemas.openxmlformats.org/officeDocument/2006/relationships/ctrlProp" Target="../ctrlProps/ctrlProp24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54.xml"/><Relationship Id="rId3" Type="http://schemas.openxmlformats.org/officeDocument/2006/relationships/ctrlProp" Target="../ctrlProps/ctrlProp249.xml"/><Relationship Id="rId7" Type="http://schemas.openxmlformats.org/officeDocument/2006/relationships/ctrlProp" Target="../ctrlProps/ctrlProp253.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252.xml"/><Relationship Id="rId11" Type="http://schemas.openxmlformats.org/officeDocument/2006/relationships/comments" Target="../comments1.xml"/><Relationship Id="rId5" Type="http://schemas.openxmlformats.org/officeDocument/2006/relationships/ctrlProp" Target="../ctrlProps/ctrlProp251.xml"/><Relationship Id="rId10" Type="http://schemas.openxmlformats.org/officeDocument/2006/relationships/ctrlProp" Target="../ctrlProps/ctrlProp256.xml"/><Relationship Id="rId4" Type="http://schemas.openxmlformats.org/officeDocument/2006/relationships/ctrlProp" Target="../ctrlProps/ctrlProp250.xml"/><Relationship Id="rId9" Type="http://schemas.openxmlformats.org/officeDocument/2006/relationships/ctrlProp" Target="../ctrlProps/ctrlProp25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62.xml"/><Relationship Id="rId3" Type="http://schemas.openxmlformats.org/officeDocument/2006/relationships/ctrlProp" Target="../ctrlProps/ctrlProp257.xml"/><Relationship Id="rId7" Type="http://schemas.openxmlformats.org/officeDocument/2006/relationships/ctrlProp" Target="../ctrlProps/ctrlProp261.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260.xml"/><Relationship Id="rId11" Type="http://schemas.openxmlformats.org/officeDocument/2006/relationships/comments" Target="../comments2.xml"/><Relationship Id="rId5" Type="http://schemas.openxmlformats.org/officeDocument/2006/relationships/ctrlProp" Target="../ctrlProps/ctrlProp259.xml"/><Relationship Id="rId10" Type="http://schemas.openxmlformats.org/officeDocument/2006/relationships/ctrlProp" Target="../ctrlProps/ctrlProp264.xml"/><Relationship Id="rId4" Type="http://schemas.openxmlformats.org/officeDocument/2006/relationships/ctrlProp" Target="../ctrlProps/ctrlProp258.xml"/><Relationship Id="rId9" Type="http://schemas.openxmlformats.org/officeDocument/2006/relationships/ctrlProp" Target="../ctrlProps/ctrlProp26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70.xml"/><Relationship Id="rId3" Type="http://schemas.openxmlformats.org/officeDocument/2006/relationships/ctrlProp" Target="../ctrlProps/ctrlProp265.xml"/><Relationship Id="rId7" Type="http://schemas.openxmlformats.org/officeDocument/2006/relationships/ctrlProp" Target="../ctrlProps/ctrlProp269.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268.xml"/><Relationship Id="rId11" Type="http://schemas.openxmlformats.org/officeDocument/2006/relationships/comments" Target="../comments3.xml"/><Relationship Id="rId5" Type="http://schemas.openxmlformats.org/officeDocument/2006/relationships/ctrlProp" Target="../ctrlProps/ctrlProp267.xml"/><Relationship Id="rId10" Type="http://schemas.openxmlformats.org/officeDocument/2006/relationships/ctrlProp" Target="../ctrlProps/ctrlProp272.xml"/><Relationship Id="rId4" Type="http://schemas.openxmlformats.org/officeDocument/2006/relationships/ctrlProp" Target="../ctrlProps/ctrlProp266.xml"/><Relationship Id="rId9" Type="http://schemas.openxmlformats.org/officeDocument/2006/relationships/ctrlProp" Target="../ctrlProps/ctrlProp27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Y46"/>
  <sheetViews>
    <sheetView showGridLines="0" showRowColHeaders="0" tabSelected="1" zoomScale="137" zoomScaleNormal="137" workbookViewId="0">
      <pane xSplit="31" ySplit="55" topLeftCell="AF56" activePane="bottomRight" state="frozen"/>
      <selection pane="topRight" activeCell="AF1" sqref="AF1"/>
      <selection pane="bottomLeft" activeCell="A56" sqref="A56"/>
      <selection pane="bottomRight" activeCell="A3" sqref="A3"/>
    </sheetView>
  </sheetViews>
  <sheetFormatPr baseColWidth="10" defaultRowHeight="15" x14ac:dyDescent="0.25"/>
  <cols>
    <col min="1" max="1" width="10.7109375" customWidth="1"/>
    <col min="2" max="2" width="2.7109375" customWidth="1"/>
    <col min="3" max="3" width="8.7109375" customWidth="1"/>
    <col min="4" max="22" width="5.7109375" customWidth="1"/>
    <col min="23" max="23" width="8.7109375" customWidth="1"/>
    <col min="24" max="24" width="2.7109375" customWidth="1"/>
    <col min="25" max="25" width="10.7109375" customWidth="1"/>
  </cols>
  <sheetData>
    <row r="1" spans="1:24" ht="30" thickTop="1" thickBot="1" x14ac:dyDescent="0.3">
      <c r="A1" s="129" t="s">
        <v>19</v>
      </c>
      <c r="B1" s="165" t="s">
        <v>9</v>
      </c>
      <c r="C1" s="166"/>
      <c r="D1" s="166"/>
      <c r="E1" s="166"/>
      <c r="F1" s="166"/>
      <c r="G1" s="166"/>
      <c r="H1" s="166"/>
      <c r="I1" s="166"/>
      <c r="J1" s="166"/>
      <c r="K1" s="166"/>
      <c r="L1" s="166"/>
      <c r="M1" s="166"/>
      <c r="N1" s="166"/>
      <c r="O1" s="166"/>
      <c r="P1" s="166"/>
      <c r="Q1" s="166"/>
      <c r="R1" s="166"/>
      <c r="S1" s="166"/>
      <c r="T1" s="166"/>
      <c r="U1" s="166"/>
      <c r="V1" s="166"/>
      <c r="W1" s="166"/>
      <c r="X1" s="167"/>
    </row>
    <row r="2" spans="1:24" ht="6" customHeight="1" x14ac:dyDescent="0.25">
      <c r="A2" s="128"/>
      <c r="B2" s="12"/>
      <c r="C2" s="13"/>
      <c r="D2" s="13"/>
      <c r="E2" s="13"/>
      <c r="F2" s="13"/>
      <c r="G2" s="13"/>
      <c r="H2" s="13"/>
      <c r="I2" s="13"/>
      <c r="J2" s="13"/>
      <c r="K2" s="13"/>
      <c r="L2" s="13"/>
      <c r="M2" s="13"/>
      <c r="N2" s="13"/>
      <c r="O2" s="13"/>
      <c r="P2" s="13"/>
      <c r="Q2" s="13"/>
      <c r="R2" s="13"/>
      <c r="S2" s="13"/>
      <c r="T2" s="13"/>
      <c r="U2" s="13"/>
      <c r="V2" s="13"/>
      <c r="W2" s="13"/>
      <c r="X2" s="14"/>
    </row>
    <row r="3" spans="1:24" x14ac:dyDescent="0.25">
      <c r="A3" s="147" t="s">
        <v>20</v>
      </c>
      <c r="B3" s="12"/>
      <c r="C3" s="13"/>
      <c r="D3" s="13"/>
      <c r="E3" s="13"/>
      <c r="F3" s="13"/>
      <c r="G3" s="13"/>
      <c r="H3" s="168" t="str">
        <f ca="1">INDIRECT("Z_IN_04_"&amp;IDIOMA)</f>
        <v>Esta Aplicación ha sido desarrollada, en la primera versión, por:</v>
      </c>
      <c r="I3" s="168"/>
      <c r="J3" s="168"/>
      <c r="K3" s="168"/>
      <c r="L3" s="168"/>
      <c r="M3" s="168"/>
      <c r="N3" s="168"/>
      <c r="O3" s="168"/>
      <c r="P3" s="168"/>
      <c r="Q3" s="168"/>
      <c r="R3" s="168"/>
      <c r="S3" s="13"/>
      <c r="T3" s="13"/>
      <c r="U3" s="13"/>
      <c r="V3" s="13"/>
      <c r="W3" s="13"/>
      <c r="X3" s="14"/>
    </row>
    <row r="4" spans="1:24" ht="6" customHeight="1" x14ac:dyDescent="0.25">
      <c r="B4" s="12"/>
      <c r="C4" s="13"/>
      <c r="D4" s="13"/>
      <c r="E4" s="13"/>
      <c r="F4" s="13"/>
      <c r="G4" s="13"/>
      <c r="H4" s="13"/>
      <c r="I4" s="13"/>
      <c r="J4" s="13"/>
      <c r="K4" s="13"/>
      <c r="L4" s="13"/>
      <c r="M4" s="13"/>
      <c r="N4" s="13"/>
      <c r="O4" s="13"/>
      <c r="P4" s="13"/>
      <c r="Q4" s="13"/>
      <c r="R4" s="13"/>
      <c r="S4" s="13"/>
      <c r="T4" s="13"/>
      <c r="U4" s="13"/>
      <c r="V4" s="13"/>
      <c r="W4" s="13"/>
      <c r="X4" s="14"/>
    </row>
    <row r="5" spans="1:24" ht="15.75" customHeight="1" x14ac:dyDescent="0.25">
      <c r="B5" s="12"/>
      <c r="C5" s="13"/>
      <c r="D5" s="13"/>
      <c r="E5" s="13"/>
      <c r="F5" s="13"/>
      <c r="G5" s="13"/>
      <c r="H5" s="15"/>
      <c r="I5" s="15"/>
      <c r="J5" s="169" t="s">
        <v>4</v>
      </c>
      <c r="K5" s="169"/>
      <c r="L5" s="169"/>
      <c r="M5" s="169"/>
      <c r="N5" s="169"/>
      <c r="O5" s="169"/>
      <c r="P5" s="169"/>
      <c r="Q5" s="13"/>
      <c r="R5" s="13"/>
      <c r="S5" s="13"/>
      <c r="T5" s="13"/>
      <c r="U5" s="13"/>
      <c r="V5" s="13"/>
      <c r="W5" s="13"/>
      <c r="X5" s="14"/>
    </row>
    <row r="6" spans="1:24" ht="6" customHeight="1" x14ac:dyDescent="0.25">
      <c r="B6" s="12"/>
      <c r="C6" s="13"/>
      <c r="D6" s="13"/>
      <c r="E6" s="13"/>
      <c r="F6" s="13"/>
      <c r="G6" s="13"/>
      <c r="H6" s="13"/>
      <c r="I6" s="13"/>
      <c r="J6" s="13"/>
      <c r="K6" s="13"/>
      <c r="L6" s="13"/>
      <c r="M6" s="13"/>
      <c r="N6" s="13"/>
      <c r="O6" s="13"/>
      <c r="P6" s="13"/>
      <c r="Q6" s="13"/>
      <c r="R6" s="13"/>
      <c r="S6" s="13"/>
      <c r="T6" s="175" t="str">
        <f ca="1">INDIRECT("Z_IN_01_"&amp;IDIOMA)</f>
        <v>VIDEO TUTORIALES</v>
      </c>
      <c r="U6" s="175"/>
      <c r="V6" s="175"/>
      <c r="W6" s="175"/>
      <c r="X6" s="14"/>
    </row>
    <row r="7" spans="1:24" ht="15" customHeight="1" x14ac:dyDescent="0.25">
      <c r="B7" s="12"/>
      <c r="C7" s="13"/>
      <c r="D7" s="13"/>
      <c r="E7" s="13"/>
      <c r="F7" s="13"/>
      <c r="G7" s="13"/>
      <c r="H7" s="13"/>
      <c r="I7" s="13"/>
      <c r="J7" s="13"/>
      <c r="K7" s="168" t="str">
        <f ca="1">INDIRECT("Z_IN_05_"&amp;IDIOMA)</f>
        <v>Universidad de Cádiz</v>
      </c>
      <c r="L7" s="168"/>
      <c r="M7" s="168"/>
      <c r="N7" s="168"/>
      <c r="O7" s="168"/>
      <c r="P7" s="13"/>
      <c r="Q7" s="13"/>
      <c r="R7" s="13"/>
      <c r="S7" s="13"/>
      <c r="T7" s="175"/>
      <c r="U7" s="175"/>
      <c r="V7" s="175"/>
      <c r="W7" s="175"/>
      <c r="X7" s="14"/>
    </row>
    <row r="8" spans="1:24" ht="6" customHeight="1" x14ac:dyDescent="0.25">
      <c r="B8" s="12"/>
      <c r="C8" s="13"/>
      <c r="D8" s="13"/>
      <c r="E8" s="13"/>
      <c r="F8" s="13"/>
      <c r="G8" s="13"/>
      <c r="H8" s="13"/>
      <c r="I8" s="13"/>
      <c r="J8" s="13"/>
      <c r="K8" s="13"/>
      <c r="L8" s="13"/>
      <c r="M8" s="13"/>
      <c r="N8" s="13"/>
      <c r="O8" s="13"/>
      <c r="P8" s="13"/>
      <c r="Q8" s="13"/>
      <c r="R8" s="13"/>
      <c r="S8" s="13"/>
      <c r="T8" s="13"/>
      <c r="U8" s="13"/>
      <c r="V8" s="13"/>
      <c r="W8" s="13"/>
      <c r="X8" s="14"/>
    </row>
    <row r="9" spans="1:24" x14ac:dyDescent="0.25">
      <c r="B9" s="12"/>
      <c r="C9" s="170" t="str">
        <f ca="1">INDIRECT("Z_IN_03_"&amp;IDIOMA)</f>
        <v>LEER CON ATENCIÓN</v>
      </c>
      <c r="D9" s="170"/>
      <c r="E9" s="170"/>
      <c r="F9" s="13"/>
      <c r="G9" s="13"/>
      <c r="H9" s="13"/>
      <c r="I9" s="13"/>
      <c r="J9" s="13"/>
      <c r="K9" s="171" t="s">
        <v>16</v>
      </c>
      <c r="L9" s="171"/>
      <c r="M9" s="171"/>
      <c r="N9" s="171"/>
      <c r="O9" s="171"/>
      <c r="P9" s="16"/>
      <c r="Q9" s="13"/>
      <c r="R9" s="13"/>
      <c r="S9" s="13"/>
      <c r="T9" s="172" t="s">
        <v>383</v>
      </c>
      <c r="U9" s="172"/>
      <c r="V9" s="172"/>
      <c r="W9" s="172"/>
      <c r="X9" s="14"/>
    </row>
    <row r="10" spans="1:24" ht="6" customHeight="1" x14ac:dyDescent="0.25">
      <c r="B10" s="12"/>
      <c r="C10" s="13"/>
      <c r="D10" s="13"/>
      <c r="E10" s="13"/>
      <c r="F10" s="13"/>
      <c r="G10" s="13"/>
      <c r="H10" s="13"/>
      <c r="I10" s="13"/>
      <c r="J10" s="13"/>
      <c r="K10" s="13"/>
      <c r="L10" s="13"/>
      <c r="M10" s="13"/>
      <c r="N10" s="13"/>
      <c r="O10" s="13"/>
      <c r="P10" s="13"/>
      <c r="Q10" s="13"/>
      <c r="R10" s="13"/>
      <c r="S10" s="13"/>
      <c r="T10" s="13"/>
      <c r="U10" s="13"/>
      <c r="V10" s="13"/>
      <c r="W10" s="13"/>
      <c r="X10" s="14"/>
    </row>
    <row r="11" spans="1:24" ht="15" customHeight="1" x14ac:dyDescent="0.25">
      <c r="B11" s="12"/>
      <c r="C11" s="13"/>
      <c r="D11" s="173"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173"/>
      <c r="F11" s="173"/>
      <c r="G11" s="173"/>
      <c r="H11" s="173"/>
      <c r="I11" s="173"/>
      <c r="J11" s="173"/>
      <c r="K11" s="173"/>
      <c r="L11" s="173"/>
      <c r="M11" s="173"/>
      <c r="N11" s="173"/>
      <c r="O11" s="173"/>
      <c r="P11" s="173"/>
      <c r="Q11" s="173"/>
      <c r="R11" s="173"/>
      <c r="S11" s="173"/>
      <c r="T11" s="173"/>
      <c r="U11" s="173"/>
      <c r="V11" s="173"/>
      <c r="W11" s="173"/>
      <c r="X11" s="14"/>
    </row>
    <row r="12" spans="1:24" ht="6" customHeight="1" x14ac:dyDescent="0.25">
      <c r="B12" s="12"/>
      <c r="C12" s="13"/>
      <c r="D12" s="173"/>
      <c r="E12" s="173"/>
      <c r="F12" s="173"/>
      <c r="G12" s="173"/>
      <c r="H12" s="173"/>
      <c r="I12" s="173"/>
      <c r="J12" s="173"/>
      <c r="K12" s="173"/>
      <c r="L12" s="173"/>
      <c r="M12" s="173"/>
      <c r="N12" s="173"/>
      <c r="O12" s="173"/>
      <c r="P12" s="173"/>
      <c r="Q12" s="173"/>
      <c r="R12" s="173"/>
      <c r="S12" s="173"/>
      <c r="T12" s="173"/>
      <c r="U12" s="173"/>
      <c r="V12" s="173"/>
      <c r="W12" s="173"/>
      <c r="X12" s="14"/>
    </row>
    <row r="13" spans="1:24" x14ac:dyDescent="0.25">
      <c r="B13" s="12"/>
      <c r="C13" s="13"/>
      <c r="D13" s="173"/>
      <c r="E13" s="173"/>
      <c r="F13" s="173"/>
      <c r="G13" s="173"/>
      <c r="H13" s="173"/>
      <c r="I13" s="173"/>
      <c r="J13" s="173"/>
      <c r="K13" s="173"/>
      <c r="L13" s="173"/>
      <c r="M13" s="173"/>
      <c r="N13" s="173"/>
      <c r="O13" s="173"/>
      <c r="P13" s="173"/>
      <c r="Q13" s="173"/>
      <c r="R13" s="173"/>
      <c r="S13" s="173"/>
      <c r="T13" s="173"/>
      <c r="U13" s="173"/>
      <c r="V13" s="173"/>
      <c r="W13" s="173"/>
      <c r="X13" s="14"/>
    </row>
    <row r="14" spans="1:24" ht="6" customHeight="1" x14ac:dyDescent="0.25">
      <c r="B14" s="12"/>
      <c r="C14" s="13"/>
      <c r="D14" s="173"/>
      <c r="E14" s="173"/>
      <c r="F14" s="173"/>
      <c r="G14" s="173"/>
      <c r="H14" s="173"/>
      <c r="I14" s="173"/>
      <c r="J14" s="173"/>
      <c r="K14" s="173"/>
      <c r="L14" s="173"/>
      <c r="M14" s="173"/>
      <c r="N14" s="173"/>
      <c r="O14" s="173"/>
      <c r="P14" s="173"/>
      <c r="Q14" s="173"/>
      <c r="R14" s="173"/>
      <c r="S14" s="173"/>
      <c r="T14" s="173"/>
      <c r="U14" s="173"/>
      <c r="V14" s="173"/>
      <c r="W14" s="173"/>
      <c r="X14" s="14"/>
    </row>
    <row r="15" spans="1:24" x14ac:dyDescent="0.25">
      <c r="B15" s="12"/>
      <c r="C15" s="13"/>
      <c r="D15" s="173"/>
      <c r="E15" s="173"/>
      <c r="F15" s="173"/>
      <c r="G15" s="173"/>
      <c r="H15" s="173"/>
      <c r="I15" s="173"/>
      <c r="J15" s="173"/>
      <c r="K15" s="173"/>
      <c r="L15" s="173"/>
      <c r="M15" s="173"/>
      <c r="N15" s="173"/>
      <c r="O15" s="173"/>
      <c r="P15" s="173"/>
      <c r="Q15" s="173"/>
      <c r="R15" s="173"/>
      <c r="S15" s="173"/>
      <c r="T15" s="173"/>
      <c r="U15" s="173"/>
      <c r="V15" s="173"/>
      <c r="W15" s="173"/>
      <c r="X15" s="14"/>
    </row>
    <row r="16" spans="1:24" ht="6" customHeight="1" x14ac:dyDescent="0.25">
      <c r="B16" s="12"/>
      <c r="C16" s="13"/>
      <c r="D16" s="173"/>
      <c r="E16" s="173"/>
      <c r="F16" s="173"/>
      <c r="G16" s="173"/>
      <c r="H16" s="173"/>
      <c r="I16" s="173"/>
      <c r="J16" s="173"/>
      <c r="K16" s="173"/>
      <c r="L16" s="173"/>
      <c r="M16" s="173"/>
      <c r="N16" s="173"/>
      <c r="O16" s="173"/>
      <c r="P16" s="173"/>
      <c r="Q16" s="173"/>
      <c r="R16" s="173"/>
      <c r="S16" s="173"/>
      <c r="T16" s="173"/>
      <c r="U16" s="173"/>
      <c r="V16" s="173"/>
      <c r="W16" s="173"/>
      <c r="X16" s="14"/>
    </row>
    <row r="17" spans="2:24" x14ac:dyDescent="0.25">
      <c r="B17" s="12"/>
      <c r="C17" s="13"/>
      <c r="D17" s="173"/>
      <c r="E17" s="173"/>
      <c r="F17" s="173"/>
      <c r="G17" s="173"/>
      <c r="H17" s="173"/>
      <c r="I17" s="173"/>
      <c r="J17" s="173"/>
      <c r="K17" s="173"/>
      <c r="L17" s="173"/>
      <c r="M17" s="173"/>
      <c r="N17" s="173"/>
      <c r="O17" s="173"/>
      <c r="P17" s="173"/>
      <c r="Q17" s="173"/>
      <c r="R17" s="173"/>
      <c r="S17" s="173"/>
      <c r="T17" s="173"/>
      <c r="U17" s="173"/>
      <c r="V17" s="173"/>
      <c r="W17" s="173"/>
      <c r="X17" s="14"/>
    </row>
    <row r="18" spans="2:24" ht="6" customHeight="1" x14ac:dyDescent="0.25">
      <c r="B18" s="12"/>
      <c r="C18" s="13"/>
      <c r="D18" s="173"/>
      <c r="E18" s="173"/>
      <c r="F18" s="173"/>
      <c r="G18" s="173"/>
      <c r="H18" s="173"/>
      <c r="I18" s="173"/>
      <c r="J18" s="173"/>
      <c r="K18" s="173"/>
      <c r="L18" s="173"/>
      <c r="M18" s="173"/>
      <c r="N18" s="173"/>
      <c r="O18" s="173"/>
      <c r="P18" s="173"/>
      <c r="Q18" s="173"/>
      <c r="R18" s="173"/>
      <c r="S18" s="173"/>
      <c r="T18" s="173"/>
      <c r="U18" s="173"/>
      <c r="V18" s="173"/>
      <c r="W18" s="173"/>
      <c r="X18" s="14"/>
    </row>
    <row r="19" spans="2:24" x14ac:dyDescent="0.25">
      <c r="B19" s="12"/>
      <c r="C19" s="13"/>
      <c r="D19" s="173"/>
      <c r="E19" s="173"/>
      <c r="F19" s="173"/>
      <c r="G19" s="173"/>
      <c r="H19" s="173"/>
      <c r="I19" s="173"/>
      <c r="J19" s="173"/>
      <c r="K19" s="173"/>
      <c r="L19" s="173"/>
      <c r="M19" s="173"/>
      <c r="N19" s="173"/>
      <c r="O19" s="173"/>
      <c r="P19" s="173"/>
      <c r="Q19" s="173"/>
      <c r="R19" s="173"/>
      <c r="S19" s="173"/>
      <c r="T19" s="173"/>
      <c r="U19" s="173"/>
      <c r="V19" s="173"/>
      <c r="W19" s="173"/>
      <c r="X19" s="14"/>
    </row>
    <row r="20" spans="2:24" ht="6" customHeight="1" x14ac:dyDescent="0.25">
      <c r="B20" s="12"/>
      <c r="C20" s="13"/>
      <c r="D20" s="173"/>
      <c r="E20" s="173"/>
      <c r="F20" s="173"/>
      <c r="G20" s="173"/>
      <c r="H20" s="173"/>
      <c r="I20" s="173"/>
      <c r="J20" s="173"/>
      <c r="K20" s="173"/>
      <c r="L20" s="173"/>
      <c r="M20" s="173"/>
      <c r="N20" s="173"/>
      <c r="O20" s="173"/>
      <c r="P20" s="173"/>
      <c r="Q20" s="173"/>
      <c r="R20" s="173"/>
      <c r="S20" s="173"/>
      <c r="T20" s="173"/>
      <c r="U20" s="173"/>
      <c r="V20" s="173"/>
      <c r="W20" s="173"/>
      <c r="X20" s="14"/>
    </row>
    <row r="21" spans="2:24" x14ac:dyDescent="0.25">
      <c r="B21" s="12"/>
      <c r="C21" s="13"/>
      <c r="D21" s="173"/>
      <c r="E21" s="173"/>
      <c r="F21" s="173"/>
      <c r="G21" s="173"/>
      <c r="H21" s="173"/>
      <c r="I21" s="173"/>
      <c r="J21" s="173"/>
      <c r="K21" s="173"/>
      <c r="L21" s="173"/>
      <c r="M21" s="173"/>
      <c r="N21" s="173"/>
      <c r="O21" s="173"/>
      <c r="P21" s="173"/>
      <c r="Q21" s="173"/>
      <c r="R21" s="173"/>
      <c r="S21" s="173"/>
      <c r="T21" s="173"/>
      <c r="U21" s="173"/>
      <c r="V21" s="173"/>
      <c r="W21" s="173"/>
      <c r="X21" s="14"/>
    </row>
    <row r="22" spans="2:24" ht="6" customHeight="1" thickBot="1" x14ac:dyDescent="0.3">
      <c r="B22" s="12"/>
      <c r="C22" s="13"/>
      <c r="D22" s="17"/>
      <c r="E22" s="17"/>
      <c r="F22" s="17"/>
      <c r="G22" s="17"/>
      <c r="H22" s="17"/>
      <c r="I22" s="17"/>
      <c r="J22" s="17"/>
      <c r="K22" s="17"/>
      <c r="L22" s="17"/>
      <c r="M22" s="17"/>
      <c r="N22" s="17"/>
      <c r="O22" s="17"/>
      <c r="P22" s="17"/>
      <c r="Q22" s="17"/>
      <c r="R22" s="17"/>
      <c r="S22" s="17"/>
      <c r="T22" s="17"/>
      <c r="U22" s="17"/>
      <c r="V22" s="17"/>
      <c r="W22" s="17"/>
      <c r="X22" s="14"/>
    </row>
    <row r="23" spans="2:24" ht="14.45" customHeight="1" x14ac:dyDescent="0.25">
      <c r="B23" s="12"/>
      <c r="C23" s="13"/>
      <c r="D23" s="159" t="str">
        <f ca="1">INDIRECT("Z_IN_08_"&amp;IDIOMA)</f>
        <v xml:space="preserve">Opción Múltiple 1R </v>
      </c>
      <c r="E23" s="159"/>
      <c r="F23" s="159"/>
      <c r="G23" s="159" t="str">
        <f ca="1">INDIRECT("Z_IN_09_"&amp;IDIOMA)</f>
        <v xml:space="preserve">Opción Múltiple VR </v>
      </c>
      <c r="H23" s="159"/>
      <c r="I23" s="159"/>
      <c r="J23" s="159" t="str">
        <f ca="1">INDIRECT("Z_IN_10_"&amp;IDIOMA)</f>
        <v>Verdadero / Falso</v>
      </c>
      <c r="K23" s="159"/>
      <c r="L23" s="159"/>
      <c r="M23" s="159" t="str">
        <f ca="1">INDIRECT("Z_IN_11_"&amp;IDIOMA)</f>
        <v>Emparejar</v>
      </c>
      <c r="N23" s="159"/>
      <c r="O23" s="159"/>
      <c r="P23" s="159" t="str">
        <f ca="1">INDIRECT("Z_IN_12_"&amp;IDIOMA)</f>
        <v>Respuesta Corta</v>
      </c>
      <c r="Q23" s="159"/>
      <c r="R23" s="159"/>
      <c r="S23" s="159" t="str">
        <f ca="1">INDIRECT("Z_IN_13_"&amp;IDIOMA)</f>
        <v>Palabra Perdida</v>
      </c>
      <c r="T23" s="159"/>
      <c r="U23" s="159"/>
      <c r="V23" s="17"/>
      <c r="W23" s="17"/>
      <c r="X23" s="14"/>
    </row>
    <row r="24" spans="2:24" ht="6" customHeight="1" thickBot="1" x14ac:dyDescent="0.3">
      <c r="B24" s="12"/>
      <c r="C24" s="13"/>
      <c r="D24" s="160"/>
      <c r="E24" s="160"/>
      <c r="F24" s="160"/>
      <c r="G24" s="160"/>
      <c r="H24" s="160"/>
      <c r="I24" s="160"/>
      <c r="J24" s="160"/>
      <c r="K24" s="160"/>
      <c r="L24" s="160"/>
      <c r="M24" s="160"/>
      <c r="N24" s="160"/>
      <c r="O24" s="160"/>
      <c r="P24" s="160"/>
      <c r="Q24" s="160"/>
      <c r="R24" s="160"/>
      <c r="S24" s="160"/>
      <c r="T24" s="160"/>
      <c r="U24" s="160"/>
      <c r="V24" s="17"/>
      <c r="W24" s="17"/>
      <c r="X24" s="14"/>
    </row>
    <row r="25" spans="2:24" ht="15" customHeight="1" thickBot="1" x14ac:dyDescent="0.3">
      <c r="B25" s="12"/>
      <c r="C25" s="13"/>
      <c r="D25" s="158" t="str">
        <f ca="1">'Datos OM'!G2&amp;" "&amp;INDIRECT("Z_IN_15_"&amp;IDIOMA)</f>
        <v>3 Preguntas</v>
      </c>
      <c r="E25" s="158"/>
      <c r="F25" s="158"/>
      <c r="G25" s="158" t="str">
        <f ca="1">'Datos O2'!G2&amp;" "&amp;INDIRECT("Z_IN_15_"&amp;IDIOMA)</f>
        <v>2 Preguntas</v>
      </c>
      <c r="H25" s="158"/>
      <c r="I25" s="158"/>
      <c r="J25" s="158" t="str">
        <f ca="1">'Datos VF'!G2&amp;" "&amp;INDIRECT("Z_IN_15_"&amp;IDIOMA)</f>
        <v>2 Preguntas</v>
      </c>
      <c r="K25" s="158"/>
      <c r="L25" s="158"/>
      <c r="M25" s="158" t="str">
        <f ca="1">'Datos E'!G2&amp;" "&amp;INDIRECT("Z_IN_15_"&amp;IDIOMA)</f>
        <v>3 Preguntas</v>
      </c>
      <c r="N25" s="158"/>
      <c r="O25" s="158"/>
      <c r="P25" s="158" t="str">
        <f ca="1">'Datos RC'!G2&amp;" "&amp;INDIRECT("Z_IN_15_"&amp;IDIOMA)</f>
        <v>2 Preguntas</v>
      </c>
      <c r="Q25" s="158"/>
      <c r="R25" s="158"/>
      <c r="S25" s="158" t="str">
        <f ca="1">'Datos PP'!G2&amp;" "&amp;INDIRECT("Z_IN_15_"&amp;IDIOMA)</f>
        <v>2 Preguntas</v>
      </c>
      <c r="T25" s="158"/>
      <c r="U25" s="158"/>
      <c r="V25" s="17"/>
      <c r="W25" s="17"/>
      <c r="X25" s="14"/>
    </row>
    <row r="26" spans="2:24" ht="6" customHeight="1" x14ac:dyDescent="0.25">
      <c r="B26" s="12"/>
      <c r="C26" s="13"/>
      <c r="D26" s="174" t="str">
        <f ca="1">INDIRECT("Z_IN_07_"&amp;IDIOMA)</f>
        <v>Esta HOJA sirve para almacenar las preguntas y poder reutilizarlas cuando sea necesario, sin tener que volver a escribirlas para un nuevo BANCO DE PREGUNTAS.
Se puede almacenar hasta un máximo de 500 preguntas por cada Tipo de Pregunta.</v>
      </c>
      <c r="E26" s="174"/>
      <c r="F26" s="174"/>
      <c r="G26" s="174"/>
      <c r="H26" s="174"/>
      <c r="I26" s="174"/>
      <c r="J26" s="174"/>
      <c r="K26" s="174"/>
      <c r="L26" s="174"/>
      <c r="M26" s="174"/>
      <c r="N26" s="174"/>
      <c r="O26" s="174"/>
      <c r="P26" s="174"/>
      <c r="Q26" s="174"/>
      <c r="R26" s="17"/>
      <c r="S26" s="17"/>
      <c r="T26" s="17"/>
      <c r="U26" s="17"/>
      <c r="V26" s="17"/>
      <c r="W26" s="17"/>
      <c r="X26" s="14"/>
    </row>
    <row r="27" spans="2:24" ht="15" customHeight="1" x14ac:dyDescent="0.25">
      <c r="B27" s="12"/>
      <c r="C27" s="13"/>
      <c r="D27" s="174"/>
      <c r="E27" s="174"/>
      <c r="F27" s="174"/>
      <c r="G27" s="174"/>
      <c r="H27" s="174"/>
      <c r="I27" s="174"/>
      <c r="J27" s="174"/>
      <c r="K27" s="174"/>
      <c r="L27" s="174"/>
      <c r="M27" s="174"/>
      <c r="N27" s="174"/>
      <c r="O27" s="174"/>
      <c r="P27" s="174"/>
      <c r="Q27" s="174"/>
      <c r="R27" s="161"/>
      <c r="S27" s="161"/>
      <c r="T27" s="161"/>
      <c r="U27" s="161"/>
      <c r="V27" s="161"/>
      <c r="W27" s="161"/>
      <c r="X27" s="162"/>
    </row>
    <row r="28" spans="2:24" ht="6" customHeight="1" x14ac:dyDescent="0.25">
      <c r="B28" s="12"/>
      <c r="C28" s="13"/>
      <c r="D28" s="174"/>
      <c r="E28" s="174"/>
      <c r="F28" s="174"/>
      <c r="G28" s="174"/>
      <c r="H28" s="174"/>
      <c r="I28" s="174"/>
      <c r="J28" s="174"/>
      <c r="K28" s="174"/>
      <c r="L28" s="174"/>
      <c r="M28" s="174"/>
      <c r="N28" s="174"/>
      <c r="O28" s="174"/>
      <c r="P28" s="174"/>
      <c r="Q28" s="174"/>
      <c r="R28" s="161"/>
      <c r="S28" s="161"/>
      <c r="T28" s="161"/>
      <c r="U28" s="161"/>
      <c r="V28" s="161"/>
      <c r="W28" s="161"/>
      <c r="X28" s="162"/>
    </row>
    <row r="29" spans="2:24" x14ac:dyDescent="0.25">
      <c r="B29" s="12"/>
      <c r="C29" s="13"/>
      <c r="D29" s="174"/>
      <c r="E29" s="174"/>
      <c r="F29" s="174"/>
      <c r="G29" s="174"/>
      <c r="H29" s="174"/>
      <c r="I29" s="174"/>
      <c r="J29" s="174"/>
      <c r="K29" s="174"/>
      <c r="L29" s="174"/>
      <c r="M29" s="174"/>
      <c r="N29" s="174"/>
      <c r="O29" s="174"/>
      <c r="P29" s="174"/>
      <c r="Q29" s="174"/>
      <c r="R29" s="161"/>
      <c r="S29" s="161"/>
      <c r="T29" s="161"/>
      <c r="U29" s="161"/>
      <c r="V29" s="161"/>
      <c r="W29" s="161"/>
      <c r="X29" s="162"/>
    </row>
    <row r="30" spans="2:24" ht="6" customHeight="1" x14ac:dyDescent="0.25">
      <c r="B30" s="12"/>
      <c r="C30" s="13"/>
      <c r="D30" s="174"/>
      <c r="E30" s="174"/>
      <c r="F30" s="174"/>
      <c r="G30" s="174"/>
      <c r="H30" s="174"/>
      <c r="I30" s="174"/>
      <c r="J30" s="174"/>
      <c r="K30" s="174"/>
      <c r="L30" s="174"/>
      <c r="M30" s="174"/>
      <c r="N30" s="174"/>
      <c r="O30" s="174"/>
      <c r="P30" s="174"/>
      <c r="Q30" s="174"/>
      <c r="R30" s="161"/>
      <c r="S30" s="161"/>
      <c r="T30" s="161"/>
      <c r="U30" s="161"/>
      <c r="V30" s="161"/>
      <c r="W30" s="161"/>
      <c r="X30" s="162"/>
    </row>
    <row r="31" spans="2:24" x14ac:dyDescent="0.25">
      <c r="B31" s="12"/>
      <c r="C31" s="13"/>
      <c r="D31" s="174"/>
      <c r="E31" s="174"/>
      <c r="F31" s="174"/>
      <c r="G31" s="174"/>
      <c r="H31" s="174"/>
      <c r="I31" s="174"/>
      <c r="J31" s="174"/>
      <c r="K31" s="174"/>
      <c r="L31" s="174"/>
      <c r="M31" s="174"/>
      <c r="N31" s="174"/>
      <c r="O31" s="174"/>
      <c r="P31" s="174"/>
      <c r="Q31" s="174"/>
      <c r="R31" s="161"/>
      <c r="S31" s="161"/>
      <c r="T31" s="161"/>
      <c r="U31" s="161"/>
      <c r="V31" s="161"/>
      <c r="W31" s="161"/>
      <c r="X31" s="162"/>
    </row>
    <row r="32" spans="2:24" ht="6" customHeight="1" x14ac:dyDescent="0.25">
      <c r="B32" s="12"/>
      <c r="C32" s="13"/>
      <c r="D32" s="174"/>
      <c r="E32" s="174"/>
      <c r="F32" s="174"/>
      <c r="G32" s="174"/>
      <c r="H32" s="174"/>
      <c r="I32" s="174"/>
      <c r="J32" s="174"/>
      <c r="K32" s="174"/>
      <c r="L32" s="174"/>
      <c r="M32" s="174"/>
      <c r="N32" s="174"/>
      <c r="O32" s="174"/>
      <c r="P32" s="174"/>
      <c r="Q32" s="174"/>
      <c r="R32" s="161"/>
      <c r="S32" s="161"/>
      <c r="T32" s="161"/>
      <c r="U32" s="161"/>
      <c r="V32" s="161"/>
      <c r="W32" s="161"/>
      <c r="X32" s="162"/>
    </row>
    <row r="33" spans="1:25" x14ac:dyDescent="0.25">
      <c r="B33" s="12"/>
      <c r="C33" s="13"/>
      <c r="D33" s="174"/>
      <c r="E33" s="174"/>
      <c r="F33" s="174"/>
      <c r="G33" s="174"/>
      <c r="H33" s="174"/>
      <c r="I33" s="174"/>
      <c r="J33" s="174"/>
      <c r="K33" s="174"/>
      <c r="L33" s="174"/>
      <c r="M33" s="174"/>
      <c r="N33" s="174"/>
      <c r="O33" s="174"/>
      <c r="P33" s="174"/>
      <c r="Q33" s="174"/>
      <c r="R33" s="161"/>
      <c r="S33" s="161"/>
      <c r="T33" s="161"/>
      <c r="U33" s="161"/>
      <c r="V33" s="161"/>
      <c r="W33" s="161"/>
      <c r="X33" s="162"/>
    </row>
    <row r="34" spans="1:25" ht="15.75" thickBot="1" x14ac:dyDescent="0.3">
      <c r="B34" s="18"/>
      <c r="C34" s="19"/>
      <c r="D34" s="19"/>
      <c r="E34" s="19"/>
      <c r="F34" s="19"/>
      <c r="G34" s="19"/>
      <c r="H34" s="19"/>
      <c r="I34" s="19"/>
      <c r="J34" s="19"/>
      <c r="K34" s="19"/>
      <c r="L34" s="19"/>
      <c r="M34" s="19"/>
      <c r="N34" s="19"/>
      <c r="O34" s="19"/>
      <c r="P34" s="19"/>
      <c r="Q34" s="19"/>
      <c r="R34" s="163"/>
      <c r="S34" s="163"/>
      <c r="T34" s="163"/>
      <c r="U34" s="163"/>
      <c r="V34" s="163"/>
      <c r="W34" s="163"/>
      <c r="X34" s="164"/>
    </row>
    <row r="35" spans="1:25" ht="15.75" hidden="1" thickTop="1" x14ac:dyDescent="0.25">
      <c r="B35" s="22"/>
      <c r="C35" s="22"/>
      <c r="D35" s="22"/>
      <c r="E35" s="21"/>
      <c r="F35" s="21"/>
      <c r="G35" s="21"/>
      <c r="H35" s="21"/>
      <c r="I35" s="21"/>
      <c r="J35" s="21"/>
      <c r="K35" s="21"/>
      <c r="L35" s="21"/>
      <c r="M35" s="21"/>
      <c r="N35" s="21"/>
      <c r="O35" s="21"/>
      <c r="P35" s="21"/>
      <c r="Q35" s="21"/>
      <c r="R35" s="21"/>
      <c r="S35" s="21"/>
      <c r="T35" s="21"/>
      <c r="U35" s="21"/>
      <c r="V35" s="21"/>
      <c r="W35" s="21"/>
      <c r="X35" s="21"/>
      <c r="Y35" s="21"/>
    </row>
    <row r="36" spans="1:25" hidden="1" x14ac:dyDescent="0.25"/>
    <row r="37" spans="1:25" ht="15.75" hidden="1" thickBot="1" x14ac:dyDescent="0.3">
      <c r="A37" s="124" t="str">
        <f>VLOOKUP(A3,A38:B45,2,0)</f>
        <v>S</v>
      </c>
    </row>
    <row r="38" spans="1:25" hidden="1" x14ac:dyDescent="0.25">
      <c r="A38" s="125" t="s">
        <v>20</v>
      </c>
      <c r="B38" s="130" t="s">
        <v>21</v>
      </c>
    </row>
    <row r="39" spans="1:25" hidden="1" x14ac:dyDescent="0.25">
      <c r="A39" s="126" t="s">
        <v>151</v>
      </c>
      <c r="B39" s="131" t="s">
        <v>25</v>
      </c>
    </row>
    <row r="40" spans="1:25" hidden="1" x14ac:dyDescent="0.25">
      <c r="A40" s="126" t="s">
        <v>152</v>
      </c>
      <c r="B40" s="131" t="s">
        <v>23</v>
      </c>
    </row>
    <row r="41" spans="1:25" hidden="1" x14ac:dyDescent="0.25">
      <c r="A41" s="126" t="s">
        <v>153</v>
      </c>
      <c r="B41" s="131" t="s">
        <v>24</v>
      </c>
    </row>
    <row r="42" spans="1:25" hidden="1" x14ac:dyDescent="0.25">
      <c r="A42" s="126" t="s">
        <v>154</v>
      </c>
      <c r="B42" s="131" t="s">
        <v>22</v>
      </c>
    </row>
    <row r="43" spans="1:25" hidden="1" x14ac:dyDescent="0.25">
      <c r="A43" s="126" t="s">
        <v>155</v>
      </c>
      <c r="B43" s="131" t="s">
        <v>156</v>
      </c>
    </row>
    <row r="44" spans="1:25" hidden="1" x14ac:dyDescent="0.25">
      <c r="A44" s="126"/>
      <c r="B44" s="131"/>
    </row>
    <row r="45" spans="1:25" ht="15.75" hidden="1" thickBot="1" x14ac:dyDescent="0.3">
      <c r="A45" s="127"/>
      <c r="B45" s="132"/>
    </row>
    <row r="46" spans="1:25" ht="15.75" thickTop="1" x14ac:dyDescent="0.25"/>
  </sheetData>
  <sheetProtection algorithmName="SHA-512" hashValue="VeHE3jU5lht/EwRsAh2AsRidZQ7ITI46OSxbkSypJ780nCDes0hoU9B8SjiDZWw2mFwqOYivWXA8C9Y3tn0luw==" saltValue="9hAJvkydstvHRFCp3ctiaw==" spinCount="100000" sheet="1" objects="1" scenarios="1" selectLockedCells="1"/>
  <mergeCells count="23">
    <mergeCell ref="R27:X34"/>
    <mergeCell ref="B1:X1"/>
    <mergeCell ref="H3:R3"/>
    <mergeCell ref="J5:P5"/>
    <mergeCell ref="K7:O7"/>
    <mergeCell ref="C9:E9"/>
    <mergeCell ref="K9:O9"/>
    <mergeCell ref="T9:W9"/>
    <mergeCell ref="D11:W21"/>
    <mergeCell ref="D26:Q33"/>
    <mergeCell ref="T6:W7"/>
    <mergeCell ref="P23:R24"/>
    <mergeCell ref="S23:U24"/>
    <mergeCell ref="D25:F25"/>
    <mergeCell ref="G25:I25"/>
    <mergeCell ref="J25:L25"/>
    <mergeCell ref="M25:O25"/>
    <mergeCell ref="P25:R25"/>
    <mergeCell ref="S25:U25"/>
    <mergeCell ref="D23:F24"/>
    <mergeCell ref="G23:I24"/>
    <mergeCell ref="J23:L24"/>
    <mergeCell ref="M23:O24"/>
  </mergeCells>
  <dataValidations count="1">
    <dataValidation type="list" allowBlank="1" showInputMessage="1" showErrorMessage="1" sqref="A3">
      <formula1>$A$38:$A$43</formula1>
    </dataValidation>
  </dataValidations>
  <hyperlinks>
    <hyperlink ref="B1:X1" r:id="rId1" display="GENERAR BANCO DE PREGUNTAS PARA MOODLE Versión 3.8"/>
    <hyperlink ref="K9" r:id="rId2"/>
    <hyperlink ref="J5:P5" r:id="rId3" display="MILAGROS HUERTA GÓMEZ DE MERODIO"/>
  </hyperlinks>
  <pageMargins left="0.7" right="0.7" top="0.75" bottom="0.75" header="0.3" footer="0.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1"/>
  <dimension ref="A1:AH505"/>
  <sheetViews>
    <sheetView showGridLines="0" showRowColHeaders="0" zoomScale="125" zoomScaleNormal="125" workbookViewId="0">
      <pane xSplit="8" ySplit="3" topLeftCell="I4" activePane="bottomRight" state="frozen"/>
      <selection activeCell="J5" sqref="J5:P5"/>
      <selection pane="topRight" activeCell="J5" sqref="J5:P5"/>
      <selection pane="bottomLeft" activeCell="J5" sqref="J5:P5"/>
      <selection pane="bottomRight" activeCell="F4" sqref="F4"/>
    </sheetView>
  </sheetViews>
  <sheetFormatPr baseColWidth="10" defaultColWidth="11.42578125" defaultRowHeight="15" x14ac:dyDescent="0.25"/>
  <cols>
    <col min="1" max="2" width="3.7109375" style="6" customWidth="1"/>
    <col min="3" max="3" width="3.5703125" style="5" hidden="1" customWidth="1"/>
    <col min="4" max="4" width="4" style="5" hidden="1" customWidth="1"/>
    <col min="5" max="5" width="16.140625" style="6" customWidth="1"/>
    <col min="6" max="6" width="49.7109375" style="5" customWidth="1"/>
    <col min="7" max="12" width="12.5703125" style="5" customWidth="1"/>
    <col min="13" max="24" width="14.28515625" style="5" customWidth="1"/>
    <col min="25" max="30" width="14.28515625" style="5" hidden="1" customWidth="1"/>
    <col min="31" max="16384" width="11.42578125" style="5"/>
  </cols>
  <sheetData>
    <row r="1" spans="1:34" s="2" customFormat="1" ht="24.95" customHeight="1" thickBot="1" x14ac:dyDescent="0.3">
      <c r="A1" s="1"/>
      <c r="B1" s="1"/>
      <c r="D1" s="1"/>
      <c r="E1" s="1"/>
      <c r="F1" s="122" t="str">
        <f ca="1">INDIRECT("Z_BP_10_"&amp;IDIOMA)&amp;"                       "&amp;INDIRECT("Z_BP_11_"&amp;IDIOMA)&amp;"                         "&amp;INDIRECT("Z_BP_12_"&amp;IDIOMA)</f>
        <v>OM 1R                       OM VR                         VF</v>
      </c>
      <c r="G1" s="123" t="str">
        <f ca="1">INDIRECT("Z_IN_00_"&amp;IDIOMA)</f>
        <v>INICIO</v>
      </c>
      <c r="H1" s="123" t="str">
        <f ca="1">INDIRECT("Z_BP_02_"&amp;IDIOMA)</f>
        <v>FORMATO</v>
      </c>
      <c r="I1" s="1"/>
      <c r="J1" s="1"/>
      <c r="K1" s="1"/>
      <c r="L1" s="1"/>
      <c r="M1" s="1"/>
      <c r="N1" s="1"/>
      <c r="O1" s="1"/>
      <c r="P1" s="1"/>
      <c r="Q1" s="1"/>
      <c r="R1" s="1"/>
      <c r="S1" s="1"/>
      <c r="T1" s="1"/>
      <c r="U1" s="1"/>
      <c r="V1" s="1"/>
      <c r="W1" s="1"/>
      <c r="X1" s="1"/>
      <c r="Y1" s="1"/>
      <c r="Z1" s="1"/>
      <c r="AA1" s="1"/>
      <c r="AB1" s="1"/>
      <c r="AC1" s="1"/>
      <c r="AD1" s="1"/>
      <c r="AE1" s="1"/>
      <c r="AF1" s="1"/>
      <c r="AG1" s="1"/>
      <c r="AH1" s="1"/>
    </row>
    <row r="2" spans="1:34" s="2" customFormat="1" ht="24.95" customHeight="1" x14ac:dyDescent="0.25">
      <c r="A2" s="4"/>
      <c r="B2" s="4"/>
      <c r="D2" s="3"/>
      <c r="F2" s="122" t="str">
        <f ca="1">INDIRECT("Z_BP_13_"&amp;IDIOMA)&amp;"                                 "&amp;INDIRECT("Z_BP_14_"&amp;IDIOMA)&amp;"                             "&amp;INDIRECT("Z_BP_15_"&amp;IDIOMA)</f>
        <v>EM                                 RC                             PP</v>
      </c>
      <c r="G2" s="119">
        <f>COUNTA(F4:F505)</f>
        <v>3</v>
      </c>
      <c r="H2" s="148" t="str">
        <f ca="1">INDIRECT("Z_BP_01_"&amp;IDIOMA)</f>
        <v>Preguntas Almacenadas</v>
      </c>
    </row>
    <row r="3" spans="1:34" s="23" customFormat="1" ht="50.1" customHeight="1" x14ac:dyDescent="0.25">
      <c r="A3" s="149" t="str">
        <f ca="1">"N. "&amp;INDIRECT("Z_BP_05_"&amp;IDIOMA)</f>
        <v>N. Respuesta Correcta</v>
      </c>
      <c r="B3" s="149" t="str">
        <f ca="1">"N. "&amp;INDIRECT("Z_BP_06_"&amp;IDIOMA)</f>
        <v>N. Respuesta Incorrecta</v>
      </c>
      <c r="D3" s="65"/>
      <c r="E3" s="66" t="str">
        <f ca="1">INDIRECT("Z_BP_04_"&amp;IDIOMA)</f>
        <v>Descripción</v>
      </c>
      <c r="F3" s="121" t="str">
        <f ca="1">"FastTest PlugIn - "&amp;UPPER(INICIO!D23)&amp;"
"&amp;INDIRECT("Z_BP_03_"&amp;IDIOMA)</f>
        <v>FastTest PlugIn - OPCIÓN MÚLTIPLE 1R 
Enunciado de la pregunta</v>
      </c>
      <c r="G3" s="32" t="str">
        <f ca="1">INDIRECT("Z_BP_19_"&amp;IDIOMA)&amp;" 1"</f>
        <v>Respuesta 1</v>
      </c>
      <c r="H3" s="33" t="str">
        <f ca="1">INDIRECT("Z_BP_19_"&amp;IDIOMA)&amp;" 2"</f>
        <v>Respuesta 2</v>
      </c>
      <c r="I3" s="34" t="str">
        <f ca="1">INDIRECT("Z_BP_19_"&amp;IDIOMA)&amp;" 3"</f>
        <v>Respuesta 3</v>
      </c>
      <c r="J3" s="35" t="str">
        <f ca="1">INDIRECT("Z_BP_19_"&amp;IDIOMA)&amp;" 4"</f>
        <v>Respuesta 4</v>
      </c>
      <c r="K3" s="36" t="str">
        <f ca="1">INDIRECT("Z_BP_19_"&amp;IDIOMA)&amp;" 5"</f>
        <v>Respuesta 5</v>
      </c>
      <c r="L3" s="37" t="str">
        <f ca="1">INDIRECT("Z_BP_19_"&amp;IDIOMA)&amp;" 6"</f>
        <v>Respuesta 6</v>
      </c>
      <c r="M3" s="67" t="str">
        <f ca="1">INDIRECT("Z_BP_07_"&amp;IDIOMA)&amp;" 1"</f>
        <v>Retroalim. 1</v>
      </c>
      <c r="N3" s="68" t="str">
        <f ca="1">INDIRECT("Z_BP_07_"&amp;IDIOMA)&amp;" 2"</f>
        <v>Retroalim. 2</v>
      </c>
      <c r="O3" s="69" t="str">
        <f ca="1">INDIRECT("Z_BP_07_"&amp;IDIOMA)&amp;" 3"</f>
        <v>Retroalim. 3</v>
      </c>
      <c r="P3" s="70" t="str">
        <f ca="1">INDIRECT("Z_BP_07_"&amp;IDIOMA)&amp;" 4"</f>
        <v>Retroalim. 4</v>
      </c>
      <c r="Q3" s="71" t="str">
        <f ca="1">INDIRECT("Z_BP_07_"&amp;IDIOMA)&amp;" 5"</f>
        <v>Retroalim. 5</v>
      </c>
      <c r="R3" s="72" t="str">
        <f ca="1">INDIRECT("Z_BP_07_"&amp;IDIOMA)&amp;" 6"</f>
        <v>Retroalim. 6</v>
      </c>
      <c r="S3" s="67" t="str">
        <f ca="1">INDIRECT("Z_BP_09_"&amp;IDIOMA)&amp;" 1"</f>
        <v>Puntos 1</v>
      </c>
      <c r="T3" s="68" t="str">
        <f ca="1">INDIRECT("Z_BP_09_"&amp;IDIOMA)&amp;" 2"</f>
        <v>Puntos 2</v>
      </c>
      <c r="U3" s="69" t="str">
        <f ca="1">INDIRECT("Z_BP_09_"&amp;IDIOMA)&amp;" 3"</f>
        <v>Puntos 3</v>
      </c>
      <c r="V3" s="70" t="str">
        <f ca="1">INDIRECT("Z_BP_09_"&amp;IDIOMA)&amp;" 4"</f>
        <v>Puntos 4</v>
      </c>
      <c r="W3" s="71" t="str">
        <f ca="1">INDIRECT("Z_BP_09_"&amp;IDIOMA)&amp;" 5"</f>
        <v>Puntos 5</v>
      </c>
      <c r="X3" s="72" t="str">
        <f ca="1">INDIRECT("Z_BP_09_"&amp;IDIOMA)&amp;" 6"</f>
        <v>Puntos 6</v>
      </c>
      <c r="Y3" s="72"/>
      <c r="Z3" s="72"/>
      <c r="AA3" s="72"/>
      <c r="AB3" s="72"/>
      <c r="AC3" s="72"/>
      <c r="AD3" s="72"/>
      <c r="AE3" s="73" t="str">
        <f ca="1">INDIRECT("Z_BP_08_"&amp;IDIOMA)&amp;" 1"</f>
        <v>Pista 1</v>
      </c>
      <c r="AF3" s="74" t="str">
        <f ca="1">INDIRECT("Z_BP_08_"&amp;IDIOMA)&amp;" 2"</f>
        <v>Pista 2</v>
      </c>
      <c r="AG3" s="75" t="str">
        <f ca="1">INDIRECT("Z_BP_08_"&amp;IDIOMA)&amp;" 3"</f>
        <v>Pista 3</v>
      </c>
      <c r="AH3" s="76" t="str">
        <f ca="1">INDIRECT("Z_BP_08_"&amp;IDIOMA)&amp;" 4"</f>
        <v>Pista 4</v>
      </c>
    </row>
    <row r="4" spans="1:34" s="2" customFormat="1" x14ac:dyDescent="0.25">
      <c r="A4" s="155">
        <f>IF(COUNTIF(S4:X4,"&gt;0")=0,"",COUNTIF(S4:X4,"&gt;0"))</f>
        <v>1</v>
      </c>
      <c r="B4" s="155">
        <f>IF(A4="","",COUNTA(G4:L4)-A4)</f>
        <v>5</v>
      </c>
      <c r="D4" s="77"/>
      <c r="E4" s="78" t="s">
        <v>26</v>
      </c>
      <c r="F4" s="133" t="s">
        <v>27</v>
      </c>
      <c r="G4" s="38" t="s">
        <v>28</v>
      </c>
      <c r="H4" s="39" t="s">
        <v>29</v>
      </c>
      <c r="I4" s="40" t="s">
        <v>30</v>
      </c>
      <c r="J4" s="41" t="s">
        <v>31</v>
      </c>
      <c r="K4" s="42" t="s">
        <v>32</v>
      </c>
      <c r="L4" s="43" t="s">
        <v>33</v>
      </c>
      <c r="M4" s="79" t="s">
        <v>34</v>
      </c>
      <c r="N4" s="80" t="s">
        <v>35</v>
      </c>
      <c r="O4" s="81" t="s">
        <v>36</v>
      </c>
      <c r="P4" s="82" t="s">
        <v>37</v>
      </c>
      <c r="Q4" s="83" t="s">
        <v>38</v>
      </c>
      <c r="R4" s="84" t="s">
        <v>39</v>
      </c>
      <c r="S4" s="79">
        <v>100</v>
      </c>
      <c r="T4" s="80">
        <v>0</v>
      </c>
      <c r="U4" s="81">
        <v>0</v>
      </c>
      <c r="V4" s="82">
        <v>0</v>
      </c>
      <c r="W4" s="83">
        <v>0</v>
      </c>
      <c r="X4" s="84">
        <v>0</v>
      </c>
      <c r="Y4" s="84"/>
      <c r="Z4" s="84"/>
      <c r="AA4" s="84"/>
      <c r="AB4" s="84"/>
      <c r="AC4" s="84"/>
      <c r="AD4" s="84"/>
      <c r="AE4" s="85"/>
      <c r="AF4" s="86"/>
      <c r="AG4" s="87"/>
      <c r="AH4" s="88"/>
    </row>
    <row r="5" spans="1:34" s="2" customFormat="1" ht="30" x14ac:dyDescent="0.25">
      <c r="A5" s="155">
        <f t="shared" ref="A5:A6" si="0">IF(COUNTIF(S5:X5,"&gt;0")=0,"",COUNTIF(S5:X5,"&gt;0"))</f>
        <v>1</v>
      </c>
      <c r="B5" s="155">
        <f t="shared" ref="B5:B68" si="1">IF(A5="","",COUNTA(G5:L5)-A5)</f>
        <v>5</v>
      </c>
      <c r="D5" s="77"/>
      <c r="E5" s="78" t="s">
        <v>41</v>
      </c>
      <c r="F5" s="133" t="s">
        <v>42</v>
      </c>
      <c r="G5" s="38" t="s">
        <v>43</v>
      </c>
      <c r="H5" s="39" t="s">
        <v>44</v>
      </c>
      <c r="I5" s="40" t="s">
        <v>45</v>
      </c>
      <c r="J5" s="41" t="s">
        <v>46</v>
      </c>
      <c r="K5" s="42" t="s">
        <v>47</v>
      </c>
      <c r="L5" s="43" t="s">
        <v>48</v>
      </c>
      <c r="M5" s="79">
        <v>1</v>
      </c>
      <c r="N5" s="80">
        <v>2</v>
      </c>
      <c r="O5" s="81">
        <v>3</v>
      </c>
      <c r="P5" s="82">
        <v>4</v>
      </c>
      <c r="Q5" s="83">
        <v>5</v>
      </c>
      <c r="R5" s="84">
        <v>6</v>
      </c>
      <c r="S5" s="79">
        <v>100</v>
      </c>
      <c r="T5" s="80"/>
      <c r="U5" s="81"/>
      <c r="V5" s="82"/>
      <c r="W5" s="83"/>
      <c r="X5" s="84"/>
      <c r="Y5" s="84"/>
      <c r="Z5" s="84"/>
      <c r="AA5" s="84"/>
      <c r="AB5" s="84"/>
      <c r="AC5" s="84"/>
      <c r="AD5" s="84"/>
      <c r="AE5" s="85"/>
      <c r="AF5" s="86"/>
      <c r="AG5" s="87"/>
      <c r="AH5" s="88"/>
    </row>
    <row r="6" spans="1:34" s="2" customFormat="1" ht="48" x14ac:dyDescent="0.25">
      <c r="A6" s="155">
        <f t="shared" si="0"/>
        <v>1</v>
      </c>
      <c r="B6" s="155">
        <f t="shared" si="1"/>
        <v>2</v>
      </c>
      <c r="D6" s="77"/>
      <c r="E6" s="78" t="s">
        <v>49</v>
      </c>
      <c r="F6" s="133" t="s">
        <v>50</v>
      </c>
      <c r="G6" s="38" t="s">
        <v>51</v>
      </c>
      <c r="H6" s="39" t="s">
        <v>52</v>
      </c>
      <c r="I6" s="40" t="s">
        <v>53</v>
      </c>
      <c r="J6" s="41"/>
      <c r="K6" s="42"/>
      <c r="L6" s="43"/>
      <c r="M6" s="79"/>
      <c r="N6" s="80"/>
      <c r="O6" s="81"/>
      <c r="P6" s="82"/>
      <c r="Q6" s="83"/>
      <c r="R6" s="84"/>
      <c r="S6" s="79">
        <v>100</v>
      </c>
      <c r="T6" s="80"/>
      <c r="U6" s="81"/>
      <c r="V6" s="82"/>
      <c r="W6" s="83"/>
      <c r="X6" s="84"/>
      <c r="Y6" s="84"/>
      <c r="Z6" s="84"/>
      <c r="AA6" s="84"/>
      <c r="AB6" s="84"/>
      <c r="AC6" s="84"/>
      <c r="AD6" s="84"/>
      <c r="AE6" s="85"/>
      <c r="AF6" s="86"/>
      <c r="AG6" s="87"/>
      <c r="AH6" s="88"/>
    </row>
    <row r="7" spans="1:34" s="2" customFormat="1" x14ac:dyDescent="0.25">
      <c r="A7" s="155" t="str">
        <f t="shared" ref="A7:A70" si="2">IF(COUNTIF(S7:X7,"&gt;0")=0,"",COUNTIF(S7:X7,"&gt;0"))</f>
        <v/>
      </c>
      <c r="B7" s="155" t="str">
        <f t="shared" si="1"/>
        <v/>
      </c>
      <c r="D7" s="77"/>
      <c r="E7" s="78"/>
      <c r="F7" s="133"/>
      <c r="G7" s="38"/>
      <c r="H7" s="39"/>
      <c r="I7" s="40"/>
      <c r="J7" s="41"/>
      <c r="K7" s="42"/>
      <c r="L7" s="43"/>
      <c r="M7" s="79"/>
      <c r="N7" s="80"/>
      <c r="O7" s="81"/>
      <c r="P7" s="82"/>
      <c r="Q7" s="83"/>
      <c r="R7" s="84"/>
      <c r="S7" s="79"/>
      <c r="T7" s="80"/>
      <c r="U7" s="81"/>
      <c r="V7" s="82"/>
      <c r="W7" s="83"/>
      <c r="X7" s="84"/>
      <c r="Y7" s="84"/>
      <c r="Z7" s="84"/>
      <c r="AA7" s="84"/>
      <c r="AB7" s="84"/>
      <c r="AC7" s="84"/>
      <c r="AD7" s="84"/>
      <c r="AE7" s="85"/>
      <c r="AF7" s="86"/>
      <c r="AG7" s="87"/>
      <c r="AH7" s="88"/>
    </row>
    <row r="8" spans="1:34" s="2" customFormat="1" x14ac:dyDescent="0.25">
      <c r="A8" s="155" t="str">
        <f t="shared" si="2"/>
        <v/>
      </c>
      <c r="B8" s="155" t="str">
        <f t="shared" si="1"/>
        <v/>
      </c>
      <c r="D8" s="77"/>
      <c r="E8" s="78"/>
      <c r="F8" s="133"/>
      <c r="G8" s="38"/>
      <c r="H8" s="39"/>
      <c r="I8" s="40"/>
      <c r="J8" s="41"/>
      <c r="K8" s="42"/>
      <c r="L8" s="43"/>
      <c r="M8" s="79"/>
      <c r="N8" s="80"/>
      <c r="O8" s="81"/>
      <c r="P8" s="82"/>
      <c r="Q8" s="83"/>
      <c r="R8" s="84"/>
      <c r="S8" s="79"/>
      <c r="T8" s="80"/>
      <c r="U8" s="81"/>
      <c r="V8" s="82"/>
      <c r="W8" s="83"/>
      <c r="X8" s="84"/>
      <c r="Y8" s="84"/>
      <c r="Z8" s="84"/>
      <c r="AA8" s="84"/>
      <c r="AB8" s="84"/>
      <c r="AC8" s="84"/>
      <c r="AD8" s="84"/>
      <c r="AE8" s="85"/>
      <c r="AF8" s="86"/>
      <c r="AG8" s="87"/>
      <c r="AH8" s="88"/>
    </row>
    <row r="9" spans="1:34" s="2" customFormat="1" x14ac:dyDescent="0.25">
      <c r="A9" s="155" t="str">
        <f t="shared" si="2"/>
        <v/>
      </c>
      <c r="B9" s="155" t="str">
        <f t="shared" si="1"/>
        <v/>
      </c>
      <c r="D9" s="77"/>
      <c r="E9" s="78"/>
      <c r="F9" s="133"/>
      <c r="G9" s="38"/>
      <c r="H9" s="39"/>
      <c r="I9" s="40"/>
      <c r="J9" s="41"/>
      <c r="K9" s="42"/>
      <c r="L9" s="43"/>
      <c r="M9" s="79"/>
      <c r="N9" s="80"/>
      <c r="O9" s="81"/>
      <c r="P9" s="82"/>
      <c r="Q9" s="83"/>
      <c r="R9" s="84"/>
      <c r="S9" s="79"/>
      <c r="T9" s="80"/>
      <c r="U9" s="81"/>
      <c r="V9" s="82"/>
      <c r="W9" s="83"/>
      <c r="X9" s="84"/>
      <c r="Y9" s="84"/>
      <c r="Z9" s="84"/>
      <c r="AA9" s="84"/>
      <c r="AB9" s="84"/>
      <c r="AC9" s="84"/>
      <c r="AD9" s="84"/>
      <c r="AE9" s="85"/>
      <c r="AF9" s="86"/>
      <c r="AG9" s="87"/>
      <c r="AH9" s="88"/>
    </row>
    <row r="10" spans="1:34" s="2" customFormat="1" x14ac:dyDescent="0.25">
      <c r="A10" s="155" t="str">
        <f t="shared" si="2"/>
        <v/>
      </c>
      <c r="B10" s="155" t="str">
        <f t="shared" si="1"/>
        <v/>
      </c>
      <c r="D10" s="77"/>
      <c r="E10" s="78"/>
      <c r="F10" s="133"/>
      <c r="G10" s="38"/>
      <c r="H10" s="39"/>
      <c r="I10" s="40"/>
      <c r="J10" s="41"/>
      <c r="K10" s="42"/>
      <c r="L10" s="43"/>
      <c r="M10" s="79"/>
      <c r="N10" s="80"/>
      <c r="O10" s="81"/>
      <c r="P10" s="82"/>
      <c r="Q10" s="83"/>
      <c r="R10" s="84"/>
      <c r="S10" s="79"/>
      <c r="T10" s="80"/>
      <c r="U10" s="81"/>
      <c r="V10" s="82"/>
      <c r="W10" s="83"/>
      <c r="X10" s="84"/>
      <c r="Y10" s="84"/>
      <c r="Z10" s="84"/>
      <c r="AA10" s="84"/>
      <c r="AB10" s="84"/>
      <c r="AC10" s="84"/>
      <c r="AD10" s="84"/>
      <c r="AE10" s="85"/>
      <c r="AF10" s="86"/>
      <c r="AG10" s="87"/>
      <c r="AH10" s="88"/>
    </row>
    <row r="11" spans="1:34" s="2" customFormat="1" x14ac:dyDescent="0.25">
      <c r="A11" s="155" t="str">
        <f t="shared" si="2"/>
        <v/>
      </c>
      <c r="B11" s="155" t="str">
        <f t="shared" si="1"/>
        <v/>
      </c>
      <c r="D11" s="77"/>
      <c r="E11" s="78"/>
      <c r="F11" s="133"/>
      <c r="G11" s="38"/>
      <c r="H11" s="39"/>
      <c r="I11" s="40"/>
      <c r="J11" s="41"/>
      <c r="K11" s="42"/>
      <c r="L11" s="43"/>
      <c r="M11" s="79"/>
      <c r="N11" s="80"/>
      <c r="O11" s="81"/>
      <c r="P11" s="82"/>
      <c r="Q11" s="83"/>
      <c r="R11" s="84"/>
      <c r="S11" s="79"/>
      <c r="T11" s="80"/>
      <c r="U11" s="81"/>
      <c r="V11" s="82"/>
      <c r="W11" s="83"/>
      <c r="X11" s="84"/>
      <c r="Y11" s="84"/>
      <c r="Z11" s="84"/>
      <c r="AA11" s="84"/>
      <c r="AB11" s="84"/>
      <c r="AC11" s="84"/>
      <c r="AD11" s="84"/>
      <c r="AE11" s="85"/>
      <c r="AF11" s="86"/>
      <c r="AG11" s="87"/>
      <c r="AH11" s="88"/>
    </row>
    <row r="12" spans="1:34" s="2" customFormat="1" x14ac:dyDescent="0.25">
      <c r="A12" s="155" t="str">
        <f t="shared" si="2"/>
        <v/>
      </c>
      <c r="B12" s="155" t="str">
        <f t="shared" si="1"/>
        <v/>
      </c>
      <c r="D12" s="77"/>
      <c r="E12" s="78"/>
      <c r="F12" s="133"/>
      <c r="G12" s="38"/>
      <c r="H12" s="39"/>
      <c r="I12" s="40"/>
      <c r="J12" s="41"/>
      <c r="K12" s="42"/>
      <c r="L12" s="43"/>
      <c r="M12" s="79"/>
      <c r="N12" s="80"/>
      <c r="O12" s="81"/>
      <c r="P12" s="82"/>
      <c r="Q12" s="83"/>
      <c r="R12" s="84"/>
      <c r="S12" s="79"/>
      <c r="T12" s="80"/>
      <c r="U12" s="81"/>
      <c r="V12" s="82"/>
      <c r="W12" s="83"/>
      <c r="X12" s="84"/>
      <c r="Y12" s="84"/>
      <c r="Z12" s="84"/>
      <c r="AA12" s="84"/>
      <c r="AB12" s="84"/>
      <c r="AC12" s="84"/>
      <c r="AD12" s="84"/>
      <c r="AE12" s="85"/>
      <c r="AF12" s="86"/>
      <c r="AG12" s="87"/>
      <c r="AH12" s="88"/>
    </row>
    <row r="13" spans="1:34" s="2" customFormat="1" x14ac:dyDescent="0.25">
      <c r="A13" s="155" t="str">
        <f t="shared" si="2"/>
        <v/>
      </c>
      <c r="B13" s="155" t="str">
        <f t="shared" si="1"/>
        <v/>
      </c>
      <c r="D13" s="77"/>
      <c r="E13" s="78"/>
      <c r="F13" s="133"/>
      <c r="G13" s="38"/>
      <c r="H13" s="39"/>
      <c r="I13" s="40"/>
      <c r="J13" s="41"/>
      <c r="K13" s="42"/>
      <c r="L13" s="43"/>
      <c r="M13" s="79"/>
      <c r="N13" s="80"/>
      <c r="O13" s="81"/>
      <c r="P13" s="82"/>
      <c r="Q13" s="83"/>
      <c r="R13" s="84"/>
      <c r="S13" s="79"/>
      <c r="T13" s="80"/>
      <c r="U13" s="81"/>
      <c r="V13" s="82"/>
      <c r="W13" s="83"/>
      <c r="X13" s="84"/>
      <c r="Y13" s="84"/>
      <c r="Z13" s="84"/>
      <c r="AA13" s="84"/>
      <c r="AB13" s="84"/>
      <c r="AC13" s="84"/>
      <c r="AD13" s="84"/>
      <c r="AE13" s="85"/>
      <c r="AF13" s="86"/>
      <c r="AG13" s="87"/>
      <c r="AH13" s="88"/>
    </row>
    <row r="14" spans="1:34" s="2" customFormat="1" x14ac:dyDescent="0.25">
      <c r="A14" s="155" t="str">
        <f t="shared" si="2"/>
        <v/>
      </c>
      <c r="B14" s="155" t="str">
        <f t="shared" si="1"/>
        <v/>
      </c>
      <c r="D14" s="77"/>
      <c r="E14" s="78"/>
      <c r="F14" s="133"/>
      <c r="G14" s="38"/>
      <c r="H14" s="39"/>
      <c r="I14" s="40"/>
      <c r="J14" s="41"/>
      <c r="K14" s="42"/>
      <c r="L14" s="43"/>
      <c r="M14" s="79"/>
      <c r="N14" s="80"/>
      <c r="O14" s="81"/>
      <c r="P14" s="82"/>
      <c r="Q14" s="83"/>
      <c r="R14" s="84"/>
      <c r="S14" s="79"/>
      <c r="T14" s="80"/>
      <c r="U14" s="81"/>
      <c r="V14" s="82"/>
      <c r="W14" s="83"/>
      <c r="X14" s="84"/>
      <c r="Y14" s="84"/>
      <c r="Z14" s="84"/>
      <c r="AA14" s="84"/>
      <c r="AB14" s="84"/>
      <c r="AC14" s="84"/>
      <c r="AD14" s="84"/>
      <c r="AE14" s="85"/>
      <c r="AF14" s="86"/>
      <c r="AG14" s="87"/>
      <c r="AH14" s="88"/>
    </row>
    <row r="15" spans="1:34" s="2" customFormat="1" x14ac:dyDescent="0.25">
      <c r="A15" s="155" t="str">
        <f t="shared" si="2"/>
        <v/>
      </c>
      <c r="B15" s="155" t="str">
        <f t="shared" si="1"/>
        <v/>
      </c>
      <c r="D15" s="77"/>
      <c r="E15" s="78"/>
      <c r="F15" s="133"/>
      <c r="G15" s="38"/>
      <c r="H15" s="39"/>
      <c r="I15" s="40"/>
      <c r="J15" s="41"/>
      <c r="K15" s="42"/>
      <c r="L15" s="43"/>
      <c r="M15" s="79"/>
      <c r="N15" s="80"/>
      <c r="O15" s="81"/>
      <c r="P15" s="82"/>
      <c r="Q15" s="83"/>
      <c r="R15" s="84"/>
      <c r="S15" s="79"/>
      <c r="T15" s="80"/>
      <c r="U15" s="81"/>
      <c r="V15" s="82"/>
      <c r="W15" s="83"/>
      <c r="X15" s="84"/>
      <c r="Y15" s="84"/>
      <c r="Z15" s="84"/>
      <c r="AA15" s="84"/>
      <c r="AB15" s="84"/>
      <c r="AC15" s="84"/>
      <c r="AD15" s="84"/>
      <c r="AE15" s="85"/>
      <c r="AF15" s="86"/>
      <c r="AG15" s="87"/>
      <c r="AH15" s="88"/>
    </row>
    <row r="16" spans="1:34" s="2" customFormat="1" x14ac:dyDescent="0.25">
      <c r="A16" s="155" t="str">
        <f t="shared" si="2"/>
        <v/>
      </c>
      <c r="B16" s="155" t="str">
        <f t="shared" si="1"/>
        <v/>
      </c>
      <c r="D16" s="77"/>
      <c r="E16" s="78"/>
      <c r="F16" s="133"/>
      <c r="G16" s="38"/>
      <c r="H16" s="39"/>
      <c r="I16" s="40"/>
      <c r="J16" s="41"/>
      <c r="K16" s="42"/>
      <c r="L16" s="43"/>
      <c r="M16" s="79"/>
      <c r="N16" s="80"/>
      <c r="O16" s="81"/>
      <c r="P16" s="82"/>
      <c r="Q16" s="83"/>
      <c r="R16" s="84"/>
      <c r="S16" s="79"/>
      <c r="T16" s="80"/>
      <c r="U16" s="81"/>
      <c r="V16" s="82"/>
      <c r="W16" s="83"/>
      <c r="X16" s="84"/>
      <c r="Y16" s="84"/>
      <c r="Z16" s="84"/>
      <c r="AA16" s="84"/>
      <c r="AB16" s="84"/>
      <c r="AC16" s="84"/>
      <c r="AD16" s="84"/>
      <c r="AE16" s="85"/>
      <c r="AF16" s="86"/>
      <c r="AG16" s="87"/>
      <c r="AH16" s="88"/>
    </row>
    <row r="17" spans="1:34" s="2" customFormat="1" x14ac:dyDescent="0.25">
      <c r="A17" s="155" t="str">
        <f t="shared" si="2"/>
        <v/>
      </c>
      <c r="B17" s="155" t="str">
        <f t="shared" si="1"/>
        <v/>
      </c>
      <c r="D17" s="77"/>
      <c r="E17" s="78"/>
      <c r="F17" s="133"/>
      <c r="G17" s="38"/>
      <c r="H17" s="39"/>
      <c r="I17" s="40"/>
      <c r="J17" s="41"/>
      <c r="K17" s="42"/>
      <c r="L17" s="43"/>
      <c r="M17" s="79"/>
      <c r="N17" s="80"/>
      <c r="O17" s="81"/>
      <c r="P17" s="82"/>
      <c r="Q17" s="83"/>
      <c r="R17" s="84"/>
      <c r="S17" s="79"/>
      <c r="T17" s="80"/>
      <c r="U17" s="81"/>
      <c r="V17" s="82"/>
      <c r="W17" s="83"/>
      <c r="X17" s="84"/>
      <c r="Y17" s="84"/>
      <c r="Z17" s="84"/>
      <c r="AA17" s="84"/>
      <c r="AB17" s="84"/>
      <c r="AC17" s="84"/>
      <c r="AD17" s="84"/>
      <c r="AE17" s="85"/>
      <c r="AF17" s="86"/>
      <c r="AG17" s="87"/>
      <c r="AH17" s="88"/>
    </row>
    <row r="18" spans="1:34" s="2" customFormat="1" x14ac:dyDescent="0.25">
      <c r="A18" s="155" t="str">
        <f t="shared" si="2"/>
        <v/>
      </c>
      <c r="B18" s="155" t="str">
        <f t="shared" si="1"/>
        <v/>
      </c>
      <c r="D18" s="77"/>
      <c r="E18" s="78"/>
      <c r="F18" s="133"/>
      <c r="G18" s="38"/>
      <c r="H18" s="39"/>
      <c r="I18" s="40"/>
      <c r="J18" s="41"/>
      <c r="K18" s="42"/>
      <c r="L18" s="43"/>
      <c r="M18" s="79"/>
      <c r="N18" s="80"/>
      <c r="O18" s="81"/>
      <c r="P18" s="82"/>
      <c r="Q18" s="83"/>
      <c r="R18" s="84"/>
      <c r="S18" s="79"/>
      <c r="T18" s="80"/>
      <c r="U18" s="81"/>
      <c r="V18" s="82"/>
      <c r="W18" s="83"/>
      <c r="X18" s="84"/>
      <c r="Y18" s="84"/>
      <c r="Z18" s="84"/>
      <c r="AA18" s="84"/>
      <c r="AB18" s="84"/>
      <c r="AC18" s="84"/>
      <c r="AD18" s="84"/>
      <c r="AE18" s="85"/>
      <c r="AF18" s="86"/>
      <c r="AG18" s="87"/>
      <c r="AH18" s="88"/>
    </row>
    <row r="19" spans="1:34" s="2" customFormat="1" x14ac:dyDescent="0.25">
      <c r="A19" s="155" t="str">
        <f t="shared" si="2"/>
        <v/>
      </c>
      <c r="B19" s="155" t="str">
        <f t="shared" si="1"/>
        <v/>
      </c>
      <c r="D19" s="77"/>
      <c r="E19" s="78"/>
      <c r="F19" s="133"/>
      <c r="G19" s="38"/>
      <c r="H19" s="39"/>
      <c r="I19" s="40"/>
      <c r="J19" s="41"/>
      <c r="K19" s="42"/>
      <c r="L19" s="43"/>
      <c r="M19" s="79"/>
      <c r="N19" s="80"/>
      <c r="O19" s="81"/>
      <c r="P19" s="82"/>
      <c r="Q19" s="83"/>
      <c r="R19" s="84"/>
      <c r="S19" s="79"/>
      <c r="T19" s="80"/>
      <c r="U19" s="81"/>
      <c r="V19" s="82"/>
      <c r="W19" s="83"/>
      <c r="X19" s="84"/>
      <c r="Y19" s="84"/>
      <c r="Z19" s="84"/>
      <c r="AA19" s="84"/>
      <c r="AB19" s="84"/>
      <c r="AC19" s="84"/>
      <c r="AD19" s="84"/>
      <c r="AE19" s="85"/>
      <c r="AF19" s="86"/>
      <c r="AG19" s="87"/>
      <c r="AH19" s="88"/>
    </row>
    <row r="20" spans="1:34" s="2" customFormat="1" x14ac:dyDescent="0.25">
      <c r="A20" s="155" t="str">
        <f t="shared" si="2"/>
        <v/>
      </c>
      <c r="B20" s="155" t="str">
        <f t="shared" si="1"/>
        <v/>
      </c>
      <c r="D20" s="77"/>
      <c r="E20" s="78"/>
      <c r="F20" s="133"/>
      <c r="G20" s="38"/>
      <c r="H20" s="39"/>
      <c r="I20" s="40"/>
      <c r="J20" s="41"/>
      <c r="K20" s="42"/>
      <c r="L20" s="43"/>
      <c r="M20" s="79"/>
      <c r="N20" s="80"/>
      <c r="O20" s="81"/>
      <c r="P20" s="82"/>
      <c r="Q20" s="83"/>
      <c r="R20" s="84"/>
      <c r="S20" s="79"/>
      <c r="T20" s="80"/>
      <c r="U20" s="81"/>
      <c r="V20" s="82"/>
      <c r="W20" s="83"/>
      <c r="X20" s="84"/>
      <c r="Y20" s="84"/>
      <c r="Z20" s="84"/>
      <c r="AA20" s="84"/>
      <c r="AB20" s="84"/>
      <c r="AC20" s="84"/>
      <c r="AD20" s="84"/>
      <c r="AE20" s="85"/>
      <c r="AF20" s="86"/>
      <c r="AG20" s="87"/>
      <c r="AH20" s="88"/>
    </row>
    <row r="21" spans="1:34" s="2" customFormat="1" x14ac:dyDescent="0.25">
      <c r="A21" s="155" t="str">
        <f t="shared" si="2"/>
        <v/>
      </c>
      <c r="B21" s="155" t="str">
        <f t="shared" si="1"/>
        <v/>
      </c>
      <c r="D21" s="77"/>
      <c r="E21" s="78"/>
      <c r="F21" s="133"/>
      <c r="G21" s="38"/>
      <c r="H21" s="39"/>
      <c r="I21" s="40"/>
      <c r="J21" s="41"/>
      <c r="K21" s="42"/>
      <c r="L21" s="43"/>
      <c r="M21" s="79"/>
      <c r="N21" s="80"/>
      <c r="O21" s="81"/>
      <c r="P21" s="82"/>
      <c r="Q21" s="83"/>
      <c r="R21" s="84"/>
      <c r="S21" s="79"/>
      <c r="T21" s="80"/>
      <c r="U21" s="81"/>
      <c r="V21" s="82"/>
      <c r="W21" s="83"/>
      <c r="X21" s="84"/>
      <c r="Y21" s="84"/>
      <c r="Z21" s="84"/>
      <c r="AA21" s="84"/>
      <c r="AB21" s="84"/>
      <c r="AC21" s="84"/>
      <c r="AD21" s="84"/>
      <c r="AE21" s="85"/>
      <c r="AF21" s="86"/>
      <c r="AG21" s="87"/>
      <c r="AH21" s="88"/>
    </row>
    <row r="22" spans="1:34" s="2" customFormat="1" x14ac:dyDescent="0.25">
      <c r="A22" s="155" t="str">
        <f t="shared" si="2"/>
        <v/>
      </c>
      <c r="B22" s="155" t="str">
        <f t="shared" si="1"/>
        <v/>
      </c>
      <c r="D22" s="77"/>
      <c r="E22" s="78"/>
      <c r="F22" s="133"/>
      <c r="G22" s="38"/>
      <c r="H22" s="39"/>
      <c r="I22" s="40"/>
      <c r="J22" s="41"/>
      <c r="K22" s="42"/>
      <c r="L22" s="43"/>
      <c r="M22" s="79"/>
      <c r="N22" s="80"/>
      <c r="O22" s="81"/>
      <c r="P22" s="82"/>
      <c r="Q22" s="83"/>
      <c r="R22" s="84"/>
      <c r="S22" s="79"/>
      <c r="T22" s="80"/>
      <c r="U22" s="81"/>
      <c r="V22" s="82"/>
      <c r="W22" s="83"/>
      <c r="X22" s="84"/>
      <c r="Y22" s="84"/>
      <c r="Z22" s="84"/>
      <c r="AA22" s="84"/>
      <c r="AB22" s="84"/>
      <c r="AC22" s="84"/>
      <c r="AD22" s="84"/>
      <c r="AE22" s="85"/>
      <c r="AF22" s="86"/>
      <c r="AG22" s="87"/>
      <c r="AH22" s="88"/>
    </row>
    <row r="23" spans="1:34" s="2" customFormat="1" x14ac:dyDescent="0.25">
      <c r="A23" s="155" t="str">
        <f t="shared" si="2"/>
        <v/>
      </c>
      <c r="B23" s="155" t="str">
        <f t="shared" si="1"/>
        <v/>
      </c>
      <c r="D23" s="77"/>
      <c r="E23" s="78"/>
      <c r="F23" s="133"/>
      <c r="G23" s="38"/>
      <c r="H23" s="39"/>
      <c r="I23" s="40"/>
      <c r="J23" s="41"/>
      <c r="K23" s="42"/>
      <c r="L23" s="43"/>
      <c r="M23" s="79"/>
      <c r="N23" s="80"/>
      <c r="O23" s="81"/>
      <c r="P23" s="82"/>
      <c r="Q23" s="83"/>
      <c r="R23" s="84"/>
      <c r="S23" s="79"/>
      <c r="T23" s="80"/>
      <c r="U23" s="81"/>
      <c r="V23" s="82"/>
      <c r="W23" s="83"/>
      <c r="X23" s="84"/>
      <c r="Y23" s="84"/>
      <c r="Z23" s="84"/>
      <c r="AA23" s="84"/>
      <c r="AB23" s="84"/>
      <c r="AC23" s="84"/>
      <c r="AD23" s="84"/>
      <c r="AE23" s="85"/>
      <c r="AF23" s="86"/>
      <c r="AG23" s="87"/>
      <c r="AH23" s="88"/>
    </row>
    <row r="24" spans="1:34" s="2" customFormat="1" x14ac:dyDescent="0.25">
      <c r="A24" s="155" t="str">
        <f t="shared" si="2"/>
        <v/>
      </c>
      <c r="B24" s="155" t="str">
        <f t="shared" si="1"/>
        <v/>
      </c>
      <c r="D24" s="77"/>
      <c r="E24" s="78"/>
      <c r="F24" s="133"/>
      <c r="G24" s="38"/>
      <c r="H24" s="39"/>
      <c r="I24" s="40"/>
      <c r="J24" s="41"/>
      <c r="K24" s="42"/>
      <c r="L24" s="43"/>
      <c r="M24" s="79"/>
      <c r="N24" s="80"/>
      <c r="O24" s="81"/>
      <c r="P24" s="82"/>
      <c r="Q24" s="83"/>
      <c r="R24" s="84"/>
      <c r="S24" s="79"/>
      <c r="T24" s="80"/>
      <c r="U24" s="81"/>
      <c r="V24" s="82"/>
      <c r="W24" s="83"/>
      <c r="X24" s="84"/>
      <c r="Y24" s="84"/>
      <c r="Z24" s="84"/>
      <c r="AA24" s="84"/>
      <c r="AB24" s="84"/>
      <c r="AC24" s="84"/>
      <c r="AD24" s="84"/>
      <c r="AE24" s="85"/>
      <c r="AF24" s="86"/>
      <c r="AG24" s="87"/>
      <c r="AH24" s="88"/>
    </row>
    <row r="25" spans="1:34" s="2" customFormat="1" x14ac:dyDescent="0.25">
      <c r="A25" s="155" t="str">
        <f t="shared" si="2"/>
        <v/>
      </c>
      <c r="B25" s="155" t="str">
        <f t="shared" si="1"/>
        <v/>
      </c>
      <c r="D25" s="77"/>
      <c r="E25" s="78"/>
      <c r="F25" s="133"/>
      <c r="G25" s="38"/>
      <c r="H25" s="39"/>
      <c r="I25" s="40"/>
      <c r="J25" s="41"/>
      <c r="K25" s="42"/>
      <c r="L25" s="43"/>
      <c r="M25" s="79"/>
      <c r="N25" s="80"/>
      <c r="O25" s="81"/>
      <c r="P25" s="82"/>
      <c r="Q25" s="83"/>
      <c r="R25" s="84"/>
      <c r="S25" s="79"/>
      <c r="T25" s="80"/>
      <c r="U25" s="81"/>
      <c r="V25" s="82"/>
      <c r="W25" s="83"/>
      <c r="X25" s="84"/>
      <c r="Y25" s="84"/>
      <c r="Z25" s="84"/>
      <c r="AA25" s="84"/>
      <c r="AB25" s="84"/>
      <c r="AC25" s="84"/>
      <c r="AD25" s="84"/>
      <c r="AE25" s="85"/>
      <c r="AF25" s="86"/>
      <c r="AG25" s="87"/>
      <c r="AH25" s="88"/>
    </row>
    <row r="26" spans="1:34" s="2" customFormat="1" x14ac:dyDescent="0.25">
      <c r="A26" s="155" t="str">
        <f t="shared" si="2"/>
        <v/>
      </c>
      <c r="B26" s="155" t="str">
        <f t="shared" si="1"/>
        <v/>
      </c>
      <c r="D26" s="77"/>
      <c r="E26" s="78"/>
      <c r="F26" s="133"/>
      <c r="G26" s="38"/>
      <c r="H26" s="39"/>
      <c r="I26" s="40"/>
      <c r="J26" s="41"/>
      <c r="K26" s="42"/>
      <c r="L26" s="43"/>
      <c r="M26" s="79"/>
      <c r="N26" s="80"/>
      <c r="O26" s="81"/>
      <c r="P26" s="82"/>
      <c r="Q26" s="83"/>
      <c r="R26" s="84"/>
      <c r="S26" s="79"/>
      <c r="T26" s="80"/>
      <c r="U26" s="81"/>
      <c r="V26" s="82"/>
      <c r="W26" s="83"/>
      <c r="X26" s="84"/>
      <c r="Y26" s="84"/>
      <c r="Z26" s="84"/>
      <c r="AA26" s="84"/>
      <c r="AB26" s="84"/>
      <c r="AC26" s="84"/>
      <c r="AD26" s="84"/>
      <c r="AE26" s="85"/>
      <c r="AF26" s="86"/>
      <c r="AG26" s="87"/>
      <c r="AH26" s="88"/>
    </row>
    <row r="27" spans="1:34" s="2" customFormat="1" x14ac:dyDescent="0.25">
      <c r="A27" s="155" t="str">
        <f t="shared" si="2"/>
        <v/>
      </c>
      <c r="B27" s="155" t="str">
        <f t="shared" si="1"/>
        <v/>
      </c>
      <c r="D27" s="77"/>
      <c r="E27" s="78"/>
      <c r="F27" s="133"/>
      <c r="G27" s="38"/>
      <c r="H27" s="39"/>
      <c r="I27" s="40"/>
      <c r="J27" s="41"/>
      <c r="K27" s="42"/>
      <c r="L27" s="43"/>
      <c r="M27" s="79"/>
      <c r="N27" s="80"/>
      <c r="O27" s="81"/>
      <c r="P27" s="82"/>
      <c r="Q27" s="83"/>
      <c r="R27" s="84"/>
      <c r="S27" s="79"/>
      <c r="T27" s="80"/>
      <c r="U27" s="81"/>
      <c r="V27" s="82"/>
      <c r="W27" s="83"/>
      <c r="X27" s="84"/>
      <c r="Y27" s="84"/>
      <c r="Z27" s="84"/>
      <c r="AA27" s="84"/>
      <c r="AB27" s="84"/>
      <c r="AC27" s="84"/>
      <c r="AD27" s="84"/>
      <c r="AE27" s="85"/>
      <c r="AF27" s="86"/>
      <c r="AG27" s="87"/>
      <c r="AH27" s="88"/>
    </row>
    <row r="28" spans="1:34" s="2" customFormat="1" x14ac:dyDescent="0.25">
      <c r="A28" s="155" t="str">
        <f t="shared" si="2"/>
        <v/>
      </c>
      <c r="B28" s="155" t="str">
        <f t="shared" si="1"/>
        <v/>
      </c>
      <c r="D28" s="77"/>
      <c r="E28" s="78"/>
      <c r="F28" s="133"/>
      <c r="G28" s="38"/>
      <c r="H28" s="39"/>
      <c r="I28" s="40"/>
      <c r="J28" s="41"/>
      <c r="K28" s="42"/>
      <c r="L28" s="43"/>
      <c r="M28" s="79"/>
      <c r="N28" s="80"/>
      <c r="O28" s="81"/>
      <c r="P28" s="82"/>
      <c r="Q28" s="83"/>
      <c r="R28" s="84"/>
      <c r="S28" s="79"/>
      <c r="T28" s="80"/>
      <c r="U28" s="81"/>
      <c r="V28" s="82"/>
      <c r="W28" s="83"/>
      <c r="X28" s="84"/>
      <c r="Y28" s="84"/>
      <c r="Z28" s="84"/>
      <c r="AA28" s="84"/>
      <c r="AB28" s="84"/>
      <c r="AC28" s="84"/>
      <c r="AD28" s="84"/>
      <c r="AE28" s="85"/>
      <c r="AF28" s="86"/>
      <c r="AG28" s="87"/>
      <c r="AH28" s="88"/>
    </row>
    <row r="29" spans="1:34" s="2" customFormat="1" x14ac:dyDescent="0.25">
      <c r="A29" s="155" t="str">
        <f t="shared" si="2"/>
        <v/>
      </c>
      <c r="B29" s="155" t="str">
        <f t="shared" si="1"/>
        <v/>
      </c>
      <c r="D29" s="77"/>
      <c r="E29" s="78"/>
      <c r="F29" s="133"/>
      <c r="G29" s="38"/>
      <c r="H29" s="39"/>
      <c r="I29" s="40"/>
      <c r="J29" s="41"/>
      <c r="K29" s="42"/>
      <c r="L29" s="43"/>
      <c r="M29" s="79"/>
      <c r="N29" s="80"/>
      <c r="O29" s="81"/>
      <c r="P29" s="82"/>
      <c r="Q29" s="83"/>
      <c r="R29" s="84"/>
      <c r="S29" s="79"/>
      <c r="T29" s="80"/>
      <c r="U29" s="81"/>
      <c r="V29" s="82"/>
      <c r="W29" s="83"/>
      <c r="X29" s="84"/>
      <c r="Y29" s="84"/>
      <c r="Z29" s="84"/>
      <c r="AA29" s="84"/>
      <c r="AB29" s="84"/>
      <c r="AC29" s="84"/>
      <c r="AD29" s="84"/>
      <c r="AE29" s="85"/>
      <c r="AF29" s="86"/>
      <c r="AG29" s="87"/>
      <c r="AH29" s="88"/>
    </row>
    <row r="30" spans="1:34" s="2" customFormat="1" x14ac:dyDescent="0.25">
      <c r="A30" s="155" t="str">
        <f t="shared" si="2"/>
        <v/>
      </c>
      <c r="B30" s="155" t="str">
        <f t="shared" si="1"/>
        <v/>
      </c>
      <c r="D30" s="77"/>
      <c r="E30" s="78"/>
      <c r="F30" s="133"/>
      <c r="G30" s="38"/>
      <c r="H30" s="39"/>
      <c r="I30" s="40"/>
      <c r="J30" s="41"/>
      <c r="K30" s="42"/>
      <c r="L30" s="43"/>
      <c r="M30" s="79"/>
      <c r="N30" s="80"/>
      <c r="O30" s="81"/>
      <c r="P30" s="82"/>
      <c r="Q30" s="83"/>
      <c r="R30" s="84"/>
      <c r="S30" s="79"/>
      <c r="T30" s="80"/>
      <c r="U30" s="81"/>
      <c r="V30" s="82"/>
      <c r="W30" s="83"/>
      <c r="X30" s="84"/>
      <c r="Y30" s="84"/>
      <c r="Z30" s="84"/>
      <c r="AA30" s="84"/>
      <c r="AB30" s="84"/>
      <c r="AC30" s="84"/>
      <c r="AD30" s="84"/>
      <c r="AE30" s="85"/>
      <c r="AF30" s="86"/>
      <c r="AG30" s="87"/>
      <c r="AH30" s="88"/>
    </row>
    <row r="31" spans="1:34" s="2" customFormat="1" x14ac:dyDescent="0.25">
      <c r="A31" s="155" t="str">
        <f t="shared" si="2"/>
        <v/>
      </c>
      <c r="B31" s="155" t="str">
        <f t="shared" si="1"/>
        <v/>
      </c>
      <c r="D31" s="77"/>
      <c r="E31" s="78"/>
      <c r="F31" s="133"/>
      <c r="G31" s="38"/>
      <c r="H31" s="39"/>
      <c r="I31" s="40"/>
      <c r="J31" s="41"/>
      <c r="K31" s="42"/>
      <c r="L31" s="43"/>
      <c r="M31" s="79"/>
      <c r="N31" s="80"/>
      <c r="O31" s="81"/>
      <c r="P31" s="82"/>
      <c r="Q31" s="83"/>
      <c r="R31" s="84"/>
      <c r="S31" s="79"/>
      <c r="T31" s="80"/>
      <c r="U31" s="81"/>
      <c r="V31" s="82"/>
      <c r="W31" s="83"/>
      <c r="X31" s="84"/>
      <c r="Y31" s="84"/>
      <c r="Z31" s="84"/>
      <c r="AA31" s="84"/>
      <c r="AB31" s="84"/>
      <c r="AC31" s="84"/>
      <c r="AD31" s="84"/>
      <c r="AE31" s="85"/>
      <c r="AF31" s="86"/>
      <c r="AG31" s="87"/>
      <c r="AH31" s="88"/>
    </row>
    <row r="32" spans="1:34" s="2" customFormat="1" x14ac:dyDescent="0.25">
      <c r="A32" s="155" t="str">
        <f t="shared" si="2"/>
        <v/>
      </c>
      <c r="B32" s="155" t="str">
        <f t="shared" si="1"/>
        <v/>
      </c>
      <c r="D32" s="77"/>
      <c r="E32" s="78"/>
      <c r="F32" s="133"/>
      <c r="G32" s="38"/>
      <c r="H32" s="39"/>
      <c r="I32" s="40"/>
      <c r="J32" s="41"/>
      <c r="K32" s="42"/>
      <c r="L32" s="43"/>
      <c r="M32" s="79"/>
      <c r="N32" s="80"/>
      <c r="O32" s="81"/>
      <c r="P32" s="82"/>
      <c r="Q32" s="83"/>
      <c r="R32" s="84"/>
      <c r="S32" s="79"/>
      <c r="T32" s="80"/>
      <c r="U32" s="81"/>
      <c r="V32" s="82"/>
      <c r="W32" s="83"/>
      <c r="X32" s="84"/>
      <c r="Y32" s="84"/>
      <c r="Z32" s="84"/>
      <c r="AA32" s="84"/>
      <c r="AB32" s="84"/>
      <c r="AC32" s="84"/>
      <c r="AD32" s="84"/>
      <c r="AE32" s="85"/>
      <c r="AF32" s="86"/>
      <c r="AG32" s="87"/>
      <c r="AH32" s="88"/>
    </row>
    <row r="33" spans="1:34" s="2" customFormat="1" x14ac:dyDescent="0.25">
      <c r="A33" s="155" t="str">
        <f t="shared" si="2"/>
        <v/>
      </c>
      <c r="B33" s="155" t="str">
        <f t="shared" si="1"/>
        <v/>
      </c>
      <c r="D33" s="77"/>
      <c r="E33" s="78"/>
      <c r="F33" s="133"/>
      <c r="G33" s="38"/>
      <c r="H33" s="39"/>
      <c r="I33" s="40"/>
      <c r="J33" s="41"/>
      <c r="K33" s="42"/>
      <c r="L33" s="43"/>
      <c r="M33" s="79"/>
      <c r="N33" s="80"/>
      <c r="O33" s="81"/>
      <c r="P33" s="82"/>
      <c r="Q33" s="83"/>
      <c r="R33" s="84"/>
      <c r="S33" s="79"/>
      <c r="T33" s="80"/>
      <c r="U33" s="81"/>
      <c r="V33" s="82"/>
      <c r="W33" s="83"/>
      <c r="X33" s="84"/>
      <c r="Y33" s="84"/>
      <c r="Z33" s="84"/>
      <c r="AA33" s="84"/>
      <c r="AB33" s="84"/>
      <c r="AC33" s="84"/>
      <c r="AD33" s="84"/>
      <c r="AE33" s="85"/>
      <c r="AF33" s="86"/>
      <c r="AG33" s="87"/>
      <c r="AH33" s="88"/>
    </row>
    <row r="34" spans="1:34" s="2" customFormat="1" x14ac:dyDescent="0.25">
      <c r="A34" s="155" t="str">
        <f t="shared" si="2"/>
        <v/>
      </c>
      <c r="B34" s="155" t="str">
        <f t="shared" si="1"/>
        <v/>
      </c>
      <c r="D34" s="77"/>
      <c r="E34" s="78"/>
      <c r="F34" s="133"/>
      <c r="G34" s="38"/>
      <c r="H34" s="39"/>
      <c r="I34" s="40"/>
      <c r="J34" s="41"/>
      <c r="K34" s="42"/>
      <c r="L34" s="43"/>
      <c r="M34" s="79"/>
      <c r="N34" s="80"/>
      <c r="O34" s="81"/>
      <c r="P34" s="82"/>
      <c r="Q34" s="83"/>
      <c r="R34" s="84"/>
      <c r="S34" s="79"/>
      <c r="T34" s="80"/>
      <c r="U34" s="81"/>
      <c r="V34" s="82"/>
      <c r="W34" s="83"/>
      <c r="X34" s="84"/>
      <c r="Y34" s="84"/>
      <c r="Z34" s="84"/>
      <c r="AA34" s="84"/>
      <c r="AB34" s="84"/>
      <c r="AC34" s="84"/>
      <c r="AD34" s="84"/>
      <c r="AE34" s="85"/>
      <c r="AF34" s="86"/>
      <c r="AG34" s="87"/>
      <c r="AH34" s="88"/>
    </row>
    <row r="35" spans="1:34" s="2" customFormat="1" x14ac:dyDescent="0.25">
      <c r="A35" s="155" t="str">
        <f t="shared" si="2"/>
        <v/>
      </c>
      <c r="B35" s="155" t="str">
        <f t="shared" si="1"/>
        <v/>
      </c>
      <c r="D35" s="77"/>
      <c r="E35" s="78"/>
      <c r="F35" s="133"/>
      <c r="G35" s="38"/>
      <c r="H35" s="39"/>
      <c r="I35" s="40"/>
      <c r="J35" s="41"/>
      <c r="K35" s="42"/>
      <c r="L35" s="43"/>
      <c r="M35" s="79"/>
      <c r="N35" s="80"/>
      <c r="O35" s="81"/>
      <c r="P35" s="82"/>
      <c r="Q35" s="83"/>
      <c r="R35" s="84"/>
      <c r="S35" s="79"/>
      <c r="T35" s="80"/>
      <c r="U35" s="81"/>
      <c r="V35" s="82"/>
      <c r="W35" s="83"/>
      <c r="X35" s="84"/>
      <c r="Y35" s="84"/>
      <c r="Z35" s="84"/>
      <c r="AA35" s="84"/>
      <c r="AB35" s="84"/>
      <c r="AC35" s="84"/>
      <c r="AD35" s="84"/>
      <c r="AE35" s="85"/>
      <c r="AF35" s="86"/>
      <c r="AG35" s="87"/>
      <c r="AH35" s="88"/>
    </row>
    <row r="36" spans="1:34" s="2" customFormat="1" x14ac:dyDescent="0.25">
      <c r="A36" s="155" t="str">
        <f t="shared" si="2"/>
        <v/>
      </c>
      <c r="B36" s="155" t="str">
        <f t="shared" si="1"/>
        <v/>
      </c>
      <c r="D36" s="77"/>
      <c r="E36" s="78"/>
      <c r="F36" s="133"/>
      <c r="G36" s="38"/>
      <c r="H36" s="39"/>
      <c r="I36" s="40"/>
      <c r="J36" s="41"/>
      <c r="K36" s="42"/>
      <c r="L36" s="43"/>
      <c r="M36" s="79"/>
      <c r="N36" s="80"/>
      <c r="O36" s="81"/>
      <c r="P36" s="82"/>
      <c r="Q36" s="83"/>
      <c r="R36" s="84"/>
      <c r="S36" s="79"/>
      <c r="T36" s="80"/>
      <c r="U36" s="81"/>
      <c r="V36" s="82"/>
      <c r="W36" s="83"/>
      <c r="X36" s="84"/>
      <c r="Y36" s="84"/>
      <c r="Z36" s="84"/>
      <c r="AA36" s="84"/>
      <c r="AB36" s="84"/>
      <c r="AC36" s="84"/>
      <c r="AD36" s="84"/>
      <c r="AE36" s="85"/>
      <c r="AF36" s="86"/>
      <c r="AG36" s="87"/>
      <c r="AH36" s="88"/>
    </row>
    <row r="37" spans="1:34" s="2" customFormat="1" x14ac:dyDescent="0.25">
      <c r="A37" s="155" t="str">
        <f t="shared" si="2"/>
        <v/>
      </c>
      <c r="B37" s="155" t="str">
        <f t="shared" si="1"/>
        <v/>
      </c>
      <c r="D37" s="77"/>
      <c r="E37" s="78"/>
      <c r="F37" s="133"/>
      <c r="G37" s="38"/>
      <c r="H37" s="39"/>
      <c r="I37" s="40"/>
      <c r="J37" s="41"/>
      <c r="K37" s="42"/>
      <c r="L37" s="43"/>
      <c r="M37" s="79"/>
      <c r="N37" s="80"/>
      <c r="O37" s="81"/>
      <c r="P37" s="82"/>
      <c r="Q37" s="83"/>
      <c r="R37" s="84"/>
      <c r="S37" s="79"/>
      <c r="T37" s="80"/>
      <c r="U37" s="81"/>
      <c r="V37" s="82"/>
      <c r="W37" s="83"/>
      <c r="X37" s="84"/>
      <c r="Y37" s="84"/>
      <c r="Z37" s="84"/>
      <c r="AA37" s="84"/>
      <c r="AB37" s="84"/>
      <c r="AC37" s="84"/>
      <c r="AD37" s="84"/>
      <c r="AE37" s="85"/>
      <c r="AF37" s="86"/>
      <c r="AG37" s="87"/>
      <c r="AH37" s="88"/>
    </row>
    <row r="38" spans="1:34" s="2" customFormat="1" x14ac:dyDescent="0.25">
      <c r="A38" s="155" t="str">
        <f t="shared" si="2"/>
        <v/>
      </c>
      <c r="B38" s="155" t="str">
        <f t="shared" si="1"/>
        <v/>
      </c>
      <c r="D38" s="77"/>
      <c r="E38" s="78"/>
      <c r="F38" s="133"/>
      <c r="G38" s="38"/>
      <c r="H38" s="39"/>
      <c r="I38" s="40"/>
      <c r="J38" s="41"/>
      <c r="K38" s="42"/>
      <c r="L38" s="43"/>
      <c r="M38" s="79"/>
      <c r="N38" s="80"/>
      <c r="O38" s="81"/>
      <c r="P38" s="82"/>
      <c r="Q38" s="83"/>
      <c r="R38" s="84"/>
      <c r="S38" s="79"/>
      <c r="T38" s="80"/>
      <c r="U38" s="81"/>
      <c r="V38" s="82"/>
      <c r="W38" s="83"/>
      <c r="X38" s="84"/>
      <c r="Y38" s="84"/>
      <c r="Z38" s="84"/>
      <c r="AA38" s="84"/>
      <c r="AB38" s="84"/>
      <c r="AC38" s="84"/>
      <c r="AD38" s="84"/>
      <c r="AE38" s="85"/>
      <c r="AF38" s="86"/>
      <c r="AG38" s="87"/>
      <c r="AH38" s="88"/>
    </row>
    <row r="39" spans="1:34" s="2" customFormat="1" x14ac:dyDescent="0.25">
      <c r="A39" s="155" t="str">
        <f t="shared" si="2"/>
        <v/>
      </c>
      <c r="B39" s="155" t="str">
        <f t="shared" si="1"/>
        <v/>
      </c>
      <c r="D39" s="77"/>
      <c r="E39" s="78"/>
      <c r="F39" s="133"/>
      <c r="G39" s="38"/>
      <c r="H39" s="39"/>
      <c r="I39" s="40"/>
      <c r="J39" s="41"/>
      <c r="K39" s="42"/>
      <c r="L39" s="43"/>
      <c r="M39" s="79"/>
      <c r="N39" s="80"/>
      <c r="O39" s="81"/>
      <c r="P39" s="82"/>
      <c r="Q39" s="83"/>
      <c r="R39" s="84"/>
      <c r="S39" s="79"/>
      <c r="T39" s="80"/>
      <c r="U39" s="81"/>
      <c r="V39" s="82"/>
      <c r="W39" s="83"/>
      <c r="X39" s="84"/>
      <c r="Y39" s="84"/>
      <c r="Z39" s="84"/>
      <c r="AA39" s="84"/>
      <c r="AB39" s="84"/>
      <c r="AC39" s="84"/>
      <c r="AD39" s="84"/>
      <c r="AE39" s="85"/>
      <c r="AF39" s="86"/>
      <c r="AG39" s="87"/>
      <c r="AH39" s="88"/>
    </row>
    <row r="40" spans="1:34" s="2" customFormat="1" x14ac:dyDescent="0.25">
      <c r="A40" s="155" t="str">
        <f t="shared" si="2"/>
        <v/>
      </c>
      <c r="B40" s="155" t="str">
        <f t="shared" si="1"/>
        <v/>
      </c>
      <c r="D40" s="77"/>
      <c r="E40" s="78"/>
      <c r="F40" s="133"/>
      <c r="G40" s="38"/>
      <c r="H40" s="39"/>
      <c r="I40" s="40"/>
      <c r="J40" s="41"/>
      <c r="K40" s="42"/>
      <c r="L40" s="43"/>
      <c r="M40" s="79"/>
      <c r="N40" s="80"/>
      <c r="O40" s="81"/>
      <c r="P40" s="82"/>
      <c r="Q40" s="83"/>
      <c r="R40" s="84"/>
      <c r="S40" s="79"/>
      <c r="T40" s="80"/>
      <c r="U40" s="81"/>
      <c r="V40" s="82"/>
      <c r="W40" s="83"/>
      <c r="X40" s="84"/>
      <c r="Y40" s="84"/>
      <c r="Z40" s="84"/>
      <c r="AA40" s="84"/>
      <c r="AB40" s="84"/>
      <c r="AC40" s="84"/>
      <c r="AD40" s="84"/>
      <c r="AE40" s="85"/>
      <c r="AF40" s="86"/>
      <c r="AG40" s="87"/>
      <c r="AH40" s="88"/>
    </row>
    <row r="41" spans="1:34" s="2" customFormat="1" x14ac:dyDescent="0.25">
      <c r="A41" s="155" t="str">
        <f t="shared" si="2"/>
        <v/>
      </c>
      <c r="B41" s="155" t="str">
        <f t="shared" si="1"/>
        <v/>
      </c>
      <c r="D41" s="77"/>
      <c r="E41" s="78"/>
      <c r="F41" s="133"/>
      <c r="G41" s="38"/>
      <c r="H41" s="39"/>
      <c r="I41" s="40"/>
      <c r="J41" s="41"/>
      <c r="K41" s="42"/>
      <c r="L41" s="43"/>
      <c r="M41" s="79"/>
      <c r="N41" s="80"/>
      <c r="O41" s="81"/>
      <c r="P41" s="82"/>
      <c r="Q41" s="83"/>
      <c r="R41" s="84"/>
      <c r="S41" s="79"/>
      <c r="T41" s="80"/>
      <c r="U41" s="81"/>
      <c r="V41" s="82"/>
      <c r="W41" s="83"/>
      <c r="X41" s="84"/>
      <c r="Y41" s="84"/>
      <c r="Z41" s="84"/>
      <c r="AA41" s="84"/>
      <c r="AB41" s="84"/>
      <c r="AC41" s="84"/>
      <c r="AD41" s="84"/>
      <c r="AE41" s="85"/>
      <c r="AF41" s="86"/>
      <c r="AG41" s="87"/>
      <c r="AH41" s="88"/>
    </row>
    <row r="42" spans="1:34" s="2" customFormat="1" x14ac:dyDescent="0.25">
      <c r="A42" s="155" t="str">
        <f t="shared" si="2"/>
        <v/>
      </c>
      <c r="B42" s="155" t="str">
        <f t="shared" si="1"/>
        <v/>
      </c>
      <c r="D42" s="77"/>
      <c r="E42" s="78"/>
      <c r="F42" s="133"/>
      <c r="G42" s="38"/>
      <c r="H42" s="39"/>
      <c r="I42" s="40"/>
      <c r="J42" s="41"/>
      <c r="K42" s="42"/>
      <c r="L42" s="43"/>
      <c r="M42" s="79"/>
      <c r="N42" s="80"/>
      <c r="O42" s="81"/>
      <c r="P42" s="82"/>
      <c r="Q42" s="83"/>
      <c r="R42" s="84"/>
      <c r="S42" s="79"/>
      <c r="T42" s="80"/>
      <c r="U42" s="81"/>
      <c r="V42" s="82"/>
      <c r="W42" s="83"/>
      <c r="X42" s="84"/>
      <c r="Y42" s="84"/>
      <c r="Z42" s="84"/>
      <c r="AA42" s="84"/>
      <c r="AB42" s="84"/>
      <c r="AC42" s="84"/>
      <c r="AD42" s="84"/>
      <c r="AE42" s="85"/>
      <c r="AF42" s="86"/>
      <c r="AG42" s="87"/>
      <c r="AH42" s="88"/>
    </row>
    <row r="43" spans="1:34" s="2" customFormat="1" x14ac:dyDescent="0.25">
      <c r="A43" s="155" t="str">
        <f t="shared" si="2"/>
        <v/>
      </c>
      <c r="B43" s="155" t="str">
        <f t="shared" si="1"/>
        <v/>
      </c>
      <c r="D43" s="77"/>
      <c r="E43" s="78"/>
      <c r="F43" s="133"/>
      <c r="G43" s="38"/>
      <c r="H43" s="39"/>
      <c r="I43" s="40"/>
      <c r="J43" s="41"/>
      <c r="K43" s="42"/>
      <c r="L43" s="43"/>
      <c r="M43" s="79"/>
      <c r="N43" s="80"/>
      <c r="O43" s="81"/>
      <c r="P43" s="82"/>
      <c r="Q43" s="83"/>
      <c r="R43" s="84"/>
      <c r="S43" s="79"/>
      <c r="T43" s="80"/>
      <c r="U43" s="81"/>
      <c r="V43" s="82"/>
      <c r="W43" s="83"/>
      <c r="X43" s="84"/>
      <c r="Y43" s="84"/>
      <c r="Z43" s="84"/>
      <c r="AA43" s="84"/>
      <c r="AB43" s="84"/>
      <c r="AC43" s="84"/>
      <c r="AD43" s="84"/>
      <c r="AE43" s="85"/>
      <c r="AF43" s="86"/>
      <c r="AG43" s="87"/>
      <c r="AH43" s="88"/>
    </row>
    <row r="44" spans="1:34" s="2" customFormat="1" x14ac:dyDescent="0.25">
      <c r="A44" s="155" t="str">
        <f t="shared" si="2"/>
        <v/>
      </c>
      <c r="B44" s="155" t="str">
        <f t="shared" si="1"/>
        <v/>
      </c>
      <c r="D44" s="77"/>
      <c r="E44" s="78"/>
      <c r="F44" s="133"/>
      <c r="G44" s="38"/>
      <c r="H44" s="39"/>
      <c r="I44" s="40"/>
      <c r="J44" s="41"/>
      <c r="K44" s="42"/>
      <c r="L44" s="43"/>
      <c r="M44" s="79"/>
      <c r="N44" s="80"/>
      <c r="O44" s="81"/>
      <c r="P44" s="82"/>
      <c r="Q44" s="83"/>
      <c r="R44" s="84"/>
      <c r="S44" s="79"/>
      <c r="T44" s="80"/>
      <c r="U44" s="81"/>
      <c r="V44" s="82"/>
      <c r="W44" s="83"/>
      <c r="X44" s="84"/>
      <c r="Y44" s="84"/>
      <c r="Z44" s="84"/>
      <c r="AA44" s="84"/>
      <c r="AB44" s="84"/>
      <c r="AC44" s="84"/>
      <c r="AD44" s="84"/>
      <c r="AE44" s="85"/>
      <c r="AF44" s="86"/>
      <c r="AG44" s="87"/>
      <c r="AH44" s="88"/>
    </row>
    <row r="45" spans="1:34" s="2" customFormat="1" x14ac:dyDescent="0.25">
      <c r="A45" s="155" t="str">
        <f t="shared" si="2"/>
        <v/>
      </c>
      <c r="B45" s="155" t="str">
        <f t="shared" si="1"/>
        <v/>
      </c>
      <c r="D45" s="77"/>
      <c r="E45" s="78"/>
      <c r="F45" s="133"/>
      <c r="G45" s="38"/>
      <c r="H45" s="39"/>
      <c r="I45" s="40"/>
      <c r="J45" s="41"/>
      <c r="K45" s="42"/>
      <c r="L45" s="43"/>
      <c r="M45" s="79"/>
      <c r="N45" s="80"/>
      <c r="O45" s="81"/>
      <c r="P45" s="82"/>
      <c r="Q45" s="83"/>
      <c r="R45" s="84"/>
      <c r="S45" s="79"/>
      <c r="T45" s="80"/>
      <c r="U45" s="81"/>
      <c r="V45" s="82"/>
      <c r="W45" s="83"/>
      <c r="X45" s="84"/>
      <c r="Y45" s="84"/>
      <c r="Z45" s="84"/>
      <c r="AA45" s="84"/>
      <c r="AB45" s="84"/>
      <c r="AC45" s="84"/>
      <c r="AD45" s="84"/>
      <c r="AE45" s="85"/>
      <c r="AF45" s="86"/>
      <c r="AG45" s="87"/>
      <c r="AH45" s="88"/>
    </row>
    <row r="46" spans="1:34" s="2" customFormat="1" x14ac:dyDescent="0.25">
      <c r="A46" s="155" t="str">
        <f t="shared" si="2"/>
        <v/>
      </c>
      <c r="B46" s="155" t="str">
        <f t="shared" si="1"/>
        <v/>
      </c>
      <c r="D46" s="77"/>
      <c r="E46" s="78"/>
      <c r="F46" s="133"/>
      <c r="G46" s="38"/>
      <c r="H46" s="39"/>
      <c r="I46" s="40"/>
      <c r="J46" s="41"/>
      <c r="K46" s="42"/>
      <c r="L46" s="43"/>
      <c r="M46" s="79"/>
      <c r="N46" s="80"/>
      <c r="O46" s="81"/>
      <c r="P46" s="82"/>
      <c r="Q46" s="83"/>
      <c r="R46" s="84"/>
      <c r="S46" s="79"/>
      <c r="T46" s="80"/>
      <c r="U46" s="81"/>
      <c r="V46" s="82"/>
      <c r="W46" s="83"/>
      <c r="X46" s="84"/>
      <c r="Y46" s="84"/>
      <c r="Z46" s="84"/>
      <c r="AA46" s="84"/>
      <c r="AB46" s="84"/>
      <c r="AC46" s="84"/>
      <c r="AD46" s="84"/>
      <c r="AE46" s="85"/>
      <c r="AF46" s="86"/>
      <c r="AG46" s="87"/>
      <c r="AH46" s="88"/>
    </row>
    <row r="47" spans="1:34" s="2" customFormat="1" x14ac:dyDescent="0.25">
      <c r="A47" s="155" t="str">
        <f t="shared" si="2"/>
        <v/>
      </c>
      <c r="B47" s="155" t="str">
        <f t="shared" si="1"/>
        <v/>
      </c>
      <c r="D47" s="77"/>
      <c r="E47" s="78"/>
      <c r="F47" s="133"/>
      <c r="G47" s="38"/>
      <c r="H47" s="39"/>
      <c r="I47" s="40"/>
      <c r="J47" s="41"/>
      <c r="K47" s="42"/>
      <c r="L47" s="43"/>
      <c r="M47" s="79"/>
      <c r="N47" s="80"/>
      <c r="O47" s="81"/>
      <c r="P47" s="82"/>
      <c r="Q47" s="83"/>
      <c r="R47" s="84"/>
      <c r="S47" s="79"/>
      <c r="T47" s="80"/>
      <c r="U47" s="81"/>
      <c r="V47" s="82"/>
      <c r="W47" s="83"/>
      <c r="X47" s="84"/>
      <c r="Y47" s="84"/>
      <c r="Z47" s="84"/>
      <c r="AA47" s="84"/>
      <c r="AB47" s="84"/>
      <c r="AC47" s="84"/>
      <c r="AD47" s="84"/>
      <c r="AE47" s="85"/>
      <c r="AF47" s="86"/>
      <c r="AG47" s="87"/>
      <c r="AH47" s="88"/>
    </row>
    <row r="48" spans="1:34" s="2" customFormat="1" x14ac:dyDescent="0.25">
      <c r="A48" s="155" t="str">
        <f t="shared" si="2"/>
        <v/>
      </c>
      <c r="B48" s="155" t="str">
        <f t="shared" si="1"/>
        <v/>
      </c>
      <c r="D48" s="77"/>
      <c r="E48" s="78"/>
      <c r="F48" s="133"/>
      <c r="G48" s="38"/>
      <c r="H48" s="39"/>
      <c r="I48" s="40"/>
      <c r="J48" s="41"/>
      <c r="K48" s="42"/>
      <c r="L48" s="43"/>
      <c r="M48" s="79"/>
      <c r="N48" s="80"/>
      <c r="O48" s="81"/>
      <c r="P48" s="82"/>
      <c r="Q48" s="83"/>
      <c r="R48" s="84"/>
      <c r="S48" s="79"/>
      <c r="T48" s="80"/>
      <c r="U48" s="81"/>
      <c r="V48" s="82"/>
      <c r="W48" s="83"/>
      <c r="X48" s="84"/>
      <c r="Y48" s="84"/>
      <c r="Z48" s="84"/>
      <c r="AA48" s="84"/>
      <c r="AB48" s="84"/>
      <c r="AC48" s="84"/>
      <c r="AD48" s="84"/>
      <c r="AE48" s="85"/>
      <c r="AF48" s="86"/>
      <c r="AG48" s="87"/>
      <c r="AH48" s="88"/>
    </row>
    <row r="49" spans="1:34" s="2" customFormat="1" x14ac:dyDescent="0.25">
      <c r="A49" s="155" t="str">
        <f t="shared" si="2"/>
        <v/>
      </c>
      <c r="B49" s="155" t="str">
        <f t="shared" si="1"/>
        <v/>
      </c>
      <c r="D49" s="77"/>
      <c r="E49" s="78"/>
      <c r="F49" s="133"/>
      <c r="G49" s="38"/>
      <c r="H49" s="39"/>
      <c r="I49" s="40"/>
      <c r="J49" s="41"/>
      <c r="K49" s="42"/>
      <c r="L49" s="43"/>
      <c r="M49" s="79"/>
      <c r="N49" s="80"/>
      <c r="O49" s="81"/>
      <c r="P49" s="82"/>
      <c r="Q49" s="83"/>
      <c r="R49" s="84"/>
      <c r="S49" s="79"/>
      <c r="T49" s="80"/>
      <c r="U49" s="81"/>
      <c r="V49" s="82"/>
      <c r="W49" s="83"/>
      <c r="X49" s="84"/>
      <c r="Y49" s="84"/>
      <c r="Z49" s="84"/>
      <c r="AA49" s="84"/>
      <c r="AB49" s="84"/>
      <c r="AC49" s="84"/>
      <c r="AD49" s="84"/>
      <c r="AE49" s="85"/>
      <c r="AF49" s="86"/>
      <c r="AG49" s="87"/>
      <c r="AH49" s="88"/>
    </row>
    <row r="50" spans="1:34" s="2" customFormat="1" x14ac:dyDescent="0.25">
      <c r="A50" s="155" t="str">
        <f t="shared" si="2"/>
        <v/>
      </c>
      <c r="B50" s="155" t="str">
        <f t="shared" si="1"/>
        <v/>
      </c>
      <c r="D50" s="77"/>
      <c r="E50" s="78"/>
      <c r="F50" s="133"/>
      <c r="G50" s="38"/>
      <c r="H50" s="39"/>
      <c r="I50" s="40"/>
      <c r="J50" s="41"/>
      <c r="K50" s="42"/>
      <c r="L50" s="43"/>
      <c r="M50" s="79"/>
      <c r="N50" s="80"/>
      <c r="O50" s="81"/>
      <c r="P50" s="82"/>
      <c r="Q50" s="83"/>
      <c r="R50" s="84"/>
      <c r="S50" s="79"/>
      <c r="T50" s="80"/>
      <c r="U50" s="81"/>
      <c r="V50" s="82"/>
      <c r="W50" s="83"/>
      <c r="X50" s="84"/>
      <c r="Y50" s="84"/>
      <c r="Z50" s="84"/>
      <c r="AA50" s="84"/>
      <c r="AB50" s="84"/>
      <c r="AC50" s="84"/>
      <c r="AD50" s="84"/>
      <c r="AE50" s="85"/>
      <c r="AF50" s="86"/>
      <c r="AG50" s="87"/>
      <c r="AH50" s="88"/>
    </row>
    <row r="51" spans="1:34" s="2" customFormat="1" x14ac:dyDescent="0.25">
      <c r="A51" s="155" t="str">
        <f t="shared" si="2"/>
        <v/>
      </c>
      <c r="B51" s="155" t="str">
        <f t="shared" si="1"/>
        <v/>
      </c>
      <c r="D51" s="77"/>
      <c r="E51" s="78"/>
      <c r="F51" s="133"/>
      <c r="G51" s="38"/>
      <c r="H51" s="39"/>
      <c r="I51" s="40"/>
      <c r="J51" s="41"/>
      <c r="K51" s="42"/>
      <c r="L51" s="43"/>
      <c r="M51" s="79"/>
      <c r="N51" s="80"/>
      <c r="O51" s="81"/>
      <c r="P51" s="82"/>
      <c r="Q51" s="83"/>
      <c r="R51" s="84"/>
      <c r="S51" s="79"/>
      <c r="T51" s="80"/>
      <c r="U51" s="81"/>
      <c r="V51" s="82"/>
      <c r="W51" s="83"/>
      <c r="X51" s="84"/>
      <c r="Y51" s="84"/>
      <c r="Z51" s="84"/>
      <c r="AA51" s="84"/>
      <c r="AB51" s="84"/>
      <c r="AC51" s="84"/>
      <c r="AD51" s="84"/>
      <c r="AE51" s="85"/>
      <c r="AF51" s="86"/>
      <c r="AG51" s="87"/>
      <c r="AH51" s="88"/>
    </row>
    <row r="52" spans="1:34" s="2" customFormat="1" x14ac:dyDescent="0.25">
      <c r="A52" s="155" t="str">
        <f t="shared" si="2"/>
        <v/>
      </c>
      <c r="B52" s="155" t="str">
        <f t="shared" si="1"/>
        <v/>
      </c>
      <c r="D52" s="77"/>
      <c r="E52" s="78"/>
      <c r="F52" s="133"/>
      <c r="G52" s="38"/>
      <c r="H52" s="39"/>
      <c r="I52" s="40"/>
      <c r="J52" s="41"/>
      <c r="K52" s="42"/>
      <c r="L52" s="43"/>
      <c r="M52" s="79"/>
      <c r="N52" s="80"/>
      <c r="O52" s="81"/>
      <c r="P52" s="82"/>
      <c r="Q52" s="83"/>
      <c r="R52" s="84"/>
      <c r="S52" s="79"/>
      <c r="T52" s="80"/>
      <c r="U52" s="81"/>
      <c r="V52" s="82"/>
      <c r="W52" s="83"/>
      <c r="X52" s="84"/>
      <c r="Y52" s="84"/>
      <c r="Z52" s="84"/>
      <c r="AA52" s="84"/>
      <c r="AB52" s="84"/>
      <c r="AC52" s="84"/>
      <c r="AD52" s="84"/>
      <c r="AE52" s="85"/>
      <c r="AF52" s="86"/>
      <c r="AG52" s="87"/>
      <c r="AH52" s="88"/>
    </row>
    <row r="53" spans="1:34" s="2" customFormat="1" x14ac:dyDescent="0.25">
      <c r="A53" s="155" t="str">
        <f t="shared" si="2"/>
        <v/>
      </c>
      <c r="B53" s="155" t="str">
        <f t="shared" si="1"/>
        <v/>
      </c>
      <c r="D53" s="77"/>
      <c r="E53" s="78"/>
      <c r="F53" s="133"/>
      <c r="G53" s="38"/>
      <c r="H53" s="39"/>
      <c r="I53" s="40"/>
      <c r="J53" s="41"/>
      <c r="K53" s="42"/>
      <c r="L53" s="43"/>
      <c r="M53" s="79"/>
      <c r="N53" s="80"/>
      <c r="O53" s="81"/>
      <c r="P53" s="82"/>
      <c r="Q53" s="83"/>
      <c r="R53" s="84"/>
      <c r="S53" s="79"/>
      <c r="T53" s="80"/>
      <c r="U53" s="81"/>
      <c r="V53" s="82"/>
      <c r="W53" s="83"/>
      <c r="X53" s="84"/>
      <c r="Y53" s="84"/>
      <c r="Z53" s="84"/>
      <c r="AA53" s="84"/>
      <c r="AB53" s="84"/>
      <c r="AC53" s="84"/>
      <c r="AD53" s="84"/>
      <c r="AE53" s="85"/>
      <c r="AF53" s="86"/>
      <c r="AG53" s="87"/>
      <c r="AH53" s="88"/>
    </row>
    <row r="54" spans="1:34" s="2" customFormat="1" x14ac:dyDescent="0.25">
      <c r="A54" s="155" t="str">
        <f t="shared" si="2"/>
        <v/>
      </c>
      <c r="B54" s="155" t="str">
        <f t="shared" si="1"/>
        <v/>
      </c>
      <c r="D54" s="77"/>
      <c r="E54" s="78"/>
      <c r="F54" s="133"/>
      <c r="G54" s="38"/>
      <c r="H54" s="39"/>
      <c r="I54" s="40"/>
      <c r="J54" s="41"/>
      <c r="K54" s="42"/>
      <c r="L54" s="43"/>
      <c r="M54" s="79"/>
      <c r="N54" s="80"/>
      <c r="O54" s="81"/>
      <c r="P54" s="82"/>
      <c r="Q54" s="83"/>
      <c r="R54" s="84"/>
      <c r="S54" s="79"/>
      <c r="T54" s="80"/>
      <c r="U54" s="81"/>
      <c r="V54" s="82"/>
      <c r="W54" s="83"/>
      <c r="X54" s="84"/>
      <c r="Y54" s="84"/>
      <c r="Z54" s="84"/>
      <c r="AA54" s="84"/>
      <c r="AB54" s="84"/>
      <c r="AC54" s="84"/>
      <c r="AD54" s="84"/>
      <c r="AE54" s="85"/>
      <c r="AF54" s="86"/>
      <c r="AG54" s="87"/>
      <c r="AH54" s="88"/>
    </row>
    <row r="55" spans="1:34" s="2" customFormat="1" x14ac:dyDescent="0.25">
      <c r="A55" s="155" t="str">
        <f t="shared" si="2"/>
        <v/>
      </c>
      <c r="B55" s="155" t="str">
        <f t="shared" si="1"/>
        <v/>
      </c>
      <c r="D55" s="77"/>
      <c r="E55" s="78"/>
      <c r="F55" s="133"/>
      <c r="G55" s="38"/>
      <c r="H55" s="39"/>
      <c r="I55" s="40"/>
      <c r="J55" s="41"/>
      <c r="K55" s="42"/>
      <c r="L55" s="43"/>
      <c r="M55" s="79"/>
      <c r="N55" s="80"/>
      <c r="O55" s="81"/>
      <c r="P55" s="82"/>
      <c r="Q55" s="83"/>
      <c r="R55" s="84"/>
      <c r="S55" s="79"/>
      <c r="T55" s="80"/>
      <c r="U55" s="81"/>
      <c r="V55" s="82"/>
      <c r="W55" s="83"/>
      <c r="X55" s="84"/>
      <c r="Y55" s="84"/>
      <c r="Z55" s="84"/>
      <c r="AA55" s="84"/>
      <c r="AB55" s="84"/>
      <c r="AC55" s="84"/>
      <c r="AD55" s="84"/>
      <c r="AE55" s="85"/>
      <c r="AF55" s="86"/>
      <c r="AG55" s="87"/>
      <c r="AH55" s="88"/>
    </row>
    <row r="56" spans="1:34" s="2" customFormat="1" x14ac:dyDescent="0.25">
      <c r="A56" s="155" t="str">
        <f t="shared" si="2"/>
        <v/>
      </c>
      <c r="B56" s="155" t="str">
        <f t="shared" si="1"/>
        <v/>
      </c>
      <c r="D56" s="77"/>
      <c r="E56" s="78"/>
      <c r="F56" s="133"/>
      <c r="G56" s="38"/>
      <c r="H56" s="39"/>
      <c r="I56" s="40"/>
      <c r="J56" s="41"/>
      <c r="K56" s="42"/>
      <c r="L56" s="43"/>
      <c r="M56" s="79"/>
      <c r="N56" s="80"/>
      <c r="O56" s="81"/>
      <c r="P56" s="82"/>
      <c r="Q56" s="83"/>
      <c r="R56" s="84"/>
      <c r="S56" s="79"/>
      <c r="T56" s="80"/>
      <c r="U56" s="81"/>
      <c r="V56" s="82"/>
      <c r="W56" s="83"/>
      <c r="X56" s="84"/>
      <c r="Y56" s="84"/>
      <c r="Z56" s="84"/>
      <c r="AA56" s="84"/>
      <c r="AB56" s="84"/>
      <c r="AC56" s="84"/>
      <c r="AD56" s="84"/>
      <c r="AE56" s="85"/>
      <c r="AF56" s="86"/>
      <c r="AG56" s="87"/>
      <c r="AH56" s="88"/>
    </row>
    <row r="57" spans="1:34" s="2" customFormat="1" x14ac:dyDescent="0.25">
      <c r="A57" s="155" t="str">
        <f t="shared" si="2"/>
        <v/>
      </c>
      <c r="B57" s="155" t="str">
        <f t="shared" si="1"/>
        <v/>
      </c>
      <c r="D57" s="77"/>
      <c r="E57" s="78"/>
      <c r="F57" s="133"/>
      <c r="G57" s="38"/>
      <c r="H57" s="39"/>
      <c r="I57" s="40"/>
      <c r="J57" s="41"/>
      <c r="K57" s="42"/>
      <c r="L57" s="43"/>
      <c r="M57" s="79"/>
      <c r="N57" s="80"/>
      <c r="O57" s="81"/>
      <c r="P57" s="82"/>
      <c r="Q57" s="83"/>
      <c r="R57" s="84"/>
      <c r="S57" s="79"/>
      <c r="T57" s="80"/>
      <c r="U57" s="81"/>
      <c r="V57" s="82"/>
      <c r="W57" s="83"/>
      <c r="X57" s="84"/>
      <c r="Y57" s="84"/>
      <c r="Z57" s="84"/>
      <c r="AA57" s="84"/>
      <c r="AB57" s="84"/>
      <c r="AC57" s="84"/>
      <c r="AD57" s="84"/>
      <c r="AE57" s="85"/>
      <c r="AF57" s="86"/>
      <c r="AG57" s="87"/>
      <c r="AH57" s="88"/>
    </row>
    <row r="58" spans="1:34" s="2" customFormat="1" x14ac:dyDescent="0.25">
      <c r="A58" s="155" t="str">
        <f t="shared" si="2"/>
        <v/>
      </c>
      <c r="B58" s="155" t="str">
        <f t="shared" si="1"/>
        <v/>
      </c>
      <c r="D58" s="77"/>
      <c r="E58" s="78"/>
      <c r="F58" s="133"/>
      <c r="G58" s="38"/>
      <c r="H58" s="39"/>
      <c r="I58" s="40"/>
      <c r="J58" s="41"/>
      <c r="K58" s="42"/>
      <c r="L58" s="43"/>
      <c r="M58" s="79"/>
      <c r="N58" s="80"/>
      <c r="O58" s="81"/>
      <c r="P58" s="82"/>
      <c r="Q58" s="83"/>
      <c r="R58" s="84"/>
      <c r="S58" s="79"/>
      <c r="T58" s="80"/>
      <c r="U58" s="81"/>
      <c r="V58" s="82"/>
      <c r="W58" s="83"/>
      <c r="X58" s="84"/>
      <c r="Y58" s="84"/>
      <c r="Z58" s="84"/>
      <c r="AA58" s="84"/>
      <c r="AB58" s="84"/>
      <c r="AC58" s="84"/>
      <c r="AD58" s="84"/>
      <c r="AE58" s="85"/>
      <c r="AF58" s="86"/>
      <c r="AG58" s="87"/>
      <c r="AH58" s="88"/>
    </row>
    <row r="59" spans="1:34" s="2" customFormat="1" x14ac:dyDescent="0.25">
      <c r="A59" s="155" t="str">
        <f t="shared" si="2"/>
        <v/>
      </c>
      <c r="B59" s="155" t="str">
        <f t="shared" si="1"/>
        <v/>
      </c>
      <c r="D59" s="77"/>
      <c r="E59" s="78"/>
      <c r="F59" s="133"/>
      <c r="G59" s="38"/>
      <c r="H59" s="39"/>
      <c r="I59" s="40"/>
      <c r="J59" s="41"/>
      <c r="K59" s="42"/>
      <c r="L59" s="43"/>
      <c r="M59" s="79"/>
      <c r="N59" s="80"/>
      <c r="O59" s="81"/>
      <c r="P59" s="82"/>
      <c r="Q59" s="83"/>
      <c r="R59" s="84"/>
      <c r="S59" s="79"/>
      <c r="T59" s="80"/>
      <c r="U59" s="81"/>
      <c r="V59" s="82"/>
      <c r="W59" s="83"/>
      <c r="X59" s="84"/>
      <c r="Y59" s="84"/>
      <c r="Z59" s="84"/>
      <c r="AA59" s="84"/>
      <c r="AB59" s="84"/>
      <c r="AC59" s="84"/>
      <c r="AD59" s="84"/>
      <c r="AE59" s="85"/>
      <c r="AF59" s="86"/>
      <c r="AG59" s="87"/>
      <c r="AH59" s="88"/>
    </row>
    <row r="60" spans="1:34" s="2" customFormat="1" x14ac:dyDescent="0.25">
      <c r="A60" s="155" t="str">
        <f t="shared" si="2"/>
        <v/>
      </c>
      <c r="B60" s="155" t="str">
        <f t="shared" si="1"/>
        <v/>
      </c>
      <c r="D60" s="77"/>
      <c r="E60" s="78"/>
      <c r="F60" s="133"/>
      <c r="G60" s="38"/>
      <c r="H60" s="39"/>
      <c r="I60" s="40"/>
      <c r="J60" s="41"/>
      <c r="K60" s="42"/>
      <c r="L60" s="43"/>
      <c r="M60" s="79"/>
      <c r="N60" s="80"/>
      <c r="O60" s="81"/>
      <c r="P60" s="82"/>
      <c r="Q60" s="83"/>
      <c r="R60" s="84"/>
      <c r="S60" s="79"/>
      <c r="T60" s="80"/>
      <c r="U60" s="81"/>
      <c r="V60" s="82"/>
      <c r="W60" s="83"/>
      <c r="X60" s="84"/>
      <c r="Y60" s="84"/>
      <c r="Z60" s="84"/>
      <c r="AA60" s="84"/>
      <c r="AB60" s="84"/>
      <c r="AC60" s="84"/>
      <c r="AD60" s="84"/>
      <c r="AE60" s="85"/>
      <c r="AF60" s="86"/>
      <c r="AG60" s="87"/>
      <c r="AH60" s="88"/>
    </row>
    <row r="61" spans="1:34" s="2" customFormat="1" x14ac:dyDescent="0.25">
      <c r="A61" s="155" t="str">
        <f t="shared" si="2"/>
        <v/>
      </c>
      <c r="B61" s="155" t="str">
        <f t="shared" si="1"/>
        <v/>
      </c>
      <c r="D61" s="77"/>
      <c r="E61" s="78"/>
      <c r="F61" s="133"/>
      <c r="G61" s="38"/>
      <c r="H61" s="39"/>
      <c r="I61" s="40"/>
      <c r="J61" s="41"/>
      <c r="K61" s="42"/>
      <c r="L61" s="43"/>
      <c r="M61" s="79"/>
      <c r="N61" s="80"/>
      <c r="O61" s="81"/>
      <c r="P61" s="82"/>
      <c r="Q61" s="83"/>
      <c r="R61" s="84"/>
      <c r="S61" s="79"/>
      <c r="T61" s="80"/>
      <c r="U61" s="81"/>
      <c r="V61" s="82"/>
      <c r="W61" s="83"/>
      <c r="X61" s="84"/>
      <c r="Y61" s="84"/>
      <c r="Z61" s="84"/>
      <c r="AA61" s="84"/>
      <c r="AB61" s="84"/>
      <c r="AC61" s="84"/>
      <c r="AD61" s="84"/>
      <c r="AE61" s="85"/>
      <c r="AF61" s="86"/>
      <c r="AG61" s="87"/>
      <c r="AH61" s="88"/>
    </row>
    <row r="62" spans="1:34" s="2" customFormat="1" x14ac:dyDescent="0.25">
      <c r="A62" s="155" t="str">
        <f t="shared" si="2"/>
        <v/>
      </c>
      <c r="B62" s="155" t="str">
        <f t="shared" si="1"/>
        <v/>
      </c>
      <c r="D62" s="77"/>
      <c r="E62" s="78"/>
      <c r="F62" s="133"/>
      <c r="G62" s="38"/>
      <c r="H62" s="39"/>
      <c r="I62" s="40"/>
      <c r="J62" s="41"/>
      <c r="K62" s="42"/>
      <c r="L62" s="43"/>
      <c r="M62" s="79"/>
      <c r="N62" s="80"/>
      <c r="O62" s="81"/>
      <c r="P62" s="82"/>
      <c r="Q62" s="83"/>
      <c r="R62" s="84"/>
      <c r="S62" s="79"/>
      <c r="T62" s="80"/>
      <c r="U62" s="81"/>
      <c r="V62" s="82"/>
      <c r="W62" s="83"/>
      <c r="X62" s="84"/>
      <c r="Y62" s="84"/>
      <c r="Z62" s="84"/>
      <c r="AA62" s="84"/>
      <c r="AB62" s="84"/>
      <c r="AC62" s="84"/>
      <c r="AD62" s="84"/>
      <c r="AE62" s="85"/>
      <c r="AF62" s="86"/>
      <c r="AG62" s="87"/>
      <c r="AH62" s="88"/>
    </row>
    <row r="63" spans="1:34" s="2" customFormat="1" x14ac:dyDescent="0.25">
      <c r="A63" s="155" t="str">
        <f t="shared" si="2"/>
        <v/>
      </c>
      <c r="B63" s="155" t="str">
        <f t="shared" si="1"/>
        <v/>
      </c>
      <c r="D63" s="77"/>
      <c r="E63" s="78"/>
      <c r="F63" s="133"/>
      <c r="G63" s="38"/>
      <c r="H63" s="39"/>
      <c r="I63" s="40"/>
      <c r="J63" s="41"/>
      <c r="K63" s="42"/>
      <c r="L63" s="43"/>
      <c r="M63" s="79"/>
      <c r="N63" s="80"/>
      <c r="O63" s="81"/>
      <c r="P63" s="82"/>
      <c r="Q63" s="83"/>
      <c r="R63" s="84"/>
      <c r="S63" s="79"/>
      <c r="T63" s="80"/>
      <c r="U63" s="81"/>
      <c r="V63" s="82"/>
      <c r="W63" s="83"/>
      <c r="X63" s="84"/>
      <c r="Y63" s="84"/>
      <c r="Z63" s="84"/>
      <c r="AA63" s="84"/>
      <c r="AB63" s="84"/>
      <c r="AC63" s="84"/>
      <c r="AD63" s="84"/>
      <c r="AE63" s="85"/>
      <c r="AF63" s="86"/>
      <c r="AG63" s="87"/>
      <c r="AH63" s="88"/>
    </row>
    <row r="64" spans="1:34" s="2" customFormat="1" x14ac:dyDescent="0.25">
      <c r="A64" s="155" t="str">
        <f t="shared" si="2"/>
        <v/>
      </c>
      <c r="B64" s="155" t="str">
        <f t="shared" si="1"/>
        <v/>
      </c>
      <c r="D64" s="77"/>
      <c r="E64" s="78"/>
      <c r="F64" s="133"/>
      <c r="G64" s="38"/>
      <c r="H64" s="39"/>
      <c r="I64" s="40"/>
      <c r="J64" s="41"/>
      <c r="K64" s="42"/>
      <c r="L64" s="43"/>
      <c r="M64" s="79"/>
      <c r="N64" s="80"/>
      <c r="O64" s="81"/>
      <c r="P64" s="82"/>
      <c r="Q64" s="83"/>
      <c r="R64" s="84"/>
      <c r="S64" s="79"/>
      <c r="T64" s="80"/>
      <c r="U64" s="81"/>
      <c r="V64" s="82"/>
      <c r="W64" s="83"/>
      <c r="X64" s="84"/>
      <c r="Y64" s="84"/>
      <c r="Z64" s="84"/>
      <c r="AA64" s="84"/>
      <c r="AB64" s="84"/>
      <c r="AC64" s="84"/>
      <c r="AD64" s="84"/>
      <c r="AE64" s="85"/>
      <c r="AF64" s="86"/>
      <c r="AG64" s="87"/>
      <c r="AH64" s="88"/>
    </row>
    <row r="65" spans="1:34" s="2" customFormat="1" x14ac:dyDescent="0.25">
      <c r="A65" s="155" t="str">
        <f t="shared" si="2"/>
        <v/>
      </c>
      <c r="B65" s="155" t="str">
        <f t="shared" si="1"/>
        <v/>
      </c>
      <c r="D65" s="77"/>
      <c r="E65" s="78"/>
      <c r="F65" s="133"/>
      <c r="G65" s="38"/>
      <c r="H65" s="39"/>
      <c r="I65" s="40"/>
      <c r="J65" s="41"/>
      <c r="K65" s="42"/>
      <c r="L65" s="43"/>
      <c r="M65" s="79"/>
      <c r="N65" s="80"/>
      <c r="O65" s="81"/>
      <c r="P65" s="82"/>
      <c r="Q65" s="83"/>
      <c r="R65" s="84"/>
      <c r="S65" s="79"/>
      <c r="T65" s="80"/>
      <c r="U65" s="81"/>
      <c r="V65" s="82"/>
      <c r="W65" s="83"/>
      <c r="X65" s="84"/>
      <c r="Y65" s="84"/>
      <c r="Z65" s="84"/>
      <c r="AA65" s="84"/>
      <c r="AB65" s="84"/>
      <c r="AC65" s="84"/>
      <c r="AD65" s="84"/>
      <c r="AE65" s="85"/>
      <c r="AF65" s="86"/>
      <c r="AG65" s="87"/>
      <c r="AH65" s="88"/>
    </row>
    <row r="66" spans="1:34" s="2" customFormat="1" x14ac:dyDescent="0.25">
      <c r="A66" s="155" t="str">
        <f t="shared" si="2"/>
        <v/>
      </c>
      <c r="B66" s="155" t="str">
        <f t="shared" si="1"/>
        <v/>
      </c>
      <c r="D66" s="77"/>
      <c r="E66" s="78"/>
      <c r="F66" s="133"/>
      <c r="G66" s="38"/>
      <c r="H66" s="39"/>
      <c r="I66" s="40"/>
      <c r="J66" s="41"/>
      <c r="K66" s="42"/>
      <c r="L66" s="43"/>
      <c r="M66" s="79"/>
      <c r="N66" s="80"/>
      <c r="O66" s="81"/>
      <c r="P66" s="82"/>
      <c r="Q66" s="83"/>
      <c r="R66" s="84"/>
      <c r="S66" s="79"/>
      <c r="T66" s="80"/>
      <c r="U66" s="81"/>
      <c r="V66" s="82"/>
      <c r="W66" s="83"/>
      <c r="X66" s="84"/>
      <c r="Y66" s="84"/>
      <c r="Z66" s="84"/>
      <c r="AA66" s="84"/>
      <c r="AB66" s="84"/>
      <c r="AC66" s="84"/>
      <c r="AD66" s="84"/>
      <c r="AE66" s="85"/>
      <c r="AF66" s="86"/>
      <c r="AG66" s="87"/>
      <c r="AH66" s="88"/>
    </row>
    <row r="67" spans="1:34" s="2" customFormat="1" x14ac:dyDescent="0.25">
      <c r="A67" s="155" t="str">
        <f t="shared" si="2"/>
        <v/>
      </c>
      <c r="B67" s="155" t="str">
        <f t="shared" si="1"/>
        <v/>
      </c>
      <c r="D67" s="77"/>
      <c r="E67" s="78"/>
      <c r="F67" s="133"/>
      <c r="G67" s="38"/>
      <c r="H67" s="39"/>
      <c r="I67" s="40"/>
      <c r="J67" s="41"/>
      <c r="K67" s="42"/>
      <c r="L67" s="43"/>
      <c r="M67" s="79"/>
      <c r="N67" s="80"/>
      <c r="O67" s="81"/>
      <c r="P67" s="82"/>
      <c r="Q67" s="83"/>
      <c r="R67" s="84"/>
      <c r="S67" s="79"/>
      <c r="T67" s="80"/>
      <c r="U67" s="81"/>
      <c r="V67" s="82"/>
      <c r="W67" s="83"/>
      <c r="X67" s="84"/>
      <c r="Y67" s="84"/>
      <c r="Z67" s="84"/>
      <c r="AA67" s="84"/>
      <c r="AB67" s="84"/>
      <c r="AC67" s="84"/>
      <c r="AD67" s="84"/>
      <c r="AE67" s="85"/>
      <c r="AF67" s="86"/>
      <c r="AG67" s="87"/>
      <c r="AH67" s="88"/>
    </row>
    <row r="68" spans="1:34" s="2" customFormat="1" x14ac:dyDescent="0.25">
      <c r="A68" s="155" t="str">
        <f t="shared" si="2"/>
        <v/>
      </c>
      <c r="B68" s="155" t="str">
        <f t="shared" si="1"/>
        <v/>
      </c>
      <c r="D68" s="77"/>
      <c r="E68" s="78"/>
      <c r="F68" s="133"/>
      <c r="G68" s="38"/>
      <c r="H68" s="39"/>
      <c r="I68" s="40"/>
      <c r="J68" s="41"/>
      <c r="K68" s="42"/>
      <c r="L68" s="43"/>
      <c r="M68" s="79"/>
      <c r="N68" s="80"/>
      <c r="O68" s="81"/>
      <c r="P68" s="82"/>
      <c r="Q68" s="83"/>
      <c r="R68" s="84"/>
      <c r="S68" s="79"/>
      <c r="T68" s="80"/>
      <c r="U68" s="81"/>
      <c r="V68" s="82"/>
      <c r="W68" s="83"/>
      <c r="X68" s="84"/>
      <c r="Y68" s="84"/>
      <c r="Z68" s="84"/>
      <c r="AA68" s="84"/>
      <c r="AB68" s="84"/>
      <c r="AC68" s="84"/>
      <c r="AD68" s="84"/>
      <c r="AE68" s="85"/>
      <c r="AF68" s="86"/>
      <c r="AG68" s="87"/>
      <c r="AH68" s="88"/>
    </row>
    <row r="69" spans="1:34" s="2" customFormat="1" x14ac:dyDescent="0.25">
      <c r="A69" s="155" t="str">
        <f t="shared" si="2"/>
        <v/>
      </c>
      <c r="B69" s="155" t="str">
        <f t="shared" ref="B69:B132" si="3">IF(A69="","",COUNTA(G69:L69)-A69)</f>
        <v/>
      </c>
      <c r="D69" s="77"/>
      <c r="E69" s="78"/>
      <c r="F69" s="133"/>
      <c r="G69" s="38"/>
      <c r="H69" s="39"/>
      <c r="I69" s="40"/>
      <c r="J69" s="41"/>
      <c r="K69" s="42"/>
      <c r="L69" s="43"/>
      <c r="M69" s="79"/>
      <c r="N69" s="80"/>
      <c r="O69" s="81"/>
      <c r="P69" s="82"/>
      <c r="Q69" s="83"/>
      <c r="R69" s="84"/>
      <c r="S69" s="79"/>
      <c r="T69" s="80"/>
      <c r="U69" s="81"/>
      <c r="V69" s="82"/>
      <c r="W69" s="83"/>
      <c r="X69" s="84"/>
      <c r="Y69" s="84"/>
      <c r="Z69" s="84"/>
      <c r="AA69" s="84"/>
      <c r="AB69" s="84"/>
      <c r="AC69" s="84"/>
      <c r="AD69" s="84"/>
      <c r="AE69" s="85"/>
      <c r="AF69" s="86"/>
      <c r="AG69" s="87"/>
      <c r="AH69" s="88"/>
    </row>
    <row r="70" spans="1:34" s="2" customFormat="1" x14ac:dyDescent="0.25">
      <c r="A70" s="155" t="str">
        <f t="shared" si="2"/>
        <v/>
      </c>
      <c r="B70" s="155" t="str">
        <f t="shared" si="3"/>
        <v/>
      </c>
      <c r="D70" s="77"/>
      <c r="E70" s="78"/>
      <c r="F70" s="133"/>
      <c r="G70" s="38"/>
      <c r="H70" s="39"/>
      <c r="I70" s="40"/>
      <c r="J70" s="41"/>
      <c r="K70" s="42"/>
      <c r="L70" s="43"/>
      <c r="M70" s="79"/>
      <c r="N70" s="80"/>
      <c r="O70" s="81"/>
      <c r="P70" s="82"/>
      <c r="Q70" s="83"/>
      <c r="R70" s="84"/>
      <c r="S70" s="79"/>
      <c r="T70" s="80"/>
      <c r="U70" s="81"/>
      <c r="V70" s="82"/>
      <c r="W70" s="83"/>
      <c r="X70" s="84"/>
      <c r="Y70" s="84"/>
      <c r="Z70" s="84"/>
      <c r="AA70" s="84"/>
      <c r="AB70" s="84"/>
      <c r="AC70" s="84"/>
      <c r="AD70" s="84"/>
      <c r="AE70" s="85"/>
      <c r="AF70" s="86"/>
      <c r="AG70" s="87"/>
      <c r="AH70" s="88"/>
    </row>
    <row r="71" spans="1:34" s="2" customFormat="1" x14ac:dyDescent="0.25">
      <c r="A71" s="155" t="str">
        <f t="shared" ref="A71:A134" si="4">IF(COUNTIF(S71:X71,"&gt;0")=0,"",COUNTIF(S71:X71,"&gt;0"))</f>
        <v/>
      </c>
      <c r="B71" s="155" t="str">
        <f t="shared" si="3"/>
        <v/>
      </c>
      <c r="D71" s="77"/>
      <c r="E71" s="78"/>
      <c r="F71" s="133"/>
      <c r="G71" s="38"/>
      <c r="H71" s="39"/>
      <c r="I71" s="40"/>
      <c r="J71" s="41"/>
      <c r="K71" s="42"/>
      <c r="L71" s="43"/>
      <c r="M71" s="79"/>
      <c r="N71" s="80"/>
      <c r="O71" s="81"/>
      <c r="P71" s="82"/>
      <c r="Q71" s="83"/>
      <c r="R71" s="84"/>
      <c r="S71" s="79"/>
      <c r="T71" s="80"/>
      <c r="U71" s="81"/>
      <c r="V71" s="82"/>
      <c r="W71" s="83"/>
      <c r="X71" s="84"/>
      <c r="Y71" s="84"/>
      <c r="Z71" s="84"/>
      <c r="AA71" s="84"/>
      <c r="AB71" s="84"/>
      <c r="AC71" s="84"/>
      <c r="AD71" s="84"/>
      <c r="AE71" s="85"/>
      <c r="AF71" s="86"/>
      <c r="AG71" s="87"/>
      <c r="AH71" s="88"/>
    </row>
    <row r="72" spans="1:34" s="2" customFormat="1" x14ac:dyDescent="0.25">
      <c r="A72" s="155" t="str">
        <f t="shared" si="4"/>
        <v/>
      </c>
      <c r="B72" s="155" t="str">
        <f t="shared" si="3"/>
        <v/>
      </c>
      <c r="D72" s="77"/>
      <c r="E72" s="78"/>
      <c r="F72" s="133"/>
      <c r="G72" s="38"/>
      <c r="H72" s="39"/>
      <c r="I72" s="40"/>
      <c r="J72" s="41"/>
      <c r="K72" s="42"/>
      <c r="L72" s="43"/>
      <c r="M72" s="79"/>
      <c r="N72" s="80"/>
      <c r="O72" s="81"/>
      <c r="P72" s="82"/>
      <c r="Q72" s="83"/>
      <c r="R72" s="84"/>
      <c r="S72" s="79"/>
      <c r="T72" s="80"/>
      <c r="U72" s="81"/>
      <c r="V72" s="82"/>
      <c r="W72" s="83"/>
      <c r="X72" s="84"/>
      <c r="Y72" s="84"/>
      <c r="Z72" s="84"/>
      <c r="AA72" s="84"/>
      <c r="AB72" s="84"/>
      <c r="AC72" s="84"/>
      <c r="AD72" s="84"/>
      <c r="AE72" s="85"/>
      <c r="AF72" s="86"/>
      <c r="AG72" s="87"/>
      <c r="AH72" s="88"/>
    </row>
    <row r="73" spans="1:34" s="2" customFormat="1" x14ac:dyDescent="0.25">
      <c r="A73" s="155" t="str">
        <f t="shared" si="4"/>
        <v/>
      </c>
      <c r="B73" s="155" t="str">
        <f t="shared" si="3"/>
        <v/>
      </c>
      <c r="D73" s="77"/>
      <c r="E73" s="78"/>
      <c r="F73" s="133"/>
      <c r="G73" s="38"/>
      <c r="H73" s="39"/>
      <c r="I73" s="40"/>
      <c r="J73" s="41"/>
      <c r="K73" s="42"/>
      <c r="L73" s="43"/>
      <c r="M73" s="79"/>
      <c r="N73" s="80"/>
      <c r="O73" s="81"/>
      <c r="P73" s="82"/>
      <c r="Q73" s="83"/>
      <c r="R73" s="84"/>
      <c r="S73" s="79"/>
      <c r="T73" s="80"/>
      <c r="U73" s="81"/>
      <c r="V73" s="82"/>
      <c r="W73" s="83"/>
      <c r="X73" s="84"/>
      <c r="Y73" s="84"/>
      <c r="Z73" s="84"/>
      <c r="AA73" s="84"/>
      <c r="AB73" s="84"/>
      <c r="AC73" s="84"/>
      <c r="AD73" s="84"/>
      <c r="AE73" s="85"/>
      <c r="AF73" s="86"/>
      <c r="AG73" s="87"/>
      <c r="AH73" s="88"/>
    </row>
    <row r="74" spans="1:34" s="2" customFormat="1" x14ac:dyDescent="0.25">
      <c r="A74" s="155" t="str">
        <f t="shared" si="4"/>
        <v/>
      </c>
      <c r="B74" s="155" t="str">
        <f t="shared" si="3"/>
        <v/>
      </c>
      <c r="D74" s="77"/>
      <c r="E74" s="78"/>
      <c r="F74" s="133"/>
      <c r="G74" s="38"/>
      <c r="H74" s="39"/>
      <c r="I74" s="40"/>
      <c r="J74" s="41"/>
      <c r="K74" s="42"/>
      <c r="L74" s="43"/>
      <c r="M74" s="79"/>
      <c r="N74" s="80"/>
      <c r="O74" s="81"/>
      <c r="P74" s="82"/>
      <c r="Q74" s="83"/>
      <c r="R74" s="84"/>
      <c r="S74" s="79"/>
      <c r="T74" s="80"/>
      <c r="U74" s="81"/>
      <c r="V74" s="82"/>
      <c r="W74" s="83"/>
      <c r="X74" s="84"/>
      <c r="Y74" s="84"/>
      <c r="Z74" s="84"/>
      <c r="AA74" s="84"/>
      <c r="AB74" s="84"/>
      <c r="AC74" s="84"/>
      <c r="AD74" s="84"/>
      <c r="AE74" s="85"/>
      <c r="AF74" s="86"/>
      <c r="AG74" s="87"/>
      <c r="AH74" s="88"/>
    </row>
    <row r="75" spans="1:34" s="2" customFormat="1" x14ac:dyDescent="0.25">
      <c r="A75" s="155" t="str">
        <f t="shared" si="4"/>
        <v/>
      </c>
      <c r="B75" s="155" t="str">
        <f t="shared" si="3"/>
        <v/>
      </c>
      <c r="D75" s="77"/>
      <c r="E75" s="78"/>
      <c r="F75" s="133"/>
      <c r="G75" s="38"/>
      <c r="H75" s="39"/>
      <c r="I75" s="40"/>
      <c r="J75" s="41"/>
      <c r="K75" s="42"/>
      <c r="L75" s="43"/>
      <c r="M75" s="79"/>
      <c r="N75" s="80"/>
      <c r="O75" s="81"/>
      <c r="P75" s="82"/>
      <c r="Q75" s="83"/>
      <c r="R75" s="84"/>
      <c r="S75" s="79"/>
      <c r="T75" s="80"/>
      <c r="U75" s="81"/>
      <c r="V75" s="82"/>
      <c r="W75" s="83"/>
      <c r="X75" s="84"/>
      <c r="Y75" s="84"/>
      <c r="Z75" s="84"/>
      <c r="AA75" s="84"/>
      <c r="AB75" s="84"/>
      <c r="AC75" s="84"/>
      <c r="AD75" s="84"/>
      <c r="AE75" s="85"/>
      <c r="AF75" s="86"/>
      <c r="AG75" s="87"/>
      <c r="AH75" s="88"/>
    </row>
    <row r="76" spans="1:34" s="2" customFormat="1" x14ac:dyDescent="0.25">
      <c r="A76" s="155" t="str">
        <f t="shared" si="4"/>
        <v/>
      </c>
      <c r="B76" s="155" t="str">
        <f t="shared" si="3"/>
        <v/>
      </c>
      <c r="D76" s="77"/>
      <c r="E76" s="78"/>
      <c r="F76" s="133"/>
      <c r="G76" s="38"/>
      <c r="H76" s="39"/>
      <c r="I76" s="40"/>
      <c r="J76" s="41"/>
      <c r="K76" s="42"/>
      <c r="L76" s="43"/>
      <c r="M76" s="79"/>
      <c r="N76" s="80"/>
      <c r="O76" s="81"/>
      <c r="P76" s="82"/>
      <c r="Q76" s="83"/>
      <c r="R76" s="84"/>
      <c r="S76" s="79"/>
      <c r="T76" s="80"/>
      <c r="U76" s="81"/>
      <c r="V76" s="82"/>
      <c r="W76" s="83"/>
      <c r="X76" s="84"/>
      <c r="Y76" s="84"/>
      <c r="Z76" s="84"/>
      <c r="AA76" s="84"/>
      <c r="AB76" s="84"/>
      <c r="AC76" s="84"/>
      <c r="AD76" s="84"/>
      <c r="AE76" s="85"/>
      <c r="AF76" s="86"/>
      <c r="AG76" s="87"/>
      <c r="AH76" s="88"/>
    </row>
    <row r="77" spans="1:34" s="2" customFormat="1" x14ac:dyDescent="0.25">
      <c r="A77" s="155" t="str">
        <f t="shared" si="4"/>
        <v/>
      </c>
      <c r="B77" s="155" t="str">
        <f t="shared" si="3"/>
        <v/>
      </c>
      <c r="D77" s="77"/>
      <c r="E77" s="78"/>
      <c r="F77" s="133"/>
      <c r="G77" s="38"/>
      <c r="H77" s="39"/>
      <c r="I77" s="40"/>
      <c r="J77" s="41"/>
      <c r="K77" s="42"/>
      <c r="L77" s="43"/>
      <c r="M77" s="79"/>
      <c r="N77" s="80"/>
      <c r="O77" s="81"/>
      <c r="P77" s="82"/>
      <c r="Q77" s="83"/>
      <c r="R77" s="84"/>
      <c r="S77" s="79"/>
      <c r="T77" s="80"/>
      <c r="U77" s="81"/>
      <c r="V77" s="82"/>
      <c r="W77" s="83"/>
      <c r="X77" s="84"/>
      <c r="Y77" s="84"/>
      <c r="Z77" s="84"/>
      <c r="AA77" s="84"/>
      <c r="AB77" s="84"/>
      <c r="AC77" s="84"/>
      <c r="AD77" s="84"/>
      <c r="AE77" s="85"/>
      <c r="AF77" s="86"/>
      <c r="AG77" s="87"/>
      <c r="AH77" s="88"/>
    </row>
    <row r="78" spans="1:34" s="2" customFormat="1" x14ac:dyDescent="0.25">
      <c r="A78" s="155" t="str">
        <f t="shared" si="4"/>
        <v/>
      </c>
      <c r="B78" s="155" t="str">
        <f t="shared" si="3"/>
        <v/>
      </c>
      <c r="D78" s="77"/>
      <c r="E78" s="78"/>
      <c r="F78" s="133"/>
      <c r="G78" s="38"/>
      <c r="H78" s="39"/>
      <c r="I78" s="40"/>
      <c r="J78" s="41"/>
      <c r="K78" s="42"/>
      <c r="L78" s="43"/>
      <c r="M78" s="79"/>
      <c r="N78" s="80"/>
      <c r="O78" s="81"/>
      <c r="P78" s="82"/>
      <c r="Q78" s="83"/>
      <c r="R78" s="84"/>
      <c r="S78" s="79"/>
      <c r="T78" s="80"/>
      <c r="U78" s="81"/>
      <c r="V78" s="82"/>
      <c r="W78" s="83"/>
      <c r="X78" s="84"/>
      <c r="Y78" s="84"/>
      <c r="Z78" s="84"/>
      <c r="AA78" s="84"/>
      <c r="AB78" s="84"/>
      <c r="AC78" s="84"/>
      <c r="AD78" s="84"/>
      <c r="AE78" s="85"/>
      <c r="AF78" s="86"/>
      <c r="AG78" s="87"/>
      <c r="AH78" s="88"/>
    </row>
    <row r="79" spans="1:34" s="2" customFormat="1" x14ac:dyDescent="0.25">
      <c r="A79" s="155" t="str">
        <f t="shared" si="4"/>
        <v/>
      </c>
      <c r="B79" s="155" t="str">
        <f t="shared" si="3"/>
        <v/>
      </c>
      <c r="D79" s="77"/>
      <c r="E79" s="78"/>
      <c r="F79" s="133"/>
      <c r="G79" s="38"/>
      <c r="H79" s="39"/>
      <c r="I79" s="40"/>
      <c r="J79" s="41"/>
      <c r="K79" s="42"/>
      <c r="L79" s="43"/>
      <c r="M79" s="79"/>
      <c r="N79" s="80"/>
      <c r="O79" s="81"/>
      <c r="P79" s="82"/>
      <c r="Q79" s="83"/>
      <c r="R79" s="84"/>
      <c r="S79" s="79"/>
      <c r="T79" s="80"/>
      <c r="U79" s="81"/>
      <c r="V79" s="82"/>
      <c r="W79" s="83"/>
      <c r="X79" s="84"/>
      <c r="Y79" s="84"/>
      <c r="Z79" s="84"/>
      <c r="AA79" s="84"/>
      <c r="AB79" s="84"/>
      <c r="AC79" s="84"/>
      <c r="AD79" s="84"/>
      <c r="AE79" s="85"/>
      <c r="AF79" s="86"/>
      <c r="AG79" s="87"/>
      <c r="AH79" s="88"/>
    </row>
    <row r="80" spans="1:34" s="2" customFormat="1" x14ac:dyDescent="0.25">
      <c r="A80" s="155" t="str">
        <f t="shared" si="4"/>
        <v/>
      </c>
      <c r="B80" s="155" t="str">
        <f t="shared" si="3"/>
        <v/>
      </c>
      <c r="D80" s="77"/>
      <c r="E80" s="78"/>
      <c r="F80" s="133"/>
      <c r="G80" s="38"/>
      <c r="H80" s="39"/>
      <c r="I80" s="40"/>
      <c r="J80" s="41"/>
      <c r="K80" s="42"/>
      <c r="L80" s="43"/>
      <c r="M80" s="79"/>
      <c r="N80" s="80"/>
      <c r="O80" s="81"/>
      <c r="P80" s="82"/>
      <c r="Q80" s="83"/>
      <c r="R80" s="84"/>
      <c r="S80" s="79"/>
      <c r="T80" s="80"/>
      <c r="U80" s="81"/>
      <c r="V80" s="82"/>
      <c r="W80" s="83"/>
      <c r="X80" s="84"/>
      <c r="Y80" s="84"/>
      <c r="Z80" s="84"/>
      <c r="AA80" s="84"/>
      <c r="AB80" s="84"/>
      <c r="AC80" s="84"/>
      <c r="AD80" s="84"/>
      <c r="AE80" s="85"/>
      <c r="AF80" s="86"/>
      <c r="AG80" s="87"/>
      <c r="AH80" s="88"/>
    </row>
    <row r="81" spans="1:34" s="2" customFormat="1" x14ac:dyDescent="0.25">
      <c r="A81" s="155" t="str">
        <f t="shared" si="4"/>
        <v/>
      </c>
      <c r="B81" s="155" t="str">
        <f t="shared" si="3"/>
        <v/>
      </c>
      <c r="D81" s="77"/>
      <c r="E81" s="78"/>
      <c r="F81" s="133"/>
      <c r="G81" s="38"/>
      <c r="H81" s="39"/>
      <c r="I81" s="40"/>
      <c r="J81" s="41"/>
      <c r="K81" s="42"/>
      <c r="L81" s="43"/>
      <c r="M81" s="79"/>
      <c r="N81" s="80"/>
      <c r="O81" s="81"/>
      <c r="P81" s="82"/>
      <c r="Q81" s="83"/>
      <c r="R81" s="84"/>
      <c r="S81" s="79"/>
      <c r="T81" s="80"/>
      <c r="U81" s="81"/>
      <c r="V81" s="82"/>
      <c r="W81" s="83"/>
      <c r="X81" s="84"/>
      <c r="Y81" s="84"/>
      <c r="Z81" s="84"/>
      <c r="AA81" s="84"/>
      <c r="AB81" s="84"/>
      <c r="AC81" s="84"/>
      <c r="AD81" s="84"/>
      <c r="AE81" s="85"/>
      <c r="AF81" s="86"/>
      <c r="AG81" s="87"/>
      <c r="AH81" s="88"/>
    </row>
    <row r="82" spans="1:34" s="2" customFormat="1" x14ac:dyDescent="0.25">
      <c r="A82" s="155" t="str">
        <f t="shared" si="4"/>
        <v/>
      </c>
      <c r="B82" s="155" t="str">
        <f t="shared" si="3"/>
        <v/>
      </c>
      <c r="D82" s="77"/>
      <c r="E82" s="78"/>
      <c r="F82" s="133"/>
      <c r="G82" s="38"/>
      <c r="H82" s="39"/>
      <c r="I82" s="40"/>
      <c r="J82" s="41"/>
      <c r="K82" s="42"/>
      <c r="L82" s="43"/>
      <c r="M82" s="79"/>
      <c r="N82" s="80"/>
      <c r="O82" s="81"/>
      <c r="P82" s="82"/>
      <c r="Q82" s="83"/>
      <c r="R82" s="84"/>
      <c r="S82" s="79"/>
      <c r="T82" s="80"/>
      <c r="U82" s="81"/>
      <c r="V82" s="82"/>
      <c r="W82" s="83"/>
      <c r="X82" s="84"/>
      <c r="Y82" s="84"/>
      <c r="Z82" s="84"/>
      <c r="AA82" s="84"/>
      <c r="AB82" s="84"/>
      <c r="AC82" s="84"/>
      <c r="AD82" s="84"/>
      <c r="AE82" s="85"/>
      <c r="AF82" s="86"/>
      <c r="AG82" s="87"/>
      <c r="AH82" s="88"/>
    </row>
    <row r="83" spans="1:34" s="2" customFormat="1" x14ac:dyDescent="0.25">
      <c r="A83" s="155" t="str">
        <f t="shared" si="4"/>
        <v/>
      </c>
      <c r="B83" s="155" t="str">
        <f t="shared" si="3"/>
        <v/>
      </c>
      <c r="D83" s="77"/>
      <c r="E83" s="78"/>
      <c r="F83" s="133"/>
      <c r="G83" s="38"/>
      <c r="H83" s="39"/>
      <c r="I83" s="40"/>
      <c r="J83" s="41"/>
      <c r="K83" s="42"/>
      <c r="L83" s="43"/>
      <c r="M83" s="79"/>
      <c r="N83" s="80"/>
      <c r="O83" s="81"/>
      <c r="P83" s="82"/>
      <c r="Q83" s="83"/>
      <c r="R83" s="84"/>
      <c r="S83" s="79"/>
      <c r="T83" s="80"/>
      <c r="U83" s="81"/>
      <c r="V83" s="82"/>
      <c r="W83" s="83"/>
      <c r="X83" s="84"/>
      <c r="Y83" s="84"/>
      <c r="Z83" s="84"/>
      <c r="AA83" s="84"/>
      <c r="AB83" s="84"/>
      <c r="AC83" s="84"/>
      <c r="AD83" s="84"/>
      <c r="AE83" s="85"/>
      <c r="AF83" s="86"/>
      <c r="AG83" s="87"/>
      <c r="AH83" s="88"/>
    </row>
    <row r="84" spans="1:34" s="2" customFormat="1" x14ac:dyDescent="0.25">
      <c r="A84" s="155" t="str">
        <f t="shared" si="4"/>
        <v/>
      </c>
      <c r="B84" s="155" t="str">
        <f t="shared" si="3"/>
        <v/>
      </c>
      <c r="D84" s="77"/>
      <c r="E84" s="78"/>
      <c r="F84" s="133"/>
      <c r="G84" s="38"/>
      <c r="H84" s="39"/>
      <c r="I84" s="40"/>
      <c r="J84" s="41"/>
      <c r="K84" s="42"/>
      <c r="L84" s="43"/>
      <c r="M84" s="79"/>
      <c r="N84" s="80"/>
      <c r="O84" s="81"/>
      <c r="P84" s="82"/>
      <c r="Q84" s="83"/>
      <c r="R84" s="84"/>
      <c r="S84" s="79"/>
      <c r="T84" s="80"/>
      <c r="U84" s="81"/>
      <c r="V84" s="82"/>
      <c r="W84" s="83"/>
      <c r="X84" s="84"/>
      <c r="Y84" s="84"/>
      <c r="Z84" s="84"/>
      <c r="AA84" s="84"/>
      <c r="AB84" s="84"/>
      <c r="AC84" s="84"/>
      <c r="AD84" s="84"/>
      <c r="AE84" s="85"/>
      <c r="AF84" s="86"/>
      <c r="AG84" s="87"/>
      <c r="AH84" s="88"/>
    </row>
    <row r="85" spans="1:34" s="2" customFormat="1" x14ac:dyDescent="0.25">
      <c r="A85" s="155" t="str">
        <f t="shared" si="4"/>
        <v/>
      </c>
      <c r="B85" s="155" t="str">
        <f t="shared" si="3"/>
        <v/>
      </c>
      <c r="D85" s="77"/>
      <c r="E85" s="78"/>
      <c r="F85" s="133"/>
      <c r="G85" s="38"/>
      <c r="H85" s="39"/>
      <c r="I85" s="40"/>
      <c r="J85" s="41"/>
      <c r="K85" s="42"/>
      <c r="L85" s="43"/>
      <c r="M85" s="79"/>
      <c r="N85" s="80"/>
      <c r="O85" s="81"/>
      <c r="P85" s="82"/>
      <c r="Q85" s="83"/>
      <c r="R85" s="84"/>
      <c r="S85" s="79"/>
      <c r="T85" s="80"/>
      <c r="U85" s="81"/>
      <c r="V85" s="82"/>
      <c r="W85" s="83"/>
      <c r="X85" s="84"/>
      <c r="Y85" s="84"/>
      <c r="Z85" s="84"/>
      <c r="AA85" s="84"/>
      <c r="AB85" s="84"/>
      <c r="AC85" s="84"/>
      <c r="AD85" s="84"/>
      <c r="AE85" s="85"/>
      <c r="AF85" s="86"/>
      <c r="AG85" s="87"/>
      <c r="AH85" s="88"/>
    </row>
    <row r="86" spans="1:34" s="2" customFormat="1" x14ac:dyDescent="0.25">
      <c r="A86" s="155" t="str">
        <f t="shared" si="4"/>
        <v/>
      </c>
      <c r="B86" s="155" t="str">
        <f t="shared" si="3"/>
        <v/>
      </c>
      <c r="D86" s="77"/>
      <c r="E86" s="78"/>
      <c r="F86" s="133"/>
      <c r="G86" s="38"/>
      <c r="H86" s="39"/>
      <c r="I86" s="40"/>
      <c r="J86" s="41"/>
      <c r="K86" s="42"/>
      <c r="L86" s="43"/>
      <c r="M86" s="79"/>
      <c r="N86" s="80"/>
      <c r="O86" s="81"/>
      <c r="P86" s="82"/>
      <c r="Q86" s="83"/>
      <c r="R86" s="84"/>
      <c r="S86" s="79"/>
      <c r="T86" s="80"/>
      <c r="U86" s="81"/>
      <c r="V86" s="82"/>
      <c r="W86" s="83"/>
      <c r="X86" s="84"/>
      <c r="Y86" s="84"/>
      <c r="Z86" s="84"/>
      <c r="AA86" s="84"/>
      <c r="AB86" s="84"/>
      <c r="AC86" s="84"/>
      <c r="AD86" s="84"/>
      <c r="AE86" s="85"/>
      <c r="AF86" s="86"/>
      <c r="AG86" s="87"/>
      <c r="AH86" s="88"/>
    </row>
    <row r="87" spans="1:34" s="2" customFormat="1" x14ac:dyDescent="0.25">
      <c r="A87" s="155" t="str">
        <f t="shared" si="4"/>
        <v/>
      </c>
      <c r="B87" s="155" t="str">
        <f t="shared" si="3"/>
        <v/>
      </c>
      <c r="D87" s="77"/>
      <c r="E87" s="78"/>
      <c r="F87" s="133"/>
      <c r="G87" s="38"/>
      <c r="H87" s="39"/>
      <c r="I87" s="40"/>
      <c r="J87" s="41"/>
      <c r="K87" s="42"/>
      <c r="L87" s="43"/>
      <c r="M87" s="79"/>
      <c r="N87" s="80"/>
      <c r="O87" s="81"/>
      <c r="P87" s="82"/>
      <c r="Q87" s="83"/>
      <c r="R87" s="84"/>
      <c r="S87" s="79"/>
      <c r="T87" s="80"/>
      <c r="U87" s="81"/>
      <c r="V87" s="82"/>
      <c r="W87" s="83"/>
      <c r="X87" s="84"/>
      <c r="Y87" s="84"/>
      <c r="Z87" s="84"/>
      <c r="AA87" s="84"/>
      <c r="AB87" s="84"/>
      <c r="AC87" s="84"/>
      <c r="AD87" s="84"/>
      <c r="AE87" s="85"/>
      <c r="AF87" s="86"/>
      <c r="AG87" s="87"/>
      <c r="AH87" s="88"/>
    </row>
    <row r="88" spans="1:34" s="2" customFormat="1" x14ac:dyDescent="0.25">
      <c r="A88" s="155" t="str">
        <f t="shared" si="4"/>
        <v/>
      </c>
      <c r="B88" s="155" t="str">
        <f t="shared" si="3"/>
        <v/>
      </c>
      <c r="D88" s="77"/>
      <c r="E88" s="78"/>
      <c r="F88" s="133"/>
      <c r="G88" s="38"/>
      <c r="H88" s="39"/>
      <c r="I88" s="40"/>
      <c r="J88" s="41"/>
      <c r="K88" s="42"/>
      <c r="L88" s="43"/>
      <c r="M88" s="79"/>
      <c r="N88" s="80"/>
      <c r="O88" s="81"/>
      <c r="P88" s="82"/>
      <c r="Q88" s="83"/>
      <c r="R88" s="84"/>
      <c r="S88" s="79"/>
      <c r="T88" s="80"/>
      <c r="U88" s="81"/>
      <c r="V88" s="82"/>
      <c r="W88" s="83"/>
      <c r="X88" s="84"/>
      <c r="Y88" s="84"/>
      <c r="Z88" s="84"/>
      <c r="AA88" s="84"/>
      <c r="AB88" s="84"/>
      <c r="AC88" s="84"/>
      <c r="AD88" s="84"/>
      <c r="AE88" s="85"/>
      <c r="AF88" s="86"/>
      <c r="AG88" s="87"/>
      <c r="AH88" s="88"/>
    </row>
    <row r="89" spans="1:34" s="2" customFormat="1" x14ac:dyDescent="0.25">
      <c r="A89" s="155" t="str">
        <f t="shared" si="4"/>
        <v/>
      </c>
      <c r="B89" s="155" t="str">
        <f t="shared" si="3"/>
        <v/>
      </c>
      <c r="D89" s="77"/>
      <c r="E89" s="78"/>
      <c r="F89" s="133"/>
      <c r="G89" s="38"/>
      <c r="H89" s="39"/>
      <c r="I89" s="40"/>
      <c r="J89" s="41"/>
      <c r="K89" s="42"/>
      <c r="L89" s="43"/>
      <c r="M89" s="79"/>
      <c r="N89" s="80"/>
      <c r="O89" s="81"/>
      <c r="P89" s="82"/>
      <c r="Q89" s="83"/>
      <c r="R89" s="84"/>
      <c r="S89" s="79"/>
      <c r="T89" s="80"/>
      <c r="U89" s="81"/>
      <c r="V89" s="82"/>
      <c r="W89" s="83"/>
      <c r="X89" s="84"/>
      <c r="Y89" s="84"/>
      <c r="Z89" s="84"/>
      <c r="AA89" s="84"/>
      <c r="AB89" s="84"/>
      <c r="AC89" s="84"/>
      <c r="AD89" s="84"/>
      <c r="AE89" s="85"/>
      <c r="AF89" s="86"/>
      <c r="AG89" s="87"/>
      <c r="AH89" s="88"/>
    </row>
    <row r="90" spans="1:34" s="2" customFormat="1" x14ac:dyDescent="0.25">
      <c r="A90" s="155" t="str">
        <f t="shared" si="4"/>
        <v/>
      </c>
      <c r="B90" s="155" t="str">
        <f t="shared" si="3"/>
        <v/>
      </c>
      <c r="D90" s="77"/>
      <c r="E90" s="78"/>
      <c r="F90" s="133"/>
      <c r="G90" s="38"/>
      <c r="H90" s="39"/>
      <c r="I90" s="40"/>
      <c r="J90" s="41"/>
      <c r="K90" s="42"/>
      <c r="L90" s="43"/>
      <c r="M90" s="79"/>
      <c r="N90" s="80"/>
      <c r="O90" s="81"/>
      <c r="P90" s="82"/>
      <c r="Q90" s="83"/>
      <c r="R90" s="84"/>
      <c r="S90" s="79"/>
      <c r="T90" s="80"/>
      <c r="U90" s="81"/>
      <c r="V90" s="82"/>
      <c r="W90" s="83"/>
      <c r="X90" s="84"/>
      <c r="Y90" s="84"/>
      <c r="Z90" s="84"/>
      <c r="AA90" s="84"/>
      <c r="AB90" s="84"/>
      <c r="AC90" s="84"/>
      <c r="AD90" s="84"/>
      <c r="AE90" s="85"/>
      <c r="AF90" s="86"/>
      <c r="AG90" s="87"/>
      <c r="AH90" s="88"/>
    </row>
    <row r="91" spans="1:34" s="2" customFormat="1" x14ac:dyDescent="0.25">
      <c r="A91" s="155" t="str">
        <f t="shared" si="4"/>
        <v/>
      </c>
      <c r="B91" s="155" t="str">
        <f t="shared" si="3"/>
        <v/>
      </c>
      <c r="D91" s="77"/>
      <c r="E91" s="78"/>
      <c r="F91" s="133"/>
      <c r="G91" s="38"/>
      <c r="H91" s="39"/>
      <c r="I91" s="40"/>
      <c r="J91" s="41"/>
      <c r="K91" s="42"/>
      <c r="L91" s="43"/>
      <c r="M91" s="79"/>
      <c r="N91" s="80"/>
      <c r="O91" s="81"/>
      <c r="P91" s="82"/>
      <c r="Q91" s="83"/>
      <c r="R91" s="84"/>
      <c r="S91" s="79"/>
      <c r="T91" s="80"/>
      <c r="U91" s="81"/>
      <c r="V91" s="82"/>
      <c r="W91" s="83"/>
      <c r="X91" s="84"/>
      <c r="Y91" s="84"/>
      <c r="Z91" s="84"/>
      <c r="AA91" s="84"/>
      <c r="AB91" s="84"/>
      <c r="AC91" s="84"/>
      <c r="AD91" s="84"/>
      <c r="AE91" s="85"/>
      <c r="AF91" s="86"/>
      <c r="AG91" s="87"/>
      <c r="AH91" s="88"/>
    </row>
    <row r="92" spans="1:34" s="2" customFormat="1" x14ac:dyDescent="0.25">
      <c r="A92" s="155" t="str">
        <f t="shared" si="4"/>
        <v/>
      </c>
      <c r="B92" s="155" t="str">
        <f t="shared" si="3"/>
        <v/>
      </c>
      <c r="D92" s="77"/>
      <c r="E92" s="78"/>
      <c r="F92" s="133"/>
      <c r="G92" s="38"/>
      <c r="H92" s="39"/>
      <c r="I92" s="40"/>
      <c r="J92" s="41"/>
      <c r="K92" s="42"/>
      <c r="L92" s="43"/>
      <c r="M92" s="79"/>
      <c r="N92" s="80"/>
      <c r="O92" s="81"/>
      <c r="P92" s="82"/>
      <c r="Q92" s="83"/>
      <c r="R92" s="84"/>
      <c r="S92" s="79"/>
      <c r="T92" s="80"/>
      <c r="U92" s="81"/>
      <c r="V92" s="82"/>
      <c r="W92" s="83"/>
      <c r="X92" s="84"/>
      <c r="Y92" s="84"/>
      <c r="Z92" s="84"/>
      <c r="AA92" s="84"/>
      <c r="AB92" s="84"/>
      <c r="AC92" s="84"/>
      <c r="AD92" s="84"/>
      <c r="AE92" s="85"/>
      <c r="AF92" s="86"/>
      <c r="AG92" s="87"/>
      <c r="AH92" s="88"/>
    </row>
    <row r="93" spans="1:34" s="2" customFormat="1" x14ac:dyDescent="0.25">
      <c r="A93" s="155" t="str">
        <f t="shared" si="4"/>
        <v/>
      </c>
      <c r="B93" s="155" t="str">
        <f t="shared" si="3"/>
        <v/>
      </c>
      <c r="D93" s="77"/>
      <c r="E93" s="78"/>
      <c r="F93" s="133"/>
      <c r="G93" s="38"/>
      <c r="H93" s="39"/>
      <c r="I93" s="40"/>
      <c r="J93" s="41"/>
      <c r="K93" s="42"/>
      <c r="L93" s="43"/>
      <c r="M93" s="79"/>
      <c r="N93" s="80"/>
      <c r="O93" s="81"/>
      <c r="P93" s="82"/>
      <c r="Q93" s="83"/>
      <c r="R93" s="84"/>
      <c r="S93" s="79"/>
      <c r="T93" s="80"/>
      <c r="U93" s="81"/>
      <c r="V93" s="82"/>
      <c r="W93" s="83"/>
      <c r="X93" s="84"/>
      <c r="Y93" s="84"/>
      <c r="Z93" s="84"/>
      <c r="AA93" s="84"/>
      <c r="AB93" s="84"/>
      <c r="AC93" s="84"/>
      <c r="AD93" s="84"/>
      <c r="AE93" s="85"/>
      <c r="AF93" s="86"/>
      <c r="AG93" s="87"/>
      <c r="AH93" s="88"/>
    </row>
    <row r="94" spans="1:34" s="2" customFormat="1" x14ac:dyDescent="0.25">
      <c r="A94" s="155" t="str">
        <f t="shared" si="4"/>
        <v/>
      </c>
      <c r="B94" s="155" t="str">
        <f t="shared" si="3"/>
        <v/>
      </c>
      <c r="D94" s="77"/>
      <c r="E94" s="78"/>
      <c r="F94" s="133"/>
      <c r="G94" s="38"/>
      <c r="H94" s="39"/>
      <c r="I94" s="40"/>
      <c r="J94" s="41"/>
      <c r="K94" s="42"/>
      <c r="L94" s="43"/>
      <c r="M94" s="79"/>
      <c r="N94" s="80"/>
      <c r="O94" s="81"/>
      <c r="P94" s="82"/>
      <c r="Q94" s="83"/>
      <c r="R94" s="84"/>
      <c r="S94" s="79"/>
      <c r="T94" s="80"/>
      <c r="U94" s="81"/>
      <c r="V94" s="82"/>
      <c r="W94" s="83"/>
      <c r="X94" s="84"/>
      <c r="Y94" s="84"/>
      <c r="Z94" s="84"/>
      <c r="AA94" s="84"/>
      <c r="AB94" s="84"/>
      <c r="AC94" s="84"/>
      <c r="AD94" s="84"/>
      <c r="AE94" s="85"/>
      <c r="AF94" s="86"/>
      <c r="AG94" s="87"/>
      <c r="AH94" s="88"/>
    </row>
    <row r="95" spans="1:34" s="2" customFormat="1" x14ac:dyDescent="0.25">
      <c r="A95" s="155" t="str">
        <f t="shared" si="4"/>
        <v/>
      </c>
      <c r="B95" s="155" t="str">
        <f t="shared" si="3"/>
        <v/>
      </c>
      <c r="D95" s="77"/>
      <c r="E95" s="78"/>
      <c r="F95" s="133"/>
      <c r="G95" s="38"/>
      <c r="H95" s="39"/>
      <c r="I95" s="40"/>
      <c r="J95" s="41"/>
      <c r="K95" s="42"/>
      <c r="L95" s="43"/>
      <c r="M95" s="79"/>
      <c r="N95" s="80"/>
      <c r="O95" s="81"/>
      <c r="P95" s="82"/>
      <c r="Q95" s="83"/>
      <c r="R95" s="84"/>
      <c r="S95" s="79"/>
      <c r="T95" s="80"/>
      <c r="U95" s="81"/>
      <c r="V95" s="82"/>
      <c r="W95" s="83"/>
      <c r="X95" s="84"/>
      <c r="Y95" s="84"/>
      <c r="Z95" s="84"/>
      <c r="AA95" s="84"/>
      <c r="AB95" s="84"/>
      <c r="AC95" s="84"/>
      <c r="AD95" s="84"/>
      <c r="AE95" s="85"/>
      <c r="AF95" s="86"/>
      <c r="AG95" s="87"/>
      <c r="AH95" s="88"/>
    </row>
    <row r="96" spans="1:34" s="2" customFormat="1" x14ac:dyDescent="0.25">
      <c r="A96" s="155" t="str">
        <f t="shared" si="4"/>
        <v/>
      </c>
      <c r="B96" s="155" t="str">
        <f t="shared" si="3"/>
        <v/>
      </c>
      <c r="D96" s="77"/>
      <c r="E96" s="78"/>
      <c r="F96" s="133"/>
      <c r="G96" s="38"/>
      <c r="H96" s="39"/>
      <c r="I96" s="40"/>
      <c r="J96" s="41"/>
      <c r="K96" s="42"/>
      <c r="L96" s="43"/>
      <c r="M96" s="79"/>
      <c r="N96" s="80"/>
      <c r="O96" s="81"/>
      <c r="P96" s="82"/>
      <c r="Q96" s="83"/>
      <c r="R96" s="84"/>
      <c r="S96" s="79"/>
      <c r="T96" s="80"/>
      <c r="U96" s="81"/>
      <c r="V96" s="82"/>
      <c r="W96" s="83"/>
      <c r="X96" s="84"/>
      <c r="Y96" s="84"/>
      <c r="Z96" s="84"/>
      <c r="AA96" s="84"/>
      <c r="AB96" s="84"/>
      <c r="AC96" s="84"/>
      <c r="AD96" s="84"/>
      <c r="AE96" s="85"/>
      <c r="AF96" s="86"/>
      <c r="AG96" s="87"/>
      <c r="AH96" s="88"/>
    </row>
    <row r="97" spans="1:34" s="2" customFormat="1" x14ac:dyDescent="0.25">
      <c r="A97" s="155" t="str">
        <f t="shared" si="4"/>
        <v/>
      </c>
      <c r="B97" s="155" t="str">
        <f t="shared" si="3"/>
        <v/>
      </c>
      <c r="D97" s="77"/>
      <c r="E97" s="78"/>
      <c r="F97" s="133"/>
      <c r="G97" s="38"/>
      <c r="H97" s="39"/>
      <c r="I97" s="40"/>
      <c r="J97" s="41"/>
      <c r="K97" s="42"/>
      <c r="L97" s="43"/>
      <c r="M97" s="79"/>
      <c r="N97" s="80"/>
      <c r="O97" s="81"/>
      <c r="P97" s="82"/>
      <c r="Q97" s="83"/>
      <c r="R97" s="84"/>
      <c r="S97" s="79"/>
      <c r="T97" s="80"/>
      <c r="U97" s="81"/>
      <c r="V97" s="82"/>
      <c r="W97" s="83"/>
      <c r="X97" s="84"/>
      <c r="Y97" s="84"/>
      <c r="Z97" s="84"/>
      <c r="AA97" s="84"/>
      <c r="AB97" s="84"/>
      <c r="AC97" s="84"/>
      <c r="AD97" s="84"/>
      <c r="AE97" s="85"/>
      <c r="AF97" s="86"/>
      <c r="AG97" s="87"/>
      <c r="AH97" s="88"/>
    </row>
    <row r="98" spans="1:34" s="2" customFormat="1" x14ac:dyDescent="0.25">
      <c r="A98" s="155" t="str">
        <f t="shared" si="4"/>
        <v/>
      </c>
      <c r="B98" s="155" t="str">
        <f t="shared" si="3"/>
        <v/>
      </c>
      <c r="D98" s="77"/>
      <c r="E98" s="78"/>
      <c r="F98" s="133"/>
      <c r="G98" s="38"/>
      <c r="H98" s="39"/>
      <c r="I98" s="40"/>
      <c r="J98" s="41"/>
      <c r="K98" s="42"/>
      <c r="L98" s="43"/>
      <c r="M98" s="79"/>
      <c r="N98" s="80"/>
      <c r="O98" s="81"/>
      <c r="P98" s="82"/>
      <c r="Q98" s="83"/>
      <c r="R98" s="84"/>
      <c r="S98" s="79"/>
      <c r="T98" s="80"/>
      <c r="U98" s="81"/>
      <c r="V98" s="82"/>
      <c r="W98" s="83"/>
      <c r="X98" s="84"/>
      <c r="Y98" s="84"/>
      <c r="Z98" s="84"/>
      <c r="AA98" s="84"/>
      <c r="AB98" s="84"/>
      <c r="AC98" s="84"/>
      <c r="AD98" s="84"/>
      <c r="AE98" s="85"/>
      <c r="AF98" s="86"/>
      <c r="AG98" s="87"/>
      <c r="AH98" s="88"/>
    </row>
    <row r="99" spans="1:34" s="2" customFormat="1" x14ac:dyDescent="0.25">
      <c r="A99" s="155" t="str">
        <f t="shared" si="4"/>
        <v/>
      </c>
      <c r="B99" s="155" t="str">
        <f t="shared" si="3"/>
        <v/>
      </c>
      <c r="D99" s="77"/>
      <c r="E99" s="78"/>
      <c r="F99" s="133"/>
      <c r="G99" s="38"/>
      <c r="H99" s="39"/>
      <c r="I99" s="40"/>
      <c r="J99" s="41"/>
      <c r="K99" s="42"/>
      <c r="L99" s="43"/>
      <c r="M99" s="79"/>
      <c r="N99" s="80"/>
      <c r="O99" s="81"/>
      <c r="P99" s="82"/>
      <c r="Q99" s="83"/>
      <c r="R99" s="84"/>
      <c r="S99" s="79"/>
      <c r="T99" s="80"/>
      <c r="U99" s="81"/>
      <c r="V99" s="82"/>
      <c r="W99" s="83"/>
      <c r="X99" s="84"/>
      <c r="Y99" s="84"/>
      <c r="Z99" s="84"/>
      <c r="AA99" s="84"/>
      <c r="AB99" s="84"/>
      <c r="AC99" s="84"/>
      <c r="AD99" s="84"/>
      <c r="AE99" s="85"/>
      <c r="AF99" s="86"/>
      <c r="AG99" s="87"/>
      <c r="AH99" s="88"/>
    </row>
    <row r="100" spans="1:34" s="2" customFormat="1" x14ac:dyDescent="0.25">
      <c r="A100" s="155" t="str">
        <f t="shared" si="4"/>
        <v/>
      </c>
      <c r="B100" s="155" t="str">
        <f t="shared" si="3"/>
        <v/>
      </c>
      <c r="D100" s="77"/>
      <c r="E100" s="78"/>
      <c r="F100" s="133"/>
      <c r="G100" s="38"/>
      <c r="H100" s="39"/>
      <c r="I100" s="40"/>
      <c r="J100" s="41"/>
      <c r="K100" s="42"/>
      <c r="L100" s="43"/>
      <c r="M100" s="79"/>
      <c r="N100" s="80"/>
      <c r="O100" s="81"/>
      <c r="P100" s="82"/>
      <c r="Q100" s="83"/>
      <c r="R100" s="84"/>
      <c r="S100" s="79"/>
      <c r="T100" s="80"/>
      <c r="U100" s="81"/>
      <c r="V100" s="82"/>
      <c r="W100" s="83"/>
      <c r="X100" s="84"/>
      <c r="Y100" s="84"/>
      <c r="Z100" s="84"/>
      <c r="AA100" s="84"/>
      <c r="AB100" s="84"/>
      <c r="AC100" s="84"/>
      <c r="AD100" s="84"/>
      <c r="AE100" s="85"/>
      <c r="AF100" s="86"/>
      <c r="AG100" s="87"/>
      <c r="AH100" s="88"/>
    </row>
    <row r="101" spans="1:34" s="2" customFormat="1" x14ac:dyDescent="0.25">
      <c r="A101" s="155" t="str">
        <f t="shared" si="4"/>
        <v/>
      </c>
      <c r="B101" s="155" t="str">
        <f t="shared" si="3"/>
        <v/>
      </c>
      <c r="D101" s="77"/>
      <c r="E101" s="78"/>
      <c r="F101" s="133"/>
      <c r="G101" s="38"/>
      <c r="H101" s="39"/>
      <c r="I101" s="40"/>
      <c r="J101" s="41"/>
      <c r="K101" s="42"/>
      <c r="L101" s="43"/>
      <c r="M101" s="79"/>
      <c r="N101" s="80"/>
      <c r="O101" s="81"/>
      <c r="P101" s="82"/>
      <c r="Q101" s="83"/>
      <c r="R101" s="84"/>
      <c r="S101" s="79"/>
      <c r="T101" s="80"/>
      <c r="U101" s="81"/>
      <c r="V101" s="82"/>
      <c r="W101" s="83"/>
      <c r="X101" s="84"/>
      <c r="Y101" s="84"/>
      <c r="Z101" s="84"/>
      <c r="AA101" s="84"/>
      <c r="AB101" s="84"/>
      <c r="AC101" s="84"/>
      <c r="AD101" s="84"/>
      <c r="AE101" s="85"/>
      <c r="AF101" s="86"/>
      <c r="AG101" s="87"/>
      <c r="AH101" s="88"/>
    </row>
    <row r="102" spans="1:34" s="2" customFormat="1" x14ac:dyDescent="0.25">
      <c r="A102" s="155" t="str">
        <f t="shared" si="4"/>
        <v/>
      </c>
      <c r="B102" s="155" t="str">
        <f t="shared" si="3"/>
        <v/>
      </c>
      <c r="D102" s="77"/>
      <c r="E102" s="78"/>
      <c r="F102" s="133"/>
      <c r="G102" s="38"/>
      <c r="H102" s="39"/>
      <c r="I102" s="40"/>
      <c r="J102" s="41"/>
      <c r="K102" s="42"/>
      <c r="L102" s="43"/>
      <c r="M102" s="79"/>
      <c r="N102" s="80"/>
      <c r="O102" s="81"/>
      <c r="P102" s="82"/>
      <c r="Q102" s="83"/>
      <c r="R102" s="84"/>
      <c r="S102" s="79"/>
      <c r="T102" s="80"/>
      <c r="U102" s="81"/>
      <c r="V102" s="82"/>
      <c r="W102" s="83"/>
      <c r="X102" s="84"/>
      <c r="Y102" s="84"/>
      <c r="Z102" s="84"/>
      <c r="AA102" s="84"/>
      <c r="AB102" s="84"/>
      <c r="AC102" s="84"/>
      <c r="AD102" s="84"/>
      <c r="AE102" s="85"/>
      <c r="AF102" s="86"/>
      <c r="AG102" s="87"/>
      <c r="AH102" s="88"/>
    </row>
    <row r="103" spans="1:34" s="2" customFormat="1" x14ac:dyDescent="0.25">
      <c r="A103" s="155" t="str">
        <f t="shared" si="4"/>
        <v/>
      </c>
      <c r="B103" s="155" t="str">
        <f t="shared" si="3"/>
        <v/>
      </c>
      <c r="D103" s="77"/>
      <c r="E103" s="78"/>
      <c r="F103" s="133"/>
      <c r="G103" s="38"/>
      <c r="H103" s="39"/>
      <c r="I103" s="40"/>
      <c r="J103" s="41"/>
      <c r="K103" s="42"/>
      <c r="L103" s="43"/>
      <c r="M103" s="79"/>
      <c r="N103" s="80"/>
      <c r="O103" s="81"/>
      <c r="P103" s="82"/>
      <c r="Q103" s="83"/>
      <c r="R103" s="84"/>
      <c r="S103" s="79"/>
      <c r="T103" s="80"/>
      <c r="U103" s="81"/>
      <c r="V103" s="82"/>
      <c r="W103" s="83"/>
      <c r="X103" s="84"/>
      <c r="Y103" s="84"/>
      <c r="Z103" s="84"/>
      <c r="AA103" s="84"/>
      <c r="AB103" s="84"/>
      <c r="AC103" s="84"/>
      <c r="AD103" s="84"/>
      <c r="AE103" s="85"/>
      <c r="AF103" s="86"/>
      <c r="AG103" s="87"/>
      <c r="AH103" s="88"/>
    </row>
    <row r="104" spans="1:34" s="2" customFormat="1" x14ac:dyDescent="0.25">
      <c r="A104" s="155" t="str">
        <f t="shared" si="4"/>
        <v/>
      </c>
      <c r="B104" s="155" t="str">
        <f t="shared" si="3"/>
        <v/>
      </c>
      <c r="D104" s="77"/>
      <c r="E104" s="78"/>
      <c r="F104" s="133"/>
      <c r="G104" s="38"/>
      <c r="H104" s="39"/>
      <c r="I104" s="40"/>
      <c r="J104" s="41"/>
      <c r="K104" s="42"/>
      <c r="L104" s="43"/>
      <c r="M104" s="79"/>
      <c r="N104" s="80"/>
      <c r="O104" s="81"/>
      <c r="P104" s="82"/>
      <c r="Q104" s="83"/>
      <c r="R104" s="84"/>
      <c r="S104" s="79"/>
      <c r="T104" s="80"/>
      <c r="U104" s="81"/>
      <c r="V104" s="82"/>
      <c r="W104" s="83"/>
      <c r="X104" s="84"/>
      <c r="Y104" s="84"/>
      <c r="Z104" s="84"/>
      <c r="AA104" s="84"/>
      <c r="AB104" s="84"/>
      <c r="AC104" s="84"/>
      <c r="AD104" s="84"/>
      <c r="AE104" s="85"/>
      <c r="AF104" s="86"/>
      <c r="AG104" s="87"/>
      <c r="AH104" s="88"/>
    </row>
    <row r="105" spans="1:34" s="2" customFormat="1" x14ac:dyDescent="0.25">
      <c r="A105" s="155" t="str">
        <f t="shared" si="4"/>
        <v/>
      </c>
      <c r="B105" s="155" t="str">
        <f t="shared" si="3"/>
        <v/>
      </c>
      <c r="D105" s="77"/>
      <c r="E105" s="78"/>
      <c r="F105" s="133"/>
      <c r="G105" s="38"/>
      <c r="H105" s="39"/>
      <c r="I105" s="40"/>
      <c r="J105" s="41"/>
      <c r="K105" s="42"/>
      <c r="L105" s="43"/>
      <c r="M105" s="79"/>
      <c r="N105" s="80"/>
      <c r="O105" s="81"/>
      <c r="P105" s="82"/>
      <c r="Q105" s="83"/>
      <c r="R105" s="84"/>
      <c r="S105" s="79"/>
      <c r="T105" s="80"/>
      <c r="U105" s="81"/>
      <c r="V105" s="82"/>
      <c r="W105" s="83"/>
      <c r="X105" s="84"/>
      <c r="Y105" s="84"/>
      <c r="Z105" s="84"/>
      <c r="AA105" s="84"/>
      <c r="AB105" s="84"/>
      <c r="AC105" s="84"/>
      <c r="AD105" s="84"/>
      <c r="AE105" s="85"/>
      <c r="AF105" s="86"/>
      <c r="AG105" s="87"/>
      <c r="AH105" s="88"/>
    </row>
    <row r="106" spans="1:34" s="2" customFormat="1" x14ac:dyDescent="0.25">
      <c r="A106" s="155" t="str">
        <f t="shared" si="4"/>
        <v/>
      </c>
      <c r="B106" s="155" t="str">
        <f t="shared" si="3"/>
        <v/>
      </c>
      <c r="D106" s="77"/>
      <c r="E106" s="78"/>
      <c r="F106" s="133"/>
      <c r="G106" s="38"/>
      <c r="H106" s="39"/>
      <c r="I106" s="40"/>
      <c r="J106" s="41"/>
      <c r="K106" s="42"/>
      <c r="L106" s="43"/>
      <c r="M106" s="79"/>
      <c r="N106" s="80"/>
      <c r="O106" s="81"/>
      <c r="P106" s="82"/>
      <c r="Q106" s="83"/>
      <c r="R106" s="84"/>
      <c r="S106" s="79"/>
      <c r="T106" s="80"/>
      <c r="U106" s="81"/>
      <c r="V106" s="82"/>
      <c r="W106" s="83"/>
      <c r="X106" s="84"/>
      <c r="Y106" s="84"/>
      <c r="Z106" s="84"/>
      <c r="AA106" s="84"/>
      <c r="AB106" s="84"/>
      <c r="AC106" s="84"/>
      <c r="AD106" s="84"/>
      <c r="AE106" s="85"/>
      <c r="AF106" s="86"/>
      <c r="AG106" s="87"/>
      <c r="AH106" s="88"/>
    </row>
    <row r="107" spans="1:34" s="2" customFormat="1" x14ac:dyDescent="0.25">
      <c r="A107" s="155" t="str">
        <f t="shared" si="4"/>
        <v/>
      </c>
      <c r="B107" s="155" t="str">
        <f t="shared" si="3"/>
        <v/>
      </c>
      <c r="D107" s="77"/>
      <c r="E107" s="78"/>
      <c r="F107" s="133"/>
      <c r="G107" s="38"/>
      <c r="H107" s="39"/>
      <c r="I107" s="40"/>
      <c r="J107" s="41"/>
      <c r="K107" s="42"/>
      <c r="L107" s="43"/>
      <c r="M107" s="79"/>
      <c r="N107" s="80"/>
      <c r="O107" s="81"/>
      <c r="P107" s="82"/>
      <c r="Q107" s="83"/>
      <c r="R107" s="84"/>
      <c r="S107" s="79"/>
      <c r="T107" s="80"/>
      <c r="U107" s="81"/>
      <c r="V107" s="82"/>
      <c r="W107" s="83"/>
      <c r="X107" s="84"/>
      <c r="Y107" s="84"/>
      <c r="Z107" s="84"/>
      <c r="AA107" s="84"/>
      <c r="AB107" s="84"/>
      <c r="AC107" s="84"/>
      <c r="AD107" s="84"/>
      <c r="AE107" s="85"/>
      <c r="AF107" s="86"/>
      <c r="AG107" s="87"/>
      <c r="AH107" s="88"/>
    </row>
    <row r="108" spans="1:34" s="2" customFormat="1" x14ac:dyDescent="0.25">
      <c r="A108" s="155" t="str">
        <f t="shared" si="4"/>
        <v/>
      </c>
      <c r="B108" s="155" t="str">
        <f t="shared" si="3"/>
        <v/>
      </c>
      <c r="D108" s="77"/>
      <c r="E108" s="78"/>
      <c r="F108" s="133"/>
      <c r="G108" s="38"/>
      <c r="H108" s="39"/>
      <c r="I108" s="40"/>
      <c r="J108" s="41"/>
      <c r="K108" s="42"/>
      <c r="L108" s="43"/>
      <c r="M108" s="79"/>
      <c r="N108" s="80"/>
      <c r="O108" s="81"/>
      <c r="P108" s="82"/>
      <c r="Q108" s="83"/>
      <c r="R108" s="84"/>
      <c r="S108" s="79"/>
      <c r="T108" s="80"/>
      <c r="U108" s="81"/>
      <c r="V108" s="82"/>
      <c r="W108" s="83"/>
      <c r="X108" s="84"/>
      <c r="Y108" s="84"/>
      <c r="Z108" s="84"/>
      <c r="AA108" s="84"/>
      <c r="AB108" s="84"/>
      <c r="AC108" s="84"/>
      <c r="AD108" s="84"/>
      <c r="AE108" s="85"/>
      <c r="AF108" s="86"/>
      <c r="AG108" s="87"/>
      <c r="AH108" s="88"/>
    </row>
    <row r="109" spans="1:34" s="2" customFormat="1" x14ac:dyDescent="0.25">
      <c r="A109" s="155" t="str">
        <f t="shared" si="4"/>
        <v/>
      </c>
      <c r="B109" s="155" t="str">
        <f t="shared" si="3"/>
        <v/>
      </c>
      <c r="D109" s="77"/>
      <c r="E109" s="78"/>
      <c r="F109" s="133"/>
      <c r="G109" s="38"/>
      <c r="H109" s="39"/>
      <c r="I109" s="40"/>
      <c r="J109" s="41"/>
      <c r="K109" s="42"/>
      <c r="L109" s="43"/>
      <c r="M109" s="79"/>
      <c r="N109" s="80"/>
      <c r="O109" s="81"/>
      <c r="P109" s="82"/>
      <c r="Q109" s="83"/>
      <c r="R109" s="84"/>
      <c r="S109" s="79"/>
      <c r="T109" s="80"/>
      <c r="U109" s="81"/>
      <c r="V109" s="82"/>
      <c r="W109" s="83"/>
      <c r="X109" s="84"/>
      <c r="Y109" s="84"/>
      <c r="Z109" s="84"/>
      <c r="AA109" s="84"/>
      <c r="AB109" s="84"/>
      <c r="AC109" s="84"/>
      <c r="AD109" s="84"/>
      <c r="AE109" s="85"/>
      <c r="AF109" s="86"/>
      <c r="AG109" s="87"/>
      <c r="AH109" s="88"/>
    </row>
    <row r="110" spans="1:34" s="2" customFormat="1" x14ac:dyDescent="0.25">
      <c r="A110" s="155" t="str">
        <f t="shared" si="4"/>
        <v/>
      </c>
      <c r="B110" s="155" t="str">
        <f t="shared" si="3"/>
        <v/>
      </c>
      <c r="D110" s="77"/>
      <c r="E110" s="78"/>
      <c r="F110" s="133"/>
      <c r="G110" s="38"/>
      <c r="H110" s="39"/>
      <c r="I110" s="40"/>
      <c r="J110" s="41"/>
      <c r="K110" s="42"/>
      <c r="L110" s="43"/>
      <c r="M110" s="79"/>
      <c r="N110" s="80"/>
      <c r="O110" s="81"/>
      <c r="P110" s="82"/>
      <c r="Q110" s="83"/>
      <c r="R110" s="84"/>
      <c r="S110" s="79"/>
      <c r="T110" s="80"/>
      <c r="U110" s="81"/>
      <c r="V110" s="82"/>
      <c r="W110" s="83"/>
      <c r="X110" s="84"/>
      <c r="Y110" s="84"/>
      <c r="Z110" s="84"/>
      <c r="AA110" s="84"/>
      <c r="AB110" s="84"/>
      <c r="AC110" s="84"/>
      <c r="AD110" s="84"/>
      <c r="AE110" s="85"/>
      <c r="AF110" s="86"/>
      <c r="AG110" s="87"/>
      <c r="AH110" s="88"/>
    </row>
    <row r="111" spans="1:34" s="2" customFormat="1" x14ac:dyDescent="0.25">
      <c r="A111" s="155" t="str">
        <f t="shared" si="4"/>
        <v/>
      </c>
      <c r="B111" s="155" t="str">
        <f t="shared" si="3"/>
        <v/>
      </c>
      <c r="D111" s="77"/>
      <c r="E111" s="78"/>
      <c r="F111" s="133"/>
      <c r="G111" s="38"/>
      <c r="H111" s="39"/>
      <c r="I111" s="40"/>
      <c r="J111" s="41"/>
      <c r="K111" s="42"/>
      <c r="L111" s="43"/>
      <c r="M111" s="79"/>
      <c r="N111" s="80"/>
      <c r="O111" s="81"/>
      <c r="P111" s="82"/>
      <c r="Q111" s="83"/>
      <c r="R111" s="84"/>
      <c r="S111" s="79"/>
      <c r="T111" s="80"/>
      <c r="U111" s="81"/>
      <c r="V111" s="82"/>
      <c r="W111" s="83"/>
      <c r="X111" s="84"/>
      <c r="Y111" s="84"/>
      <c r="Z111" s="84"/>
      <c r="AA111" s="84"/>
      <c r="AB111" s="84"/>
      <c r="AC111" s="84"/>
      <c r="AD111" s="84"/>
      <c r="AE111" s="85"/>
      <c r="AF111" s="86"/>
      <c r="AG111" s="87"/>
      <c r="AH111" s="88"/>
    </row>
    <row r="112" spans="1:34" s="2" customFormat="1" x14ac:dyDescent="0.25">
      <c r="A112" s="155" t="str">
        <f t="shared" si="4"/>
        <v/>
      </c>
      <c r="B112" s="155" t="str">
        <f t="shared" si="3"/>
        <v/>
      </c>
      <c r="D112" s="77"/>
      <c r="E112" s="78"/>
      <c r="F112" s="133"/>
      <c r="G112" s="38"/>
      <c r="H112" s="39"/>
      <c r="I112" s="40"/>
      <c r="J112" s="41"/>
      <c r="K112" s="42"/>
      <c r="L112" s="43"/>
      <c r="M112" s="79"/>
      <c r="N112" s="80"/>
      <c r="O112" s="81"/>
      <c r="P112" s="82"/>
      <c r="Q112" s="83"/>
      <c r="R112" s="84"/>
      <c r="S112" s="79"/>
      <c r="T112" s="80"/>
      <c r="U112" s="81"/>
      <c r="V112" s="82"/>
      <c r="W112" s="83"/>
      <c r="X112" s="84"/>
      <c r="Y112" s="84"/>
      <c r="Z112" s="84"/>
      <c r="AA112" s="84"/>
      <c r="AB112" s="84"/>
      <c r="AC112" s="84"/>
      <c r="AD112" s="84"/>
      <c r="AE112" s="85"/>
      <c r="AF112" s="86"/>
      <c r="AG112" s="87"/>
      <c r="AH112" s="88"/>
    </row>
    <row r="113" spans="1:34" s="2" customFormat="1" x14ac:dyDescent="0.25">
      <c r="A113" s="155" t="str">
        <f t="shared" si="4"/>
        <v/>
      </c>
      <c r="B113" s="155" t="str">
        <f t="shared" si="3"/>
        <v/>
      </c>
      <c r="D113" s="77"/>
      <c r="E113" s="78"/>
      <c r="F113" s="133"/>
      <c r="G113" s="38"/>
      <c r="H113" s="39"/>
      <c r="I113" s="40"/>
      <c r="J113" s="41"/>
      <c r="K113" s="42"/>
      <c r="L113" s="43"/>
      <c r="M113" s="79"/>
      <c r="N113" s="80"/>
      <c r="O113" s="81"/>
      <c r="P113" s="82"/>
      <c r="Q113" s="83"/>
      <c r="R113" s="84"/>
      <c r="S113" s="79"/>
      <c r="T113" s="80"/>
      <c r="U113" s="81"/>
      <c r="V113" s="82"/>
      <c r="W113" s="83"/>
      <c r="X113" s="84"/>
      <c r="Y113" s="84"/>
      <c r="Z113" s="84"/>
      <c r="AA113" s="84"/>
      <c r="AB113" s="84"/>
      <c r="AC113" s="84"/>
      <c r="AD113" s="84"/>
      <c r="AE113" s="85"/>
      <c r="AF113" s="86"/>
      <c r="AG113" s="87"/>
      <c r="AH113" s="88"/>
    </row>
    <row r="114" spans="1:34" s="2" customFormat="1" x14ac:dyDescent="0.25">
      <c r="A114" s="155" t="str">
        <f t="shared" si="4"/>
        <v/>
      </c>
      <c r="B114" s="155" t="str">
        <f t="shared" si="3"/>
        <v/>
      </c>
      <c r="D114" s="77"/>
      <c r="E114" s="78"/>
      <c r="F114" s="133"/>
      <c r="G114" s="38"/>
      <c r="H114" s="39"/>
      <c r="I114" s="40"/>
      <c r="J114" s="41"/>
      <c r="K114" s="42"/>
      <c r="L114" s="43"/>
      <c r="M114" s="79"/>
      <c r="N114" s="80"/>
      <c r="O114" s="81"/>
      <c r="P114" s="82"/>
      <c r="Q114" s="83"/>
      <c r="R114" s="84"/>
      <c r="S114" s="79"/>
      <c r="T114" s="80"/>
      <c r="U114" s="81"/>
      <c r="V114" s="82"/>
      <c r="W114" s="83"/>
      <c r="X114" s="84"/>
      <c r="Y114" s="84"/>
      <c r="Z114" s="84"/>
      <c r="AA114" s="84"/>
      <c r="AB114" s="84"/>
      <c r="AC114" s="84"/>
      <c r="AD114" s="84"/>
      <c r="AE114" s="85"/>
      <c r="AF114" s="86"/>
      <c r="AG114" s="87"/>
      <c r="AH114" s="88"/>
    </row>
    <row r="115" spans="1:34" s="2" customFormat="1" x14ac:dyDescent="0.25">
      <c r="A115" s="155" t="str">
        <f t="shared" si="4"/>
        <v/>
      </c>
      <c r="B115" s="155" t="str">
        <f t="shared" si="3"/>
        <v/>
      </c>
      <c r="D115" s="77"/>
      <c r="E115" s="78"/>
      <c r="F115" s="133"/>
      <c r="G115" s="38"/>
      <c r="H115" s="39"/>
      <c r="I115" s="40"/>
      <c r="J115" s="41"/>
      <c r="K115" s="42"/>
      <c r="L115" s="43"/>
      <c r="M115" s="79"/>
      <c r="N115" s="80"/>
      <c r="O115" s="81"/>
      <c r="P115" s="82"/>
      <c r="Q115" s="83"/>
      <c r="R115" s="84"/>
      <c r="S115" s="79"/>
      <c r="T115" s="80"/>
      <c r="U115" s="81"/>
      <c r="V115" s="82"/>
      <c r="W115" s="83"/>
      <c r="X115" s="84"/>
      <c r="Y115" s="84"/>
      <c r="Z115" s="84"/>
      <c r="AA115" s="84"/>
      <c r="AB115" s="84"/>
      <c r="AC115" s="84"/>
      <c r="AD115" s="84"/>
      <c r="AE115" s="85"/>
      <c r="AF115" s="86"/>
      <c r="AG115" s="87"/>
      <c r="AH115" s="88"/>
    </row>
    <row r="116" spans="1:34" s="2" customFormat="1" x14ac:dyDescent="0.25">
      <c r="A116" s="155" t="str">
        <f t="shared" si="4"/>
        <v/>
      </c>
      <c r="B116" s="155" t="str">
        <f t="shared" si="3"/>
        <v/>
      </c>
      <c r="D116" s="77"/>
      <c r="E116" s="78"/>
      <c r="F116" s="133"/>
      <c r="G116" s="38"/>
      <c r="H116" s="39"/>
      <c r="I116" s="40"/>
      <c r="J116" s="41"/>
      <c r="K116" s="42"/>
      <c r="L116" s="43"/>
      <c r="M116" s="79"/>
      <c r="N116" s="80"/>
      <c r="O116" s="81"/>
      <c r="P116" s="82"/>
      <c r="Q116" s="83"/>
      <c r="R116" s="84"/>
      <c r="S116" s="79"/>
      <c r="T116" s="80"/>
      <c r="U116" s="81"/>
      <c r="V116" s="82"/>
      <c r="W116" s="83"/>
      <c r="X116" s="84"/>
      <c r="Y116" s="84"/>
      <c r="Z116" s="84"/>
      <c r="AA116" s="84"/>
      <c r="AB116" s="84"/>
      <c r="AC116" s="84"/>
      <c r="AD116" s="84"/>
      <c r="AE116" s="85"/>
      <c r="AF116" s="86"/>
      <c r="AG116" s="87"/>
      <c r="AH116" s="88"/>
    </row>
    <row r="117" spans="1:34" s="2" customFormat="1" x14ac:dyDescent="0.25">
      <c r="A117" s="155" t="str">
        <f t="shared" si="4"/>
        <v/>
      </c>
      <c r="B117" s="155" t="str">
        <f t="shared" si="3"/>
        <v/>
      </c>
      <c r="D117" s="77"/>
      <c r="E117" s="78"/>
      <c r="F117" s="133"/>
      <c r="G117" s="38"/>
      <c r="H117" s="39"/>
      <c r="I117" s="40"/>
      <c r="J117" s="41"/>
      <c r="K117" s="42"/>
      <c r="L117" s="43"/>
      <c r="M117" s="79"/>
      <c r="N117" s="80"/>
      <c r="O117" s="81"/>
      <c r="P117" s="82"/>
      <c r="Q117" s="83"/>
      <c r="R117" s="84"/>
      <c r="S117" s="79"/>
      <c r="T117" s="80"/>
      <c r="U117" s="81"/>
      <c r="V117" s="82"/>
      <c r="W117" s="83"/>
      <c r="X117" s="84"/>
      <c r="Y117" s="84"/>
      <c r="Z117" s="84"/>
      <c r="AA117" s="84"/>
      <c r="AB117" s="84"/>
      <c r="AC117" s="84"/>
      <c r="AD117" s="84"/>
      <c r="AE117" s="85"/>
      <c r="AF117" s="86"/>
      <c r="AG117" s="87"/>
      <c r="AH117" s="88"/>
    </row>
    <row r="118" spans="1:34" s="2" customFormat="1" x14ac:dyDescent="0.25">
      <c r="A118" s="155" t="str">
        <f t="shared" si="4"/>
        <v/>
      </c>
      <c r="B118" s="155" t="str">
        <f t="shared" si="3"/>
        <v/>
      </c>
      <c r="D118" s="77"/>
      <c r="E118" s="78"/>
      <c r="F118" s="133"/>
      <c r="G118" s="38"/>
      <c r="H118" s="39"/>
      <c r="I118" s="40"/>
      <c r="J118" s="41"/>
      <c r="K118" s="42"/>
      <c r="L118" s="43"/>
      <c r="M118" s="79"/>
      <c r="N118" s="80"/>
      <c r="O118" s="81"/>
      <c r="P118" s="82"/>
      <c r="Q118" s="83"/>
      <c r="R118" s="84"/>
      <c r="S118" s="79"/>
      <c r="T118" s="80"/>
      <c r="U118" s="81"/>
      <c r="V118" s="82"/>
      <c r="W118" s="83"/>
      <c r="X118" s="84"/>
      <c r="Y118" s="84"/>
      <c r="Z118" s="84"/>
      <c r="AA118" s="84"/>
      <c r="AB118" s="84"/>
      <c r="AC118" s="84"/>
      <c r="AD118" s="84"/>
      <c r="AE118" s="85"/>
      <c r="AF118" s="86"/>
      <c r="AG118" s="87"/>
      <c r="AH118" s="88"/>
    </row>
    <row r="119" spans="1:34" s="2" customFormat="1" x14ac:dyDescent="0.25">
      <c r="A119" s="155" t="str">
        <f t="shared" si="4"/>
        <v/>
      </c>
      <c r="B119" s="155" t="str">
        <f t="shared" si="3"/>
        <v/>
      </c>
      <c r="D119" s="77"/>
      <c r="E119" s="78"/>
      <c r="F119" s="133"/>
      <c r="G119" s="38"/>
      <c r="H119" s="39"/>
      <c r="I119" s="40"/>
      <c r="J119" s="41"/>
      <c r="K119" s="42"/>
      <c r="L119" s="43"/>
      <c r="M119" s="79"/>
      <c r="N119" s="80"/>
      <c r="O119" s="81"/>
      <c r="P119" s="82"/>
      <c r="Q119" s="83"/>
      <c r="R119" s="84"/>
      <c r="S119" s="79"/>
      <c r="T119" s="80"/>
      <c r="U119" s="81"/>
      <c r="V119" s="82"/>
      <c r="W119" s="83"/>
      <c r="X119" s="84"/>
      <c r="Y119" s="84"/>
      <c r="Z119" s="84"/>
      <c r="AA119" s="84"/>
      <c r="AB119" s="84"/>
      <c r="AC119" s="84"/>
      <c r="AD119" s="84"/>
      <c r="AE119" s="85"/>
      <c r="AF119" s="86"/>
      <c r="AG119" s="87"/>
      <c r="AH119" s="88"/>
    </row>
    <row r="120" spans="1:34" s="2" customFormat="1" x14ac:dyDescent="0.25">
      <c r="A120" s="155" t="str">
        <f t="shared" si="4"/>
        <v/>
      </c>
      <c r="B120" s="155" t="str">
        <f t="shared" si="3"/>
        <v/>
      </c>
      <c r="D120" s="77"/>
      <c r="E120" s="78"/>
      <c r="F120" s="133"/>
      <c r="G120" s="38"/>
      <c r="H120" s="39"/>
      <c r="I120" s="40"/>
      <c r="J120" s="41"/>
      <c r="K120" s="42"/>
      <c r="L120" s="43"/>
      <c r="M120" s="79"/>
      <c r="N120" s="80"/>
      <c r="O120" s="81"/>
      <c r="P120" s="82"/>
      <c r="Q120" s="83"/>
      <c r="R120" s="84"/>
      <c r="S120" s="79"/>
      <c r="T120" s="80"/>
      <c r="U120" s="81"/>
      <c r="V120" s="82"/>
      <c r="W120" s="83"/>
      <c r="X120" s="84"/>
      <c r="Y120" s="84"/>
      <c r="Z120" s="84"/>
      <c r="AA120" s="84"/>
      <c r="AB120" s="84"/>
      <c r="AC120" s="84"/>
      <c r="AD120" s="84"/>
      <c r="AE120" s="85"/>
      <c r="AF120" s="86"/>
      <c r="AG120" s="87"/>
      <c r="AH120" s="88"/>
    </row>
    <row r="121" spans="1:34" s="2" customFormat="1" x14ac:dyDescent="0.25">
      <c r="A121" s="155" t="str">
        <f t="shared" si="4"/>
        <v/>
      </c>
      <c r="B121" s="155" t="str">
        <f t="shared" si="3"/>
        <v/>
      </c>
      <c r="D121" s="77"/>
      <c r="E121" s="78"/>
      <c r="F121" s="133"/>
      <c r="G121" s="38"/>
      <c r="H121" s="39"/>
      <c r="I121" s="40"/>
      <c r="J121" s="41"/>
      <c r="K121" s="42"/>
      <c r="L121" s="43"/>
      <c r="M121" s="79"/>
      <c r="N121" s="80"/>
      <c r="O121" s="81"/>
      <c r="P121" s="82"/>
      <c r="Q121" s="83"/>
      <c r="R121" s="84"/>
      <c r="S121" s="79"/>
      <c r="T121" s="80"/>
      <c r="U121" s="81"/>
      <c r="V121" s="82"/>
      <c r="W121" s="83"/>
      <c r="X121" s="84"/>
      <c r="Y121" s="84"/>
      <c r="Z121" s="84"/>
      <c r="AA121" s="84"/>
      <c r="AB121" s="84"/>
      <c r="AC121" s="84"/>
      <c r="AD121" s="84"/>
      <c r="AE121" s="85"/>
      <c r="AF121" s="86"/>
      <c r="AG121" s="87"/>
      <c r="AH121" s="88"/>
    </row>
    <row r="122" spans="1:34" s="2" customFormat="1" x14ac:dyDescent="0.25">
      <c r="A122" s="155" t="str">
        <f t="shared" si="4"/>
        <v/>
      </c>
      <c r="B122" s="155" t="str">
        <f t="shared" si="3"/>
        <v/>
      </c>
      <c r="D122" s="77"/>
      <c r="E122" s="78"/>
      <c r="F122" s="133"/>
      <c r="G122" s="38"/>
      <c r="H122" s="39"/>
      <c r="I122" s="40"/>
      <c r="J122" s="41"/>
      <c r="K122" s="42"/>
      <c r="L122" s="43"/>
      <c r="M122" s="79"/>
      <c r="N122" s="80"/>
      <c r="O122" s="81"/>
      <c r="P122" s="82"/>
      <c r="Q122" s="83"/>
      <c r="R122" s="84"/>
      <c r="S122" s="79"/>
      <c r="T122" s="80"/>
      <c r="U122" s="81"/>
      <c r="V122" s="82"/>
      <c r="W122" s="83"/>
      <c r="X122" s="84"/>
      <c r="Y122" s="84"/>
      <c r="Z122" s="84"/>
      <c r="AA122" s="84"/>
      <c r="AB122" s="84"/>
      <c r="AC122" s="84"/>
      <c r="AD122" s="84"/>
      <c r="AE122" s="85"/>
      <c r="AF122" s="86"/>
      <c r="AG122" s="87"/>
      <c r="AH122" s="88"/>
    </row>
    <row r="123" spans="1:34" s="2" customFormat="1" x14ac:dyDescent="0.25">
      <c r="A123" s="155" t="str">
        <f t="shared" si="4"/>
        <v/>
      </c>
      <c r="B123" s="155" t="str">
        <f t="shared" si="3"/>
        <v/>
      </c>
      <c r="D123" s="77"/>
      <c r="E123" s="78"/>
      <c r="F123" s="133"/>
      <c r="G123" s="38"/>
      <c r="H123" s="39"/>
      <c r="I123" s="40"/>
      <c r="J123" s="41"/>
      <c r="K123" s="42"/>
      <c r="L123" s="43"/>
      <c r="M123" s="79"/>
      <c r="N123" s="80"/>
      <c r="O123" s="81"/>
      <c r="P123" s="82"/>
      <c r="Q123" s="83"/>
      <c r="R123" s="84"/>
      <c r="S123" s="79"/>
      <c r="T123" s="80"/>
      <c r="U123" s="81"/>
      <c r="V123" s="82"/>
      <c r="W123" s="83"/>
      <c r="X123" s="84"/>
      <c r="Y123" s="84"/>
      <c r="Z123" s="84"/>
      <c r="AA123" s="84"/>
      <c r="AB123" s="84"/>
      <c r="AC123" s="84"/>
      <c r="AD123" s="84"/>
      <c r="AE123" s="85"/>
      <c r="AF123" s="86"/>
      <c r="AG123" s="87"/>
      <c r="AH123" s="88"/>
    </row>
    <row r="124" spans="1:34" s="2" customFormat="1" x14ac:dyDescent="0.25">
      <c r="A124" s="155" t="str">
        <f t="shared" si="4"/>
        <v/>
      </c>
      <c r="B124" s="155" t="str">
        <f t="shared" si="3"/>
        <v/>
      </c>
      <c r="D124" s="77"/>
      <c r="E124" s="78"/>
      <c r="F124" s="133"/>
      <c r="G124" s="38"/>
      <c r="H124" s="39"/>
      <c r="I124" s="40"/>
      <c r="J124" s="41"/>
      <c r="K124" s="42"/>
      <c r="L124" s="43"/>
      <c r="M124" s="79"/>
      <c r="N124" s="80"/>
      <c r="O124" s="81"/>
      <c r="P124" s="82"/>
      <c r="Q124" s="83"/>
      <c r="R124" s="84"/>
      <c r="S124" s="79"/>
      <c r="T124" s="80"/>
      <c r="U124" s="81"/>
      <c r="V124" s="82"/>
      <c r="W124" s="83"/>
      <c r="X124" s="84"/>
      <c r="Y124" s="84"/>
      <c r="Z124" s="84"/>
      <c r="AA124" s="84"/>
      <c r="AB124" s="84"/>
      <c r="AC124" s="84"/>
      <c r="AD124" s="84"/>
      <c r="AE124" s="85"/>
      <c r="AF124" s="86"/>
      <c r="AG124" s="87"/>
      <c r="AH124" s="88"/>
    </row>
    <row r="125" spans="1:34" s="2" customFormat="1" x14ac:dyDescent="0.25">
      <c r="A125" s="155" t="str">
        <f t="shared" si="4"/>
        <v/>
      </c>
      <c r="B125" s="155" t="str">
        <f t="shared" si="3"/>
        <v/>
      </c>
      <c r="D125" s="77"/>
      <c r="E125" s="78"/>
      <c r="F125" s="133"/>
      <c r="G125" s="38"/>
      <c r="H125" s="39"/>
      <c r="I125" s="40"/>
      <c r="J125" s="41"/>
      <c r="K125" s="42"/>
      <c r="L125" s="43"/>
      <c r="M125" s="79"/>
      <c r="N125" s="80"/>
      <c r="O125" s="81"/>
      <c r="P125" s="82"/>
      <c r="Q125" s="83"/>
      <c r="R125" s="84"/>
      <c r="S125" s="79"/>
      <c r="T125" s="80"/>
      <c r="U125" s="81"/>
      <c r="V125" s="82"/>
      <c r="W125" s="83"/>
      <c r="X125" s="84"/>
      <c r="Y125" s="84"/>
      <c r="Z125" s="84"/>
      <c r="AA125" s="84"/>
      <c r="AB125" s="84"/>
      <c r="AC125" s="84"/>
      <c r="AD125" s="84"/>
      <c r="AE125" s="85"/>
      <c r="AF125" s="86"/>
      <c r="AG125" s="87"/>
      <c r="AH125" s="88"/>
    </row>
    <row r="126" spans="1:34" s="2" customFormat="1" x14ac:dyDescent="0.25">
      <c r="A126" s="155" t="str">
        <f t="shared" si="4"/>
        <v/>
      </c>
      <c r="B126" s="155" t="str">
        <f t="shared" si="3"/>
        <v/>
      </c>
      <c r="D126" s="77"/>
      <c r="E126" s="78"/>
      <c r="F126" s="133"/>
      <c r="G126" s="38"/>
      <c r="H126" s="39"/>
      <c r="I126" s="40"/>
      <c r="J126" s="41"/>
      <c r="K126" s="42"/>
      <c r="L126" s="43"/>
      <c r="M126" s="79"/>
      <c r="N126" s="80"/>
      <c r="O126" s="81"/>
      <c r="P126" s="82"/>
      <c r="Q126" s="83"/>
      <c r="R126" s="84"/>
      <c r="S126" s="79"/>
      <c r="T126" s="80"/>
      <c r="U126" s="81"/>
      <c r="V126" s="82"/>
      <c r="W126" s="83"/>
      <c r="X126" s="84"/>
      <c r="Y126" s="84"/>
      <c r="Z126" s="84"/>
      <c r="AA126" s="84"/>
      <c r="AB126" s="84"/>
      <c r="AC126" s="84"/>
      <c r="AD126" s="84"/>
      <c r="AE126" s="85"/>
      <c r="AF126" s="86"/>
      <c r="AG126" s="87"/>
      <c r="AH126" s="88"/>
    </row>
    <row r="127" spans="1:34" s="2" customFormat="1" x14ac:dyDescent="0.25">
      <c r="A127" s="155" t="str">
        <f t="shared" si="4"/>
        <v/>
      </c>
      <c r="B127" s="155" t="str">
        <f t="shared" si="3"/>
        <v/>
      </c>
      <c r="D127" s="77"/>
      <c r="E127" s="78"/>
      <c r="F127" s="133"/>
      <c r="G127" s="38"/>
      <c r="H127" s="39"/>
      <c r="I127" s="40"/>
      <c r="J127" s="41"/>
      <c r="K127" s="42"/>
      <c r="L127" s="43"/>
      <c r="M127" s="79"/>
      <c r="N127" s="80"/>
      <c r="O127" s="81"/>
      <c r="P127" s="82"/>
      <c r="Q127" s="83"/>
      <c r="R127" s="84"/>
      <c r="S127" s="79"/>
      <c r="T127" s="80"/>
      <c r="U127" s="81"/>
      <c r="V127" s="82"/>
      <c r="W127" s="83"/>
      <c r="X127" s="84"/>
      <c r="Y127" s="84"/>
      <c r="Z127" s="84"/>
      <c r="AA127" s="84"/>
      <c r="AB127" s="84"/>
      <c r="AC127" s="84"/>
      <c r="AD127" s="84"/>
      <c r="AE127" s="85"/>
      <c r="AF127" s="86"/>
      <c r="AG127" s="87"/>
      <c r="AH127" s="88"/>
    </row>
    <row r="128" spans="1:34" s="2" customFormat="1" x14ac:dyDescent="0.25">
      <c r="A128" s="155" t="str">
        <f t="shared" si="4"/>
        <v/>
      </c>
      <c r="B128" s="155" t="str">
        <f t="shared" si="3"/>
        <v/>
      </c>
      <c r="D128" s="77"/>
      <c r="E128" s="78"/>
      <c r="F128" s="133"/>
      <c r="G128" s="38"/>
      <c r="H128" s="39"/>
      <c r="I128" s="40"/>
      <c r="J128" s="41"/>
      <c r="K128" s="42"/>
      <c r="L128" s="43"/>
      <c r="M128" s="79"/>
      <c r="N128" s="80"/>
      <c r="O128" s="81"/>
      <c r="P128" s="82"/>
      <c r="Q128" s="83"/>
      <c r="R128" s="84"/>
      <c r="S128" s="79"/>
      <c r="T128" s="80"/>
      <c r="U128" s="81"/>
      <c r="V128" s="82"/>
      <c r="W128" s="83"/>
      <c r="X128" s="84"/>
      <c r="Y128" s="84"/>
      <c r="Z128" s="84"/>
      <c r="AA128" s="84"/>
      <c r="AB128" s="84"/>
      <c r="AC128" s="84"/>
      <c r="AD128" s="84"/>
      <c r="AE128" s="85"/>
      <c r="AF128" s="86"/>
      <c r="AG128" s="87"/>
      <c r="AH128" s="88"/>
    </row>
    <row r="129" spans="1:34" s="2" customFormat="1" x14ac:dyDescent="0.25">
      <c r="A129" s="155" t="str">
        <f t="shared" si="4"/>
        <v/>
      </c>
      <c r="B129" s="155" t="str">
        <f t="shared" si="3"/>
        <v/>
      </c>
      <c r="D129" s="77"/>
      <c r="E129" s="78"/>
      <c r="F129" s="133"/>
      <c r="G129" s="38"/>
      <c r="H129" s="39"/>
      <c r="I129" s="40"/>
      <c r="J129" s="41"/>
      <c r="K129" s="42"/>
      <c r="L129" s="43"/>
      <c r="M129" s="79"/>
      <c r="N129" s="80"/>
      <c r="O129" s="81"/>
      <c r="P129" s="82"/>
      <c r="Q129" s="83"/>
      <c r="R129" s="84"/>
      <c r="S129" s="79"/>
      <c r="T129" s="80"/>
      <c r="U129" s="81"/>
      <c r="V129" s="82"/>
      <c r="W129" s="83"/>
      <c r="X129" s="84"/>
      <c r="Y129" s="84"/>
      <c r="Z129" s="84"/>
      <c r="AA129" s="84"/>
      <c r="AB129" s="84"/>
      <c r="AC129" s="84"/>
      <c r="AD129" s="84"/>
      <c r="AE129" s="85"/>
      <c r="AF129" s="86"/>
      <c r="AG129" s="87"/>
      <c r="AH129" s="88"/>
    </row>
    <row r="130" spans="1:34" s="2" customFormat="1" x14ac:dyDescent="0.25">
      <c r="A130" s="155" t="str">
        <f t="shared" si="4"/>
        <v/>
      </c>
      <c r="B130" s="155" t="str">
        <f t="shared" si="3"/>
        <v/>
      </c>
      <c r="D130" s="77"/>
      <c r="E130" s="78"/>
      <c r="F130" s="133"/>
      <c r="G130" s="38"/>
      <c r="H130" s="39"/>
      <c r="I130" s="40"/>
      <c r="J130" s="41"/>
      <c r="K130" s="42"/>
      <c r="L130" s="43"/>
      <c r="M130" s="79"/>
      <c r="N130" s="80"/>
      <c r="O130" s="81"/>
      <c r="P130" s="82"/>
      <c r="Q130" s="83"/>
      <c r="R130" s="84"/>
      <c r="S130" s="79"/>
      <c r="T130" s="80"/>
      <c r="U130" s="81"/>
      <c r="V130" s="82"/>
      <c r="W130" s="83"/>
      <c r="X130" s="84"/>
      <c r="Y130" s="84"/>
      <c r="Z130" s="84"/>
      <c r="AA130" s="84"/>
      <c r="AB130" s="84"/>
      <c r="AC130" s="84"/>
      <c r="AD130" s="84"/>
      <c r="AE130" s="85"/>
      <c r="AF130" s="86"/>
      <c r="AG130" s="87"/>
      <c r="AH130" s="88"/>
    </row>
    <row r="131" spans="1:34" s="2" customFormat="1" x14ac:dyDescent="0.25">
      <c r="A131" s="155" t="str">
        <f t="shared" si="4"/>
        <v/>
      </c>
      <c r="B131" s="155" t="str">
        <f t="shared" si="3"/>
        <v/>
      </c>
      <c r="D131" s="77"/>
      <c r="E131" s="78"/>
      <c r="F131" s="133"/>
      <c r="G131" s="38"/>
      <c r="H131" s="39"/>
      <c r="I131" s="40"/>
      <c r="J131" s="41"/>
      <c r="K131" s="42"/>
      <c r="L131" s="43"/>
      <c r="M131" s="79"/>
      <c r="N131" s="80"/>
      <c r="O131" s="81"/>
      <c r="P131" s="82"/>
      <c r="Q131" s="83"/>
      <c r="R131" s="84"/>
      <c r="S131" s="79"/>
      <c r="T131" s="80"/>
      <c r="U131" s="81"/>
      <c r="V131" s="82"/>
      <c r="W131" s="83"/>
      <c r="X131" s="84"/>
      <c r="Y131" s="84"/>
      <c r="Z131" s="84"/>
      <c r="AA131" s="84"/>
      <c r="AB131" s="84"/>
      <c r="AC131" s="84"/>
      <c r="AD131" s="84"/>
      <c r="AE131" s="85"/>
      <c r="AF131" s="86"/>
      <c r="AG131" s="87"/>
      <c r="AH131" s="88"/>
    </row>
    <row r="132" spans="1:34" s="2" customFormat="1" x14ac:dyDescent="0.25">
      <c r="A132" s="155" t="str">
        <f t="shared" si="4"/>
        <v/>
      </c>
      <c r="B132" s="155" t="str">
        <f t="shared" si="3"/>
        <v/>
      </c>
      <c r="D132" s="77"/>
      <c r="E132" s="78"/>
      <c r="F132" s="133"/>
      <c r="G132" s="38"/>
      <c r="H132" s="39"/>
      <c r="I132" s="40"/>
      <c r="J132" s="41"/>
      <c r="K132" s="42"/>
      <c r="L132" s="43"/>
      <c r="M132" s="79"/>
      <c r="N132" s="80"/>
      <c r="O132" s="81"/>
      <c r="P132" s="82"/>
      <c r="Q132" s="83"/>
      <c r="R132" s="84"/>
      <c r="S132" s="79"/>
      <c r="T132" s="80"/>
      <c r="U132" s="81"/>
      <c r="V132" s="82"/>
      <c r="W132" s="83"/>
      <c r="X132" s="84"/>
      <c r="Y132" s="84"/>
      <c r="Z132" s="84"/>
      <c r="AA132" s="84"/>
      <c r="AB132" s="84"/>
      <c r="AC132" s="84"/>
      <c r="AD132" s="84"/>
      <c r="AE132" s="85"/>
      <c r="AF132" s="86"/>
      <c r="AG132" s="87"/>
      <c r="AH132" s="88"/>
    </row>
    <row r="133" spans="1:34" s="2" customFormat="1" x14ac:dyDescent="0.25">
      <c r="A133" s="155" t="str">
        <f t="shared" si="4"/>
        <v/>
      </c>
      <c r="B133" s="155" t="str">
        <f t="shared" ref="B133:B196" si="5">IF(A133="","",COUNTA(G133:L133)-A133)</f>
        <v/>
      </c>
      <c r="D133" s="77"/>
      <c r="E133" s="78"/>
      <c r="F133" s="133"/>
      <c r="G133" s="38"/>
      <c r="H133" s="39"/>
      <c r="I133" s="40"/>
      <c r="J133" s="41"/>
      <c r="K133" s="42"/>
      <c r="L133" s="43"/>
      <c r="M133" s="79"/>
      <c r="N133" s="80"/>
      <c r="O133" s="81"/>
      <c r="P133" s="82"/>
      <c r="Q133" s="83"/>
      <c r="R133" s="84"/>
      <c r="S133" s="79"/>
      <c r="T133" s="80"/>
      <c r="U133" s="81"/>
      <c r="V133" s="82"/>
      <c r="W133" s="83"/>
      <c r="X133" s="84"/>
      <c r="Y133" s="84"/>
      <c r="Z133" s="84"/>
      <c r="AA133" s="84"/>
      <c r="AB133" s="84"/>
      <c r="AC133" s="84"/>
      <c r="AD133" s="84"/>
      <c r="AE133" s="85"/>
      <c r="AF133" s="86"/>
      <c r="AG133" s="87"/>
      <c r="AH133" s="88"/>
    </row>
    <row r="134" spans="1:34" s="2" customFormat="1" x14ac:dyDescent="0.25">
      <c r="A134" s="155" t="str">
        <f t="shared" si="4"/>
        <v/>
      </c>
      <c r="B134" s="155" t="str">
        <f t="shared" si="5"/>
        <v/>
      </c>
      <c r="D134" s="77"/>
      <c r="E134" s="78"/>
      <c r="F134" s="133"/>
      <c r="G134" s="38"/>
      <c r="H134" s="39"/>
      <c r="I134" s="40"/>
      <c r="J134" s="41"/>
      <c r="K134" s="42"/>
      <c r="L134" s="43"/>
      <c r="M134" s="79"/>
      <c r="N134" s="80"/>
      <c r="O134" s="81"/>
      <c r="P134" s="82"/>
      <c r="Q134" s="83"/>
      <c r="R134" s="84"/>
      <c r="S134" s="79"/>
      <c r="T134" s="80"/>
      <c r="U134" s="81"/>
      <c r="V134" s="82"/>
      <c r="W134" s="83"/>
      <c r="X134" s="84"/>
      <c r="Y134" s="84"/>
      <c r="Z134" s="84"/>
      <c r="AA134" s="84"/>
      <c r="AB134" s="84"/>
      <c r="AC134" s="84"/>
      <c r="AD134" s="84"/>
      <c r="AE134" s="85"/>
      <c r="AF134" s="86"/>
      <c r="AG134" s="87"/>
      <c r="AH134" s="88"/>
    </row>
    <row r="135" spans="1:34" s="2" customFormat="1" x14ac:dyDescent="0.25">
      <c r="A135" s="155" t="str">
        <f t="shared" ref="A135:A198" si="6">IF(COUNTIF(S135:X135,"&gt;0")=0,"",COUNTIF(S135:X135,"&gt;0"))</f>
        <v/>
      </c>
      <c r="B135" s="155" t="str">
        <f t="shared" si="5"/>
        <v/>
      </c>
      <c r="D135" s="77"/>
      <c r="E135" s="78"/>
      <c r="F135" s="133"/>
      <c r="G135" s="38"/>
      <c r="H135" s="39"/>
      <c r="I135" s="40"/>
      <c r="J135" s="41"/>
      <c r="K135" s="42"/>
      <c r="L135" s="43"/>
      <c r="M135" s="79"/>
      <c r="N135" s="80"/>
      <c r="O135" s="81"/>
      <c r="P135" s="82"/>
      <c r="Q135" s="83"/>
      <c r="R135" s="84"/>
      <c r="S135" s="79"/>
      <c r="T135" s="80"/>
      <c r="U135" s="81"/>
      <c r="V135" s="82"/>
      <c r="W135" s="83"/>
      <c r="X135" s="84"/>
      <c r="Y135" s="84"/>
      <c r="Z135" s="84"/>
      <c r="AA135" s="84"/>
      <c r="AB135" s="84"/>
      <c r="AC135" s="84"/>
      <c r="AD135" s="84"/>
      <c r="AE135" s="85"/>
      <c r="AF135" s="86"/>
      <c r="AG135" s="87"/>
      <c r="AH135" s="88"/>
    </row>
    <row r="136" spans="1:34" s="2" customFormat="1" x14ac:dyDescent="0.25">
      <c r="A136" s="155" t="str">
        <f t="shared" si="6"/>
        <v/>
      </c>
      <c r="B136" s="155" t="str">
        <f t="shared" si="5"/>
        <v/>
      </c>
      <c r="D136" s="77"/>
      <c r="E136" s="78"/>
      <c r="F136" s="133"/>
      <c r="G136" s="38"/>
      <c r="H136" s="39"/>
      <c r="I136" s="40"/>
      <c r="J136" s="41"/>
      <c r="K136" s="42"/>
      <c r="L136" s="43"/>
      <c r="M136" s="79"/>
      <c r="N136" s="80"/>
      <c r="O136" s="81"/>
      <c r="P136" s="82"/>
      <c r="Q136" s="83"/>
      <c r="R136" s="84"/>
      <c r="S136" s="79"/>
      <c r="T136" s="80"/>
      <c r="U136" s="81"/>
      <c r="V136" s="82"/>
      <c r="W136" s="83"/>
      <c r="X136" s="84"/>
      <c r="Y136" s="84"/>
      <c r="Z136" s="84"/>
      <c r="AA136" s="84"/>
      <c r="AB136" s="84"/>
      <c r="AC136" s="84"/>
      <c r="AD136" s="84"/>
      <c r="AE136" s="85"/>
      <c r="AF136" s="86"/>
      <c r="AG136" s="87"/>
      <c r="AH136" s="88"/>
    </row>
    <row r="137" spans="1:34" s="2" customFormat="1" x14ac:dyDescent="0.25">
      <c r="A137" s="155" t="str">
        <f t="shared" si="6"/>
        <v/>
      </c>
      <c r="B137" s="155" t="str">
        <f t="shared" si="5"/>
        <v/>
      </c>
      <c r="D137" s="77"/>
      <c r="E137" s="78"/>
      <c r="F137" s="133"/>
      <c r="G137" s="38"/>
      <c r="H137" s="39"/>
      <c r="I137" s="40"/>
      <c r="J137" s="41"/>
      <c r="K137" s="42"/>
      <c r="L137" s="43"/>
      <c r="M137" s="79"/>
      <c r="N137" s="80"/>
      <c r="O137" s="81"/>
      <c r="P137" s="82"/>
      <c r="Q137" s="83"/>
      <c r="R137" s="84"/>
      <c r="S137" s="79"/>
      <c r="T137" s="80"/>
      <c r="U137" s="81"/>
      <c r="V137" s="82"/>
      <c r="W137" s="83"/>
      <c r="X137" s="84"/>
      <c r="Y137" s="84"/>
      <c r="Z137" s="84"/>
      <c r="AA137" s="84"/>
      <c r="AB137" s="84"/>
      <c r="AC137" s="84"/>
      <c r="AD137" s="84"/>
      <c r="AE137" s="85"/>
      <c r="AF137" s="86"/>
      <c r="AG137" s="87"/>
      <c r="AH137" s="88"/>
    </row>
    <row r="138" spans="1:34" s="2" customFormat="1" x14ac:dyDescent="0.25">
      <c r="A138" s="155" t="str">
        <f t="shared" si="6"/>
        <v/>
      </c>
      <c r="B138" s="155" t="str">
        <f t="shared" si="5"/>
        <v/>
      </c>
      <c r="D138" s="77"/>
      <c r="E138" s="78"/>
      <c r="F138" s="133"/>
      <c r="G138" s="38"/>
      <c r="H138" s="39"/>
      <c r="I138" s="40"/>
      <c r="J138" s="41"/>
      <c r="K138" s="42"/>
      <c r="L138" s="43"/>
      <c r="M138" s="79"/>
      <c r="N138" s="80"/>
      <c r="O138" s="81"/>
      <c r="P138" s="82"/>
      <c r="Q138" s="83"/>
      <c r="R138" s="84"/>
      <c r="S138" s="79"/>
      <c r="T138" s="80"/>
      <c r="U138" s="81"/>
      <c r="V138" s="82"/>
      <c r="W138" s="83"/>
      <c r="X138" s="84"/>
      <c r="Y138" s="84"/>
      <c r="Z138" s="84"/>
      <c r="AA138" s="84"/>
      <c r="AB138" s="84"/>
      <c r="AC138" s="84"/>
      <c r="AD138" s="84"/>
      <c r="AE138" s="85"/>
      <c r="AF138" s="86"/>
      <c r="AG138" s="87"/>
      <c r="AH138" s="88"/>
    </row>
    <row r="139" spans="1:34" s="2" customFormat="1" x14ac:dyDescent="0.25">
      <c r="A139" s="155" t="str">
        <f t="shared" si="6"/>
        <v/>
      </c>
      <c r="B139" s="155" t="str">
        <f t="shared" si="5"/>
        <v/>
      </c>
      <c r="D139" s="77"/>
      <c r="E139" s="78"/>
      <c r="F139" s="133"/>
      <c r="G139" s="38"/>
      <c r="H139" s="39"/>
      <c r="I139" s="40"/>
      <c r="J139" s="41"/>
      <c r="K139" s="42"/>
      <c r="L139" s="43"/>
      <c r="M139" s="79"/>
      <c r="N139" s="80"/>
      <c r="O139" s="81"/>
      <c r="P139" s="82"/>
      <c r="Q139" s="83"/>
      <c r="R139" s="84"/>
      <c r="S139" s="79"/>
      <c r="T139" s="80"/>
      <c r="U139" s="81"/>
      <c r="V139" s="82"/>
      <c r="W139" s="83"/>
      <c r="X139" s="84"/>
      <c r="Y139" s="84"/>
      <c r="Z139" s="84"/>
      <c r="AA139" s="84"/>
      <c r="AB139" s="84"/>
      <c r="AC139" s="84"/>
      <c r="AD139" s="84"/>
      <c r="AE139" s="85"/>
      <c r="AF139" s="86"/>
      <c r="AG139" s="87"/>
      <c r="AH139" s="88"/>
    </row>
    <row r="140" spans="1:34" s="2" customFormat="1" x14ac:dyDescent="0.25">
      <c r="A140" s="155" t="str">
        <f t="shared" si="6"/>
        <v/>
      </c>
      <c r="B140" s="155" t="str">
        <f t="shared" si="5"/>
        <v/>
      </c>
      <c r="D140" s="77"/>
      <c r="E140" s="78"/>
      <c r="F140" s="133"/>
      <c r="G140" s="38"/>
      <c r="H140" s="39"/>
      <c r="I140" s="40"/>
      <c r="J140" s="41"/>
      <c r="K140" s="42"/>
      <c r="L140" s="43"/>
      <c r="M140" s="79"/>
      <c r="N140" s="80"/>
      <c r="O140" s="81"/>
      <c r="P140" s="82"/>
      <c r="Q140" s="83"/>
      <c r="R140" s="84"/>
      <c r="S140" s="79"/>
      <c r="T140" s="80"/>
      <c r="U140" s="81"/>
      <c r="V140" s="82"/>
      <c r="W140" s="83"/>
      <c r="X140" s="84"/>
      <c r="Y140" s="84"/>
      <c r="Z140" s="84"/>
      <c r="AA140" s="84"/>
      <c r="AB140" s="84"/>
      <c r="AC140" s="84"/>
      <c r="AD140" s="84"/>
      <c r="AE140" s="85"/>
      <c r="AF140" s="86"/>
      <c r="AG140" s="87"/>
      <c r="AH140" s="88"/>
    </row>
    <row r="141" spans="1:34" s="2" customFormat="1" x14ac:dyDescent="0.25">
      <c r="A141" s="155" t="str">
        <f t="shared" si="6"/>
        <v/>
      </c>
      <c r="B141" s="155" t="str">
        <f t="shared" si="5"/>
        <v/>
      </c>
      <c r="D141" s="77"/>
      <c r="E141" s="78"/>
      <c r="F141" s="133"/>
      <c r="G141" s="38"/>
      <c r="H141" s="39"/>
      <c r="I141" s="40"/>
      <c r="J141" s="41"/>
      <c r="K141" s="42"/>
      <c r="L141" s="43"/>
      <c r="M141" s="79"/>
      <c r="N141" s="80"/>
      <c r="O141" s="81"/>
      <c r="P141" s="82"/>
      <c r="Q141" s="83"/>
      <c r="R141" s="84"/>
      <c r="S141" s="79"/>
      <c r="T141" s="80"/>
      <c r="U141" s="81"/>
      <c r="V141" s="82"/>
      <c r="W141" s="83"/>
      <c r="X141" s="84"/>
      <c r="Y141" s="84"/>
      <c r="Z141" s="84"/>
      <c r="AA141" s="84"/>
      <c r="AB141" s="84"/>
      <c r="AC141" s="84"/>
      <c r="AD141" s="84"/>
      <c r="AE141" s="85"/>
      <c r="AF141" s="86"/>
      <c r="AG141" s="87"/>
      <c r="AH141" s="88"/>
    </row>
    <row r="142" spans="1:34" s="2" customFormat="1" x14ac:dyDescent="0.25">
      <c r="A142" s="155" t="str">
        <f t="shared" si="6"/>
        <v/>
      </c>
      <c r="B142" s="155" t="str">
        <f t="shared" si="5"/>
        <v/>
      </c>
      <c r="D142" s="77"/>
      <c r="E142" s="78"/>
      <c r="F142" s="133"/>
      <c r="G142" s="38"/>
      <c r="H142" s="39"/>
      <c r="I142" s="40"/>
      <c r="J142" s="41"/>
      <c r="K142" s="42"/>
      <c r="L142" s="43"/>
      <c r="M142" s="79"/>
      <c r="N142" s="80"/>
      <c r="O142" s="81"/>
      <c r="P142" s="82"/>
      <c r="Q142" s="83"/>
      <c r="R142" s="84"/>
      <c r="S142" s="79"/>
      <c r="T142" s="80"/>
      <c r="U142" s="81"/>
      <c r="V142" s="82"/>
      <c r="W142" s="83"/>
      <c r="X142" s="84"/>
      <c r="Y142" s="84"/>
      <c r="Z142" s="84"/>
      <c r="AA142" s="84"/>
      <c r="AB142" s="84"/>
      <c r="AC142" s="84"/>
      <c r="AD142" s="84"/>
      <c r="AE142" s="85"/>
      <c r="AF142" s="86"/>
      <c r="AG142" s="87"/>
      <c r="AH142" s="88"/>
    </row>
    <row r="143" spans="1:34" s="2" customFormat="1" x14ac:dyDescent="0.25">
      <c r="A143" s="155" t="str">
        <f t="shared" si="6"/>
        <v/>
      </c>
      <c r="B143" s="155" t="str">
        <f t="shared" si="5"/>
        <v/>
      </c>
      <c r="D143" s="77"/>
      <c r="E143" s="78"/>
      <c r="F143" s="133"/>
      <c r="G143" s="38"/>
      <c r="H143" s="39"/>
      <c r="I143" s="40"/>
      <c r="J143" s="41"/>
      <c r="K143" s="42"/>
      <c r="L143" s="43"/>
      <c r="M143" s="79"/>
      <c r="N143" s="80"/>
      <c r="O143" s="81"/>
      <c r="P143" s="82"/>
      <c r="Q143" s="83"/>
      <c r="R143" s="84"/>
      <c r="S143" s="79"/>
      <c r="T143" s="80"/>
      <c r="U143" s="81"/>
      <c r="V143" s="82"/>
      <c r="W143" s="83"/>
      <c r="X143" s="84"/>
      <c r="Y143" s="84"/>
      <c r="Z143" s="84"/>
      <c r="AA143" s="84"/>
      <c r="AB143" s="84"/>
      <c r="AC143" s="84"/>
      <c r="AD143" s="84"/>
      <c r="AE143" s="85"/>
      <c r="AF143" s="86"/>
      <c r="AG143" s="87"/>
      <c r="AH143" s="88"/>
    </row>
    <row r="144" spans="1:34" s="2" customFormat="1" x14ac:dyDescent="0.25">
      <c r="A144" s="155" t="str">
        <f t="shared" si="6"/>
        <v/>
      </c>
      <c r="B144" s="155" t="str">
        <f t="shared" si="5"/>
        <v/>
      </c>
      <c r="D144" s="77"/>
      <c r="E144" s="78"/>
      <c r="F144" s="133"/>
      <c r="G144" s="38"/>
      <c r="H144" s="39"/>
      <c r="I144" s="40"/>
      <c r="J144" s="41"/>
      <c r="K144" s="42"/>
      <c r="L144" s="43"/>
      <c r="M144" s="79"/>
      <c r="N144" s="80"/>
      <c r="O144" s="81"/>
      <c r="P144" s="82"/>
      <c r="Q144" s="83"/>
      <c r="R144" s="84"/>
      <c r="S144" s="79"/>
      <c r="T144" s="80"/>
      <c r="U144" s="81"/>
      <c r="V144" s="82"/>
      <c r="W144" s="83"/>
      <c r="X144" s="84"/>
      <c r="Y144" s="84"/>
      <c r="Z144" s="84"/>
      <c r="AA144" s="84"/>
      <c r="AB144" s="84"/>
      <c r="AC144" s="84"/>
      <c r="AD144" s="84"/>
      <c r="AE144" s="85"/>
      <c r="AF144" s="86"/>
      <c r="AG144" s="87"/>
      <c r="AH144" s="88"/>
    </row>
    <row r="145" spans="1:34" s="2" customFormat="1" x14ac:dyDescent="0.25">
      <c r="A145" s="155" t="str">
        <f t="shared" si="6"/>
        <v/>
      </c>
      <c r="B145" s="155" t="str">
        <f t="shared" si="5"/>
        <v/>
      </c>
      <c r="D145" s="77"/>
      <c r="E145" s="78"/>
      <c r="F145" s="133"/>
      <c r="G145" s="38"/>
      <c r="H145" s="39"/>
      <c r="I145" s="40"/>
      <c r="J145" s="41"/>
      <c r="K145" s="42"/>
      <c r="L145" s="43"/>
      <c r="M145" s="79"/>
      <c r="N145" s="80"/>
      <c r="O145" s="81"/>
      <c r="P145" s="82"/>
      <c r="Q145" s="83"/>
      <c r="R145" s="84"/>
      <c r="S145" s="79"/>
      <c r="T145" s="80"/>
      <c r="U145" s="81"/>
      <c r="V145" s="82"/>
      <c r="W145" s="83"/>
      <c r="X145" s="84"/>
      <c r="Y145" s="84"/>
      <c r="Z145" s="84"/>
      <c r="AA145" s="84"/>
      <c r="AB145" s="84"/>
      <c r="AC145" s="84"/>
      <c r="AD145" s="84"/>
      <c r="AE145" s="85"/>
      <c r="AF145" s="86"/>
      <c r="AG145" s="87"/>
      <c r="AH145" s="88"/>
    </row>
    <row r="146" spans="1:34" s="2" customFormat="1" x14ac:dyDescent="0.25">
      <c r="A146" s="155" t="str">
        <f t="shared" si="6"/>
        <v/>
      </c>
      <c r="B146" s="155" t="str">
        <f t="shared" si="5"/>
        <v/>
      </c>
      <c r="D146" s="77"/>
      <c r="E146" s="78"/>
      <c r="F146" s="133"/>
      <c r="G146" s="38"/>
      <c r="H146" s="39"/>
      <c r="I146" s="40"/>
      <c r="J146" s="41"/>
      <c r="K146" s="42"/>
      <c r="L146" s="43"/>
      <c r="M146" s="79"/>
      <c r="N146" s="80"/>
      <c r="O146" s="81"/>
      <c r="P146" s="82"/>
      <c r="Q146" s="83"/>
      <c r="R146" s="84"/>
      <c r="S146" s="79"/>
      <c r="T146" s="80"/>
      <c r="U146" s="81"/>
      <c r="V146" s="82"/>
      <c r="W146" s="83"/>
      <c r="X146" s="84"/>
      <c r="Y146" s="84"/>
      <c r="Z146" s="84"/>
      <c r="AA146" s="84"/>
      <c r="AB146" s="84"/>
      <c r="AC146" s="84"/>
      <c r="AD146" s="84"/>
      <c r="AE146" s="85"/>
      <c r="AF146" s="86"/>
      <c r="AG146" s="87"/>
      <c r="AH146" s="88"/>
    </row>
    <row r="147" spans="1:34" s="2" customFormat="1" x14ac:dyDescent="0.25">
      <c r="A147" s="155" t="str">
        <f t="shared" si="6"/>
        <v/>
      </c>
      <c r="B147" s="155" t="str">
        <f t="shared" si="5"/>
        <v/>
      </c>
      <c r="D147" s="77"/>
      <c r="E147" s="78"/>
      <c r="F147" s="133"/>
      <c r="G147" s="38"/>
      <c r="H147" s="39"/>
      <c r="I147" s="40"/>
      <c r="J147" s="41"/>
      <c r="K147" s="42"/>
      <c r="L147" s="43"/>
      <c r="M147" s="79"/>
      <c r="N147" s="80"/>
      <c r="O147" s="81"/>
      <c r="P147" s="82"/>
      <c r="Q147" s="83"/>
      <c r="R147" s="84"/>
      <c r="S147" s="79"/>
      <c r="T147" s="80"/>
      <c r="U147" s="81"/>
      <c r="V147" s="82"/>
      <c r="W147" s="83"/>
      <c r="X147" s="84"/>
      <c r="Y147" s="84"/>
      <c r="Z147" s="84"/>
      <c r="AA147" s="84"/>
      <c r="AB147" s="84"/>
      <c r="AC147" s="84"/>
      <c r="AD147" s="84"/>
      <c r="AE147" s="85"/>
      <c r="AF147" s="86"/>
      <c r="AG147" s="87"/>
      <c r="AH147" s="88"/>
    </row>
    <row r="148" spans="1:34" s="2" customFormat="1" x14ac:dyDescent="0.25">
      <c r="A148" s="155" t="str">
        <f t="shared" si="6"/>
        <v/>
      </c>
      <c r="B148" s="155" t="str">
        <f t="shared" si="5"/>
        <v/>
      </c>
      <c r="D148" s="77"/>
      <c r="E148" s="78"/>
      <c r="F148" s="133"/>
      <c r="G148" s="38"/>
      <c r="H148" s="39"/>
      <c r="I148" s="40"/>
      <c r="J148" s="41"/>
      <c r="K148" s="42"/>
      <c r="L148" s="43"/>
      <c r="M148" s="79"/>
      <c r="N148" s="80"/>
      <c r="O148" s="81"/>
      <c r="P148" s="82"/>
      <c r="Q148" s="83"/>
      <c r="R148" s="84"/>
      <c r="S148" s="79"/>
      <c r="T148" s="80"/>
      <c r="U148" s="81"/>
      <c r="V148" s="82"/>
      <c r="W148" s="83"/>
      <c r="X148" s="84"/>
      <c r="Y148" s="84"/>
      <c r="Z148" s="84"/>
      <c r="AA148" s="84"/>
      <c r="AB148" s="84"/>
      <c r="AC148" s="84"/>
      <c r="AD148" s="84"/>
      <c r="AE148" s="85"/>
      <c r="AF148" s="86"/>
      <c r="AG148" s="87"/>
      <c r="AH148" s="88"/>
    </row>
    <row r="149" spans="1:34" s="2" customFormat="1" x14ac:dyDescent="0.25">
      <c r="A149" s="155" t="str">
        <f t="shared" si="6"/>
        <v/>
      </c>
      <c r="B149" s="155" t="str">
        <f t="shared" si="5"/>
        <v/>
      </c>
      <c r="D149" s="77"/>
      <c r="E149" s="78"/>
      <c r="F149" s="133"/>
      <c r="G149" s="38"/>
      <c r="H149" s="39"/>
      <c r="I149" s="40"/>
      <c r="J149" s="41"/>
      <c r="K149" s="42"/>
      <c r="L149" s="43"/>
      <c r="M149" s="79"/>
      <c r="N149" s="80"/>
      <c r="O149" s="81"/>
      <c r="P149" s="82"/>
      <c r="Q149" s="83"/>
      <c r="R149" s="84"/>
      <c r="S149" s="79"/>
      <c r="T149" s="80"/>
      <c r="U149" s="81"/>
      <c r="V149" s="82"/>
      <c r="W149" s="83"/>
      <c r="X149" s="84"/>
      <c r="Y149" s="84"/>
      <c r="Z149" s="84"/>
      <c r="AA149" s="84"/>
      <c r="AB149" s="84"/>
      <c r="AC149" s="84"/>
      <c r="AD149" s="84"/>
      <c r="AE149" s="85"/>
      <c r="AF149" s="86"/>
      <c r="AG149" s="87"/>
      <c r="AH149" s="88"/>
    </row>
    <row r="150" spans="1:34" s="2" customFormat="1" x14ac:dyDescent="0.25">
      <c r="A150" s="155" t="str">
        <f t="shared" si="6"/>
        <v/>
      </c>
      <c r="B150" s="155" t="str">
        <f t="shared" si="5"/>
        <v/>
      </c>
      <c r="D150" s="77"/>
      <c r="E150" s="78"/>
      <c r="F150" s="133"/>
      <c r="G150" s="38"/>
      <c r="H150" s="39"/>
      <c r="I150" s="40"/>
      <c r="J150" s="41"/>
      <c r="K150" s="42"/>
      <c r="L150" s="43"/>
      <c r="M150" s="79"/>
      <c r="N150" s="80"/>
      <c r="O150" s="81"/>
      <c r="P150" s="82"/>
      <c r="Q150" s="83"/>
      <c r="R150" s="84"/>
      <c r="S150" s="79"/>
      <c r="T150" s="80"/>
      <c r="U150" s="81"/>
      <c r="V150" s="82"/>
      <c r="W150" s="83"/>
      <c r="X150" s="84"/>
      <c r="Y150" s="84"/>
      <c r="Z150" s="84"/>
      <c r="AA150" s="84"/>
      <c r="AB150" s="84"/>
      <c r="AC150" s="84"/>
      <c r="AD150" s="84"/>
      <c r="AE150" s="85"/>
      <c r="AF150" s="86"/>
      <c r="AG150" s="87"/>
      <c r="AH150" s="88"/>
    </row>
    <row r="151" spans="1:34" s="2" customFormat="1" x14ac:dyDescent="0.25">
      <c r="A151" s="155" t="str">
        <f t="shared" si="6"/>
        <v/>
      </c>
      <c r="B151" s="155" t="str">
        <f t="shared" si="5"/>
        <v/>
      </c>
      <c r="D151" s="77"/>
      <c r="E151" s="78"/>
      <c r="F151" s="133"/>
      <c r="G151" s="38"/>
      <c r="H151" s="39"/>
      <c r="I151" s="40"/>
      <c r="J151" s="41"/>
      <c r="K151" s="42"/>
      <c r="L151" s="43"/>
      <c r="M151" s="79"/>
      <c r="N151" s="80"/>
      <c r="O151" s="81"/>
      <c r="P151" s="82"/>
      <c r="Q151" s="83"/>
      <c r="R151" s="84"/>
      <c r="S151" s="79"/>
      <c r="T151" s="80"/>
      <c r="U151" s="81"/>
      <c r="V151" s="82"/>
      <c r="W151" s="83"/>
      <c r="X151" s="84"/>
      <c r="Y151" s="84"/>
      <c r="Z151" s="84"/>
      <c r="AA151" s="84"/>
      <c r="AB151" s="84"/>
      <c r="AC151" s="84"/>
      <c r="AD151" s="84"/>
      <c r="AE151" s="85"/>
      <c r="AF151" s="86"/>
      <c r="AG151" s="87"/>
      <c r="AH151" s="88"/>
    </row>
    <row r="152" spans="1:34" s="2" customFormat="1" x14ac:dyDescent="0.25">
      <c r="A152" s="155" t="str">
        <f t="shared" si="6"/>
        <v/>
      </c>
      <c r="B152" s="155" t="str">
        <f t="shared" si="5"/>
        <v/>
      </c>
      <c r="D152" s="77"/>
      <c r="E152" s="78"/>
      <c r="F152" s="133"/>
      <c r="G152" s="38"/>
      <c r="H152" s="39"/>
      <c r="I152" s="40"/>
      <c r="J152" s="41"/>
      <c r="K152" s="42"/>
      <c r="L152" s="43"/>
      <c r="M152" s="79"/>
      <c r="N152" s="80"/>
      <c r="O152" s="81"/>
      <c r="P152" s="82"/>
      <c r="Q152" s="83"/>
      <c r="R152" s="84"/>
      <c r="S152" s="79"/>
      <c r="T152" s="80"/>
      <c r="U152" s="81"/>
      <c r="V152" s="82"/>
      <c r="W152" s="83"/>
      <c r="X152" s="84"/>
      <c r="Y152" s="84"/>
      <c r="Z152" s="84"/>
      <c r="AA152" s="84"/>
      <c r="AB152" s="84"/>
      <c r="AC152" s="84"/>
      <c r="AD152" s="84"/>
      <c r="AE152" s="85"/>
      <c r="AF152" s="86"/>
      <c r="AG152" s="87"/>
      <c r="AH152" s="88"/>
    </row>
    <row r="153" spans="1:34" s="2" customFormat="1" x14ac:dyDescent="0.25">
      <c r="A153" s="155" t="str">
        <f t="shared" si="6"/>
        <v/>
      </c>
      <c r="B153" s="155" t="str">
        <f t="shared" si="5"/>
        <v/>
      </c>
      <c r="D153" s="77"/>
      <c r="E153" s="78"/>
      <c r="F153" s="133"/>
      <c r="G153" s="38"/>
      <c r="H153" s="39"/>
      <c r="I153" s="40"/>
      <c r="J153" s="41"/>
      <c r="K153" s="42"/>
      <c r="L153" s="43"/>
      <c r="M153" s="79"/>
      <c r="N153" s="80"/>
      <c r="O153" s="81"/>
      <c r="P153" s="82"/>
      <c r="Q153" s="83"/>
      <c r="R153" s="84"/>
      <c r="S153" s="79"/>
      <c r="T153" s="80"/>
      <c r="U153" s="81"/>
      <c r="V153" s="82"/>
      <c r="W153" s="83"/>
      <c r="X153" s="84"/>
      <c r="Y153" s="84"/>
      <c r="Z153" s="84"/>
      <c r="AA153" s="84"/>
      <c r="AB153" s="84"/>
      <c r="AC153" s="84"/>
      <c r="AD153" s="84"/>
      <c r="AE153" s="85"/>
      <c r="AF153" s="86"/>
      <c r="AG153" s="87"/>
      <c r="AH153" s="88"/>
    </row>
    <row r="154" spans="1:34" s="2" customFormat="1" x14ac:dyDescent="0.25">
      <c r="A154" s="155" t="str">
        <f t="shared" si="6"/>
        <v/>
      </c>
      <c r="B154" s="155" t="str">
        <f t="shared" si="5"/>
        <v/>
      </c>
      <c r="D154" s="77"/>
      <c r="E154" s="78"/>
      <c r="F154" s="133"/>
      <c r="G154" s="38"/>
      <c r="H154" s="39"/>
      <c r="I154" s="40"/>
      <c r="J154" s="41"/>
      <c r="K154" s="42"/>
      <c r="L154" s="43"/>
      <c r="M154" s="79"/>
      <c r="N154" s="80"/>
      <c r="O154" s="81"/>
      <c r="P154" s="82"/>
      <c r="Q154" s="83"/>
      <c r="R154" s="84"/>
      <c r="S154" s="79"/>
      <c r="T154" s="80"/>
      <c r="U154" s="81"/>
      <c r="V154" s="82"/>
      <c r="W154" s="83"/>
      <c r="X154" s="84"/>
      <c r="Y154" s="84"/>
      <c r="Z154" s="84"/>
      <c r="AA154" s="84"/>
      <c r="AB154" s="84"/>
      <c r="AC154" s="84"/>
      <c r="AD154" s="84"/>
      <c r="AE154" s="85"/>
      <c r="AF154" s="86"/>
      <c r="AG154" s="87"/>
      <c r="AH154" s="88"/>
    </row>
    <row r="155" spans="1:34" s="2" customFormat="1" x14ac:dyDescent="0.25">
      <c r="A155" s="155" t="str">
        <f t="shared" si="6"/>
        <v/>
      </c>
      <c r="B155" s="155" t="str">
        <f t="shared" si="5"/>
        <v/>
      </c>
      <c r="D155" s="77"/>
      <c r="E155" s="78"/>
      <c r="F155" s="133"/>
      <c r="G155" s="38"/>
      <c r="H155" s="39"/>
      <c r="I155" s="40"/>
      <c r="J155" s="41"/>
      <c r="K155" s="42"/>
      <c r="L155" s="43"/>
      <c r="M155" s="79"/>
      <c r="N155" s="80"/>
      <c r="O155" s="81"/>
      <c r="P155" s="82"/>
      <c r="Q155" s="83"/>
      <c r="R155" s="84"/>
      <c r="S155" s="79"/>
      <c r="T155" s="80"/>
      <c r="U155" s="81"/>
      <c r="V155" s="82"/>
      <c r="W155" s="83"/>
      <c r="X155" s="84"/>
      <c r="Y155" s="84"/>
      <c r="Z155" s="84"/>
      <c r="AA155" s="84"/>
      <c r="AB155" s="84"/>
      <c r="AC155" s="84"/>
      <c r="AD155" s="84"/>
      <c r="AE155" s="85"/>
      <c r="AF155" s="86"/>
      <c r="AG155" s="87"/>
      <c r="AH155" s="88"/>
    </row>
    <row r="156" spans="1:34" s="2" customFormat="1" x14ac:dyDescent="0.25">
      <c r="A156" s="155" t="str">
        <f t="shared" si="6"/>
        <v/>
      </c>
      <c r="B156" s="155" t="str">
        <f t="shared" si="5"/>
        <v/>
      </c>
      <c r="D156" s="77"/>
      <c r="E156" s="78"/>
      <c r="F156" s="133"/>
      <c r="G156" s="38"/>
      <c r="H156" s="39"/>
      <c r="I156" s="40"/>
      <c r="J156" s="41"/>
      <c r="K156" s="42"/>
      <c r="L156" s="43"/>
      <c r="M156" s="79"/>
      <c r="N156" s="80"/>
      <c r="O156" s="81"/>
      <c r="P156" s="82"/>
      <c r="Q156" s="83"/>
      <c r="R156" s="84"/>
      <c r="S156" s="79"/>
      <c r="T156" s="80"/>
      <c r="U156" s="81"/>
      <c r="V156" s="82"/>
      <c r="W156" s="83"/>
      <c r="X156" s="84"/>
      <c r="Y156" s="84"/>
      <c r="Z156" s="84"/>
      <c r="AA156" s="84"/>
      <c r="AB156" s="84"/>
      <c r="AC156" s="84"/>
      <c r="AD156" s="84"/>
      <c r="AE156" s="85"/>
      <c r="AF156" s="86"/>
      <c r="AG156" s="87"/>
      <c r="AH156" s="88"/>
    </row>
    <row r="157" spans="1:34" s="2" customFormat="1" x14ac:dyDescent="0.25">
      <c r="A157" s="155" t="str">
        <f t="shared" si="6"/>
        <v/>
      </c>
      <c r="B157" s="155" t="str">
        <f t="shared" si="5"/>
        <v/>
      </c>
      <c r="D157" s="77"/>
      <c r="E157" s="78"/>
      <c r="F157" s="133"/>
      <c r="G157" s="38"/>
      <c r="H157" s="39"/>
      <c r="I157" s="40"/>
      <c r="J157" s="41"/>
      <c r="K157" s="42"/>
      <c r="L157" s="43"/>
      <c r="M157" s="79"/>
      <c r="N157" s="80"/>
      <c r="O157" s="81"/>
      <c r="P157" s="82"/>
      <c r="Q157" s="83"/>
      <c r="R157" s="84"/>
      <c r="S157" s="79"/>
      <c r="T157" s="80"/>
      <c r="U157" s="81"/>
      <c r="V157" s="82"/>
      <c r="W157" s="83"/>
      <c r="X157" s="84"/>
      <c r="Y157" s="84"/>
      <c r="Z157" s="84"/>
      <c r="AA157" s="84"/>
      <c r="AB157" s="84"/>
      <c r="AC157" s="84"/>
      <c r="AD157" s="84"/>
      <c r="AE157" s="85"/>
      <c r="AF157" s="86"/>
      <c r="AG157" s="87"/>
      <c r="AH157" s="88"/>
    </row>
    <row r="158" spans="1:34" s="2" customFormat="1" x14ac:dyDescent="0.25">
      <c r="A158" s="155" t="str">
        <f t="shared" si="6"/>
        <v/>
      </c>
      <c r="B158" s="155" t="str">
        <f t="shared" si="5"/>
        <v/>
      </c>
      <c r="D158" s="77"/>
      <c r="E158" s="78"/>
      <c r="F158" s="133"/>
      <c r="G158" s="38"/>
      <c r="H158" s="39"/>
      <c r="I158" s="40"/>
      <c r="J158" s="41"/>
      <c r="K158" s="42"/>
      <c r="L158" s="43"/>
      <c r="M158" s="79"/>
      <c r="N158" s="80"/>
      <c r="O158" s="81"/>
      <c r="P158" s="82"/>
      <c r="Q158" s="83"/>
      <c r="R158" s="84"/>
      <c r="S158" s="79"/>
      <c r="T158" s="80"/>
      <c r="U158" s="81"/>
      <c r="V158" s="82"/>
      <c r="W158" s="83"/>
      <c r="X158" s="84"/>
      <c r="Y158" s="84"/>
      <c r="Z158" s="84"/>
      <c r="AA158" s="84"/>
      <c r="AB158" s="84"/>
      <c r="AC158" s="84"/>
      <c r="AD158" s="84"/>
      <c r="AE158" s="85"/>
      <c r="AF158" s="86"/>
      <c r="AG158" s="87"/>
      <c r="AH158" s="88"/>
    </row>
    <row r="159" spans="1:34" s="2" customFormat="1" x14ac:dyDescent="0.25">
      <c r="A159" s="155" t="str">
        <f t="shared" si="6"/>
        <v/>
      </c>
      <c r="B159" s="155" t="str">
        <f t="shared" si="5"/>
        <v/>
      </c>
      <c r="D159" s="77"/>
      <c r="E159" s="78"/>
      <c r="F159" s="133"/>
      <c r="G159" s="38"/>
      <c r="H159" s="39"/>
      <c r="I159" s="40"/>
      <c r="J159" s="41"/>
      <c r="K159" s="42"/>
      <c r="L159" s="43"/>
      <c r="M159" s="79"/>
      <c r="N159" s="80"/>
      <c r="O159" s="81"/>
      <c r="P159" s="82"/>
      <c r="Q159" s="83"/>
      <c r="R159" s="84"/>
      <c r="S159" s="79"/>
      <c r="T159" s="80"/>
      <c r="U159" s="81"/>
      <c r="V159" s="82"/>
      <c r="W159" s="83"/>
      <c r="X159" s="84"/>
      <c r="Y159" s="84"/>
      <c r="Z159" s="84"/>
      <c r="AA159" s="84"/>
      <c r="AB159" s="84"/>
      <c r="AC159" s="84"/>
      <c r="AD159" s="84"/>
      <c r="AE159" s="85"/>
      <c r="AF159" s="86"/>
      <c r="AG159" s="87"/>
      <c r="AH159" s="88"/>
    </row>
    <row r="160" spans="1:34" s="2" customFormat="1" x14ac:dyDescent="0.25">
      <c r="A160" s="155" t="str">
        <f t="shared" si="6"/>
        <v/>
      </c>
      <c r="B160" s="155" t="str">
        <f t="shared" si="5"/>
        <v/>
      </c>
      <c r="D160" s="77"/>
      <c r="E160" s="78"/>
      <c r="F160" s="133"/>
      <c r="G160" s="38"/>
      <c r="H160" s="39"/>
      <c r="I160" s="40"/>
      <c r="J160" s="41"/>
      <c r="K160" s="42"/>
      <c r="L160" s="43"/>
      <c r="M160" s="79"/>
      <c r="N160" s="80"/>
      <c r="O160" s="81"/>
      <c r="P160" s="82"/>
      <c r="Q160" s="83"/>
      <c r="R160" s="84"/>
      <c r="S160" s="79"/>
      <c r="T160" s="80"/>
      <c r="U160" s="81"/>
      <c r="V160" s="82"/>
      <c r="W160" s="83"/>
      <c r="X160" s="84"/>
      <c r="Y160" s="84"/>
      <c r="Z160" s="84"/>
      <c r="AA160" s="84"/>
      <c r="AB160" s="84"/>
      <c r="AC160" s="84"/>
      <c r="AD160" s="84"/>
      <c r="AE160" s="85"/>
      <c r="AF160" s="86"/>
      <c r="AG160" s="87"/>
      <c r="AH160" s="88"/>
    </row>
    <row r="161" spans="1:34" s="2" customFormat="1" x14ac:dyDescent="0.25">
      <c r="A161" s="155" t="str">
        <f t="shared" si="6"/>
        <v/>
      </c>
      <c r="B161" s="155" t="str">
        <f t="shared" si="5"/>
        <v/>
      </c>
      <c r="D161" s="77"/>
      <c r="E161" s="78"/>
      <c r="F161" s="133"/>
      <c r="G161" s="38"/>
      <c r="H161" s="39"/>
      <c r="I161" s="40"/>
      <c r="J161" s="41"/>
      <c r="K161" s="42"/>
      <c r="L161" s="43"/>
      <c r="M161" s="79"/>
      <c r="N161" s="80"/>
      <c r="O161" s="81"/>
      <c r="P161" s="82"/>
      <c r="Q161" s="83"/>
      <c r="R161" s="84"/>
      <c r="S161" s="79"/>
      <c r="T161" s="80"/>
      <c r="U161" s="81"/>
      <c r="V161" s="82"/>
      <c r="W161" s="83"/>
      <c r="X161" s="84"/>
      <c r="Y161" s="84"/>
      <c r="Z161" s="84"/>
      <c r="AA161" s="84"/>
      <c r="AB161" s="84"/>
      <c r="AC161" s="84"/>
      <c r="AD161" s="84"/>
      <c r="AE161" s="85"/>
      <c r="AF161" s="86"/>
      <c r="AG161" s="87"/>
      <c r="AH161" s="88"/>
    </row>
    <row r="162" spans="1:34" s="2" customFormat="1" x14ac:dyDescent="0.25">
      <c r="A162" s="155" t="str">
        <f t="shared" si="6"/>
        <v/>
      </c>
      <c r="B162" s="155" t="str">
        <f t="shared" si="5"/>
        <v/>
      </c>
      <c r="D162" s="77"/>
      <c r="E162" s="78"/>
      <c r="F162" s="133"/>
      <c r="G162" s="38"/>
      <c r="H162" s="39"/>
      <c r="I162" s="40"/>
      <c r="J162" s="41"/>
      <c r="K162" s="42"/>
      <c r="L162" s="43"/>
      <c r="M162" s="79"/>
      <c r="N162" s="80"/>
      <c r="O162" s="81"/>
      <c r="P162" s="82"/>
      <c r="Q162" s="83"/>
      <c r="R162" s="84"/>
      <c r="S162" s="79"/>
      <c r="T162" s="80"/>
      <c r="U162" s="81"/>
      <c r="V162" s="82"/>
      <c r="W162" s="83"/>
      <c r="X162" s="84"/>
      <c r="Y162" s="84"/>
      <c r="Z162" s="84"/>
      <c r="AA162" s="84"/>
      <c r="AB162" s="84"/>
      <c r="AC162" s="84"/>
      <c r="AD162" s="84"/>
      <c r="AE162" s="85"/>
      <c r="AF162" s="86"/>
      <c r="AG162" s="87"/>
      <c r="AH162" s="88"/>
    </row>
    <row r="163" spans="1:34" s="2" customFormat="1" x14ac:dyDescent="0.25">
      <c r="A163" s="155" t="str">
        <f t="shared" si="6"/>
        <v/>
      </c>
      <c r="B163" s="155" t="str">
        <f t="shared" si="5"/>
        <v/>
      </c>
      <c r="D163" s="77"/>
      <c r="E163" s="78"/>
      <c r="F163" s="133"/>
      <c r="G163" s="38"/>
      <c r="H163" s="39"/>
      <c r="I163" s="40"/>
      <c r="J163" s="41"/>
      <c r="K163" s="42"/>
      <c r="L163" s="43"/>
      <c r="M163" s="79"/>
      <c r="N163" s="80"/>
      <c r="O163" s="81"/>
      <c r="P163" s="82"/>
      <c r="Q163" s="83"/>
      <c r="R163" s="84"/>
      <c r="S163" s="79"/>
      <c r="T163" s="80"/>
      <c r="U163" s="81"/>
      <c r="V163" s="82"/>
      <c r="W163" s="83"/>
      <c r="X163" s="84"/>
      <c r="Y163" s="84"/>
      <c r="Z163" s="84"/>
      <c r="AA163" s="84"/>
      <c r="AB163" s="84"/>
      <c r="AC163" s="84"/>
      <c r="AD163" s="84"/>
      <c r="AE163" s="85"/>
      <c r="AF163" s="86"/>
      <c r="AG163" s="87"/>
      <c r="AH163" s="88"/>
    </row>
    <row r="164" spans="1:34" s="2" customFormat="1" x14ac:dyDescent="0.25">
      <c r="A164" s="155" t="str">
        <f t="shared" si="6"/>
        <v/>
      </c>
      <c r="B164" s="155" t="str">
        <f t="shared" si="5"/>
        <v/>
      </c>
      <c r="D164" s="77"/>
      <c r="E164" s="78"/>
      <c r="F164" s="133"/>
      <c r="G164" s="38"/>
      <c r="H164" s="39"/>
      <c r="I164" s="40"/>
      <c r="J164" s="41"/>
      <c r="K164" s="42"/>
      <c r="L164" s="43"/>
      <c r="M164" s="79"/>
      <c r="N164" s="80"/>
      <c r="O164" s="81"/>
      <c r="P164" s="82"/>
      <c r="Q164" s="83"/>
      <c r="R164" s="84"/>
      <c r="S164" s="79"/>
      <c r="T164" s="80"/>
      <c r="U164" s="81"/>
      <c r="V164" s="82"/>
      <c r="W164" s="83"/>
      <c r="X164" s="84"/>
      <c r="Y164" s="84"/>
      <c r="Z164" s="84"/>
      <c r="AA164" s="84"/>
      <c r="AB164" s="84"/>
      <c r="AC164" s="84"/>
      <c r="AD164" s="84"/>
      <c r="AE164" s="85"/>
      <c r="AF164" s="86"/>
      <c r="AG164" s="87"/>
      <c r="AH164" s="88"/>
    </row>
    <row r="165" spans="1:34" s="2" customFormat="1" x14ac:dyDescent="0.25">
      <c r="A165" s="155" t="str">
        <f t="shared" si="6"/>
        <v/>
      </c>
      <c r="B165" s="155" t="str">
        <f t="shared" si="5"/>
        <v/>
      </c>
      <c r="D165" s="77"/>
      <c r="E165" s="78"/>
      <c r="F165" s="133"/>
      <c r="G165" s="38"/>
      <c r="H165" s="39"/>
      <c r="I165" s="40"/>
      <c r="J165" s="41"/>
      <c r="K165" s="42"/>
      <c r="L165" s="43"/>
      <c r="M165" s="79"/>
      <c r="N165" s="80"/>
      <c r="O165" s="81"/>
      <c r="P165" s="82"/>
      <c r="Q165" s="83"/>
      <c r="R165" s="84"/>
      <c r="S165" s="79"/>
      <c r="T165" s="80"/>
      <c r="U165" s="81"/>
      <c r="V165" s="82"/>
      <c r="W165" s="83"/>
      <c r="X165" s="84"/>
      <c r="Y165" s="84"/>
      <c r="Z165" s="84"/>
      <c r="AA165" s="84"/>
      <c r="AB165" s="84"/>
      <c r="AC165" s="84"/>
      <c r="AD165" s="84"/>
      <c r="AE165" s="85"/>
      <c r="AF165" s="86"/>
      <c r="AG165" s="87"/>
      <c r="AH165" s="88"/>
    </row>
    <row r="166" spans="1:34" s="2" customFormat="1" x14ac:dyDescent="0.25">
      <c r="A166" s="155" t="str">
        <f t="shared" si="6"/>
        <v/>
      </c>
      <c r="B166" s="155" t="str">
        <f t="shared" si="5"/>
        <v/>
      </c>
      <c r="D166" s="77"/>
      <c r="E166" s="78"/>
      <c r="F166" s="133"/>
      <c r="G166" s="38"/>
      <c r="H166" s="39"/>
      <c r="I166" s="40"/>
      <c r="J166" s="41"/>
      <c r="K166" s="42"/>
      <c r="L166" s="43"/>
      <c r="M166" s="79"/>
      <c r="N166" s="80"/>
      <c r="O166" s="81"/>
      <c r="P166" s="82"/>
      <c r="Q166" s="83"/>
      <c r="R166" s="84"/>
      <c r="S166" s="79"/>
      <c r="T166" s="80"/>
      <c r="U166" s="81"/>
      <c r="V166" s="82"/>
      <c r="W166" s="83"/>
      <c r="X166" s="84"/>
      <c r="Y166" s="84"/>
      <c r="Z166" s="84"/>
      <c r="AA166" s="84"/>
      <c r="AB166" s="84"/>
      <c r="AC166" s="84"/>
      <c r="AD166" s="84"/>
      <c r="AE166" s="85"/>
      <c r="AF166" s="86"/>
      <c r="AG166" s="87"/>
      <c r="AH166" s="88"/>
    </row>
    <row r="167" spans="1:34" s="2" customFormat="1" x14ac:dyDescent="0.25">
      <c r="A167" s="155" t="str">
        <f t="shared" si="6"/>
        <v/>
      </c>
      <c r="B167" s="155" t="str">
        <f t="shared" si="5"/>
        <v/>
      </c>
      <c r="D167" s="77"/>
      <c r="E167" s="78"/>
      <c r="F167" s="133"/>
      <c r="G167" s="38"/>
      <c r="H167" s="39"/>
      <c r="I167" s="40"/>
      <c r="J167" s="41"/>
      <c r="K167" s="42"/>
      <c r="L167" s="43"/>
      <c r="M167" s="79"/>
      <c r="N167" s="80"/>
      <c r="O167" s="81"/>
      <c r="P167" s="82"/>
      <c r="Q167" s="83"/>
      <c r="R167" s="84"/>
      <c r="S167" s="79"/>
      <c r="T167" s="80"/>
      <c r="U167" s="81"/>
      <c r="V167" s="82"/>
      <c r="W167" s="83"/>
      <c r="X167" s="84"/>
      <c r="Y167" s="84"/>
      <c r="Z167" s="84"/>
      <c r="AA167" s="84"/>
      <c r="AB167" s="84"/>
      <c r="AC167" s="84"/>
      <c r="AD167" s="84"/>
      <c r="AE167" s="85"/>
      <c r="AF167" s="86"/>
      <c r="AG167" s="87"/>
      <c r="AH167" s="88"/>
    </row>
    <row r="168" spans="1:34" s="2" customFormat="1" x14ac:dyDescent="0.25">
      <c r="A168" s="155" t="str">
        <f t="shared" si="6"/>
        <v/>
      </c>
      <c r="B168" s="155" t="str">
        <f t="shared" si="5"/>
        <v/>
      </c>
      <c r="D168" s="77"/>
      <c r="E168" s="78"/>
      <c r="F168" s="133"/>
      <c r="G168" s="38"/>
      <c r="H168" s="39"/>
      <c r="I168" s="40"/>
      <c r="J168" s="41"/>
      <c r="K168" s="42"/>
      <c r="L168" s="43"/>
      <c r="M168" s="79"/>
      <c r="N168" s="80"/>
      <c r="O168" s="81"/>
      <c r="P168" s="82"/>
      <c r="Q168" s="83"/>
      <c r="R168" s="84"/>
      <c r="S168" s="79"/>
      <c r="T168" s="80"/>
      <c r="U168" s="81"/>
      <c r="V168" s="82"/>
      <c r="W168" s="83"/>
      <c r="X168" s="84"/>
      <c r="Y168" s="84"/>
      <c r="Z168" s="84"/>
      <c r="AA168" s="84"/>
      <c r="AB168" s="84"/>
      <c r="AC168" s="84"/>
      <c r="AD168" s="84"/>
      <c r="AE168" s="85"/>
      <c r="AF168" s="86"/>
      <c r="AG168" s="87"/>
      <c r="AH168" s="88"/>
    </row>
    <row r="169" spans="1:34" s="2" customFormat="1" x14ac:dyDescent="0.25">
      <c r="A169" s="155" t="str">
        <f t="shared" si="6"/>
        <v/>
      </c>
      <c r="B169" s="155" t="str">
        <f t="shared" si="5"/>
        <v/>
      </c>
      <c r="D169" s="77"/>
      <c r="E169" s="78"/>
      <c r="F169" s="133"/>
      <c r="G169" s="38"/>
      <c r="H169" s="39"/>
      <c r="I169" s="40"/>
      <c r="J169" s="41"/>
      <c r="K169" s="42"/>
      <c r="L169" s="43"/>
      <c r="M169" s="79"/>
      <c r="N169" s="80"/>
      <c r="O169" s="81"/>
      <c r="P169" s="82"/>
      <c r="Q169" s="83"/>
      <c r="R169" s="84"/>
      <c r="S169" s="79"/>
      <c r="T169" s="80"/>
      <c r="U169" s="81"/>
      <c r="V169" s="82"/>
      <c r="W169" s="83"/>
      <c r="X169" s="84"/>
      <c r="Y169" s="84"/>
      <c r="Z169" s="84"/>
      <c r="AA169" s="84"/>
      <c r="AB169" s="84"/>
      <c r="AC169" s="84"/>
      <c r="AD169" s="84"/>
      <c r="AE169" s="85"/>
      <c r="AF169" s="86"/>
      <c r="AG169" s="87"/>
      <c r="AH169" s="88"/>
    </row>
    <row r="170" spans="1:34" x14ac:dyDescent="0.25">
      <c r="A170" s="155" t="str">
        <f t="shared" si="6"/>
        <v/>
      </c>
      <c r="B170" s="155" t="str">
        <f t="shared" si="5"/>
        <v/>
      </c>
      <c r="D170" s="77"/>
      <c r="E170" s="78"/>
      <c r="F170" s="133"/>
      <c r="G170" s="38"/>
      <c r="H170" s="39"/>
      <c r="I170" s="40"/>
      <c r="J170" s="41"/>
      <c r="K170" s="42"/>
      <c r="L170" s="43"/>
      <c r="M170" s="79"/>
      <c r="N170" s="80"/>
      <c r="O170" s="81"/>
      <c r="P170" s="82"/>
      <c r="Q170" s="83"/>
      <c r="R170" s="84"/>
      <c r="S170" s="79"/>
      <c r="T170" s="80"/>
      <c r="U170" s="81"/>
      <c r="V170" s="82"/>
      <c r="W170" s="83"/>
      <c r="X170" s="84"/>
      <c r="Y170" s="84"/>
      <c r="Z170" s="84"/>
      <c r="AA170" s="84"/>
      <c r="AB170" s="84"/>
      <c r="AC170" s="84"/>
      <c r="AD170" s="84"/>
      <c r="AE170" s="85"/>
      <c r="AF170" s="86"/>
      <c r="AG170" s="87"/>
      <c r="AH170" s="88"/>
    </row>
    <row r="171" spans="1:34" x14ac:dyDescent="0.25">
      <c r="A171" s="155" t="str">
        <f t="shared" si="6"/>
        <v/>
      </c>
      <c r="B171" s="155" t="str">
        <f t="shared" si="5"/>
        <v/>
      </c>
      <c r="D171" s="77"/>
      <c r="E171" s="78"/>
      <c r="F171" s="133"/>
      <c r="G171" s="38"/>
      <c r="H171" s="39"/>
      <c r="I171" s="40"/>
      <c r="J171" s="41"/>
      <c r="K171" s="42"/>
      <c r="L171" s="43"/>
      <c r="M171" s="79"/>
      <c r="N171" s="80"/>
      <c r="O171" s="81"/>
      <c r="P171" s="82"/>
      <c r="Q171" s="83"/>
      <c r="R171" s="84"/>
      <c r="S171" s="79"/>
      <c r="T171" s="80"/>
      <c r="U171" s="81"/>
      <c r="V171" s="82"/>
      <c r="W171" s="83"/>
      <c r="X171" s="84"/>
      <c r="Y171" s="84"/>
      <c r="Z171" s="84"/>
      <c r="AA171" s="84"/>
      <c r="AB171" s="84"/>
      <c r="AC171" s="84"/>
      <c r="AD171" s="84"/>
      <c r="AE171" s="85"/>
      <c r="AF171" s="86"/>
      <c r="AG171" s="87"/>
      <c r="AH171" s="88"/>
    </row>
    <row r="172" spans="1:34" x14ac:dyDescent="0.25">
      <c r="A172" s="155" t="str">
        <f t="shared" si="6"/>
        <v/>
      </c>
      <c r="B172" s="155" t="str">
        <f t="shared" si="5"/>
        <v/>
      </c>
      <c r="D172" s="77"/>
      <c r="E172" s="78"/>
      <c r="F172" s="133"/>
      <c r="G172" s="38"/>
      <c r="H172" s="39"/>
      <c r="I172" s="40"/>
      <c r="J172" s="41"/>
      <c r="K172" s="42"/>
      <c r="L172" s="43"/>
      <c r="M172" s="79"/>
      <c r="N172" s="80"/>
      <c r="O172" s="81"/>
      <c r="P172" s="82"/>
      <c r="Q172" s="83"/>
      <c r="R172" s="84"/>
      <c r="S172" s="79"/>
      <c r="T172" s="80"/>
      <c r="U172" s="81"/>
      <c r="V172" s="82"/>
      <c r="W172" s="83"/>
      <c r="X172" s="84"/>
      <c r="Y172" s="84"/>
      <c r="Z172" s="84"/>
      <c r="AA172" s="84"/>
      <c r="AB172" s="84"/>
      <c r="AC172" s="84"/>
      <c r="AD172" s="84"/>
      <c r="AE172" s="85"/>
      <c r="AF172" s="86"/>
      <c r="AG172" s="87"/>
      <c r="AH172" s="88"/>
    </row>
    <row r="173" spans="1:34" x14ac:dyDescent="0.25">
      <c r="A173" s="155" t="str">
        <f t="shared" si="6"/>
        <v/>
      </c>
      <c r="B173" s="155" t="str">
        <f t="shared" si="5"/>
        <v/>
      </c>
      <c r="D173" s="77"/>
      <c r="E173" s="78"/>
      <c r="F173" s="133"/>
      <c r="G173" s="38"/>
      <c r="H173" s="39"/>
      <c r="I173" s="40"/>
      <c r="J173" s="41"/>
      <c r="K173" s="42"/>
      <c r="L173" s="43"/>
      <c r="M173" s="79"/>
      <c r="N173" s="80"/>
      <c r="O173" s="81"/>
      <c r="P173" s="82"/>
      <c r="Q173" s="83"/>
      <c r="R173" s="84"/>
      <c r="S173" s="79"/>
      <c r="T173" s="80"/>
      <c r="U173" s="81"/>
      <c r="V173" s="82"/>
      <c r="W173" s="83"/>
      <c r="X173" s="84"/>
      <c r="Y173" s="84"/>
      <c r="Z173" s="84"/>
      <c r="AA173" s="84"/>
      <c r="AB173" s="84"/>
      <c r="AC173" s="84"/>
      <c r="AD173" s="84"/>
      <c r="AE173" s="85"/>
      <c r="AF173" s="86"/>
      <c r="AG173" s="87"/>
      <c r="AH173" s="88"/>
    </row>
    <row r="174" spans="1:34" x14ac:dyDescent="0.25">
      <c r="A174" s="155" t="str">
        <f t="shared" si="6"/>
        <v/>
      </c>
      <c r="B174" s="155" t="str">
        <f t="shared" si="5"/>
        <v/>
      </c>
      <c r="D174" s="77"/>
      <c r="E174" s="78"/>
      <c r="F174" s="133"/>
      <c r="G174" s="38"/>
      <c r="H174" s="39"/>
      <c r="I174" s="40"/>
      <c r="J174" s="41"/>
      <c r="K174" s="42"/>
      <c r="L174" s="43"/>
      <c r="M174" s="79"/>
      <c r="N174" s="80"/>
      <c r="O174" s="81"/>
      <c r="P174" s="82"/>
      <c r="Q174" s="83"/>
      <c r="R174" s="84"/>
      <c r="S174" s="79"/>
      <c r="T174" s="80"/>
      <c r="U174" s="81"/>
      <c r="V174" s="82"/>
      <c r="W174" s="83"/>
      <c r="X174" s="84"/>
      <c r="Y174" s="84"/>
      <c r="Z174" s="84"/>
      <c r="AA174" s="84"/>
      <c r="AB174" s="84"/>
      <c r="AC174" s="84"/>
      <c r="AD174" s="84"/>
      <c r="AE174" s="85"/>
      <c r="AF174" s="86"/>
      <c r="AG174" s="87"/>
      <c r="AH174" s="88"/>
    </row>
    <row r="175" spans="1:34" x14ac:dyDescent="0.25">
      <c r="A175" s="155" t="str">
        <f t="shared" si="6"/>
        <v/>
      </c>
      <c r="B175" s="155" t="str">
        <f t="shared" si="5"/>
        <v/>
      </c>
      <c r="D175" s="77"/>
      <c r="E175" s="78"/>
      <c r="F175" s="133"/>
      <c r="G175" s="38"/>
      <c r="H175" s="39"/>
      <c r="I175" s="40"/>
      <c r="J175" s="41"/>
      <c r="K175" s="42"/>
      <c r="L175" s="43"/>
      <c r="M175" s="79"/>
      <c r="N175" s="80"/>
      <c r="O175" s="81"/>
      <c r="P175" s="82"/>
      <c r="Q175" s="83"/>
      <c r="R175" s="84"/>
      <c r="S175" s="79"/>
      <c r="T175" s="80"/>
      <c r="U175" s="81"/>
      <c r="V175" s="82"/>
      <c r="W175" s="83"/>
      <c r="X175" s="84"/>
      <c r="Y175" s="84"/>
      <c r="Z175" s="84"/>
      <c r="AA175" s="84"/>
      <c r="AB175" s="84"/>
      <c r="AC175" s="84"/>
      <c r="AD175" s="84"/>
      <c r="AE175" s="85"/>
      <c r="AF175" s="86"/>
      <c r="AG175" s="87"/>
      <c r="AH175" s="88"/>
    </row>
    <row r="176" spans="1:34" x14ac:dyDescent="0.25">
      <c r="A176" s="155" t="str">
        <f t="shared" si="6"/>
        <v/>
      </c>
      <c r="B176" s="155" t="str">
        <f t="shared" si="5"/>
        <v/>
      </c>
      <c r="D176" s="77"/>
      <c r="E176" s="78"/>
      <c r="F176" s="133"/>
      <c r="G176" s="38"/>
      <c r="H176" s="39"/>
      <c r="I176" s="40"/>
      <c r="J176" s="41"/>
      <c r="K176" s="42"/>
      <c r="L176" s="43"/>
      <c r="M176" s="79"/>
      <c r="N176" s="80"/>
      <c r="O176" s="81"/>
      <c r="P176" s="82"/>
      <c r="Q176" s="83"/>
      <c r="R176" s="84"/>
      <c r="S176" s="79"/>
      <c r="T176" s="80"/>
      <c r="U176" s="81"/>
      <c r="V176" s="82"/>
      <c r="W176" s="83"/>
      <c r="X176" s="84"/>
      <c r="Y176" s="84"/>
      <c r="Z176" s="84"/>
      <c r="AA176" s="84"/>
      <c r="AB176" s="84"/>
      <c r="AC176" s="84"/>
      <c r="AD176" s="84"/>
      <c r="AE176" s="85"/>
      <c r="AF176" s="86"/>
      <c r="AG176" s="87"/>
      <c r="AH176" s="88"/>
    </row>
    <row r="177" spans="1:34" x14ac:dyDescent="0.25">
      <c r="A177" s="155" t="str">
        <f t="shared" si="6"/>
        <v/>
      </c>
      <c r="B177" s="155" t="str">
        <f t="shared" si="5"/>
        <v/>
      </c>
      <c r="D177" s="77"/>
      <c r="E177" s="78"/>
      <c r="F177" s="133"/>
      <c r="G177" s="38"/>
      <c r="H177" s="39"/>
      <c r="I177" s="40"/>
      <c r="J177" s="41"/>
      <c r="K177" s="42"/>
      <c r="L177" s="43"/>
      <c r="M177" s="79"/>
      <c r="N177" s="80"/>
      <c r="O177" s="81"/>
      <c r="P177" s="82"/>
      <c r="Q177" s="83"/>
      <c r="R177" s="84"/>
      <c r="S177" s="79"/>
      <c r="T177" s="80"/>
      <c r="U177" s="81"/>
      <c r="V177" s="82"/>
      <c r="W177" s="83"/>
      <c r="X177" s="84"/>
      <c r="Y177" s="84"/>
      <c r="Z177" s="84"/>
      <c r="AA177" s="84"/>
      <c r="AB177" s="84"/>
      <c r="AC177" s="84"/>
      <c r="AD177" s="84"/>
      <c r="AE177" s="85"/>
      <c r="AF177" s="86"/>
      <c r="AG177" s="87"/>
      <c r="AH177" s="88"/>
    </row>
    <row r="178" spans="1:34" x14ac:dyDescent="0.25">
      <c r="A178" s="155" t="str">
        <f t="shared" si="6"/>
        <v/>
      </c>
      <c r="B178" s="155" t="str">
        <f t="shared" si="5"/>
        <v/>
      </c>
      <c r="D178" s="77"/>
      <c r="E178" s="78"/>
      <c r="F178" s="133"/>
      <c r="G178" s="38"/>
      <c r="H178" s="39"/>
      <c r="I178" s="40"/>
      <c r="J178" s="41"/>
      <c r="K178" s="42"/>
      <c r="L178" s="43"/>
      <c r="M178" s="79"/>
      <c r="N178" s="80"/>
      <c r="O178" s="81"/>
      <c r="P178" s="82"/>
      <c r="Q178" s="83"/>
      <c r="R178" s="84"/>
      <c r="S178" s="79"/>
      <c r="T178" s="80"/>
      <c r="U178" s="81"/>
      <c r="V178" s="82"/>
      <c r="W178" s="83"/>
      <c r="X178" s="84"/>
      <c r="Y178" s="84"/>
      <c r="Z178" s="84"/>
      <c r="AA178" s="84"/>
      <c r="AB178" s="84"/>
      <c r="AC178" s="84"/>
      <c r="AD178" s="84"/>
      <c r="AE178" s="85"/>
      <c r="AF178" s="86"/>
      <c r="AG178" s="87"/>
      <c r="AH178" s="88"/>
    </row>
    <row r="179" spans="1:34" x14ac:dyDescent="0.25">
      <c r="A179" s="155" t="str">
        <f t="shared" si="6"/>
        <v/>
      </c>
      <c r="B179" s="155" t="str">
        <f t="shared" si="5"/>
        <v/>
      </c>
      <c r="D179" s="77"/>
      <c r="E179" s="78"/>
      <c r="F179" s="133"/>
      <c r="G179" s="38"/>
      <c r="H179" s="39"/>
      <c r="I179" s="40"/>
      <c r="J179" s="41"/>
      <c r="K179" s="42"/>
      <c r="L179" s="43"/>
      <c r="M179" s="79"/>
      <c r="N179" s="80"/>
      <c r="O179" s="81"/>
      <c r="P179" s="82"/>
      <c r="Q179" s="83"/>
      <c r="R179" s="84"/>
      <c r="S179" s="79"/>
      <c r="T179" s="80"/>
      <c r="U179" s="81"/>
      <c r="V179" s="82"/>
      <c r="W179" s="83"/>
      <c r="X179" s="84"/>
      <c r="Y179" s="84"/>
      <c r="Z179" s="84"/>
      <c r="AA179" s="84"/>
      <c r="AB179" s="84"/>
      <c r="AC179" s="84"/>
      <c r="AD179" s="84"/>
      <c r="AE179" s="85"/>
      <c r="AF179" s="86"/>
      <c r="AG179" s="87"/>
      <c r="AH179" s="88"/>
    </row>
    <row r="180" spans="1:34" x14ac:dyDescent="0.25">
      <c r="A180" s="155" t="str">
        <f t="shared" si="6"/>
        <v/>
      </c>
      <c r="B180" s="155" t="str">
        <f t="shared" si="5"/>
        <v/>
      </c>
      <c r="D180" s="77"/>
      <c r="E180" s="78"/>
      <c r="F180" s="133"/>
      <c r="G180" s="38"/>
      <c r="H180" s="39"/>
      <c r="I180" s="40"/>
      <c r="J180" s="41"/>
      <c r="K180" s="42"/>
      <c r="L180" s="43"/>
      <c r="M180" s="79"/>
      <c r="N180" s="80"/>
      <c r="O180" s="81"/>
      <c r="P180" s="82"/>
      <c r="Q180" s="83"/>
      <c r="R180" s="84"/>
      <c r="S180" s="79"/>
      <c r="T180" s="80"/>
      <c r="U180" s="81"/>
      <c r="V180" s="82"/>
      <c r="W180" s="83"/>
      <c r="X180" s="84"/>
      <c r="Y180" s="84"/>
      <c r="Z180" s="84"/>
      <c r="AA180" s="84"/>
      <c r="AB180" s="84"/>
      <c r="AC180" s="84"/>
      <c r="AD180" s="84"/>
      <c r="AE180" s="85"/>
      <c r="AF180" s="86"/>
      <c r="AG180" s="87"/>
      <c r="AH180" s="88"/>
    </row>
    <row r="181" spans="1:34" x14ac:dyDescent="0.25">
      <c r="A181" s="155" t="str">
        <f t="shared" si="6"/>
        <v/>
      </c>
      <c r="B181" s="155" t="str">
        <f t="shared" si="5"/>
        <v/>
      </c>
      <c r="D181" s="77"/>
      <c r="E181" s="78"/>
      <c r="F181" s="133"/>
      <c r="G181" s="38"/>
      <c r="H181" s="39"/>
      <c r="I181" s="40"/>
      <c r="J181" s="41"/>
      <c r="K181" s="42"/>
      <c r="L181" s="43"/>
      <c r="M181" s="79"/>
      <c r="N181" s="80"/>
      <c r="O181" s="81"/>
      <c r="P181" s="82"/>
      <c r="Q181" s="83"/>
      <c r="R181" s="84"/>
      <c r="S181" s="79"/>
      <c r="T181" s="80"/>
      <c r="U181" s="81"/>
      <c r="V181" s="82"/>
      <c r="W181" s="83"/>
      <c r="X181" s="84"/>
      <c r="Y181" s="84"/>
      <c r="Z181" s="84"/>
      <c r="AA181" s="84"/>
      <c r="AB181" s="84"/>
      <c r="AC181" s="84"/>
      <c r="AD181" s="84"/>
      <c r="AE181" s="85"/>
      <c r="AF181" s="86"/>
      <c r="AG181" s="87"/>
      <c r="AH181" s="88"/>
    </row>
    <row r="182" spans="1:34" x14ac:dyDescent="0.25">
      <c r="A182" s="155" t="str">
        <f t="shared" si="6"/>
        <v/>
      </c>
      <c r="B182" s="155" t="str">
        <f t="shared" si="5"/>
        <v/>
      </c>
      <c r="D182" s="77"/>
      <c r="E182" s="78"/>
      <c r="F182" s="133"/>
      <c r="G182" s="38"/>
      <c r="H182" s="39"/>
      <c r="I182" s="40"/>
      <c r="J182" s="41"/>
      <c r="K182" s="42"/>
      <c r="L182" s="43"/>
      <c r="M182" s="79"/>
      <c r="N182" s="80"/>
      <c r="O182" s="81"/>
      <c r="P182" s="82"/>
      <c r="Q182" s="83"/>
      <c r="R182" s="84"/>
      <c r="S182" s="79"/>
      <c r="T182" s="80"/>
      <c r="U182" s="81"/>
      <c r="V182" s="82"/>
      <c r="W182" s="83"/>
      <c r="X182" s="84"/>
      <c r="Y182" s="84"/>
      <c r="Z182" s="84"/>
      <c r="AA182" s="84"/>
      <c r="AB182" s="84"/>
      <c r="AC182" s="84"/>
      <c r="AD182" s="84"/>
      <c r="AE182" s="85"/>
      <c r="AF182" s="86"/>
      <c r="AG182" s="87"/>
      <c r="AH182" s="88"/>
    </row>
    <row r="183" spans="1:34" x14ac:dyDescent="0.25">
      <c r="A183" s="155" t="str">
        <f t="shared" si="6"/>
        <v/>
      </c>
      <c r="B183" s="155" t="str">
        <f t="shared" si="5"/>
        <v/>
      </c>
      <c r="D183" s="77"/>
      <c r="E183" s="78"/>
      <c r="F183" s="133"/>
      <c r="G183" s="38"/>
      <c r="H183" s="39"/>
      <c r="I183" s="40"/>
      <c r="J183" s="41"/>
      <c r="K183" s="42"/>
      <c r="L183" s="43"/>
      <c r="M183" s="79"/>
      <c r="N183" s="80"/>
      <c r="O183" s="81"/>
      <c r="P183" s="82"/>
      <c r="Q183" s="83"/>
      <c r="R183" s="84"/>
      <c r="S183" s="79"/>
      <c r="T183" s="80"/>
      <c r="U183" s="81"/>
      <c r="V183" s="82"/>
      <c r="W183" s="83"/>
      <c r="X183" s="84"/>
      <c r="Y183" s="84"/>
      <c r="Z183" s="84"/>
      <c r="AA183" s="84"/>
      <c r="AB183" s="84"/>
      <c r="AC183" s="84"/>
      <c r="AD183" s="84"/>
      <c r="AE183" s="85"/>
      <c r="AF183" s="86"/>
      <c r="AG183" s="87"/>
      <c r="AH183" s="88"/>
    </row>
    <row r="184" spans="1:34" x14ac:dyDescent="0.25">
      <c r="A184" s="155" t="str">
        <f t="shared" si="6"/>
        <v/>
      </c>
      <c r="B184" s="155" t="str">
        <f t="shared" si="5"/>
        <v/>
      </c>
      <c r="D184" s="77"/>
      <c r="E184" s="78"/>
      <c r="F184" s="133"/>
      <c r="G184" s="38"/>
      <c r="H184" s="39"/>
      <c r="I184" s="40"/>
      <c r="J184" s="41"/>
      <c r="K184" s="42"/>
      <c r="L184" s="43"/>
      <c r="M184" s="79"/>
      <c r="N184" s="80"/>
      <c r="O184" s="81"/>
      <c r="P184" s="82"/>
      <c r="Q184" s="83"/>
      <c r="R184" s="84"/>
      <c r="S184" s="79"/>
      <c r="T184" s="80"/>
      <c r="U184" s="81"/>
      <c r="V184" s="82"/>
      <c r="W184" s="83"/>
      <c r="X184" s="84"/>
      <c r="Y184" s="84"/>
      <c r="Z184" s="84"/>
      <c r="AA184" s="84"/>
      <c r="AB184" s="84"/>
      <c r="AC184" s="84"/>
      <c r="AD184" s="84"/>
      <c r="AE184" s="85"/>
      <c r="AF184" s="86"/>
      <c r="AG184" s="87"/>
      <c r="AH184" s="88"/>
    </row>
    <row r="185" spans="1:34" x14ac:dyDescent="0.25">
      <c r="A185" s="155" t="str">
        <f t="shared" si="6"/>
        <v/>
      </c>
      <c r="B185" s="155" t="str">
        <f t="shared" si="5"/>
        <v/>
      </c>
      <c r="D185" s="77"/>
      <c r="E185" s="78"/>
      <c r="F185" s="133"/>
      <c r="G185" s="38"/>
      <c r="H185" s="39"/>
      <c r="I185" s="40"/>
      <c r="J185" s="41"/>
      <c r="K185" s="42"/>
      <c r="L185" s="43"/>
      <c r="M185" s="79"/>
      <c r="N185" s="80"/>
      <c r="O185" s="81"/>
      <c r="P185" s="82"/>
      <c r="Q185" s="83"/>
      <c r="R185" s="84"/>
      <c r="S185" s="79"/>
      <c r="T185" s="80"/>
      <c r="U185" s="81"/>
      <c r="V185" s="82"/>
      <c r="W185" s="83"/>
      <c r="X185" s="84"/>
      <c r="Y185" s="84"/>
      <c r="Z185" s="84"/>
      <c r="AA185" s="84"/>
      <c r="AB185" s="84"/>
      <c r="AC185" s="84"/>
      <c r="AD185" s="84"/>
      <c r="AE185" s="85"/>
      <c r="AF185" s="86"/>
      <c r="AG185" s="87"/>
      <c r="AH185" s="88"/>
    </row>
    <row r="186" spans="1:34" x14ac:dyDescent="0.25">
      <c r="A186" s="155" t="str">
        <f t="shared" si="6"/>
        <v/>
      </c>
      <c r="B186" s="155" t="str">
        <f t="shared" si="5"/>
        <v/>
      </c>
      <c r="D186" s="77"/>
      <c r="E186" s="78"/>
      <c r="F186" s="133"/>
      <c r="G186" s="38"/>
      <c r="H186" s="39"/>
      <c r="I186" s="40"/>
      <c r="J186" s="41"/>
      <c r="K186" s="42"/>
      <c r="L186" s="43"/>
      <c r="M186" s="79"/>
      <c r="N186" s="80"/>
      <c r="O186" s="81"/>
      <c r="P186" s="82"/>
      <c r="Q186" s="83"/>
      <c r="R186" s="84"/>
      <c r="S186" s="79"/>
      <c r="T186" s="80"/>
      <c r="U186" s="81"/>
      <c r="V186" s="82"/>
      <c r="W186" s="83"/>
      <c r="X186" s="84"/>
      <c r="Y186" s="84"/>
      <c r="Z186" s="84"/>
      <c r="AA186" s="84"/>
      <c r="AB186" s="84"/>
      <c r="AC186" s="84"/>
      <c r="AD186" s="84"/>
      <c r="AE186" s="85"/>
      <c r="AF186" s="86"/>
      <c r="AG186" s="87"/>
      <c r="AH186" s="88"/>
    </row>
    <row r="187" spans="1:34" x14ac:dyDescent="0.25">
      <c r="A187" s="155" t="str">
        <f t="shared" si="6"/>
        <v/>
      </c>
      <c r="B187" s="155" t="str">
        <f t="shared" si="5"/>
        <v/>
      </c>
      <c r="D187" s="77"/>
      <c r="E187" s="78"/>
      <c r="F187" s="133"/>
      <c r="G187" s="38"/>
      <c r="H187" s="39"/>
      <c r="I187" s="40"/>
      <c r="J187" s="41"/>
      <c r="K187" s="42"/>
      <c r="L187" s="43"/>
      <c r="M187" s="79"/>
      <c r="N187" s="80"/>
      <c r="O187" s="81"/>
      <c r="P187" s="82"/>
      <c r="Q187" s="83"/>
      <c r="R187" s="84"/>
      <c r="S187" s="79"/>
      <c r="T187" s="80"/>
      <c r="U187" s="81"/>
      <c r="V187" s="82"/>
      <c r="W187" s="83"/>
      <c r="X187" s="84"/>
      <c r="Y187" s="84"/>
      <c r="Z187" s="84"/>
      <c r="AA187" s="84"/>
      <c r="AB187" s="84"/>
      <c r="AC187" s="84"/>
      <c r="AD187" s="84"/>
      <c r="AE187" s="85"/>
      <c r="AF187" s="86"/>
      <c r="AG187" s="87"/>
      <c r="AH187" s="88"/>
    </row>
    <row r="188" spans="1:34" x14ac:dyDescent="0.25">
      <c r="A188" s="155" t="str">
        <f t="shared" si="6"/>
        <v/>
      </c>
      <c r="B188" s="155" t="str">
        <f t="shared" si="5"/>
        <v/>
      </c>
      <c r="D188" s="77"/>
      <c r="E188" s="78"/>
      <c r="F188" s="133"/>
      <c r="G188" s="38"/>
      <c r="H188" s="39"/>
      <c r="I188" s="40"/>
      <c r="J188" s="41"/>
      <c r="K188" s="42"/>
      <c r="L188" s="43"/>
      <c r="M188" s="79"/>
      <c r="N188" s="80"/>
      <c r="O188" s="81"/>
      <c r="P188" s="82"/>
      <c r="Q188" s="83"/>
      <c r="R188" s="84"/>
      <c r="S188" s="79"/>
      <c r="T188" s="80"/>
      <c r="U188" s="81"/>
      <c r="V188" s="82"/>
      <c r="W188" s="83"/>
      <c r="X188" s="84"/>
      <c r="Y188" s="84"/>
      <c r="Z188" s="84"/>
      <c r="AA188" s="84"/>
      <c r="AB188" s="84"/>
      <c r="AC188" s="84"/>
      <c r="AD188" s="84"/>
      <c r="AE188" s="85"/>
      <c r="AF188" s="86"/>
      <c r="AG188" s="87"/>
      <c r="AH188" s="88"/>
    </row>
    <row r="189" spans="1:34" x14ac:dyDescent="0.25">
      <c r="A189" s="155" t="str">
        <f t="shared" si="6"/>
        <v/>
      </c>
      <c r="B189" s="155" t="str">
        <f t="shared" si="5"/>
        <v/>
      </c>
      <c r="D189" s="77"/>
      <c r="E189" s="78"/>
      <c r="F189" s="133"/>
      <c r="G189" s="38"/>
      <c r="H189" s="39"/>
      <c r="I189" s="40"/>
      <c r="J189" s="41"/>
      <c r="K189" s="42"/>
      <c r="L189" s="43"/>
      <c r="M189" s="79"/>
      <c r="N189" s="80"/>
      <c r="O189" s="81"/>
      <c r="P189" s="82"/>
      <c r="Q189" s="83"/>
      <c r="R189" s="84"/>
      <c r="S189" s="79"/>
      <c r="T189" s="80"/>
      <c r="U189" s="81"/>
      <c r="V189" s="82"/>
      <c r="W189" s="83"/>
      <c r="X189" s="84"/>
      <c r="Y189" s="84"/>
      <c r="Z189" s="84"/>
      <c r="AA189" s="84"/>
      <c r="AB189" s="84"/>
      <c r="AC189" s="84"/>
      <c r="AD189" s="84"/>
      <c r="AE189" s="85"/>
      <c r="AF189" s="86"/>
      <c r="AG189" s="87"/>
      <c r="AH189" s="88"/>
    </row>
    <row r="190" spans="1:34" x14ac:dyDescent="0.25">
      <c r="A190" s="155" t="str">
        <f t="shared" si="6"/>
        <v/>
      </c>
      <c r="B190" s="155" t="str">
        <f t="shared" si="5"/>
        <v/>
      </c>
      <c r="D190" s="77"/>
      <c r="E190" s="78"/>
      <c r="F190" s="133"/>
      <c r="G190" s="38"/>
      <c r="H190" s="39"/>
      <c r="I190" s="40"/>
      <c r="J190" s="41"/>
      <c r="K190" s="42"/>
      <c r="L190" s="43"/>
      <c r="M190" s="79"/>
      <c r="N190" s="80"/>
      <c r="O190" s="81"/>
      <c r="P190" s="82"/>
      <c r="Q190" s="83"/>
      <c r="R190" s="84"/>
      <c r="S190" s="79"/>
      <c r="T190" s="80"/>
      <c r="U190" s="81"/>
      <c r="V190" s="82"/>
      <c r="W190" s="83"/>
      <c r="X190" s="84"/>
      <c r="Y190" s="84"/>
      <c r="Z190" s="84"/>
      <c r="AA190" s="84"/>
      <c r="AB190" s="84"/>
      <c r="AC190" s="84"/>
      <c r="AD190" s="84"/>
      <c r="AE190" s="85"/>
      <c r="AF190" s="86"/>
      <c r="AG190" s="87"/>
      <c r="AH190" s="88"/>
    </row>
    <row r="191" spans="1:34" x14ac:dyDescent="0.25">
      <c r="A191" s="155" t="str">
        <f t="shared" si="6"/>
        <v/>
      </c>
      <c r="B191" s="155" t="str">
        <f t="shared" si="5"/>
        <v/>
      </c>
      <c r="D191" s="77"/>
      <c r="E191" s="78"/>
      <c r="F191" s="133"/>
      <c r="G191" s="38"/>
      <c r="H191" s="39"/>
      <c r="I191" s="40"/>
      <c r="J191" s="41"/>
      <c r="K191" s="42"/>
      <c r="L191" s="43"/>
      <c r="M191" s="79"/>
      <c r="N191" s="80"/>
      <c r="O191" s="81"/>
      <c r="P191" s="82"/>
      <c r="Q191" s="83"/>
      <c r="R191" s="84"/>
      <c r="S191" s="79"/>
      <c r="T191" s="80"/>
      <c r="U191" s="81"/>
      <c r="V191" s="82"/>
      <c r="W191" s="83"/>
      <c r="X191" s="84"/>
      <c r="Y191" s="84"/>
      <c r="Z191" s="84"/>
      <c r="AA191" s="84"/>
      <c r="AB191" s="84"/>
      <c r="AC191" s="84"/>
      <c r="AD191" s="84"/>
      <c r="AE191" s="85"/>
      <c r="AF191" s="86"/>
      <c r="AG191" s="87"/>
      <c r="AH191" s="88"/>
    </row>
    <row r="192" spans="1:34" x14ac:dyDescent="0.25">
      <c r="A192" s="155" t="str">
        <f t="shared" si="6"/>
        <v/>
      </c>
      <c r="B192" s="155" t="str">
        <f t="shared" si="5"/>
        <v/>
      </c>
      <c r="D192" s="77"/>
      <c r="E192" s="78"/>
      <c r="F192" s="133"/>
      <c r="G192" s="38"/>
      <c r="H192" s="39"/>
      <c r="I192" s="40"/>
      <c r="J192" s="41"/>
      <c r="K192" s="42"/>
      <c r="L192" s="43"/>
      <c r="M192" s="79"/>
      <c r="N192" s="80"/>
      <c r="O192" s="81"/>
      <c r="P192" s="82"/>
      <c r="Q192" s="83"/>
      <c r="R192" s="84"/>
      <c r="S192" s="79"/>
      <c r="T192" s="80"/>
      <c r="U192" s="81"/>
      <c r="V192" s="82"/>
      <c r="W192" s="83"/>
      <c r="X192" s="84"/>
      <c r="Y192" s="84"/>
      <c r="Z192" s="84"/>
      <c r="AA192" s="84"/>
      <c r="AB192" s="84"/>
      <c r="AC192" s="84"/>
      <c r="AD192" s="84"/>
      <c r="AE192" s="85"/>
      <c r="AF192" s="86"/>
      <c r="AG192" s="87"/>
      <c r="AH192" s="88"/>
    </row>
    <row r="193" spans="1:34" x14ac:dyDescent="0.25">
      <c r="A193" s="155" t="str">
        <f t="shared" si="6"/>
        <v/>
      </c>
      <c r="B193" s="155" t="str">
        <f t="shared" si="5"/>
        <v/>
      </c>
      <c r="D193" s="77"/>
      <c r="E193" s="78"/>
      <c r="F193" s="133"/>
      <c r="G193" s="38"/>
      <c r="H193" s="39"/>
      <c r="I193" s="40"/>
      <c r="J193" s="41"/>
      <c r="K193" s="42"/>
      <c r="L193" s="43"/>
      <c r="M193" s="79"/>
      <c r="N193" s="80"/>
      <c r="O193" s="81"/>
      <c r="P193" s="82"/>
      <c r="Q193" s="83"/>
      <c r="R193" s="84"/>
      <c r="S193" s="79"/>
      <c r="T193" s="80"/>
      <c r="U193" s="81"/>
      <c r="V193" s="82"/>
      <c r="W193" s="83"/>
      <c r="X193" s="84"/>
      <c r="Y193" s="84"/>
      <c r="Z193" s="84"/>
      <c r="AA193" s="84"/>
      <c r="AB193" s="84"/>
      <c r="AC193" s="84"/>
      <c r="AD193" s="84"/>
      <c r="AE193" s="85"/>
      <c r="AF193" s="86"/>
      <c r="AG193" s="87"/>
      <c r="AH193" s="88"/>
    </row>
    <row r="194" spans="1:34" x14ac:dyDescent="0.25">
      <c r="A194" s="155" t="str">
        <f t="shared" si="6"/>
        <v/>
      </c>
      <c r="B194" s="155" t="str">
        <f t="shared" si="5"/>
        <v/>
      </c>
      <c r="D194" s="77"/>
      <c r="E194" s="78"/>
      <c r="F194" s="133"/>
      <c r="G194" s="38"/>
      <c r="H194" s="39"/>
      <c r="I194" s="40"/>
      <c r="J194" s="41"/>
      <c r="K194" s="42"/>
      <c r="L194" s="43"/>
      <c r="M194" s="79"/>
      <c r="N194" s="80"/>
      <c r="O194" s="81"/>
      <c r="P194" s="82"/>
      <c r="Q194" s="83"/>
      <c r="R194" s="84"/>
      <c r="S194" s="79"/>
      <c r="T194" s="80"/>
      <c r="U194" s="81"/>
      <c r="V194" s="82"/>
      <c r="W194" s="83"/>
      <c r="X194" s="84"/>
      <c r="Y194" s="84"/>
      <c r="Z194" s="84"/>
      <c r="AA194" s="84"/>
      <c r="AB194" s="84"/>
      <c r="AC194" s="84"/>
      <c r="AD194" s="84"/>
      <c r="AE194" s="85"/>
      <c r="AF194" s="86"/>
      <c r="AG194" s="87"/>
      <c r="AH194" s="88"/>
    </row>
    <row r="195" spans="1:34" x14ac:dyDescent="0.25">
      <c r="A195" s="155" t="str">
        <f t="shared" si="6"/>
        <v/>
      </c>
      <c r="B195" s="155" t="str">
        <f t="shared" si="5"/>
        <v/>
      </c>
      <c r="D195" s="77"/>
      <c r="E195" s="78"/>
      <c r="F195" s="133"/>
      <c r="G195" s="38"/>
      <c r="H195" s="39"/>
      <c r="I195" s="40"/>
      <c r="J195" s="41"/>
      <c r="K195" s="42"/>
      <c r="L195" s="43"/>
      <c r="M195" s="79"/>
      <c r="N195" s="80"/>
      <c r="O195" s="81"/>
      <c r="P195" s="82"/>
      <c r="Q195" s="83"/>
      <c r="R195" s="84"/>
      <c r="S195" s="79"/>
      <c r="T195" s="80"/>
      <c r="U195" s="81"/>
      <c r="V195" s="82"/>
      <c r="W195" s="83"/>
      <c r="X195" s="84"/>
      <c r="Y195" s="84"/>
      <c r="Z195" s="84"/>
      <c r="AA195" s="84"/>
      <c r="AB195" s="84"/>
      <c r="AC195" s="84"/>
      <c r="AD195" s="84"/>
      <c r="AE195" s="85"/>
      <c r="AF195" s="86"/>
      <c r="AG195" s="87"/>
      <c r="AH195" s="88"/>
    </row>
    <row r="196" spans="1:34" x14ac:dyDescent="0.25">
      <c r="A196" s="155" t="str">
        <f t="shared" si="6"/>
        <v/>
      </c>
      <c r="B196" s="155" t="str">
        <f t="shared" si="5"/>
        <v/>
      </c>
      <c r="D196" s="77"/>
      <c r="E196" s="78"/>
      <c r="F196" s="133"/>
      <c r="G196" s="38"/>
      <c r="H196" s="39"/>
      <c r="I196" s="40"/>
      <c r="J196" s="41"/>
      <c r="K196" s="42"/>
      <c r="L196" s="43"/>
      <c r="M196" s="79"/>
      <c r="N196" s="80"/>
      <c r="O196" s="81"/>
      <c r="P196" s="82"/>
      <c r="Q196" s="83"/>
      <c r="R196" s="84"/>
      <c r="S196" s="79"/>
      <c r="T196" s="80"/>
      <c r="U196" s="81"/>
      <c r="V196" s="82"/>
      <c r="W196" s="83"/>
      <c r="X196" s="84"/>
      <c r="Y196" s="84"/>
      <c r="Z196" s="84"/>
      <c r="AA196" s="84"/>
      <c r="AB196" s="84"/>
      <c r="AC196" s="84"/>
      <c r="AD196" s="84"/>
      <c r="AE196" s="85"/>
      <c r="AF196" s="86"/>
      <c r="AG196" s="87"/>
      <c r="AH196" s="88"/>
    </row>
    <row r="197" spans="1:34" x14ac:dyDescent="0.25">
      <c r="A197" s="155" t="str">
        <f t="shared" si="6"/>
        <v/>
      </c>
      <c r="B197" s="155" t="str">
        <f t="shared" ref="B197:B260" si="7">IF(A197="","",COUNTA(G197:L197)-A197)</f>
        <v/>
      </c>
      <c r="D197" s="77"/>
      <c r="E197" s="78"/>
      <c r="F197" s="133"/>
      <c r="G197" s="38"/>
      <c r="H197" s="39"/>
      <c r="I197" s="40"/>
      <c r="J197" s="41"/>
      <c r="K197" s="42"/>
      <c r="L197" s="43"/>
      <c r="M197" s="79"/>
      <c r="N197" s="80"/>
      <c r="O197" s="81"/>
      <c r="P197" s="82"/>
      <c r="Q197" s="83"/>
      <c r="R197" s="84"/>
      <c r="S197" s="79"/>
      <c r="T197" s="80"/>
      <c r="U197" s="81"/>
      <c r="V197" s="82"/>
      <c r="W197" s="83"/>
      <c r="X197" s="84"/>
      <c r="Y197" s="84"/>
      <c r="Z197" s="84"/>
      <c r="AA197" s="84"/>
      <c r="AB197" s="84"/>
      <c r="AC197" s="84"/>
      <c r="AD197" s="84"/>
      <c r="AE197" s="85"/>
      <c r="AF197" s="86"/>
      <c r="AG197" s="87"/>
      <c r="AH197" s="88"/>
    </row>
    <row r="198" spans="1:34" x14ac:dyDescent="0.25">
      <c r="A198" s="155" t="str">
        <f t="shared" si="6"/>
        <v/>
      </c>
      <c r="B198" s="155" t="str">
        <f t="shared" si="7"/>
        <v/>
      </c>
      <c r="D198" s="77"/>
      <c r="E198" s="78"/>
      <c r="F198" s="133"/>
      <c r="G198" s="38"/>
      <c r="H198" s="39"/>
      <c r="I198" s="40"/>
      <c r="J198" s="41"/>
      <c r="K198" s="42"/>
      <c r="L198" s="43"/>
      <c r="M198" s="79"/>
      <c r="N198" s="80"/>
      <c r="O198" s="81"/>
      <c r="P198" s="82"/>
      <c r="Q198" s="83"/>
      <c r="R198" s="84"/>
      <c r="S198" s="79"/>
      <c r="T198" s="80"/>
      <c r="U198" s="81"/>
      <c r="V198" s="82"/>
      <c r="W198" s="83"/>
      <c r="X198" s="84"/>
      <c r="Y198" s="84"/>
      <c r="Z198" s="84"/>
      <c r="AA198" s="84"/>
      <c r="AB198" s="84"/>
      <c r="AC198" s="84"/>
      <c r="AD198" s="84"/>
      <c r="AE198" s="85"/>
      <c r="AF198" s="86"/>
      <c r="AG198" s="87"/>
      <c r="AH198" s="88"/>
    </row>
    <row r="199" spans="1:34" x14ac:dyDescent="0.25">
      <c r="A199" s="155" t="str">
        <f t="shared" ref="A199:A262" si="8">IF(COUNTIF(S199:X199,"&gt;0")=0,"",COUNTIF(S199:X199,"&gt;0"))</f>
        <v/>
      </c>
      <c r="B199" s="155" t="str">
        <f t="shared" si="7"/>
        <v/>
      </c>
      <c r="D199" s="77"/>
      <c r="E199" s="78"/>
      <c r="F199" s="133"/>
      <c r="G199" s="38"/>
      <c r="H199" s="39"/>
      <c r="I199" s="40"/>
      <c r="J199" s="41"/>
      <c r="K199" s="42"/>
      <c r="L199" s="43"/>
      <c r="M199" s="79"/>
      <c r="N199" s="80"/>
      <c r="O199" s="81"/>
      <c r="P199" s="82"/>
      <c r="Q199" s="83"/>
      <c r="R199" s="84"/>
      <c r="S199" s="79"/>
      <c r="T199" s="80"/>
      <c r="U199" s="81"/>
      <c r="V199" s="82"/>
      <c r="W199" s="83"/>
      <c r="X199" s="84"/>
      <c r="Y199" s="84"/>
      <c r="Z199" s="84"/>
      <c r="AA199" s="84"/>
      <c r="AB199" s="84"/>
      <c r="AC199" s="84"/>
      <c r="AD199" s="84"/>
      <c r="AE199" s="85"/>
      <c r="AF199" s="86"/>
      <c r="AG199" s="87"/>
      <c r="AH199" s="88"/>
    </row>
    <row r="200" spans="1:34" x14ac:dyDescent="0.25">
      <c r="A200" s="155" t="str">
        <f t="shared" si="8"/>
        <v/>
      </c>
      <c r="B200" s="155" t="str">
        <f t="shared" si="7"/>
        <v/>
      </c>
      <c r="D200" s="77"/>
      <c r="E200" s="78"/>
      <c r="F200" s="133"/>
      <c r="G200" s="38"/>
      <c r="H200" s="39"/>
      <c r="I200" s="40"/>
      <c r="J200" s="41"/>
      <c r="K200" s="42"/>
      <c r="L200" s="43"/>
      <c r="M200" s="79"/>
      <c r="N200" s="80"/>
      <c r="O200" s="81"/>
      <c r="P200" s="82"/>
      <c r="Q200" s="83"/>
      <c r="R200" s="84"/>
      <c r="S200" s="79"/>
      <c r="T200" s="80"/>
      <c r="U200" s="81"/>
      <c r="V200" s="82"/>
      <c r="W200" s="83"/>
      <c r="X200" s="84"/>
      <c r="Y200" s="84"/>
      <c r="Z200" s="84"/>
      <c r="AA200" s="84"/>
      <c r="AB200" s="84"/>
      <c r="AC200" s="84"/>
      <c r="AD200" s="84"/>
      <c r="AE200" s="85"/>
      <c r="AF200" s="86"/>
      <c r="AG200" s="87"/>
      <c r="AH200" s="88"/>
    </row>
    <row r="201" spans="1:34" x14ac:dyDescent="0.25">
      <c r="A201" s="155" t="str">
        <f t="shared" si="8"/>
        <v/>
      </c>
      <c r="B201" s="155" t="str">
        <f t="shared" si="7"/>
        <v/>
      </c>
      <c r="D201" s="77"/>
      <c r="E201" s="78"/>
      <c r="F201" s="133"/>
      <c r="G201" s="38"/>
      <c r="H201" s="39"/>
      <c r="I201" s="40"/>
      <c r="J201" s="41"/>
      <c r="K201" s="42"/>
      <c r="L201" s="43"/>
      <c r="M201" s="79"/>
      <c r="N201" s="80"/>
      <c r="O201" s="81"/>
      <c r="P201" s="82"/>
      <c r="Q201" s="83"/>
      <c r="R201" s="84"/>
      <c r="S201" s="79"/>
      <c r="T201" s="80"/>
      <c r="U201" s="81"/>
      <c r="V201" s="82"/>
      <c r="W201" s="83"/>
      <c r="X201" s="84"/>
      <c r="Y201" s="84"/>
      <c r="Z201" s="84"/>
      <c r="AA201" s="84"/>
      <c r="AB201" s="84"/>
      <c r="AC201" s="84"/>
      <c r="AD201" s="84"/>
      <c r="AE201" s="85"/>
      <c r="AF201" s="86"/>
      <c r="AG201" s="87"/>
      <c r="AH201" s="88"/>
    </row>
    <row r="202" spans="1:34" x14ac:dyDescent="0.25">
      <c r="A202" s="155" t="str">
        <f t="shared" si="8"/>
        <v/>
      </c>
      <c r="B202" s="155" t="str">
        <f t="shared" si="7"/>
        <v/>
      </c>
      <c r="D202" s="77"/>
      <c r="E202" s="78"/>
      <c r="F202" s="133"/>
      <c r="G202" s="38"/>
      <c r="H202" s="39"/>
      <c r="I202" s="40"/>
      <c r="J202" s="41"/>
      <c r="K202" s="42"/>
      <c r="L202" s="43"/>
      <c r="M202" s="79"/>
      <c r="N202" s="80"/>
      <c r="O202" s="81"/>
      <c r="P202" s="82"/>
      <c r="Q202" s="83"/>
      <c r="R202" s="84"/>
      <c r="S202" s="79"/>
      <c r="T202" s="80"/>
      <c r="U202" s="81"/>
      <c r="V202" s="82"/>
      <c r="W202" s="83"/>
      <c r="X202" s="84"/>
      <c r="Y202" s="84"/>
      <c r="Z202" s="84"/>
      <c r="AA202" s="84"/>
      <c r="AB202" s="84"/>
      <c r="AC202" s="84"/>
      <c r="AD202" s="84"/>
      <c r="AE202" s="85"/>
      <c r="AF202" s="86"/>
      <c r="AG202" s="87"/>
      <c r="AH202" s="88"/>
    </row>
    <row r="203" spans="1:34" x14ac:dyDescent="0.25">
      <c r="A203" s="155" t="str">
        <f t="shared" si="8"/>
        <v/>
      </c>
      <c r="B203" s="155" t="str">
        <f t="shared" si="7"/>
        <v/>
      </c>
      <c r="D203" s="77"/>
      <c r="E203" s="78"/>
      <c r="F203" s="133"/>
      <c r="G203" s="38"/>
      <c r="H203" s="39"/>
      <c r="I203" s="40"/>
      <c r="J203" s="41"/>
      <c r="K203" s="42"/>
      <c r="L203" s="43"/>
      <c r="M203" s="79"/>
      <c r="N203" s="80"/>
      <c r="O203" s="81"/>
      <c r="P203" s="82"/>
      <c r="Q203" s="83"/>
      <c r="R203" s="84"/>
      <c r="S203" s="79"/>
      <c r="T203" s="80"/>
      <c r="U203" s="81"/>
      <c r="V203" s="82"/>
      <c r="W203" s="83"/>
      <c r="X203" s="84"/>
      <c r="Y203" s="84"/>
      <c r="Z203" s="84"/>
      <c r="AA203" s="84"/>
      <c r="AB203" s="84"/>
      <c r="AC203" s="84"/>
      <c r="AD203" s="84"/>
      <c r="AE203" s="85"/>
      <c r="AF203" s="86"/>
      <c r="AG203" s="87"/>
      <c r="AH203" s="88"/>
    </row>
    <row r="204" spans="1:34" x14ac:dyDescent="0.25">
      <c r="A204" s="155" t="str">
        <f t="shared" si="8"/>
        <v/>
      </c>
      <c r="B204" s="155" t="str">
        <f t="shared" si="7"/>
        <v/>
      </c>
      <c r="D204" s="77"/>
      <c r="E204" s="78"/>
      <c r="F204" s="133"/>
      <c r="G204" s="38"/>
      <c r="H204" s="39"/>
      <c r="I204" s="40"/>
      <c r="J204" s="41"/>
      <c r="K204" s="42"/>
      <c r="L204" s="43"/>
      <c r="M204" s="79"/>
      <c r="N204" s="80"/>
      <c r="O204" s="81"/>
      <c r="P204" s="82"/>
      <c r="Q204" s="83"/>
      <c r="R204" s="84"/>
      <c r="S204" s="79"/>
      <c r="T204" s="80"/>
      <c r="U204" s="81"/>
      <c r="V204" s="82"/>
      <c r="W204" s="83"/>
      <c r="X204" s="84"/>
      <c r="Y204" s="84"/>
      <c r="Z204" s="84"/>
      <c r="AA204" s="84"/>
      <c r="AB204" s="84"/>
      <c r="AC204" s="84"/>
      <c r="AD204" s="84"/>
      <c r="AE204" s="85"/>
      <c r="AF204" s="86"/>
      <c r="AG204" s="87"/>
      <c r="AH204" s="88"/>
    </row>
    <row r="205" spans="1:34" x14ac:dyDescent="0.25">
      <c r="A205" s="155" t="str">
        <f t="shared" si="8"/>
        <v/>
      </c>
      <c r="B205" s="155" t="str">
        <f t="shared" si="7"/>
        <v/>
      </c>
      <c r="D205" s="77"/>
      <c r="E205" s="78"/>
      <c r="F205" s="133"/>
      <c r="G205" s="38"/>
      <c r="H205" s="39"/>
      <c r="I205" s="40"/>
      <c r="J205" s="41"/>
      <c r="K205" s="42"/>
      <c r="L205" s="43"/>
      <c r="M205" s="79"/>
      <c r="N205" s="80"/>
      <c r="O205" s="81"/>
      <c r="P205" s="82"/>
      <c r="Q205" s="83"/>
      <c r="R205" s="84"/>
      <c r="S205" s="79"/>
      <c r="T205" s="80"/>
      <c r="U205" s="81"/>
      <c r="V205" s="82"/>
      <c r="W205" s="83"/>
      <c r="X205" s="84"/>
      <c r="Y205" s="84"/>
      <c r="Z205" s="84"/>
      <c r="AA205" s="84"/>
      <c r="AB205" s="84"/>
      <c r="AC205" s="84"/>
      <c r="AD205" s="84"/>
      <c r="AE205" s="85"/>
      <c r="AF205" s="86"/>
      <c r="AG205" s="87"/>
      <c r="AH205" s="88"/>
    </row>
    <row r="206" spans="1:34" x14ac:dyDescent="0.25">
      <c r="A206" s="155" t="str">
        <f t="shared" si="8"/>
        <v/>
      </c>
      <c r="B206" s="155" t="str">
        <f t="shared" si="7"/>
        <v/>
      </c>
      <c r="D206" s="77"/>
      <c r="E206" s="78"/>
      <c r="F206" s="133"/>
      <c r="G206" s="38"/>
      <c r="H206" s="39"/>
      <c r="I206" s="40"/>
      <c r="J206" s="41"/>
      <c r="K206" s="42"/>
      <c r="L206" s="43"/>
      <c r="M206" s="79"/>
      <c r="N206" s="80"/>
      <c r="O206" s="81"/>
      <c r="P206" s="82"/>
      <c r="Q206" s="83"/>
      <c r="R206" s="84"/>
      <c r="S206" s="79"/>
      <c r="T206" s="80"/>
      <c r="U206" s="81"/>
      <c r="V206" s="82"/>
      <c r="W206" s="83"/>
      <c r="X206" s="84"/>
      <c r="Y206" s="84"/>
      <c r="Z206" s="84"/>
      <c r="AA206" s="84"/>
      <c r="AB206" s="84"/>
      <c r="AC206" s="84"/>
      <c r="AD206" s="84"/>
      <c r="AE206" s="85"/>
      <c r="AF206" s="86"/>
      <c r="AG206" s="87"/>
      <c r="AH206" s="88"/>
    </row>
    <row r="207" spans="1:34" x14ac:dyDescent="0.25">
      <c r="A207" s="155" t="str">
        <f t="shared" si="8"/>
        <v/>
      </c>
      <c r="B207" s="155" t="str">
        <f t="shared" si="7"/>
        <v/>
      </c>
      <c r="D207" s="77"/>
      <c r="E207" s="78"/>
      <c r="F207" s="133"/>
      <c r="G207" s="38"/>
      <c r="H207" s="39"/>
      <c r="I207" s="40"/>
      <c r="J207" s="41"/>
      <c r="K207" s="42"/>
      <c r="L207" s="43"/>
      <c r="M207" s="79"/>
      <c r="N207" s="80"/>
      <c r="O207" s="81"/>
      <c r="P207" s="82"/>
      <c r="Q207" s="83"/>
      <c r="R207" s="84"/>
      <c r="S207" s="79"/>
      <c r="T207" s="80"/>
      <c r="U207" s="81"/>
      <c r="V207" s="82"/>
      <c r="W207" s="83"/>
      <c r="X207" s="84"/>
      <c r="Y207" s="84"/>
      <c r="Z207" s="84"/>
      <c r="AA207" s="84"/>
      <c r="AB207" s="84"/>
      <c r="AC207" s="84"/>
      <c r="AD207" s="84"/>
      <c r="AE207" s="85"/>
      <c r="AF207" s="86"/>
      <c r="AG207" s="87"/>
      <c r="AH207" s="88"/>
    </row>
    <row r="208" spans="1:34" x14ac:dyDescent="0.25">
      <c r="A208" s="155" t="str">
        <f t="shared" si="8"/>
        <v/>
      </c>
      <c r="B208" s="155" t="str">
        <f t="shared" si="7"/>
        <v/>
      </c>
      <c r="D208" s="77"/>
      <c r="E208" s="78"/>
      <c r="F208" s="133"/>
      <c r="G208" s="38"/>
      <c r="H208" s="39"/>
      <c r="I208" s="40"/>
      <c r="J208" s="41"/>
      <c r="K208" s="42"/>
      <c r="L208" s="43"/>
      <c r="M208" s="79"/>
      <c r="N208" s="80"/>
      <c r="O208" s="81"/>
      <c r="P208" s="82"/>
      <c r="Q208" s="83"/>
      <c r="R208" s="84"/>
      <c r="S208" s="79"/>
      <c r="T208" s="80"/>
      <c r="U208" s="81"/>
      <c r="V208" s="82"/>
      <c r="W208" s="83"/>
      <c r="X208" s="84"/>
      <c r="Y208" s="84"/>
      <c r="Z208" s="84"/>
      <c r="AA208" s="84"/>
      <c r="AB208" s="84"/>
      <c r="AC208" s="84"/>
      <c r="AD208" s="84"/>
      <c r="AE208" s="85"/>
      <c r="AF208" s="86"/>
      <c r="AG208" s="87"/>
      <c r="AH208" s="88"/>
    </row>
    <row r="209" spans="1:34" x14ac:dyDescent="0.25">
      <c r="A209" s="155" t="str">
        <f t="shared" si="8"/>
        <v/>
      </c>
      <c r="B209" s="155" t="str">
        <f t="shared" si="7"/>
        <v/>
      </c>
      <c r="D209" s="77"/>
      <c r="E209" s="78"/>
      <c r="F209" s="133"/>
      <c r="G209" s="38"/>
      <c r="H209" s="39"/>
      <c r="I209" s="40"/>
      <c r="J209" s="41"/>
      <c r="K209" s="42"/>
      <c r="L209" s="43"/>
      <c r="M209" s="79"/>
      <c r="N209" s="80"/>
      <c r="O209" s="81"/>
      <c r="P209" s="82"/>
      <c r="Q209" s="83"/>
      <c r="R209" s="84"/>
      <c r="S209" s="79"/>
      <c r="T209" s="80"/>
      <c r="U209" s="81"/>
      <c r="V209" s="82"/>
      <c r="W209" s="83"/>
      <c r="X209" s="84"/>
      <c r="Y209" s="84"/>
      <c r="Z209" s="84"/>
      <c r="AA209" s="84"/>
      <c r="AB209" s="84"/>
      <c r="AC209" s="84"/>
      <c r="AD209" s="84"/>
      <c r="AE209" s="85"/>
      <c r="AF209" s="86"/>
      <c r="AG209" s="87"/>
      <c r="AH209" s="88"/>
    </row>
    <row r="210" spans="1:34" x14ac:dyDescent="0.25">
      <c r="A210" s="155" t="str">
        <f t="shared" si="8"/>
        <v/>
      </c>
      <c r="B210" s="155" t="str">
        <f t="shared" si="7"/>
        <v/>
      </c>
      <c r="D210" s="77"/>
      <c r="E210" s="78"/>
      <c r="F210" s="133"/>
      <c r="G210" s="38"/>
      <c r="H210" s="39"/>
      <c r="I210" s="40"/>
      <c r="J210" s="41"/>
      <c r="K210" s="42"/>
      <c r="L210" s="43"/>
      <c r="M210" s="79"/>
      <c r="N210" s="80"/>
      <c r="O210" s="81"/>
      <c r="P210" s="82"/>
      <c r="Q210" s="83"/>
      <c r="R210" s="84"/>
      <c r="S210" s="79"/>
      <c r="T210" s="80"/>
      <c r="U210" s="81"/>
      <c r="V210" s="82"/>
      <c r="W210" s="83"/>
      <c r="X210" s="84"/>
      <c r="Y210" s="84"/>
      <c r="Z210" s="84"/>
      <c r="AA210" s="84"/>
      <c r="AB210" s="84"/>
      <c r="AC210" s="84"/>
      <c r="AD210" s="84"/>
      <c r="AE210" s="85"/>
      <c r="AF210" s="86"/>
      <c r="AG210" s="87"/>
      <c r="AH210" s="88"/>
    </row>
    <row r="211" spans="1:34" x14ac:dyDescent="0.25">
      <c r="A211" s="155" t="str">
        <f t="shared" si="8"/>
        <v/>
      </c>
      <c r="B211" s="155" t="str">
        <f t="shared" si="7"/>
        <v/>
      </c>
      <c r="D211" s="77"/>
      <c r="E211" s="78"/>
      <c r="F211" s="133"/>
      <c r="G211" s="38"/>
      <c r="H211" s="39"/>
      <c r="I211" s="40"/>
      <c r="J211" s="41"/>
      <c r="K211" s="42"/>
      <c r="L211" s="43"/>
      <c r="M211" s="79"/>
      <c r="N211" s="80"/>
      <c r="O211" s="81"/>
      <c r="P211" s="82"/>
      <c r="Q211" s="83"/>
      <c r="R211" s="84"/>
      <c r="S211" s="79"/>
      <c r="T211" s="80"/>
      <c r="U211" s="81"/>
      <c r="V211" s="82"/>
      <c r="W211" s="83"/>
      <c r="X211" s="84"/>
      <c r="Y211" s="84"/>
      <c r="Z211" s="84"/>
      <c r="AA211" s="84"/>
      <c r="AB211" s="84"/>
      <c r="AC211" s="84"/>
      <c r="AD211" s="84"/>
      <c r="AE211" s="85"/>
      <c r="AF211" s="86"/>
      <c r="AG211" s="87"/>
      <c r="AH211" s="88"/>
    </row>
    <row r="212" spans="1:34" x14ac:dyDescent="0.25">
      <c r="A212" s="155" t="str">
        <f t="shared" si="8"/>
        <v/>
      </c>
      <c r="B212" s="155" t="str">
        <f t="shared" si="7"/>
        <v/>
      </c>
      <c r="D212" s="77"/>
      <c r="E212" s="78"/>
      <c r="F212" s="133"/>
      <c r="G212" s="38"/>
      <c r="H212" s="39"/>
      <c r="I212" s="40"/>
      <c r="J212" s="41"/>
      <c r="K212" s="42"/>
      <c r="L212" s="43"/>
      <c r="M212" s="79"/>
      <c r="N212" s="80"/>
      <c r="O212" s="81"/>
      <c r="P212" s="82"/>
      <c r="Q212" s="83"/>
      <c r="R212" s="84"/>
      <c r="S212" s="79"/>
      <c r="T212" s="80"/>
      <c r="U212" s="81"/>
      <c r="V212" s="82"/>
      <c r="W212" s="83"/>
      <c r="X212" s="84"/>
      <c r="Y212" s="84"/>
      <c r="Z212" s="84"/>
      <c r="AA212" s="84"/>
      <c r="AB212" s="84"/>
      <c r="AC212" s="84"/>
      <c r="AD212" s="84"/>
      <c r="AE212" s="85"/>
      <c r="AF212" s="86"/>
      <c r="AG212" s="87"/>
      <c r="AH212" s="88"/>
    </row>
    <row r="213" spans="1:34" x14ac:dyDescent="0.25">
      <c r="A213" s="155" t="str">
        <f t="shared" si="8"/>
        <v/>
      </c>
      <c r="B213" s="155" t="str">
        <f t="shared" si="7"/>
        <v/>
      </c>
      <c r="D213" s="77"/>
      <c r="E213" s="78"/>
      <c r="F213" s="133"/>
      <c r="G213" s="38"/>
      <c r="H213" s="39"/>
      <c r="I213" s="40"/>
      <c r="J213" s="41"/>
      <c r="K213" s="42"/>
      <c r="L213" s="43"/>
      <c r="M213" s="79"/>
      <c r="N213" s="80"/>
      <c r="O213" s="81"/>
      <c r="P213" s="82"/>
      <c r="Q213" s="83"/>
      <c r="R213" s="84"/>
      <c r="S213" s="79"/>
      <c r="T213" s="80"/>
      <c r="U213" s="81"/>
      <c r="V213" s="82"/>
      <c r="W213" s="83"/>
      <c r="X213" s="84"/>
      <c r="Y213" s="84"/>
      <c r="Z213" s="84"/>
      <c r="AA213" s="84"/>
      <c r="AB213" s="84"/>
      <c r="AC213" s="84"/>
      <c r="AD213" s="84"/>
      <c r="AE213" s="85"/>
      <c r="AF213" s="86"/>
      <c r="AG213" s="87"/>
      <c r="AH213" s="88"/>
    </row>
    <row r="214" spans="1:34" x14ac:dyDescent="0.25">
      <c r="A214" s="155" t="str">
        <f t="shared" si="8"/>
        <v/>
      </c>
      <c r="B214" s="155" t="str">
        <f t="shared" si="7"/>
        <v/>
      </c>
      <c r="D214" s="77"/>
      <c r="E214" s="78"/>
      <c r="F214" s="133"/>
      <c r="G214" s="38"/>
      <c r="H214" s="39"/>
      <c r="I214" s="40"/>
      <c r="J214" s="41"/>
      <c r="K214" s="42"/>
      <c r="L214" s="43"/>
      <c r="M214" s="79"/>
      <c r="N214" s="80"/>
      <c r="O214" s="81"/>
      <c r="P214" s="82"/>
      <c r="Q214" s="83"/>
      <c r="R214" s="84"/>
      <c r="S214" s="79"/>
      <c r="T214" s="80"/>
      <c r="U214" s="81"/>
      <c r="V214" s="82"/>
      <c r="W214" s="83"/>
      <c r="X214" s="84"/>
      <c r="Y214" s="84"/>
      <c r="Z214" s="84"/>
      <c r="AA214" s="84"/>
      <c r="AB214" s="84"/>
      <c r="AC214" s="84"/>
      <c r="AD214" s="84"/>
      <c r="AE214" s="85"/>
      <c r="AF214" s="86"/>
      <c r="AG214" s="87"/>
      <c r="AH214" s="88"/>
    </row>
    <row r="215" spans="1:34" x14ac:dyDescent="0.25">
      <c r="A215" s="155" t="str">
        <f t="shared" si="8"/>
        <v/>
      </c>
      <c r="B215" s="155" t="str">
        <f t="shared" si="7"/>
        <v/>
      </c>
      <c r="D215" s="77"/>
      <c r="E215" s="78"/>
      <c r="F215" s="133"/>
      <c r="G215" s="38"/>
      <c r="H215" s="39"/>
      <c r="I215" s="40"/>
      <c r="J215" s="41"/>
      <c r="K215" s="42"/>
      <c r="L215" s="43"/>
      <c r="M215" s="79"/>
      <c r="N215" s="80"/>
      <c r="O215" s="81"/>
      <c r="P215" s="82"/>
      <c r="Q215" s="83"/>
      <c r="R215" s="84"/>
      <c r="S215" s="79"/>
      <c r="T215" s="80"/>
      <c r="U215" s="81"/>
      <c r="V215" s="82"/>
      <c r="W215" s="83"/>
      <c r="X215" s="84"/>
      <c r="Y215" s="84"/>
      <c r="Z215" s="84"/>
      <c r="AA215" s="84"/>
      <c r="AB215" s="84"/>
      <c r="AC215" s="84"/>
      <c r="AD215" s="84"/>
      <c r="AE215" s="85"/>
      <c r="AF215" s="86"/>
      <c r="AG215" s="87"/>
      <c r="AH215" s="88"/>
    </row>
    <row r="216" spans="1:34" x14ac:dyDescent="0.25">
      <c r="A216" s="155" t="str">
        <f t="shared" si="8"/>
        <v/>
      </c>
      <c r="B216" s="155" t="str">
        <f t="shared" si="7"/>
        <v/>
      </c>
      <c r="D216" s="77"/>
      <c r="E216" s="78"/>
      <c r="F216" s="133"/>
      <c r="G216" s="38"/>
      <c r="H216" s="39"/>
      <c r="I216" s="40"/>
      <c r="J216" s="41"/>
      <c r="K216" s="42"/>
      <c r="L216" s="43"/>
      <c r="M216" s="79"/>
      <c r="N216" s="80"/>
      <c r="O216" s="81"/>
      <c r="P216" s="82"/>
      <c r="Q216" s="83"/>
      <c r="R216" s="84"/>
      <c r="S216" s="79"/>
      <c r="T216" s="80"/>
      <c r="U216" s="81"/>
      <c r="V216" s="82"/>
      <c r="W216" s="83"/>
      <c r="X216" s="84"/>
      <c r="Y216" s="84"/>
      <c r="Z216" s="84"/>
      <c r="AA216" s="84"/>
      <c r="AB216" s="84"/>
      <c r="AC216" s="84"/>
      <c r="AD216" s="84"/>
      <c r="AE216" s="85"/>
      <c r="AF216" s="86"/>
      <c r="AG216" s="87"/>
      <c r="AH216" s="88"/>
    </row>
    <row r="217" spans="1:34" x14ac:dyDescent="0.25">
      <c r="A217" s="155" t="str">
        <f t="shared" si="8"/>
        <v/>
      </c>
      <c r="B217" s="155" t="str">
        <f t="shared" si="7"/>
        <v/>
      </c>
      <c r="D217" s="77"/>
      <c r="E217" s="78"/>
      <c r="F217" s="133"/>
      <c r="G217" s="38"/>
      <c r="H217" s="39"/>
      <c r="I217" s="40"/>
      <c r="J217" s="41"/>
      <c r="K217" s="42"/>
      <c r="L217" s="43"/>
      <c r="M217" s="79"/>
      <c r="N217" s="80"/>
      <c r="O217" s="81"/>
      <c r="P217" s="82"/>
      <c r="Q217" s="83"/>
      <c r="R217" s="84"/>
      <c r="S217" s="79"/>
      <c r="T217" s="80"/>
      <c r="U217" s="81"/>
      <c r="V217" s="82"/>
      <c r="W217" s="83"/>
      <c r="X217" s="84"/>
      <c r="Y217" s="84"/>
      <c r="Z217" s="84"/>
      <c r="AA217" s="84"/>
      <c r="AB217" s="84"/>
      <c r="AC217" s="84"/>
      <c r="AD217" s="84"/>
      <c r="AE217" s="85"/>
      <c r="AF217" s="86"/>
      <c r="AG217" s="87"/>
      <c r="AH217" s="88"/>
    </row>
    <row r="218" spans="1:34" x14ac:dyDescent="0.25">
      <c r="A218" s="155" t="str">
        <f t="shared" si="8"/>
        <v/>
      </c>
      <c r="B218" s="155" t="str">
        <f t="shared" si="7"/>
        <v/>
      </c>
      <c r="D218" s="77"/>
      <c r="E218" s="78"/>
      <c r="F218" s="133"/>
      <c r="G218" s="38"/>
      <c r="H218" s="39"/>
      <c r="I218" s="40"/>
      <c r="J218" s="41"/>
      <c r="K218" s="42"/>
      <c r="L218" s="43"/>
      <c r="M218" s="79"/>
      <c r="N218" s="80"/>
      <c r="O218" s="81"/>
      <c r="P218" s="82"/>
      <c r="Q218" s="83"/>
      <c r="R218" s="84"/>
      <c r="S218" s="79"/>
      <c r="T218" s="80"/>
      <c r="U218" s="81"/>
      <c r="V218" s="82"/>
      <c r="W218" s="83"/>
      <c r="X218" s="84"/>
      <c r="Y218" s="84"/>
      <c r="Z218" s="84"/>
      <c r="AA218" s="84"/>
      <c r="AB218" s="84"/>
      <c r="AC218" s="84"/>
      <c r="AD218" s="84"/>
      <c r="AE218" s="85"/>
      <c r="AF218" s="86"/>
      <c r="AG218" s="87"/>
      <c r="AH218" s="88"/>
    </row>
    <row r="219" spans="1:34" x14ac:dyDescent="0.25">
      <c r="A219" s="155" t="str">
        <f t="shared" si="8"/>
        <v/>
      </c>
      <c r="B219" s="155" t="str">
        <f t="shared" si="7"/>
        <v/>
      </c>
      <c r="D219" s="77"/>
      <c r="E219" s="78"/>
      <c r="F219" s="133"/>
      <c r="G219" s="38"/>
      <c r="H219" s="39"/>
      <c r="I219" s="40"/>
      <c r="J219" s="41"/>
      <c r="K219" s="42"/>
      <c r="L219" s="43"/>
      <c r="M219" s="79"/>
      <c r="N219" s="80"/>
      <c r="O219" s="81"/>
      <c r="P219" s="82"/>
      <c r="Q219" s="83"/>
      <c r="R219" s="84"/>
      <c r="S219" s="79"/>
      <c r="T219" s="80"/>
      <c r="U219" s="81"/>
      <c r="V219" s="82"/>
      <c r="W219" s="83"/>
      <c r="X219" s="84"/>
      <c r="Y219" s="84"/>
      <c r="Z219" s="84"/>
      <c r="AA219" s="84"/>
      <c r="AB219" s="84"/>
      <c r="AC219" s="84"/>
      <c r="AD219" s="84"/>
      <c r="AE219" s="85"/>
      <c r="AF219" s="86"/>
      <c r="AG219" s="87"/>
      <c r="AH219" s="88"/>
    </row>
    <row r="220" spans="1:34" x14ac:dyDescent="0.25">
      <c r="A220" s="155" t="str">
        <f t="shared" si="8"/>
        <v/>
      </c>
      <c r="B220" s="155" t="str">
        <f t="shared" si="7"/>
        <v/>
      </c>
      <c r="D220" s="77"/>
      <c r="E220" s="78"/>
      <c r="F220" s="133"/>
      <c r="G220" s="38"/>
      <c r="H220" s="39"/>
      <c r="I220" s="40"/>
      <c r="J220" s="41"/>
      <c r="K220" s="42"/>
      <c r="L220" s="43"/>
      <c r="M220" s="79"/>
      <c r="N220" s="80"/>
      <c r="O220" s="81"/>
      <c r="P220" s="82"/>
      <c r="Q220" s="83"/>
      <c r="R220" s="84"/>
      <c r="S220" s="79"/>
      <c r="T220" s="80"/>
      <c r="U220" s="81"/>
      <c r="V220" s="82"/>
      <c r="W220" s="83"/>
      <c r="X220" s="84"/>
      <c r="Y220" s="84"/>
      <c r="Z220" s="84"/>
      <c r="AA220" s="84"/>
      <c r="AB220" s="84"/>
      <c r="AC220" s="84"/>
      <c r="AD220" s="84"/>
      <c r="AE220" s="85"/>
      <c r="AF220" s="86"/>
      <c r="AG220" s="87"/>
      <c r="AH220" s="88"/>
    </row>
    <row r="221" spans="1:34" x14ac:dyDescent="0.25">
      <c r="A221" s="155" t="str">
        <f t="shared" si="8"/>
        <v/>
      </c>
      <c r="B221" s="155" t="str">
        <f t="shared" si="7"/>
        <v/>
      </c>
      <c r="D221" s="77"/>
      <c r="E221" s="78"/>
      <c r="F221" s="133"/>
      <c r="G221" s="38"/>
      <c r="H221" s="39"/>
      <c r="I221" s="40"/>
      <c r="J221" s="41"/>
      <c r="K221" s="42"/>
      <c r="L221" s="43"/>
      <c r="M221" s="79"/>
      <c r="N221" s="80"/>
      <c r="O221" s="81"/>
      <c r="P221" s="82"/>
      <c r="Q221" s="83"/>
      <c r="R221" s="84"/>
      <c r="S221" s="79"/>
      <c r="T221" s="80"/>
      <c r="U221" s="81"/>
      <c r="V221" s="82"/>
      <c r="W221" s="83"/>
      <c r="X221" s="84"/>
      <c r="Y221" s="84"/>
      <c r="Z221" s="84"/>
      <c r="AA221" s="84"/>
      <c r="AB221" s="84"/>
      <c r="AC221" s="84"/>
      <c r="AD221" s="84"/>
      <c r="AE221" s="85"/>
      <c r="AF221" s="86"/>
      <c r="AG221" s="87"/>
      <c r="AH221" s="88"/>
    </row>
    <row r="222" spans="1:34" x14ac:dyDescent="0.25">
      <c r="A222" s="155" t="str">
        <f t="shared" si="8"/>
        <v/>
      </c>
      <c r="B222" s="155" t="str">
        <f t="shared" si="7"/>
        <v/>
      </c>
      <c r="D222" s="77"/>
      <c r="E222" s="78"/>
      <c r="F222" s="133"/>
      <c r="G222" s="38"/>
      <c r="H222" s="39"/>
      <c r="I222" s="40"/>
      <c r="J222" s="41"/>
      <c r="K222" s="42"/>
      <c r="L222" s="43"/>
      <c r="M222" s="79"/>
      <c r="N222" s="80"/>
      <c r="O222" s="81"/>
      <c r="P222" s="82"/>
      <c r="Q222" s="83"/>
      <c r="R222" s="84"/>
      <c r="S222" s="79"/>
      <c r="T222" s="80"/>
      <c r="U222" s="81"/>
      <c r="V222" s="82"/>
      <c r="W222" s="83"/>
      <c r="X222" s="84"/>
      <c r="Y222" s="84"/>
      <c r="Z222" s="84"/>
      <c r="AA222" s="84"/>
      <c r="AB222" s="84"/>
      <c r="AC222" s="84"/>
      <c r="AD222" s="84"/>
      <c r="AE222" s="85"/>
      <c r="AF222" s="86"/>
      <c r="AG222" s="87"/>
      <c r="AH222" s="88"/>
    </row>
    <row r="223" spans="1:34" x14ac:dyDescent="0.25">
      <c r="A223" s="155" t="str">
        <f t="shared" si="8"/>
        <v/>
      </c>
      <c r="B223" s="155" t="str">
        <f t="shared" si="7"/>
        <v/>
      </c>
      <c r="D223" s="77"/>
      <c r="E223" s="78"/>
      <c r="F223" s="133"/>
      <c r="G223" s="38"/>
      <c r="H223" s="39"/>
      <c r="I223" s="40"/>
      <c r="J223" s="41"/>
      <c r="K223" s="42"/>
      <c r="L223" s="43"/>
      <c r="M223" s="79"/>
      <c r="N223" s="80"/>
      <c r="O223" s="81"/>
      <c r="P223" s="82"/>
      <c r="Q223" s="83"/>
      <c r="R223" s="84"/>
      <c r="S223" s="79"/>
      <c r="T223" s="80"/>
      <c r="U223" s="81"/>
      <c r="V223" s="82"/>
      <c r="W223" s="83"/>
      <c r="X223" s="84"/>
      <c r="Y223" s="84"/>
      <c r="Z223" s="84"/>
      <c r="AA223" s="84"/>
      <c r="AB223" s="84"/>
      <c r="AC223" s="84"/>
      <c r="AD223" s="84"/>
      <c r="AE223" s="85"/>
      <c r="AF223" s="86"/>
      <c r="AG223" s="87"/>
      <c r="AH223" s="88"/>
    </row>
    <row r="224" spans="1:34" x14ac:dyDescent="0.25">
      <c r="A224" s="155" t="str">
        <f t="shared" si="8"/>
        <v/>
      </c>
      <c r="B224" s="155" t="str">
        <f t="shared" si="7"/>
        <v/>
      </c>
      <c r="D224" s="77"/>
      <c r="E224" s="78"/>
      <c r="F224" s="133"/>
      <c r="G224" s="38"/>
      <c r="H224" s="39"/>
      <c r="I224" s="40"/>
      <c r="J224" s="41"/>
      <c r="K224" s="42"/>
      <c r="L224" s="43"/>
      <c r="M224" s="79"/>
      <c r="N224" s="80"/>
      <c r="O224" s="81"/>
      <c r="P224" s="82"/>
      <c r="Q224" s="83"/>
      <c r="R224" s="84"/>
      <c r="S224" s="79"/>
      <c r="T224" s="80"/>
      <c r="U224" s="81"/>
      <c r="V224" s="82"/>
      <c r="W224" s="83"/>
      <c r="X224" s="84"/>
      <c r="Y224" s="84"/>
      <c r="Z224" s="84"/>
      <c r="AA224" s="84"/>
      <c r="AB224" s="84"/>
      <c r="AC224" s="84"/>
      <c r="AD224" s="84"/>
      <c r="AE224" s="85"/>
      <c r="AF224" s="86"/>
      <c r="AG224" s="87"/>
      <c r="AH224" s="88"/>
    </row>
    <row r="225" spans="1:34" x14ac:dyDescent="0.25">
      <c r="A225" s="155" t="str">
        <f t="shared" si="8"/>
        <v/>
      </c>
      <c r="B225" s="155" t="str">
        <f t="shared" si="7"/>
        <v/>
      </c>
      <c r="D225" s="77"/>
      <c r="E225" s="78"/>
      <c r="F225" s="133"/>
      <c r="G225" s="38"/>
      <c r="H225" s="39"/>
      <c r="I225" s="40"/>
      <c r="J225" s="41"/>
      <c r="K225" s="42"/>
      <c r="L225" s="43"/>
      <c r="M225" s="79"/>
      <c r="N225" s="80"/>
      <c r="O225" s="81"/>
      <c r="P225" s="82"/>
      <c r="Q225" s="83"/>
      <c r="R225" s="84"/>
      <c r="S225" s="79"/>
      <c r="T225" s="80"/>
      <c r="U225" s="81"/>
      <c r="V225" s="82"/>
      <c r="W225" s="83"/>
      <c r="X225" s="84"/>
      <c r="Y225" s="84"/>
      <c r="Z225" s="84"/>
      <c r="AA225" s="84"/>
      <c r="AB225" s="84"/>
      <c r="AC225" s="84"/>
      <c r="AD225" s="84"/>
      <c r="AE225" s="85"/>
      <c r="AF225" s="86"/>
      <c r="AG225" s="87"/>
      <c r="AH225" s="88"/>
    </row>
    <row r="226" spans="1:34" x14ac:dyDescent="0.25">
      <c r="A226" s="155" t="str">
        <f t="shared" si="8"/>
        <v/>
      </c>
      <c r="B226" s="155" t="str">
        <f t="shared" si="7"/>
        <v/>
      </c>
      <c r="D226" s="77"/>
      <c r="E226" s="78"/>
      <c r="F226" s="133"/>
      <c r="G226" s="38"/>
      <c r="H226" s="39"/>
      <c r="I226" s="40"/>
      <c r="J226" s="41"/>
      <c r="K226" s="42"/>
      <c r="L226" s="43"/>
      <c r="M226" s="79"/>
      <c r="N226" s="80"/>
      <c r="O226" s="81"/>
      <c r="P226" s="82"/>
      <c r="Q226" s="83"/>
      <c r="R226" s="84"/>
      <c r="S226" s="79"/>
      <c r="T226" s="80"/>
      <c r="U226" s="81"/>
      <c r="V226" s="82"/>
      <c r="W226" s="83"/>
      <c r="X226" s="84"/>
      <c r="Y226" s="84"/>
      <c r="Z226" s="84"/>
      <c r="AA226" s="84"/>
      <c r="AB226" s="84"/>
      <c r="AC226" s="84"/>
      <c r="AD226" s="84"/>
      <c r="AE226" s="85"/>
      <c r="AF226" s="86"/>
      <c r="AG226" s="87"/>
      <c r="AH226" s="88"/>
    </row>
    <row r="227" spans="1:34" x14ac:dyDescent="0.25">
      <c r="A227" s="155" t="str">
        <f t="shared" si="8"/>
        <v/>
      </c>
      <c r="B227" s="155" t="str">
        <f t="shared" si="7"/>
        <v/>
      </c>
      <c r="D227" s="77"/>
      <c r="E227" s="78"/>
      <c r="F227" s="133"/>
      <c r="G227" s="38"/>
      <c r="H227" s="39"/>
      <c r="I227" s="40"/>
      <c r="J227" s="41"/>
      <c r="K227" s="42"/>
      <c r="L227" s="43"/>
      <c r="M227" s="79"/>
      <c r="N227" s="80"/>
      <c r="O227" s="81"/>
      <c r="P227" s="82"/>
      <c r="Q227" s="83"/>
      <c r="R227" s="84"/>
      <c r="S227" s="79"/>
      <c r="T227" s="80"/>
      <c r="U227" s="81"/>
      <c r="V227" s="82"/>
      <c r="W227" s="83"/>
      <c r="X227" s="84"/>
      <c r="Y227" s="84"/>
      <c r="Z227" s="84"/>
      <c r="AA227" s="84"/>
      <c r="AB227" s="84"/>
      <c r="AC227" s="84"/>
      <c r="AD227" s="84"/>
      <c r="AE227" s="85"/>
      <c r="AF227" s="86"/>
      <c r="AG227" s="87"/>
      <c r="AH227" s="88"/>
    </row>
    <row r="228" spans="1:34" x14ac:dyDescent="0.25">
      <c r="A228" s="155" t="str">
        <f t="shared" si="8"/>
        <v/>
      </c>
      <c r="B228" s="155" t="str">
        <f t="shared" si="7"/>
        <v/>
      </c>
      <c r="D228" s="77"/>
      <c r="E228" s="78"/>
      <c r="F228" s="133"/>
      <c r="G228" s="38"/>
      <c r="H228" s="39"/>
      <c r="I228" s="40"/>
      <c r="J228" s="41"/>
      <c r="K228" s="42"/>
      <c r="L228" s="43"/>
      <c r="M228" s="79"/>
      <c r="N228" s="80"/>
      <c r="O228" s="81"/>
      <c r="P228" s="82"/>
      <c r="Q228" s="83"/>
      <c r="R228" s="84"/>
      <c r="S228" s="79"/>
      <c r="T228" s="80"/>
      <c r="U228" s="81"/>
      <c r="V228" s="82"/>
      <c r="W228" s="83"/>
      <c r="X228" s="84"/>
      <c r="Y228" s="84"/>
      <c r="Z228" s="84"/>
      <c r="AA228" s="84"/>
      <c r="AB228" s="84"/>
      <c r="AC228" s="84"/>
      <c r="AD228" s="84"/>
      <c r="AE228" s="85"/>
      <c r="AF228" s="86"/>
      <c r="AG228" s="87"/>
      <c r="AH228" s="88"/>
    </row>
    <row r="229" spans="1:34" x14ac:dyDescent="0.25">
      <c r="A229" s="155" t="str">
        <f t="shared" si="8"/>
        <v/>
      </c>
      <c r="B229" s="155" t="str">
        <f t="shared" si="7"/>
        <v/>
      </c>
      <c r="D229" s="77"/>
      <c r="E229" s="78"/>
      <c r="F229" s="133"/>
      <c r="G229" s="38"/>
      <c r="H229" s="39"/>
      <c r="I229" s="40"/>
      <c r="J229" s="41"/>
      <c r="K229" s="42"/>
      <c r="L229" s="43"/>
      <c r="M229" s="79"/>
      <c r="N229" s="80"/>
      <c r="O229" s="81"/>
      <c r="P229" s="82"/>
      <c r="Q229" s="83"/>
      <c r="R229" s="84"/>
      <c r="S229" s="79"/>
      <c r="T229" s="80"/>
      <c r="U229" s="81"/>
      <c r="V229" s="82"/>
      <c r="W229" s="83"/>
      <c r="X229" s="84"/>
      <c r="Y229" s="84"/>
      <c r="Z229" s="84"/>
      <c r="AA229" s="84"/>
      <c r="AB229" s="84"/>
      <c r="AC229" s="84"/>
      <c r="AD229" s="84"/>
      <c r="AE229" s="85"/>
      <c r="AF229" s="86"/>
      <c r="AG229" s="87"/>
      <c r="AH229" s="88"/>
    </row>
    <row r="230" spans="1:34" x14ac:dyDescent="0.25">
      <c r="A230" s="155" t="str">
        <f t="shared" si="8"/>
        <v/>
      </c>
      <c r="B230" s="155" t="str">
        <f t="shared" si="7"/>
        <v/>
      </c>
      <c r="D230" s="77"/>
      <c r="E230" s="78"/>
      <c r="F230" s="133"/>
      <c r="G230" s="38"/>
      <c r="H230" s="39"/>
      <c r="I230" s="40"/>
      <c r="J230" s="41"/>
      <c r="K230" s="42"/>
      <c r="L230" s="43"/>
      <c r="M230" s="79"/>
      <c r="N230" s="80"/>
      <c r="O230" s="81"/>
      <c r="P230" s="82"/>
      <c r="Q230" s="83"/>
      <c r="R230" s="84"/>
      <c r="S230" s="79"/>
      <c r="T230" s="80"/>
      <c r="U230" s="81"/>
      <c r="V230" s="82"/>
      <c r="W230" s="83"/>
      <c r="X230" s="84"/>
      <c r="Y230" s="84"/>
      <c r="Z230" s="84"/>
      <c r="AA230" s="84"/>
      <c r="AB230" s="84"/>
      <c r="AC230" s="84"/>
      <c r="AD230" s="84"/>
      <c r="AE230" s="85"/>
      <c r="AF230" s="86"/>
      <c r="AG230" s="87"/>
      <c r="AH230" s="88"/>
    </row>
    <row r="231" spans="1:34" x14ac:dyDescent="0.25">
      <c r="A231" s="155" t="str">
        <f t="shared" si="8"/>
        <v/>
      </c>
      <c r="B231" s="155" t="str">
        <f t="shared" si="7"/>
        <v/>
      </c>
      <c r="D231" s="77"/>
      <c r="E231" s="78"/>
      <c r="F231" s="133"/>
      <c r="G231" s="38"/>
      <c r="H231" s="39"/>
      <c r="I231" s="40"/>
      <c r="J231" s="41"/>
      <c r="K231" s="42"/>
      <c r="L231" s="43"/>
      <c r="M231" s="79"/>
      <c r="N231" s="80"/>
      <c r="O231" s="81"/>
      <c r="P231" s="82"/>
      <c r="Q231" s="83"/>
      <c r="R231" s="84"/>
      <c r="S231" s="79"/>
      <c r="T231" s="80"/>
      <c r="U231" s="81"/>
      <c r="V231" s="82"/>
      <c r="W231" s="83"/>
      <c r="X231" s="84"/>
      <c r="Y231" s="84"/>
      <c r="Z231" s="84"/>
      <c r="AA231" s="84"/>
      <c r="AB231" s="84"/>
      <c r="AC231" s="84"/>
      <c r="AD231" s="84"/>
      <c r="AE231" s="85"/>
      <c r="AF231" s="86"/>
      <c r="AG231" s="87"/>
      <c r="AH231" s="88"/>
    </row>
    <row r="232" spans="1:34" x14ac:dyDescent="0.25">
      <c r="A232" s="155" t="str">
        <f t="shared" si="8"/>
        <v/>
      </c>
      <c r="B232" s="155" t="str">
        <f t="shared" si="7"/>
        <v/>
      </c>
      <c r="D232" s="77"/>
      <c r="E232" s="78"/>
      <c r="F232" s="133"/>
      <c r="G232" s="38"/>
      <c r="H232" s="39"/>
      <c r="I232" s="40"/>
      <c r="J232" s="41"/>
      <c r="K232" s="42"/>
      <c r="L232" s="43"/>
      <c r="M232" s="79"/>
      <c r="N232" s="80"/>
      <c r="O232" s="81"/>
      <c r="P232" s="82"/>
      <c r="Q232" s="83"/>
      <c r="R232" s="84"/>
      <c r="S232" s="79"/>
      <c r="T232" s="80"/>
      <c r="U232" s="81"/>
      <c r="V232" s="82"/>
      <c r="W232" s="83"/>
      <c r="X232" s="84"/>
      <c r="Y232" s="84"/>
      <c r="Z232" s="84"/>
      <c r="AA232" s="84"/>
      <c r="AB232" s="84"/>
      <c r="AC232" s="84"/>
      <c r="AD232" s="84"/>
      <c r="AE232" s="85"/>
      <c r="AF232" s="86"/>
      <c r="AG232" s="87"/>
      <c r="AH232" s="88"/>
    </row>
    <row r="233" spans="1:34" x14ac:dyDescent="0.25">
      <c r="A233" s="155" t="str">
        <f t="shared" si="8"/>
        <v/>
      </c>
      <c r="B233" s="155" t="str">
        <f t="shared" si="7"/>
        <v/>
      </c>
      <c r="D233" s="77"/>
      <c r="E233" s="78"/>
      <c r="F233" s="133"/>
      <c r="G233" s="38"/>
      <c r="H233" s="39"/>
      <c r="I233" s="40"/>
      <c r="J233" s="41"/>
      <c r="K233" s="42"/>
      <c r="L233" s="43"/>
      <c r="M233" s="79"/>
      <c r="N233" s="80"/>
      <c r="O233" s="81"/>
      <c r="P233" s="82"/>
      <c r="Q233" s="83"/>
      <c r="R233" s="84"/>
      <c r="S233" s="79"/>
      <c r="T233" s="80"/>
      <c r="U233" s="81"/>
      <c r="V233" s="82"/>
      <c r="W233" s="83"/>
      <c r="X233" s="84"/>
      <c r="Y233" s="84"/>
      <c r="Z233" s="84"/>
      <c r="AA233" s="84"/>
      <c r="AB233" s="84"/>
      <c r="AC233" s="84"/>
      <c r="AD233" s="84"/>
      <c r="AE233" s="85"/>
      <c r="AF233" s="86"/>
      <c r="AG233" s="87"/>
      <c r="AH233" s="88"/>
    </row>
    <row r="234" spans="1:34" x14ac:dyDescent="0.25">
      <c r="A234" s="155" t="str">
        <f t="shared" si="8"/>
        <v/>
      </c>
      <c r="B234" s="155" t="str">
        <f t="shared" si="7"/>
        <v/>
      </c>
      <c r="D234" s="77"/>
      <c r="E234" s="78"/>
      <c r="F234" s="133"/>
      <c r="G234" s="38"/>
      <c r="H234" s="39"/>
      <c r="I234" s="40"/>
      <c r="J234" s="41"/>
      <c r="K234" s="42"/>
      <c r="L234" s="43"/>
      <c r="M234" s="79"/>
      <c r="N234" s="80"/>
      <c r="O234" s="81"/>
      <c r="P234" s="82"/>
      <c r="Q234" s="83"/>
      <c r="R234" s="84"/>
      <c r="S234" s="79"/>
      <c r="T234" s="80"/>
      <c r="U234" s="81"/>
      <c r="V234" s="82"/>
      <c r="W234" s="83"/>
      <c r="X234" s="84"/>
      <c r="Y234" s="84"/>
      <c r="Z234" s="84"/>
      <c r="AA234" s="84"/>
      <c r="AB234" s="84"/>
      <c r="AC234" s="84"/>
      <c r="AD234" s="84"/>
      <c r="AE234" s="85"/>
      <c r="AF234" s="86"/>
      <c r="AG234" s="87"/>
      <c r="AH234" s="88"/>
    </row>
    <row r="235" spans="1:34" x14ac:dyDescent="0.25">
      <c r="A235" s="155" t="str">
        <f t="shared" si="8"/>
        <v/>
      </c>
      <c r="B235" s="155" t="str">
        <f t="shared" si="7"/>
        <v/>
      </c>
      <c r="D235" s="77"/>
      <c r="E235" s="78"/>
      <c r="F235" s="133"/>
      <c r="G235" s="38"/>
      <c r="H235" s="39"/>
      <c r="I235" s="40"/>
      <c r="J235" s="41"/>
      <c r="K235" s="42"/>
      <c r="L235" s="43"/>
      <c r="M235" s="79"/>
      <c r="N235" s="80"/>
      <c r="O235" s="81"/>
      <c r="P235" s="82"/>
      <c r="Q235" s="83"/>
      <c r="R235" s="84"/>
      <c r="S235" s="79"/>
      <c r="T235" s="80"/>
      <c r="U235" s="81"/>
      <c r="V235" s="82"/>
      <c r="W235" s="83"/>
      <c r="X235" s="84"/>
      <c r="Y235" s="84"/>
      <c r="Z235" s="84"/>
      <c r="AA235" s="84"/>
      <c r="AB235" s="84"/>
      <c r="AC235" s="84"/>
      <c r="AD235" s="84"/>
      <c r="AE235" s="85"/>
      <c r="AF235" s="86"/>
      <c r="AG235" s="87"/>
      <c r="AH235" s="88"/>
    </row>
    <row r="236" spans="1:34" x14ac:dyDescent="0.25">
      <c r="A236" s="155" t="str">
        <f t="shared" si="8"/>
        <v/>
      </c>
      <c r="B236" s="155" t="str">
        <f t="shared" si="7"/>
        <v/>
      </c>
      <c r="D236" s="77"/>
      <c r="E236" s="78"/>
      <c r="F236" s="133"/>
      <c r="G236" s="38"/>
      <c r="H236" s="39"/>
      <c r="I236" s="40"/>
      <c r="J236" s="41"/>
      <c r="K236" s="42"/>
      <c r="L236" s="43"/>
      <c r="M236" s="79"/>
      <c r="N236" s="80"/>
      <c r="O236" s="81"/>
      <c r="P236" s="82"/>
      <c r="Q236" s="83"/>
      <c r="R236" s="84"/>
      <c r="S236" s="79"/>
      <c r="T236" s="80"/>
      <c r="U236" s="81"/>
      <c r="V236" s="82"/>
      <c r="W236" s="83"/>
      <c r="X236" s="84"/>
      <c r="Y236" s="84"/>
      <c r="Z236" s="84"/>
      <c r="AA236" s="84"/>
      <c r="AB236" s="84"/>
      <c r="AC236" s="84"/>
      <c r="AD236" s="84"/>
      <c r="AE236" s="85"/>
      <c r="AF236" s="86"/>
      <c r="AG236" s="87"/>
      <c r="AH236" s="88"/>
    </row>
    <row r="237" spans="1:34" x14ac:dyDescent="0.25">
      <c r="A237" s="155" t="str">
        <f t="shared" si="8"/>
        <v/>
      </c>
      <c r="B237" s="155" t="str">
        <f t="shared" si="7"/>
        <v/>
      </c>
      <c r="D237" s="77"/>
      <c r="E237" s="78"/>
      <c r="F237" s="133"/>
      <c r="G237" s="38"/>
      <c r="H237" s="39"/>
      <c r="I237" s="40"/>
      <c r="J237" s="41"/>
      <c r="K237" s="42"/>
      <c r="L237" s="43"/>
      <c r="M237" s="79"/>
      <c r="N237" s="80"/>
      <c r="O237" s="81"/>
      <c r="P237" s="82"/>
      <c r="Q237" s="83"/>
      <c r="R237" s="84"/>
      <c r="S237" s="79"/>
      <c r="T237" s="80"/>
      <c r="U237" s="81"/>
      <c r="V237" s="82"/>
      <c r="W237" s="83"/>
      <c r="X237" s="84"/>
      <c r="Y237" s="84"/>
      <c r="Z237" s="84"/>
      <c r="AA237" s="84"/>
      <c r="AB237" s="84"/>
      <c r="AC237" s="84"/>
      <c r="AD237" s="84"/>
      <c r="AE237" s="85"/>
      <c r="AF237" s="86"/>
      <c r="AG237" s="87"/>
      <c r="AH237" s="88"/>
    </row>
    <row r="238" spans="1:34" x14ac:dyDescent="0.25">
      <c r="A238" s="155" t="str">
        <f t="shared" si="8"/>
        <v/>
      </c>
      <c r="B238" s="155" t="str">
        <f t="shared" si="7"/>
        <v/>
      </c>
      <c r="D238" s="77"/>
      <c r="E238" s="78"/>
      <c r="F238" s="133"/>
      <c r="G238" s="38"/>
      <c r="H238" s="39"/>
      <c r="I238" s="40"/>
      <c r="J238" s="41"/>
      <c r="K238" s="42"/>
      <c r="L238" s="43"/>
      <c r="M238" s="79"/>
      <c r="N238" s="80"/>
      <c r="O238" s="81"/>
      <c r="P238" s="82"/>
      <c r="Q238" s="83"/>
      <c r="R238" s="84"/>
      <c r="S238" s="79"/>
      <c r="T238" s="80"/>
      <c r="U238" s="81"/>
      <c r="V238" s="82"/>
      <c r="W238" s="83"/>
      <c r="X238" s="84"/>
      <c r="Y238" s="84"/>
      <c r="Z238" s="84"/>
      <c r="AA238" s="84"/>
      <c r="AB238" s="84"/>
      <c r="AC238" s="84"/>
      <c r="AD238" s="84"/>
      <c r="AE238" s="85"/>
      <c r="AF238" s="86"/>
      <c r="AG238" s="87"/>
      <c r="AH238" s="88"/>
    </row>
    <row r="239" spans="1:34" x14ac:dyDescent="0.25">
      <c r="A239" s="155" t="str">
        <f t="shared" si="8"/>
        <v/>
      </c>
      <c r="B239" s="155" t="str">
        <f t="shared" si="7"/>
        <v/>
      </c>
      <c r="D239" s="77"/>
      <c r="E239" s="78"/>
      <c r="F239" s="133"/>
      <c r="G239" s="38"/>
      <c r="H239" s="39"/>
      <c r="I239" s="40"/>
      <c r="J239" s="41"/>
      <c r="K239" s="42"/>
      <c r="L239" s="43"/>
      <c r="M239" s="79"/>
      <c r="N239" s="80"/>
      <c r="O239" s="81"/>
      <c r="P239" s="82"/>
      <c r="Q239" s="83"/>
      <c r="R239" s="84"/>
      <c r="S239" s="79"/>
      <c r="T239" s="80"/>
      <c r="U239" s="81"/>
      <c r="V239" s="82"/>
      <c r="W239" s="83"/>
      <c r="X239" s="84"/>
      <c r="Y239" s="84"/>
      <c r="Z239" s="84"/>
      <c r="AA239" s="84"/>
      <c r="AB239" s="84"/>
      <c r="AC239" s="84"/>
      <c r="AD239" s="84"/>
      <c r="AE239" s="85"/>
      <c r="AF239" s="86"/>
      <c r="AG239" s="87"/>
      <c r="AH239" s="88"/>
    </row>
    <row r="240" spans="1:34" x14ac:dyDescent="0.25">
      <c r="A240" s="155" t="str">
        <f t="shared" si="8"/>
        <v/>
      </c>
      <c r="B240" s="155" t="str">
        <f t="shared" si="7"/>
        <v/>
      </c>
      <c r="D240" s="77"/>
      <c r="E240" s="78"/>
      <c r="F240" s="133"/>
      <c r="G240" s="38"/>
      <c r="H240" s="39"/>
      <c r="I240" s="40"/>
      <c r="J240" s="41"/>
      <c r="K240" s="42"/>
      <c r="L240" s="43"/>
      <c r="M240" s="79"/>
      <c r="N240" s="80"/>
      <c r="O240" s="81"/>
      <c r="P240" s="82"/>
      <c r="Q240" s="83"/>
      <c r="R240" s="84"/>
      <c r="S240" s="79"/>
      <c r="T240" s="80"/>
      <c r="U240" s="81"/>
      <c r="V240" s="82"/>
      <c r="W240" s="83"/>
      <c r="X240" s="84"/>
      <c r="Y240" s="84"/>
      <c r="Z240" s="84"/>
      <c r="AA240" s="84"/>
      <c r="AB240" s="84"/>
      <c r="AC240" s="84"/>
      <c r="AD240" s="84"/>
      <c r="AE240" s="85"/>
      <c r="AF240" s="86"/>
      <c r="AG240" s="87"/>
      <c r="AH240" s="88"/>
    </row>
    <row r="241" spans="1:34" x14ac:dyDescent="0.25">
      <c r="A241" s="155" t="str">
        <f t="shared" si="8"/>
        <v/>
      </c>
      <c r="B241" s="155" t="str">
        <f t="shared" si="7"/>
        <v/>
      </c>
      <c r="D241" s="77"/>
      <c r="E241" s="78"/>
      <c r="F241" s="133"/>
      <c r="G241" s="38"/>
      <c r="H241" s="39"/>
      <c r="I241" s="40"/>
      <c r="J241" s="41"/>
      <c r="K241" s="42"/>
      <c r="L241" s="43"/>
      <c r="M241" s="79"/>
      <c r="N241" s="80"/>
      <c r="O241" s="81"/>
      <c r="P241" s="82"/>
      <c r="Q241" s="83"/>
      <c r="R241" s="84"/>
      <c r="S241" s="79"/>
      <c r="T241" s="80"/>
      <c r="U241" s="81"/>
      <c r="V241" s="82"/>
      <c r="W241" s="83"/>
      <c r="X241" s="84"/>
      <c r="Y241" s="84"/>
      <c r="Z241" s="84"/>
      <c r="AA241" s="84"/>
      <c r="AB241" s="84"/>
      <c r="AC241" s="84"/>
      <c r="AD241" s="84"/>
      <c r="AE241" s="85"/>
      <c r="AF241" s="86"/>
      <c r="AG241" s="87"/>
      <c r="AH241" s="88"/>
    </row>
    <row r="242" spans="1:34" x14ac:dyDescent="0.25">
      <c r="A242" s="155" t="str">
        <f t="shared" si="8"/>
        <v/>
      </c>
      <c r="B242" s="155" t="str">
        <f t="shared" si="7"/>
        <v/>
      </c>
      <c r="D242" s="77"/>
      <c r="E242" s="78"/>
      <c r="F242" s="133"/>
      <c r="G242" s="38"/>
      <c r="H242" s="39"/>
      <c r="I242" s="40"/>
      <c r="J242" s="41"/>
      <c r="K242" s="42"/>
      <c r="L242" s="43"/>
      <c r="M242" s="79"/>
      <c r="N242" s="80"/>
      <c r="O242" s="81"/>
      <c r="P242" s="82"/>
      <c r="Q242" s="83"/>
      <c r="R242" s="84"/>
      <c r="S242" s="79"/>
      <c r="T242" s="80"/>
      <c r="U242" s="81"/>
      <c r="V242" s="82"/>
      <c r="W242" s="83"/>
      <c r="X242" s="84"/>
      <c r="Y242" s="84"/>
      <c r="Z242" s="84"/>
      <c r="AA242" s="84"/>
      <c r="AB242" s="84"/>
      <c r="AC242" s="84"/>
      <c r="AD242" s="84"/>
      <c r="AE242" s="85"/>
      <c r="AF242" s="86"/>
      <c r="AG242" s="87"/>
      <c r="AH242" s="88"/>
    </row>
    <row r="243" spans="1:34" x14ac:dyDescent="0.25">
      <c r="A243" s="155" t="str">
        <f t="shared" si="8"/>
        <v/>
      </c>
      <c r="B243" s="155" t="str">
        <f t="shared" si="7"/>
        <v/>
      </c>
      <c r="D243" s="77"/>
      <c r="E243" s="78"/>
      <c r="F243" s="133"/>
      <c r="G243" s="38"/>
      <c r="H243" s="39"/>
      <c r="I243" s="40"/>
      <c r="J243" s="41"/>
      <c r="K243" s="42"/>
      <c r="L243" s="43"/>
      <c r="M243" s="79"/>
      <c r="N243" s="80"/>
      <c r="O243" s="81"/>
      <c r="P243" s="82"/>
      <c r="Q243" s="83"/>
      <c r="R243" s="84"/>
      <c r="S243" s="79"/>
      <c r="T243" s="80"/>
      <c r="U243" s="81"/>
      <c r="V243" s="82"/>
      <c r="W243" s="83"/>
      <c r="X243" s="84"/>
      <c r="Y243" s="84"/>
      <c r="Z243" s="84"/>
      <c r="AA243" s="84"/>
      <c r="AB243" s="84"/>
      <c r="AC243" s="84"/>
      <c r="AD243" s="84"/>
      <c r="AE243" s="85"/>
      <c r="AF243" s="86"/>
      <c r="AG243" s="87"/>
      <c r="AH243" s="88"/>
    </row>
    <row r="244" spans="1:34" x14ac:dyDescent="0.25">
      <c r="A244" s="155" t="str">
        <f t="shared" si="8"/>
        <v/>
      </c>
      <c r="B244" s="155" t="str">
        <f t="shared" si="7"/>
        <v/>
      </c>
      <c r="D244" s="77"/>
      <c r="E244" s="78"/>
      <c r="F244" s="133"/>
      <c r="G244" s="38"/>
      <c r="H244" s="39"/>
      <c r="I244" s="40"/>
      <c r="J244" s="41"/>
      <c r="K244" s="42"/>
      <c r="L244" s="43"/>
      <c r="M244" s="79"/>
      <c r="N244" s="80"/>
      <c r="O244" s="81"/>
      <c r="P244" s="82"/>
      <c r="Q244" s="83"/>
      <c r="R244" s="84"/>
      <c r="S244" s="79"/>
      <c r="T244" s="80"/>
      <c r="U244" s="81"/>
      <c r="V244" s="82"/>
      <c r="W244" s="83"/>
      <c r="X244" s="84"/>
      <c r="Y244" s="84"/>
      <c r="Z244" s="84"/>
      <c r="AA244" s="84"/>
      <c r="AB244" s="84"/>
      <c r="AC244" s="84"/>
      <c r="AD244" s="84"/>
      <c r="AE244" s="85"/>
      <c r="AF244" s="86"/>
      <c r="AG244" s="87"/>
      <c r="AH244" s="88"/>
    </row>
    <row r="245" spans="1:34" x14ac:dyDescent="0.25">
      <c r="A245" s="155" t="str">
        <f t="shared" si="8"/>
        <v/>
      </c>
      <c r="B245" s="155" t="str">
        <f t="shared" si="7"/>
        <v/>
      </c>
      <c r="D245" s="77"/>
      <c r="E245" s="78"/>
      <c r="F245" s="133"/>
      <c r="G245" s="38"/>
      <c r="H245" s="39"/>
      <c r="I245" s="40"/>
      <c r="J245" s="41"/>
      <c r="K245" s="42"/>
      <c r="L245" s="43"/>
      <c r="M245" s="79"/>
      <c r="N245" s="80"/>
      <c r="O245" s="81"/>
      <c r="P245" s="82"/>
      <c r="Q245" s="83"/>
      <c r="R245" s="84"/>
      <c r="S245" s="79"/>
      <c r="T245" s="80"/>
      <c r="U245" s="81"/>
      <c r="V245" s="82"/>
      <c r="W245" s="83"/>
      <c r="X245" s="84"/>
      <c r="Y245" s="84"/>
      <c r="Z245" s="84"/>
      <c r="AA245" s="84"/>
      <c r="AB245" s="84"/>
      <c r="AC245" s="84"/>
      <c r="AD245" s="84"/>
      <c r="AE245" s="85"/>
      <c r="AF245" s="86"/>
      <c r="AG245" s="87"/>
      <c r="AH245" s="88"/>
    </row>
    <row r="246" spans="1:34" x14ac:dyDescent="0.25">
      <c r="A246" s="155" t="str">
        <f t="shared" si="8"/>
        <v/>
      </c>
      <c r="B246" s="155" t="str">
        <f t="shared" si="7"/>
        <v/>
      </c>
      <c r="D246" s="77"/>
      <c r="E246" s="78"/>
      <c r="F246" s="133"/>
      <c r="G246" s="38"/>
      <c r="H246" s="39"/>
      <c r="I246" s="40"/>
      <c r="J246" s="41"/>
      <c r="K246" s="42"/>
      <c r="L246" s="43"/>
      <c r="M246" s="79"/>
      <c r="N246" s="80"/>
      <c r="O246" s="81"/>
      <c r="P246" s="82"/>
      <c r="Q246" s="83"/>
      <c r="R246" s="84"/>
      <c r="S246" s="79"/>
      <c r="T246" s="80"/>
      <c r="U246" s="81"/>
      <c r="V246" s="82"/>
      <c r="W246" s="83"/>
      <c r="X246" s="84"/>
      <c r="Y246" s="84"/>
      <c r="Z246" s="84"/>
      <c r="AA246" s="84"/>
      <c r="AB246" s="84"/>
      <c r="AC246" s="84"/>
      <c r="AD246" s="84"/>
      <c r="AE246" s="85"/>
      <c r="AF246" s="86"/>
      <c r="AG246" s="87"/>
      <c r="AH246" s="88"/>
    </row>
    <row r="247" spans="1:34" x14ac:dyDescent="0.25">
      <c r="A247" s="155" t="str">
        <f t="shared" si="8"/>
        <v/>
      </c>
      <c r="B247" s="155" t="str">
        <f t="shared" si="7"/>
        <v/>
      </c>
      <c r="D247" s="77"/>
      <c r="E247" s="78"/>
      <c r="F247" s="133"/>
      <c r="G247" s="38"/>
      <c r="H247" s="39"/>
      <c r="I247" s="40"/>
      <c r="J247" s="41"/>
      <c r="K247" s="42"/>
      <c r="L247" s="43"/>
      <c r="M247" s="79"/>
      <c r="N247" s="80"/>
      <c r="O247" s="81"/>
      <c r="P247" s="82"/>
      <c r="Q247" s="83"/>
      <c r="R247" s="84"/>
      <c r="S247" s="79"/>
      <c r="T247" s="80"/>
      <c r="U247" s="81"/>
      <c r="V247" s="82"/>
      <c r="W247" s="83"/>
      <c r="X247" s="84"/>
      <c r="Y247" s="84"/>
      <c r="Z247" s="84"/>
      <c r="AA247" s="84"/>
      <c r="AB247" s="84"/>
      <c r="AC247" s="84"/>
      <c r="AD247" s="84"/>
      <c r="AE247" s="85"/>
      <c r="AF247" s="86"/>
      <c r="AG247" s="87"/>
      <c r="AH247" s="88"/>
    </row>
    <row r="248" spans="1:34" x14ac:dyDescent="0.25">
      <c r="A248" s="155" t="str">
        <f t="shared" si="8"/>
        <v/>
      </c>
      <c r="B248" s="155" t="str">
        <f t="shared" si="7"/>
        <v/>
      </c>
      <c r="D248" s="77"/>
      <c r="E248" s="78"/>
      <c r="F248" s="133"/>
      <c r="G248" s="38"/>
      <c r="H248" s="39"/>
      <c r="I248" s="40"/>
      <c r="J248" s="41"/>
      <c r="K248" s="42"/>
      <c r="L248" s="43"/>
      <c r="M248" s="79"/>
      <c r="N248" s="80"/>
      <c r="O248" s="81"/>
      <c r="P248" s="82"/>
      <c r="Q248" s="83"/>
      <c r="R248" s="84"/>
      <c r="S248" s="79"/>
      <c r="T248" s="80"/>
      <c r="U248" s="81"/>
      <c r="V248" s="82"/>
      <c r="W248" s="83"/>
      <c r="X248" s="84"/>
      <c r="Y248" s="84"/>
      <c r="Z248" s="84"/>
      <c r="AA248" s="84"/>
      <c r="AB248" s="84"/>
      <c r="AC248" s="84"/>
      <c r="AD248" s="84"/>
      <c r="AE248" s="85"/>
      <c r="AF248" s="86"/>
      <c r="AG248" s="87"/>
      <c r="AH248" s="88"/>
    </row>
    <row r="249" spans="1:34" x14ac:dyDescent="0.25">
      <c r="A249" s="155" t="str">
        <f t="shared" si="8"/>
        <v/>
      </c>
      <c r="B249" s="155" t="str">
        <f t="shared" si="7"/>
        <v/>
      </c>
      <c r="D249" s="77"/>
      <c r="E249" s="78"/>
      <c r="F249" s="133"/>
      <c r="G249" s="38"/>
      <c r="H249" s="39"/>
      <c r="I249" s="40"/>
      <c r="J249" s="41"/>
      <c r="K249" s="42"/>
      <c r="L249" s="43"/>
      <c r="M249" s="79"/>
      <c r="N249" s="80"/>
      <c r="O249" s="81"/>
      <c r="P249" s="82"/>
      <c r="Q249" s="83"/>
      <c r="R249" s="84"/>
      <c r="S249" s="79"/>
      <c r="T249" s="80"/>
      <c r="U249" s="81"/>
      <c r="V249" s="82"/>
      <c r="W249" s="83"/>
      <c r="X249" s="84"/>
      <c r="Y249" s="84"/>
      <c r="Z249" s="84"/>
      <c r="AA249" s="84"/>
      <c r="AB249" s="84"/>
      <c r="AC249" s="84"/>
      <c r="AD249" s="84"/>
      <c r="AE249" s="85"/>
      <c r="AF249" s="86"/>
      <c r="AG249" s="87"/>
      <c r="AH249" s="88"/>
    </row>
    <row r="250" spans="1:34" x14ac:dyDescent="0.25">
      <c r="A250" s="155" t="str">
        <f t="shared" si="8"/>
        <v/>
      </c>
      <c r="B250" s="155" t="str">
        <f t="shared" si="7"/>
        <v/>
      </c>
      <c r="D250" s="77"/>
      <c r="E250" s="78"/>
      <c r="F250" s="133"/>
      <c r="G250" s="38"/>
      <c r="H250" s="39"/>
      <c r="I250" s="40"/>
      <c r="J250" s="41"/>
      <c r="K250" s="42"/>
      <c r="L250" s="43"/>
      <c r="M250" s="79"/>
      <c r="N250" s="80"/>
      <c r="O250" s="81"/>
      <c r="P250" s="82"/>
      <c r="Q250" s="83"/>
      <c r="R250" s="84"/>
      <c r="S250" s="79"/>
      <c r="T250" s="80"/>
      <c r="U250" s="81"/>
      <c r="V250" s="82"/>
      <c r="W250" s="83"/>
      <c r="X250" s="84"/>
      <c r="Y250" s="84"/>
      <c r="Z250" s="84"/>
      <c r="AA250" s="84"/>
      <c r="AB250" s="84"/>
      <c r="AC250" s="84"/>
      <c r="AD250" s="84"/>
      <c r="AE250" s="85"/>
      <c r="AF250" s="86"/>
      <c r="AG250" s="87"/>
      <c r="AH250" s="88"/>
    </row>
    <row r="251" spans="1:34" x14ac:dyDescent="0.25">
      <c r="A251" s="155" t="str">
        <f t="shared" si="8"/>
        <v/>
      </c>
      <c r="B251" s="155" t="str">
        <f t="shared" si="7"/>
        <v/>
      </c>
      <c r="D251" s="77"/>
      <c r="E251" s="78"/>
      <c r="F251" s="133"/>
      <c r="G251" s="38"/>
      <c r="H251" s="39"/>
      <c r="I251" s="40"/>
      <c r="J251" s="41"/>
      <c r="K251" s="42"/>
      <c r="L251" s="43"/>
      <c r="M251" s="79"/>
      <c r="N251" s="80"/>
      <c r="O251" s="81"/>
      <c r="P251" s="82"/>
      <c r="Q251" s="83"/>
      <c r="R251" s="84"/>
      <c r="S251" s="79"/>
      <c r="T251" s="80"/>
      <c r="U251" s="81"/>
      <c r="V251" s="82"/>
      <c r="W251" s="83"/>
      <c r="X251" s="84"/>
      <c r="Y251" s="84"/>
      <c r="Z251" s="84"/>
      <c r="AA251" s="84"/>
      <c r="AB251" s="84"/>
      <c r="AC251" s="84"/>
      <c r="AD251" s="84"/>
      <c r="AE251" s="85"/>
      <c r="AF251" s="86"/>
      <c r="AG251" s="87"/>
      <c r="AH251" s="88"/>
    </row>
    <row r="252" spans="1:34" x14ac:dyDescent="0.25">
      <c r="A252" s="155" t="str">
        <f t="shared" si="8"/>
        <v/>
      </c>
      <c r="B252" s="155" t="str">
        <f t="shared" si="7"/>
        <v/>
      </c>
      <c r="D252" s="77"/>
      <c r="E252" s="78"/>
      <c r="F252" s="133"/>
      <c r="G252" s="38"/>
      <c r="H252" s="39"/>
      <c r="I252" s="40"/>
      <c r="J252" s="41"/>
      <c r="K252" s="42"/>
      <c r="L252" s="43"/>
      <c r="M252" s="79"/>
      <c r="N252" s="80"/>
      <c r="O252" s="81"/>
      <c r="P252" s="82"/>
      <c r="Q252" s="83"/>
      <c r="R252" s="84"/>
      <c r="S252" s="79"/>
      <c r="T252" s="80"/>
      <c r="U252" s="81"/>
      <c r="V252" s="82"/>
      <c r="W252" s="83"/>
      <c r="X252" s="84"/>
      <c r="Y252" s="84"/>
      <c r="Z252" s="84"/>
      <c r="AA252" s="84"/>
      <c r="AB252" s="84"/>
      <c r="AC252" s="84"/>
      <c r="AD252" s="84"/>
      <c r="AE252" s="85"/>
      <c r="AF252" s="86"/>
      <c r="AG252" s="87"/>
      <c r="AH252" s="88"/>
    </row>
    <row r="253" spans="1:34" x14ac:dyDescent="0.25">
      <c r="A253" s="155" t="str">
        <f t="shared" si="8"/>
        <v/>
      </c>
      <c r="B253" s="155" t="str">
        <f t="shared" si="7"/>
        <v/>
      </c>
      <c r="D253" s="77"/>
      <c r="E253" s="78"/>
      <c r="F253" s="133"/>
      <c r="G253" s="38"/>
      <c r="H253" s="39"/>
      <c r="I253" s="40"/>
      <c r="J253" s="41"/>
      <c r="K253" s="42"/>
      <c r="L253" s="43"/>
      <c r="M253" s="79"/>
      <c r="N253" s="80"/>
      <c r="O253" s="81"/>
      <c r="P253" s="82"/>
      <c r="Q253" s="83"/>
      <c r="R253" s="84"/>
      <c r="S253" s="79"/>
      <c r="T253" s="80"/>
      <c r="U253" s="81"/>
      <c r="V253" s="82"/>
      <c r="W253" s="83"/>
      <c r="X253" s="84"/>
      <c r="Y253" s="84"/>
      <c r="Z253" s="84"/>
      <c r="AA253" s="84"/>
      <c r="AB253" s="84"/>
      <c r="AC253" s="84"/>
      <c r="AD253" s="84"/>
      <c r="AE253" s="85"/>
      <c r="AF253" s="86"/>
      <c r="AG253" s="87"/>
      <c r="AH253" s="88"/>
    </row>
    <row r="254" spans="1:34" x14ac:dyDescent="0.25">
      <c r="A254" s="155" t="str">
        <f t="shared" si="8"/>
        <v/>
      </c>
      <c r="B254" s="155" t="str">
        <f t="shared" si="7"/>
        <v/>
      </c>
      <c r="D254" s="77"/>
      <c r="E254" s="78"/>
      <c r="F254" s="133"/>
      <c r="G254" s="38"/>
      <c r="H254" s="39"/>
      <c r="I254" s="40"/>
      <c r="J254" s="41"/>
      <c r="K254" s="42"/>
      <c r="L254" s="43"/>
      <c r="M254" s="79"/>
      <c r="N254" s="80"/>
      <c r="O254" s="81"/>
      <c r="P254" s="82"/>
      <c r="Q254" s="83"/>
      <c r="R254" s="84"/>
      <c r="S254" s="79"/>
      <c r="T254" s="80"/>
      <c r="U254" s="81"/>
      <c r="V254" s="82"/>
      <c r="W254" s="83"/>
      <c r="X254" s="84"/>
      <c r="Y254" s="84"/>
      <c r="Z254" s="84"/>
      <c r="AA254" s="84"/>
      <c r="AB254" s="84"/>
      <c r="AC254" s="84"/>
      <c r="AD254" s="84"/>
      <c r="AE254" s="85"/>
      <c r="AF254" s="86"/>
      <c r="AG254" s="87"/>
      <c r="AH254" s="88"/>
    </row>
    <row r="255" spans="1:34" x14ac:dyDescent="0.25">
      <c r="A255" s="155" t="str">
        <f t="shared" si="8"/>
        <v/>
      </c>
      <c r="B255" s="155" t="str">
        <f t="shared" si="7"/>
        <v/>
      </c>
      <c r="D255" s="77"/>
      <c r="E255" s="78"/>
      <c r="F255" s="133"/>
      <c r="G255" s="38"/>
      <c r="H255" s="39"/>
      <c r="I255" s="40"/>
      <c r="J255" s="41"/>
      <c r="K255" s="42"/>
      <c r="L255" s="43"/>
      <c r="M255" s="79"/>
      <c r="N255" s="80"/>
      <c r="O255" s="81"/>
      <c r="P255" s="82"/>
      <c r="Q255" s="83"/>
      <c r="R255" s="84"/>
      <c r="S255" s="79"/>
      <c r="T255" s="80"/>
      <c r="U255" s="81"/>
      <c r="V255" s="82"/>
      <c r="W255" s="83"/>
      <c r="X255" s="84"/>
      <c r="Y255" s="84"/>
      <c r="Z255" s="84"/>
      <c r="AA255" s="84"/>
      <c r="AB255" s="84"/>
      <c r="AC255" s="84"/>
      <c r="AD255" s="84"/>
      <c r="AE255" s="85"/>
      <c r="AF255" s="86"/>
      <c r="AG255" s="87"/>
      <c r="AH255" s="88"/>
    </row>
    <row r="256" spans="1:34" x14ac:dyDescent="0.25">
      <c r="A256" s="155" t="str">
        <f t="shared" si="8"/>
        <v/>
      </c>
      <c r="B256" s="155" t="str">
        <f t="shared" si="7"/>
        <v/>
      </c>
      <c r="D256" s="77"/>
      <c r="E256" s="78"/>
      <c r="F256" s="133"/>
      <c r="G256" s="38"/>
      <c r="H256" s="39"/>
      <c r="I256" s="40"/>
      <c r="J256" s="41"/>
      <c r="K256" s="42"/>
      <c r="L256" s="43"/>
      <c r="M256" s="79"/>
      <c r="N256" s="80"/>
      <c r="O256" s="81"/>
      <c r="P256" s="82"/>
      <c r="Q256" s="83"/>
      <c r="R256" s="84"/>
      <c r="S256" s="79"/>
      <c r="T256" s="80"/>
      <c r="U256" s="81"/>
      <c r="V256" s="82"/>
      <c r="W256" s="83"/>
      <c r="X256" s="84"/>
      <c r="Y256" s="84"/>
      <c r="Z256" s="84"/>
      <c r="AA256" s="84"/>
      <c r="AB256" s="84"/>
      <c r="AC256" s="84"/>
      <c r="AD256" s="84"/>
      <c r="AE256" s="85"/>
      <c r="AF256" s="86"/>
      <c r="AG256" s="87"/>
      <c r="AH256" s="88"/>
    </row>
    <row r="257" spans="1:34" x14ac:dyDescent="0.25">
      <c r="A257" s="155" t="str">
        <f t="shared" si="8"/>
        <v/>
      </c>
      <c r="B257" s="155" t="str">
        <f t="shared" si="7"/>
        <v/>
      </c>
      <c r="D257" s="77"/>
      <c r="E257" s="78"/>
      <c r="F257" s="133"/>
      <c r="G257" s="38"/>
      <c r="H257" s="39"/>
      <c r="I257" s="40"/>
      <c r="J257" s="41"/>
      <c r="K257" s="42"/>
      <c r="L257" s="43"/>
      <c r="M257" s="79"/>
      <c r="N257" s="80"/>
      <c r="O257" s="81"/>
      <c r="P257" s="82"/>
      <c r="Q257" s="83"/>
      <c r="R257" s="84"/>
      <c r="S257" s="79"/>
      <c r="T257" s="80"/>
      <c r="U257" s="81"/>
      <c r="V257" s="82"/>
      <c r="W257" s="83"/>
      <c r="X257" s="84"/>
      <c r="Y257" s="84"/>
      <c r="Z257" s="84"/>
      <c r="AA257" s="84"/>
      <c r="AB257" s="84"/>
      <c r="AC257" s="84"/>
      <c r="AD257" s="84"/>
      <c r="AE257" s="85"/>
      <c r="AF257" s="86"/>
      <c r="AG257" s="87"/>
      <c r="AH257" s="88"/>
    </row>
    <row r="258" spans="1:34" x14ac:dyDescent="0.25">
      <c r="A258" s="155" t="str">
        <f t="shared" si="8"/>
        <v/>
      </c>
      <c r="B258" s="155" t="str">
        <f t="shared" si="7"/>
        <v/>
      </c>
      <c r="D258" s="77"/>
      <c r="E258" s="78"/>
      <c r="F258" s="133"/>
      <c r="G258" s="38"/>
      <c r="H258" s="39"/>
      <c r="I258" s="40"/>
      <c r="J258" s="41"/>
      <c r="K258" s="42"/>
      <c r="L258" s="43"/>
      <c r="M258" s="79"/>
      <c r="N258" s="80"/>
      <c r="O258" s="81"/>
      <c r="P258" s="82"/>
      <c r="Q258" s="83"/>
      <c r="R258" s="84"/>
      <c r="S258" s="79"/>
      <c r="T258" s="80"/>
      <c r="U258" s="81"/>
      <c r="V258" s="82"/>
      <c r="W258" s="83"/>
      <c r="X258" s="84"/>
      <c r="Y258" s="84"/>
      <c r="Z258" s="84"/>
      <c r="AA258" s="84"/>
      <c r="AB258" s="84"/>
      <c r="AC258" s="84"/>
      <c r="AD258" s="84"/>
      <c r="AE258" s="85"/>
      <c r="AF258" s="86"/>
      <c r="AG258" s="87"/>
      <c r="AH258" s="88"/>
    </row>
    <row r="259" spans="1:34" x14ac:dyDescent="0.25">
      <c r="A259" s="155" t="str">
        <f t="shared" si="8"/>
        <v/>
      </c>
      <c r="B259" s="155" t="str">
        <f t="shared" si="7"/>
        <v/>
      </c>
      <c r="D259" s="77"/>
      <c r="E259" s="78"/>
      <c r="F259" s="133"/>
      <c r="G259" s="38"/>
      <c r="H259" s="39"/>
      <c r="I259" s="40"/>
      <c r="J259" s="41"/>
      <c r="K259" s="42"/>
      <c r="L259" s="43"/>
      <c r="M259" s="79"/>
      <c r="N259" s="80"/>
      <c r="O259" s="81"/>
      <c r="P259" s="82"/>
      <c r="Q259" s="83"/>
      <c r="R259" s="84"/>
      <c r="S259" s="79"/>
      <c r="T259" s="80"/>
      <c r="U259" s="81"/>
      <c r="V259" s="82"/>
      <c r="W259" s="83"/>
      <c r="X259" s="84"/>
      <c r="Y259" s="84"/>
      <c r="Z259" s="84"/>
      <c r="AA259" s="84"/>
      <c r="AB259" s="84"/>
      <c r="AC259" s="84"/>
      <c r="AD259" s="84"/>
      <c r="AE259" s="85"/>
      <c r="AF259" s="86"/>
      <c r="AG259" s="87"/>
      <c r="AH259" s="88"/>
    </row>
    <row r="260" spans="1:34" x14ac:dyDescent="0.25">
      <c r="A260" s="155" t="str">
        <f t="shared" si="8"/>
        <v/>
      </c>
      <c r="B260" s="155" t="str">
        <f t="shared" si="7"/>
        <v/>
      </c>
      <c r="D260" s="77"/>
      <c r="E260" s="78"/>
      <c r="F260" s="133"/>
      <c r="G260" s="38"/>
      <c r="H260" s="39"/>
      <c r="I260" s="40"/>
      <c r="J260" s="41"/>
      <c r="K260" s="42"/>
      <c r="L260" s="43"/>
      <c r="M260" s="79"/>
      <c r="N260" s="80"/>
      <c r="O260" s="81"/>
      <c r="P260" s="82"/>
      <c r="Q260" s="83"/>
      <c r="R260" s="84"/>
      <c r="S260" s="79"/>
      <c r="T260" s="80"/>
      <c r="U260" s="81"/>
      <c r="V260" s="82"/>
      <c r="W260" s="83"/>
      <c r="X260" s="84"/>
      <c r="Y260" s="84"/>
      <c r="Z260" s="84"/>
      <c r="AA260" s="84"/>
      <c r="AB260" s="84"/>
      <c r="AC260" s="84"/>
      <c r="AD260" s="84"/>
      <c r="AE260" s="85"/>
      <c r="AF260" s="86"/>
      <c r="AG260" s="87"/>
      <c r="AH260" s="88"/>
    </row>
    <row r="261" spans="1:34" x14ac:dyDescent="0.25">
      <c r="A261" s="155" t="str">
        <f t="shared" si="8"/>
        <v/>
      </c>
      <c r="B261" s="155" t="str">
        <f t="shared" ref="B261:B324" si="9">IF(A261="","",COUNTA(G261:L261)-A261)</f>
        <v/>
      </c>
      <c r="D261" s="77"/>
      <c r="E261" s="78"/>
      <c r="F261" s="133"/>
      <c r="G261" s="38"/>
      <c r="H261" s="39"/>
      <c r="I261" s="40"/>
      <c r="J261" s="41"/>
      <c r="K261" s="42"/>
      <c r="L261" s="43"/>
      <c r="M261" s="79"/>
      <c r="N261" s="80"/>
      <c r="O261" s="81"/>
      <c r="P261" s="82"/>
      <c r="Q261" s="83"/>
      <c r="R261" s="84"/>
      <c r="S261" s="79"/>
      <c r="T261" s="80"/>
      <c r="U261" s="81"/>
      <c r="V261" s="82"/>
      <c r="W261" s="83"/>
      <c r="X261" s="84"/>
      <c r="Y261" s="84"/>
      <c r="Z261" s="84"/>
      <c r="AA261" s="84"/>
      <c r="AB261" s="84"/>
      <c r="AC261" s="84"/>
      <c r="AD261" s="84"/>
      <c r="AE261" s="85"/>
      <c r="AF261" s="86"/>
      <c r="AG261" s="87"/>
      <c r="AH261" s="88"/>
    </row>
    <row r="262" spans="1:34" x14ac:dyDescent="0.25">
      <c r="A262" s="155" t="str">
        <f t="shared" si="8"/>
        <v/>
      </c>
      <c r="B262" s="155" t="str">
        <f t="shared" si="9"/>
        <v/>
      </c>
      <c r="D262" s="77"/>
      <c r="E262" s="78"/>
      <c r="F262" s="133"/>
      <c r="G262" s="38"/>
      <c r="H262" s="39"/>
      <c r="I262" s="40"/>
      <c r="J262" s="41"/>
      <c r="K262" s="42"/>
      <c r="L262" s="43"/>
      <c r="M262" s="79"/>
      <c r="N262" s="80"/>
      <c r="O262" s="81"/>
      <c r="P262" s="82"/>
      <c r="Q262" s="83"/>
      <c r="R262" s="84"/>
      <c r="S262" s="79"/>
      <c r="T262" s="80"/>
      <c r="U262" s="81"/>
      <c r="V262" s="82"/>
      <c r="W262" s="83"/>
      <c r="X262" s="84"/>
      <c r="Y262" s="84"/>
      <c r="Z262" s="84"/>
      <c r="AA262" s="84"/>
      <c r="AB262" s="84"/>
      <c r="AC262" s="84"/>
      <c r="AD262" s="84"/>
      <c r="AE262" s="85"/>
      <c r="AF262" s="86"/>
      <c r="AG262" s="87"/>
      <c r="AH262" s="88"/>
    </row>
    <row r="263" spans="1:34" x14ac:dyDescent="0.25">
      <c r="A263" s="155" t="str">
        <f t="shared" ref="A263:A326" si="10">IF(COUNTIF(S263:X263,"&gt;0")=0,"",COUNTIF(S263:X263,"&gt;0"))</f>
        <v/>
      </c>
      <c r="B263" s="155" t="str">
        <f t="shared" si="9"/>
        <v/>
      </c>
      <c r="D263" s="77"/>
      <c r="E263" s="78"/>
      <c r="F263" s="133"/>
      <c r="G263" s="38"/>
      <c r="H263" s="39"/>
      <c r="I263" s="40"/>
      <c r="J263" s="41"/>
      <c r="K263" s="42"/>
      <c r="L263" s="43"/>
      <c r="M263" s="79"/>
      <c r="N263" s="80"/>
      <c r="O263" s="81"/>
      <c r="P263" s="82"/>
      <c r="Q263" s="83"/>
      <c r="R263" s="84"/>
      <c r="S263" s="79"/>
      <c r="T263" s="80"/>
      <c r="U263" s="81"/>
      <c r="V263" s="82"/>
      <c r="W263" s="83"/>
      <c r="X263" s="84"/>
      <c r="Y263" s="84"/>
      <c r="Z263" s="84"/>
      <c r="AA263" s="84"/>
      <c r="AB263" s="84"/>
      <c r="AC263" s="84"/>
      <c r="AD263" s="84"/>
      <c r="AE263" s="85"/>
      <c r="AF263" s="86"/>
      <c r="AG263" s="87"/>
      <c r="AH263" s="88"/>
    </row>
    <row r="264" spans="1:34" x14ac:dyDescent="0.25">
      <c r="A264" s="155" t="str">
        <f t="shared" si="10"/>
        <v/>
      </c>
      <c r="B264" s="155" t="str">
        <f t="shared" si="9"/>
        <v/>
      </c>
      <c r="D264" s="77"/>
      <c r="E264" s="78"/>
      <c r="F264" s="133"/>
      <c r="G264" s="38"/>
      <c r="H264" s="39"/>
      <c r="I264" s="40"/>
      <c r="J264" s="41"/>
      <c r="K264" s="42"/>
      <c r="L264" s="43"/>
      <c r="M264" s="79"/>
      <c r="N264" s="80"/>
      <c r="O264" s="81"/>
      <c r="P264" s="82"/>
      <c r="Q264" s="83"/>
      <c r="R264" s="84"/>
      <c r="S264" s="79"/>
      <c r="T264" s="80"/>
      <c r="U264" s="81"/>
      <c r="V264" s="82"/>
      <c r="W264" s="83"/>
      <c r="X264" s="84"/>
      <c r="Y264" s="84"/>
      <c r="Z264" s="84"/>
      <c r="AA264" s="84"/>
      <c r="AB264" s="84"/>
      <c r="AC264" s="84"/>
      <c r="AD264" s="84"/>
      <c r="AE264" s="85"/>
      <c r="AF264" s="86"/>
      <c r="AG264" s="87"/>
      <c r="AH264" s="88"/>
    </row>
    <row r="265" spans="1:34" x14ac:dyDescent="0.25">
      <c r="A265" s="155" t="str">
        <f t="shared" si="10"/>
        <v/>
      </c>
      <c r="B265" s="155" t="str">
        <f t="shared" si="9"/>
        <v/>
      </c>
      <c r="D265" s="77"/>
      <c r="E265" s="78"/>
      <c r="F265" s="133"/>
      <c r="G265" s="38"/>
      <c r="H265" s="39"/>
      <c r="I265" s="40"/>
      <c r="J265" s="41"/>
      <c r="K265" s="42"/>
      <c r="L265" s="43"/>
      <c r="M265" s="79"/>
      <c r="N265" s="80"/>
      <c r="O265" s="81"/>
      <c r="P265" s="82"/>
      <c r="Q265" s="83"/>
      <c r="R265" s="84"/>
      <c r="S265" s="79"/>
      <c r="T265" s="80"/>
      <c r="U265" s="81"/>
      <c r="V265" s="82"/>
      <c r="W265" s="83"/>
      <c r="X265" s="84"/>
      <c r="Y265" s="84"/>
      <c r="Z265" s="84"/>
      <c r="AA265" s="84"/>
      <c r="AB265" s="84"/>
      <c r="AC265" s="84"/>
      <c r="AD265" s="84"/>
      <c r="AE265" s="85"/>
      <c r="AF265" s="86"/>
      <c r="AG265" s="87"/>
      <c r="AH265" s="88"/>
    </row>
    <row r="266" spans="1:34" x14ac:dyDescent="0.25">
      <c r="A266" s="155" t="str">
        <f t="shared" si="10"/>
        <v/>
      </c>
      <c r="B266" s="155" t="str">
        <f t="shared" si="9"/>
        <v/>
      </c>
      <c r="D266" s="77"/>
      <c r="E266" s="78"/>
      <c r="F266" s="133"/>
      <c r="G266" s="38"/>
      <c r="H266" s="39"/>
      <c r="I266" s="40"/>
      <c r="J266" s="41"/>
      <c r="K266" s="42"/>
      <c r="L266" s="43"/>
      <c r="M266" s="79"/>
      <c r="N266" s="80"/>
      <c r="O266" s="81"/>
      <c r="P266" s="82"/>
      <c r="Q266" s="83"/>
      <c r="R266" s="84"/>
      <c r="S266" s="79"/>
      <c r="T266" s="80"/>
      <c r="U266" s="81"/>
      <c r="V266" s="82"/>
      <c r="W266" s="83"/>
      <c r="X266" s="84"/>
      <c r="Y266" s="84"/>
      <c r="Z266" s="84"/>
      <c r="AA266" s="84"/>
      <c r="AB266" s="84"/>
      <c r="AC266" s="84"/>
      <c r="AD266" s="84"/>
      <c r="AE266" s="85"/>
      <c r="AF266" s="86"/>
      <c r="AG266" s="87"/>
      <c r="AH266" s="88"/>
    </row>
    <row r="267" spans="1:34" x14ac:dyDescent="0.25">
      <c r="A267" s="155" t="str">
        <f t="shared" si="10"/>
        <v/>
      </c>
      <c r="B267" s="155" t="str">
        <f t="shared" si="9"/>
        <v/>
      </c>
      <c r="D267" s="77"/>
      <c r="E267" s="78"/>
      <c r="F267" s="133"/>
      <c r="G267" s="38"/>
      <c r="H267" s="39"/>
      <c r="I267" s="40"/>
      <c r="J267" s="41"/>
      <c r="K267" s="42"/>
      <c r="L267" s="43"/>
      <c r="M267" s="79"/>
      <c r="N267" s="80"/>
      <c r="O267" s="81"/>
      <c r="P267" s="82"/>
      <c r="Q267" s="83"/>
      <c r="R267" s="84"/>
      <c r="S267" s="79"/>
      <c r="T267" s="80"/>
      <c r="U267" s="81"/>
      <c r="V267" s="82"/>
      <c r="W267" s="83"/>
      <c r="X267" s="84"/>
      <c r="Y267" s="84"/>
      <c r="Z267" s="84"/>
      <c r="AA267" s="84"/>
      <c r="AB267" s="84"/>
      <c r="AC267" s="84"/>
      <c r="AD267" s="84"/>
      <c r="AE267" s="85"/>
      <c r="AF267" s="86"/>
      <c r="AG267" s="87"/>
      <c r="AH267" s="88"/>
    </row>
    <row r="268" spans="1:34" x14ac:dyDescent="0.25">
      <c r="A268" s="155" t="str">
        <f t="shared" si="10"/>
        <v/>
      </c>
      <c r="B268" s="155" t="str">
        <f t="shared" si="9"/>
        <v/>
      </c>
      <c r="D268" s="77"/>
      <c r="E268" s="78"/>
      <c r="F268" s="133"/>
      <c r="G268" s="38"/>
      <c r="H268" s="39"/>
      <c r="I268" s="40"/>
      <c r="J268" s="41"/>
      <c r="K268" s="42"/>
      <c r="L268" s="43"/>
      <c r="M268" s="79"/>
      <c r="N268" s="80"/>
      <c r="O268" s="81"/>
      <c r="P268" s="82"/>
      <c r="Q268" s="83"/>
      <c r="R268" s="84"/>
      <c r="S268" s="79"/>
      <c r="T268" s="80"/>
      <c r="U268" s="81"/>
      <c r="V268" s="82"/>
      <c r="W268" s="83"/>
      <c r="X268" s="84"/>
      <c r="Y268" s="84"/>
      <c r="Z268" s="84"/>
      <c r="AA268" s="84"/>
      <c r="AB268" s="84"/>
      <c r="AC268" s="84"/>
      <c r="AD268" s="84"/>
      <c r="AE268" s="85"/>
      <c r="AF268" s="86"/>
      <c r="AG268" s="87"/>
      <c r="AH268" s="88"/>
    </row>
    <row r="269" spans="1:34" x14ac:dyDescent="0.25">
      <c r="A269" s="155" t="str">
        <f t="shared" si="10"/>
        <v/>
      </c>
      <c r="B269" s="155" t="str">
        <f t="shared" si="9"/>
        <v/>
      </c>
      <c r="D269" s="77"/>
      <c r="E269" s="78"/>
      <c r="F269" s="133"/>
      <c r="G269" s="38"/>
      <c r="H269" s="39"/>
      <c r="I269" s="40"/>
      <c r="J269" s="41"/>
      <c r="K269" s="42"/>
      <c r="L269" s="43"/>
      <c r="M269" s="79"/>
      <c r="N269" s="80"/>
      <c r="O269" s="81"/>
      <c r="P269" s="82"/>
      <c r="Q269" s="83"/>
      <c r="R269" s="84"/>
      <c r="S269" s="79"/>
      <c r="T269" s="80"/>
      <c r="U269" s="81"/>
      <c r="V269" s="82"/>
      <c r="W269" s="83"/>
      <c r="X269" s="84"/>
      <c r="Y269" s="84"/>
      <c r="Z269" s="84"/>
      <c r="AA269" s="84"/>
      <c r="AB269" s="84"/>
      <c r="AC269" s="84"/>
      <c r="AD269" s="84"/>
      <c r="AE269" s="85"/>
      <c r="AF269" s="86"/>
      <c r="AG269" s="87"/>
      <c r="AH269" s="88"/>
    </row>
    <row r="270" spans="1:34" x14ac:dyDescent="0.25">
      <c r="A270" s="155" t="str">
        <f t="shared" si="10"/>
        <v/>
      </c>
      <c r="B270" s="155" t="str">
        <f t="shared" si="9"/>
        <v/>
      </c>
      <c r="D270" s="77"/>
      <c r="E270" s="78"/>
      <c r="F270" s="133"/>
      <c r="G270" s="38"/>
      <c r="H270" s="39"/>
      <c r="I270" s="40"/>
      <c r="J270" s="41"/>
      <c r="K270" s="42"/>
      <c r="L270" s="43"/>
      <c r="M270" s="79"/>
      <c r="N270" s="80"/>
      <c r="O270" s="81"/>
      <c r="P270" s="82"/>
      <c r="Q270" s="83"/>
      <c r="R270" s="84"/>
      <c r="S270" s="79"/>
      <c r="T270" s="80"/>
      <c r="U270" s="81"/>
      <c r="V270" s="82"/>
      <c r="W270" s="83"/>
      <c r="X270" s="84"/>
      <c r="Y270" s="84"/>
      <c r="Z270" s="84"/>
      <c r="AA270" s="84"/>
      <c r="AB270" s="84"/>
      <c r="AC270" s="84"/>
      <c r="AD270" s="84"/>
      <c r="AE270" s="85"/>
      <c r="AF270" s="86"/>
      <c r="AG270" s="87"/>
      <c r="AH270" s="88"/>
    </row>
    <row r="271" spans="1:34" x14ac:dyDescent="0.25">
      <c r="A271" s="155" t="str">
        <f t="shared" si="10"/>
        <v/>
      </c>
      <c r="B271" s="155" t="str">
        <f t="shared" si="9"/>
        <v/>
      </c>
      <c r="D271" s="77"/>
      <c r="E271" s="78"/>
      <c r="F271" s="133"/>
      <c r="G271" s="38"/>
      <c r="H271" s="39"/>
      <c r="I271" s="40"/>
      <c r="J271" s="41"/>
      <c r="K271" s="42"/>
      <c r="L271" s="43"/>
      <c r="M271" s="79"/>
      <c r="N271" s="80"/>
      <c r="O271" s="81"/>
      <c r="P271" s="82"/>
      <c r="Q271" s="83"/>
      <c r="R271" s="84"/>
      <c r="S271" s="79"/>
      <c r="T271" s="80"/>
      <c r="U271" s="81"/>
      <c r="V271" s="82"/>
      <c r="W271" s="83"/>
      <c r="X271" s="84"/>
      <c r="Y271" s="84"/>
      <c r="Z271" s="84"/>
      <c r="AA271" s="84"/>
      <c r="AB271" s="84"/>
      <c r="AC271" s="84"/>
      <c r="AD271" s="84"/>
      <c r="AE271" s="85"/>
      <c r="AF271" s="86"/>
      <c r="AG271" s="87"/>
      <c r="AH271" s="88"/>
    </row>
    <row r="272" spans="1:34" x14ac:dyDescent="0.25">
      <c r="A272" s="155" t="str">
        <f t="shared" si="10"/>
        <v/>
      </c>
      <c r="B272" s="155" t="str">
        <f t="shared" si="9"/>
        <v/>
      </c>
      <c r="D272" s="77"/>
      <c r="E272" s="78"/>
      <c r="F272" s="133"/>
      <c r="G272" s="38"/>
      <c r="H272" s="39"/>
      <c r="I272" s="40"/>
      <c r="J272" s="41"/>
      <c r="K272" s="42"/>
      <c r="L272" s="43"/>
      <c r="M272" s="79"/>
      <c r="N272" s="80"/>
      <c r="O272" s="81"/>
      <c r="P272" s="82"/>
      <c r="Q272" s="83"/>
      <c r="R272" s="84"/>
      <c r="S272" s="79"/>
      <c r="T272" s="80"/>
      <c r="U272" s="81"/>
      <c r="V272" s="82"/>
      <c r="W272" s="83"/>
      <c r="X272" s="84"/>
      <c r="Y272" s="84"/>
      <c r="Z272" s="84"/>
      <c r="AA272" s="84"/>
      <c r="AB272" s="84"/>
      <c r="AC272" s="84"/>
      <c r="AD272" s="84"/>
      <c r="AE272" s="85"/>
      <c r="AF272" s="86"/>
      <c r="AG272" s="87"/>
      <c r="AH272" s="88"/>
    </row>
    <row r="273" spans="1:34" x14ac:dyDescent="0.25">
      <c r="A273" s="155" t="str">
        <f t="shared" si="10"/>
        <v/>
      </c>
      <c r="B273" s="155" t="str">
        <f t="shared" si="9"/>
        <v/>
      </c>
      <c r="D273" s="77"/>
      <c r="E273" s="78"/>
      <c r="F273" s="133"/>
      <c r="G273" s="38"/>
      <c r="H273" s="39"/>
      <c r="I273" s="40"/>
      <c r="J273" s="41"/>
      <c r="K273" s="42"/>
      <c r="L273" s="43"/>
      <c r="M273" s="79"/>
      <c r="N273" s="80"/>
      <c r="O273" s="81"/>
      <c r="P273" s="82"/>
      <c r="Q273" s="83"/>
      <c r="R273" s="84"/>
      <c r="S273" s="79"/>
      <c r="T273" s="80"/>
      <c r="U273" s="81"/>
      <c r="V273" s="82"/>
      <c r="W273" s="83"/>
      <c r="X273" s="84"/>
      <c r="Y273" s="84"/>
      <c r="Z273" s="84"/>
      <c r="AA273" s="84"/>
      <c r="AB273" s="84"/>
      <c r="AC273" s="84"/>
      <c r="AD273" s="84"/>
      <c r="AE273" s="85"/>
      <c r="AF273" s="86"/>
      <c r="AG273" s="87"/>
      <c r="AH273" s="88"/>
    </row>
    <row r="274" spans="1:34" x14ac:dyDescent="0.25">
      <c r="A274" s="155" t="str">
        <f t="shared" si="10"/>
        <v/>
      </c>
      <c r="B274" s="155" t="str">
        <f t="shared" si="9"/>
        <v/>
      </c>
      <c r="D274" s="77"/>
      <c r="E274" s="78"/>
      <c r="F274" s="133"/>
      <c r="G274" s="38"/>
      <c r="H274" s="39"/>
      <c r="I274" s="40"/>
      <c r="J274" s="41"/>
      <c r="K274" s="42"/>
      <c r="L274" s="43"/>
      <c r="M274" s="79"/>
      <c r="N274" s="80"/>
      <c r="O274" s="81"/>
      <c r="P274" s="82"/>
      <c r="Q274" s="83"/>
      <c r="R274" s="84"/>
      <c r="S274" s="79"/>
      <c r="T274" s="80"/>
      <c r="U274" s="81"/>
      <c r="V274" s="82"/>
      <c r="W274" s="83"/>
      <c r="X274" s="84"/>
      <c r="Y274" s="84"/>
      <c r="Z274" s="84"/>
      <c r="AA274" s="84"/>
      <c r="AB274" s="84"/>
      <c r="AC274" s="84"/>
      <c r="AD274" s="84"/>
      <c r="AE274" s="85"/>
      <c r="AF274" s="86"/>
      <c r="AG274" s="87"/>
      <c r="AH274" s="88"/>
    </row>
    <row r="275" spans="1:34" x14ac:dyDescent="0.25">
      <c r="A275" s="155" t="str">
        <f t="shared" si="10"/>
        <v/>
      </c>
      <c r="B275" s="155" t="str">
        <f t="shared" si="9"/>
        <v/>
      </c>
      <c r="D275" s="77"/>
      <c r="E275" s="78"/>
      <c r="F275" s="133"/>
      <c r="G275" s="38"/>
      <c r="H275" s="39"/>
      <c r="I275" s="40"/>
      <c r="J275" s="41"/>
      <c r="K275" s="42"/>
      <c r="L275" s="43"/>
      <c r="M275" s="79"/>
      <c r="N275" s="80"/>
      <c r="O275" s="81"/>
      <c r="P275" s="82"/>
      <c r="Q275" s="83"/>
      <c r="R275" s="84"/>
      <c r="S275" s="79"/>
      <c r="T275" s="80"/>
      <c r="U275" s="81"/>
      <c r="V275" s="82"/>
      <c r="W275" s="83"/>
      <c r="X275" s="84"/>
      <c r="Y275" s="84"/>
      <c r="Z275" s="84"/>
      <c r="AA275" s="84"/>
      <c r="AB275" s="84"/>
      <c r="AC275" s="84"/>
      <c r="AD275" s="84"/>
      <c r="AE275" s="85"/>
      <c r="AF275" s="86"/>
      <c r="AG275" s="87"/>
      <c r="AH275" s="88"/>
    </row>
    <row r="276" spans="1:34" x14ac:dyDescent="0.25">
      <c r="A276" s="155" t="str">
        <f t="shared" si="10"/>
        <v/>
      </c>
      <c r="B276" s="155" t="str">
        <f t="shared" si="9"/>
        <v/>
      </c>
      <c r="D276" s="77"/>
      <c r="E276" s="78"/>
      <c r="F276" s="133"/>
      <c r="G276" s="38"/>
      <c r="H276" s="39"/>
      <c r="I276" s="40"/>
      <c r="J276" s="41"/>
      <c r="K276" s="42"/>
      <c r="L276" s="43"/>
      <c r="M276" s="79"/>
      <c r="N276" s="80"/>
      <c r="O276" s="81"/>
      <c r="P276" s="82"/>
      <c r="Q276" s="83"/>
      <c r="R276" s="84"/>
      <c r="S276" s="79"/>
      <c r="T276" s="80"/>
      <c r="U276" s="81"/>
      <c r="V276" s="82"/>
      <c r="W276" s="83"/>
      <c r="X276" s="84"/>
      <c r="Y276" s="84"/>
      <c r="Z276" s="84"/>
      <c r="AA276" s="84"/>
      <c r="AB276" s="84"/>
      <c r="AC276" s="84"/>
      <c r="AD276" s="84"/>
      <c r="AE276" s="85"/>
      <c r="AF276" s="86"/>
      <c r="AG276" s="87"/>
      <c r="AH276" s="88"/>
    </row>
    <row r="277" spans="1:34" x14ac:dyDescent="0.25">
      <c r="A277" s="155" t="str">
        <f t="shared" si="10"/>
        <v/>
      </c>
      <c r="B277" s="155" t="str">
        <f t="shared" si="9"/>
        <v/>
      </c>
      <c r="D277" s="77"/>
      <c r="E277" s="78"/>
      <c r="F277" s="133"/>
      <c r="G277" s="38"/>
      <c r="H277" s="39"/>
      <c r="I277" s="40"/>
      <c r="J277" s="41"/>
      <c r="K277" s="42"/>
      <c r="L277" s="43"/>
      <c r="M277" s="79"/>
      <c r="N277" s="80"/>
      <c r="O277" s="81"/>
      <c r="P277" s="82"/>
      <c r="Q277" s="83"/>
      <c r="R277" s="84"/>
      <c r="S277" s="79"/>
      <c r="T277" s="80"/>
      <c r="U277" s="81"/>
      <c r="V277" s="82"/>
      <c r="W277" s="83"/>
      <c r="X277" s="84"/>
      <c r="Y277" s="84"/>
      <c r="Z277" s="84"/>
      <c r="AA277" s="84"/>
      <c r="AB277" s="84"/>
      <c r="AC277" s="84"/>
      <c r="AD277" s="84"/>
      <c r="AE277" s="85"/>
      <c r="AF277" s="86"/>
      <c r="AG277" s="87"/>
      <c r="AH277" s="88"/>
    </row>
    <row r="278" spans="1:34" x14ac:dyDescent="0.25">
      <c r="A278" s="155" t="str">
        <f t="shared" si="10"/>
        <v/>
      </c>
      <c r="B278" s="155" t="str">
        <f t="shared" si="9"/>
        <v/>
      </c>
      <c r="D278" s="77"/>
      <c r="E278" s="78"/>
      <c r="F278" s="133"/>
      <c r="G278" s="38"/>
      <c r="H278" s="39"/>
      <c r="I278" s="40"/>
      <c r="J278" s="41"/>
      <c r="K278" s="42"/>
      <c r="L278" s="43"/>
      <c r="M278" s="79"/>
      <c r="N278" s="80"/>
      <c r="O278" s="81"/>
      <c r="P278" s="82"/>
      <c r="Q278" s="83"/>
      <c r="R278" s="84"/>
      <c r="S278" s="79"/>
      <c r="T278" s="80"/>
      <c r="U278" s="81"/>
      <c r="V278" s="82"/>
      <c r="W278" s="83"/>
      <c r="X278" s="84"/>
      <c r="Y278" s="84"/>
      <c r="Z278" s="84"/>
      <c r="AA278" s="84"/>
      <c r="AB278" s="84"/>
      <c r="AC278" s="84"/>
      <c r="AD278" s="84"/>
      <c r="AE278" s="85"/>
      <c r="AF278" s="86"/>
      <c r="AG278" s="87"/>
      <c r="AH278" s="88"/>
    </row>
    <row r="279" spans="1:34" x14ac:dyDescent="0.25">
      <c r="A279" s="155" t="str">
        <f t="shared" si="10"/>
        <v/>
      </c>
      <c r="B279" s="155" t="str">
        <f t="shared" si="9"/>
        <v/>
      </c>
      <c r="D279" s="77"/>
      <c r="E279" s="78"/>
      <c r="F279" s="133"/>
      <c r="G279" s="38"/>
      <c r="H279" s="39"/>
      <c r="I279" s="40"/>
      <c r="J279" s="41"/>
      <c r="K279" s="42"/>
      <c r="L279" s="43"/>
      <c r="M279" s="79"/>
      <c r="N279" s="80"/>
      <c r="O279" s="81"/>
      <c r="P279" s="82"/>
      <c r="Q279" s="83"/>
      <c r="R279" s="84"/>
      <c r="S279" s="79"/>
      <c r="T279" s="80"/>
      <c r="U279" s="81"/>
      <c r="V279" s="82"/>
      <c r="W279" s="83"/>
      <c r="X279" s="84"/>
      <c r="Y279" s="84"/>
      <c r="Z279" s="84"/>
      <c r="AA279" s="84"/>
      <c r="AB279" s="84"/>
      <c r="AC279" s="84"/>
      <c r="AD279" s="84"/>
      <c r="AE279" s="85"/>
      <c r="AF279" s="86"/>
      <c r="AG279" s="87"/>
      <c r="AH279" s="88"/>
    </row>
    <row r="280" spans="1:34" x14ac:dyDescent="0.25">
      <c r="A280" s="155" t="str">
        <f t="shared" si="10"/>
        <v/>
      </c>
      <c r="B280" s="155" t="str">
        <f t="shared" si="9"/>
        <v/>
      </c>
      <c r="D280" s="77"/>
      <c r="E280" s="78"/>
      <c r="F280" s="133"/>
      <c r="G280" s="38"/>
      <c r="H280" s="39"/>
      <c r="I280" s="40"/>
      <c r="J280" s="41"/>
      <c r="K280" s="42"/>
      <c r="L280" s="43"/>
      <c r="M280" s="79"/>
      <c r="N280" s="80"/>
      <c r="O280" s="81"/>
      <c r="P280" s="82"/>
      <c r="Q280" s="83"/>
      <c r="R280" s="84"/>
      <c r="S280" s="79"/>
      <c r="T280" s="80"/>
      <c r="U280" s="81"/>
      <c r="V280" s="82"/>
      <c r="W280" s="83"/>
      <c r="X280" s="84"/>
      <c r="Y280" s="84"/>
      <c r="Z280" s="84"/>
      <c r="AA280" s="84"/>
      <c r="AB280" s="84"/>
      <c r="AC280" s="84"/>
      <c r="AD280" s="84"/>
      <c r="AE280" s="85"/>
      <c r="AF280" s="86"/>
      <c r="AG280" s="87"/>
      <c r="AH280" s="88"/>
    </row>
    <row r="281" spans="1:34" x14ac:dyDescent="0.25">
      <c r="A281" s="155" t="str">
        <f t="shared" si="10"/>
        <v/>
      </c>
      <c r="B281" s="155" t="str">
        <f t="shared" si="9"/>
        <v/>
      </c>
      <c r="D281" s="77"/>
      <c r="E281" s="78"/>
      <c r="F281" s="133"/>
      <c r="G281" s="38"/>
      <c r="H281" s="39"/>
      <c r="I281" s="40"/>
      <c r="J281" s="41"/>
      <c r="K281" s="42"/>
      <c r="L281" s="43"/>
      <c r="M281" s="79"/>
      <c r="N281" s="80"/>
      <c r="O281" s="81"/>
      <c r="P281" s="82"/>
      <c r="Q281" s="83"/>
      <c r="R281" s="84"/>
      <c r="S281" s="79"/>
      <c r="T281" s="80"/>
      <c r="U281" s="81"/>
      <c r="V281" s="82"/>
      <c r="W281" s="83"/>
      <c r="X281" s="84"/>
      <c r="Y281" s="84"/>
      <c r="Z281" s="84"/>
      <c r="AA281" s="84"/>
      <c r="AB281" s="84"/>
      <c r="AC281" s="84"/>
      <c r="AD281" s="84"/>
      <c r="AE281" s="85"/>
      <c r="AF281" s="86"/>
      <c r="AG281" s="87"/>
      <c r="AH281" s="88"/>
    </row>
    <row r="282" spans="1:34" x14ac:dyDescent="0.25">
      <c r="A282" s="155" t="str">
        <f t="shared" si="10"/>
        <v/>
      </c>
      <c r="B282" s="155" t="str">
        <f t="shared" si="9"/>
        <v/>
      </c>
      <c r="D282" s="77"/>
      <c r="E282" s="78"/>
      <c r="F282" s="133"/>
      <c r="G282" s="38"/>
      <c r="H282" s="39"/>
      <c r="I282" s="40"/>
      <c r="J282" s="41"/>
      <c r="K282" s="42"/>
      <c r="L282" s="43"/>
      <c r="M282" s="79"/>
      <c r="N282" s="80"/>
      <c r="O282" s="81"/>
      <c r="P282" s="82"/>
      <c r="Q282" s="83"/>
      <c r="R282" s="84"/>
      <c r="S282" s="79"/>
      <c r="T282" s="80"/>
      <c r="U282" s="81"/>
      <c r="V282" s="82"/>
      <c r="W282" s="83"/>
      <c r="X282" s="84"/>
      <c r="Y282" s="84"/>
      <c r="Z282" s="84"/>
      <c r="AA282" s="84"/>
      <c r="AB282" s="84"/>
      <c r="AC282" s="84"/>
      <c r="AD282" s="84"/>
      <c r="AE282" s="85"/>
      <c r="AF282" s="86"/>
      <c r="AG282" s="87"/>
      <c r="AH282" s="88"/>
    </row>
    <row r="283" spans="1:34" x14ac:dyDescent="0.25">
      <c r="A283" s="155" t="str">
        <f t="shared" si="10"/>
        <v/>
      </c>
      <c r="B283" s="155" t="str">
        <f t="shared" si="9"/>
        <v/>
      </c>
      <c r="D283" s="77"/>
      <c r="E283" s="78"/>
      <c r="F283" s="133"/>
      <c r="G283" s="38"/>
      <c r="H283" s="39"/>
      <c r="I283" s="40"/>
      <c r="J283" s="41"/>
      <c r="K283" s="42"/>
      <c r="L283" s="43"/>
      <c r="M283" s="79"/>
      <c r="N283" s="80"/>
      <c r="O283" s="81"/>
      <c r="P283" s="82"/>
      <c r="Q283" s="83"/>
      <c r="R283" s="84"/>
      <c r="S283" s="79"/>
      <c r="T283" s="80"/>
      <c r="U283" s="81"/>
      <c r="V283" s="82"/>
      <c r="W283" s="83"/>
      <c r="X283" s="84"/>
      <c r="Y283" s="84"/>
      <c r="Z283" s="84"/>
      <c r="AA283" s="84"/>
      <c r="AB283" s="84"/>
      <c r="AC283" s="84"/>
      <c r="AD283" s="84"/>
      <c r="AE283" s="85"/>
      <c r="AF283" s="86"/>
      <c r="AG283" s="87"/>
      <c r="AH283" s="88"/>
    </row>
    <row r="284" spans="1:34" x14ac:dyDescent="0.25">
      <c r="A284" s="155" t="str">
        <f t="shared" si="10"/>
        <v/>
      </c>
      <c r="B284" s="155" t="str">
        <f t="shared" si="9"/>
        <v/>
      </c>
      <c r="D284" s="77"/>
      <c r="E284" s="78"/>
      <c r="F284" s="133"/>
      <c r="G284" s="38"/>
      <c r="H284" s="39"/>
      <c r="I284" s="40"/>
      <c r="J284" s="41"/>
      <c r="K284" s="42"/>
      <c r="L284" s="43"/>
      <c r="M284" s="79"/>
      <c r="N284" s="80"/>
      <c r="O284" s="81"/>
      <c r="P284" s="82"/>
      <c r="Q284" s="83"/>
      <c r="R284" s="84"/>
      <c r="S284" s="79"/>
      <c r="T284" s="80"/>
      <c r="U284" s="81"/>
      <c r="V284" s="82"/>
      <c r="W284" s="83"/>
      <c r="X284" s="84"/>
      <c r="Y284" s="84"/>
      <c r="Z284" s="84"/>
      <c r="AA284" s="84"/>
      <c r="AB284" s="84"/>
      <c r="AC284" s="84"/>
      <c r="AD284" s="84"/>
      <c r="AE284" s="85"/>
      <c r="AF284" s="86"/>
      <c r="AG284" s="87"/>
      <c r="AH284" s="88"/>
    </row>
    <row r="285" spans="1:34" x14ac:dyDescent="0.25">
      <c r="A285" s="155" t="str">
        <f t="shared" si="10"/>
        <v/>
      </c>
      <c r="B285" s="155" t="str">
        <f t="shared" si="9"/>
        <v/>
      </c>
      <c r="D285" s="77"/>
      <c r="E285" s="78"/>
      <c r="F285" s="133"/>
      <c r="G285" s="38"/>
      <c r="H285" s="39"/>
      <c r="I285" s="40"/>
      <c r="J285" s="41"/>
      <c r="K285" s="42"/>
      <c r="L285" s="43"/>
      <c r="M285" s="79"/>
      <c r="N285" s="80"/>
      <c r="O285" s="81"/>
      <c r="P285" s="82"/>
      <c r="Q285" s="83"/>
      <c r="R285" s="84"/>
      <c r="S285" s="79"/>
      <c r="T285" s="80"/>
      <c r="U285" s="81"/>
      <c r="V285" s="82"/>
      <c r="W285" s="83"/>
      <c r="X285" s="84"/>
      <c r="Y285" s="84"/>
      <c r="Z285" s="84"/>
      <c r="AA285" s="84"/>
      <c r="AB285" s="84"/>
      <c r="AC285" s="84"/>
      <c r="AD285" s="84"/>
      <c r="AE285" s="85"/>
      <c r="AF285" s="86"/>
      <c r="AG285" s="87"/>
      <c r="AH285" s="88"/>
    </row>
    <row r="286" spans="1:34" x14ac:dyDescent="0.25">
      <c r="A286" s="155" t="str">
        <f t="shared" si="10"/>
        <v/>
      </c>
      <c r="B286" s="155" t="str">
        <f t="shared" si="9"/>
        <v/>
      </c>
      <c r="D286" s="77"/>
      <c r="E286" s="78"/>
      <c r="F286" s="133"/>
      <c r="G286" s="38"/>
      <c r="H286" s="39"/>
      <c r="I286" s="40"/>
      <c r="J286" s="41"/>
      <c r="K286" s="42"/>
      <c r="L286" s="43"/>
      <c r="M286" s="79"/>
      <c r="N286" s="80"/>
      <c r="O286" s="81"/>
      <c r="P286" s="82"/>
      <c r="Q286" s="83"/>
      <c r="R286" s="84"/>
      <c r="S286" s="79"/>
      <c r="T286" s="80"/>
      <c r="U286" s="81"/>
      <c r="V286" s="82"/>
      <c r="W286" s="83"/>
      <c r="X286" s="84"/>
      <c r="Y286" s="84"/>
      <c r="Z286" s="84"/>
      <c r="AA286" s="84"/>
      <c r="AB286" s="84"/>
      <c r="AC286" s="84"/>
      <c r="AD286" s="84"/>
      <c r="AE286" s="85"/>
      <c r="AF286" s="86"/>
      <c r="AG286" s="87"/>
      <c r="AH286" s="88"/>
    </row>
    <row r="287" spans="1:34" x14ac:dyDescent="0.25">
      <c r="A287" s="155" t="str">
        <f t="shared" si="10"/>
        <v/>
      </c>
      <c r="B287" s="155" t="str">
        <f t="shared" si="9"/>
        <v/>
      </c>
      <c r="D287" s="77"/>
      <c r="E287" s="78"/>
      <c r="F287" s="133"/>
      <c r="G287" s="38"/>
      <c r="H287" s="39"/>
      <c r="I287" s="40"/>
      <c r="J287" s="41"/>
      <c r="K287" s="42"/>
      <c r="L287" s="43"/>
      <c r="M287" s="79"/>
      <c r="N287" s="80"/>
      <c r="O287" s="81"/>
      <c r="P287" s="82"/>
      <c r="Q287" s="83"/>
      <c r="R287" s="84"/>
      <c r="S287" s="79"/>
      <c r="T287" s="80"/>
      <c r="U287" s="81"/>
      <c r="V287" s="82"/>
      <c r="W287" s="83"/>
      <c r="X287" s="84"/>
      <c r="Y287" s="84"/>
      <c r="Z287" s="84"/>
      <c r="AA287" s="84"/>
      <c r="AB287" s="84"/>
      <c r="AC287" s="84"/>
      <c r="AD287" s="84"/>
      <c r="AE287" s="85"/>
      <c r="AF287" s="86"/>
      <c r="AG287" s="87"/>
      <c r="AH287" s="88"/>
    </row>
    <row r="288" spans="1:34" x14ac:dyDescent="0.25">
      <c r="A288" s="155" t="str">
        <f t="shared" si="10"/>
        <v/>
      </c>
      <c r="B288" s="155" t="str">
        <f t="shared" si="9"/>
        <v/>
      </c>
      <c r="D288" s="77"/>
      <c r="E288" s="78"/>
      <c r="F288" s="133"/>
      <c r="G288" s="38"/>
      <c r="H288" s="39"/>
      <c r="I288" s="40"/>
      <c r="J288" s="41"/>
      <c r="K288" s="42"/>
      <c r="L288" s="43"/>
      <c r="M288" s="79"/>
      <c r="N288" s="80"/>
      <c r="O288" s="81"/>
      <c r="P288" s="82"/>
      <c r="Q288" s="83"/>
      <c r="R288" s="84"/>
      <c r="S288" s="79"/>
      <c r="T288" s="80"/>
      <c r="U288" s="81"/>
      <c r="V288" s="82"/>
      <c r="W288" s="83"/>
      <c r="X288" s="84"/>
      <c r="Y288" s="84"/>
      <c r="Z288" s="84"/>
      <c r="AA288" s="84"/>
      <c r="AB288" s="84"/>
      <c r="AC288" s="84"/>
      <c r="AD288" s="84"/>
      <c r="AE288" s="85"/>
      <c r="AF288" s="86"/>
      <c r="AG288" s="87"/>
      <c r="AH288" s="88"/>
    </row>
    <row r="289" spans="1:34" x14ac:dyDescent="0.25">
      <c r="A289" s="155" t="str">
        <f t="shared" si="10"/>
        <v/>
      </c>
      <c r="B289" s="155" t="str">
        <f t="shared" si="9"/>
        <v/>
      </c>
      <c r="D289" s="77"/>
      <c r="E289" s="78"/>
      <c r="F289" s="133"/>
      <c r="G289" s="38"/>
      <c r="H289" s="39"/>
      <c r="I289" s="40"/>
      <c r="J289" s="41"/>
      <c r="K289" s="42"/>
      <c r="L289" s="43"/>
      <c r="M289" s="79"/>
      <c r="N289" s="80"/>
      <c r="O289" s="81"/>
      <c r="P289" s="82"/>
      <c r="Q289" s="83"/>
      <c r="R289" s="84"/>
      <c r="S289" s="79"/>
      <c r="T289" s="80"/>
      <c r="U289" s="81"/>
      <c r="V289" s="82"/>
      <c r="W289" s="83"/>
      <c r="X289" s="84"/>
      <c r="Y289" s="84"/>
      <c r="Z289" s="84"/>
      <c r="AA289" s="84"/>
      <c r="AB289" s="84"/>
      <c r="AC289" s="84"/>
      <c r="AD289" s="84"/>
      <c r="AE289" s="85"/>
      <c r="AF289" s="86"/>
      <c r="AG289" s="87"/>
      <c r="AH289" s="88"/>
    </row>
    <row r="290" spans="1:34" x14ac:dyDescent="0.25">
      <c r="A290" s="155" t="str">
        <f t="shared" si="10"/>
        <v/>
      </c>
      <c r="B290" s="155" t="str">
        <f t="shared" si="9"/>
        <v/>
      </c>
      <c r="D290" s="77"/>
      <c r="E290" s="78"/>
      <c r="F290" s="133"/>
      <c r="G290" s="38"/>
      <c r="H290" s="39"/>
      <c r="I290" s="40"/>
      <c r="J290" s="41"/>
      <c r="K290" s="42"/>
      <c r="L290" s="43"/>
      <c r="M290" s="79"/>
      <c r="N290" s="80"/>
      <c r="O290" s="81"/>
      <c r="P290" s="82"/>
      <c r="Q290" s="83"/>
      <c r="R290" s="84"/>
      <c r="S290" s="79"/>
      <c r="T290" s="80"/>
      <c r="U290" s="81"/>
      <c r="V290" s="82"/>
      <c r="W290" s="83"/>
      <c r="X290" s="84"/>
      <c r="Y290" s="84"/>
      <c r="Z290" s="84"/>
      <c r="AA290" s="84"/>
      <c r="AB290" s="84"/>
      <c r="AC290" s="84"/>
      <c r="AD290" s="84"/>
      <c r="AE290" s="85"/>
      <c r="AF290" s="86"/>
      <c r="AG290" s="87"/>
      <c r="AH290" s="88"/>
    </row>
    <row r="291" spans="1:34" x14ac:dyDescent="0.25">
      <c r="A291" s="155" t="str">
        <f t="shared" si="10"/>
        <v/>
      </c>
      <c r="B291" s="155" t="str">
        <f t="shared" si="9"/>
        <v/>
      </c>
      <c r="D291" s="77"/>
      <c r="E291" s="78"/>
      <c r="F291" s="133"/>
      <c r="G291" s="38"/>
      <c r="H291" s="39"/>
      <c r="I291" s="40"/>
      <c r="J291" s="41"/>
      <c r="K291" s="42"/>
      <c r="L291" s="43"/>
      <c r="M291" s="79"/>
      <c r="N291" s="80"/>
      <c r="O291" s="81"/>
      <c r="P291" s="82"/>
      <c r="Q291" s="83"/>
      <c r="R291" s="84"/>
      <c r="S291" s="79"/>
      <c r="T291" s="80"/>
      <c r="U291" s="81"/>
      <c r="V291" s="82"/>
      <c r="W291" s="83"/>
      <c r="X291" s="84"/>
      <c r="Y291" s="84"/>
      <c r="Z291" s="84"/>
      <c r="AA291" s="84"/>
      <c r="AB291" s="84"/>
      <c r="AC291" s="84"/>
      <c r="AD291" s="84"/>
      <c r="AE291" s="85"/>
      <c r="AF291" s="86"/>
      <c r="AG291" s="87"/>
      <c r="AH291" s="88"/>
    </row>
    <row r="292" spans="1:34" x14ac:dyDescent="0.25">
      <c r="A292" s="155" t="str">
        <f t="shared" si="10"/>
        <v/>
      </c>
      <c r="B292" s="155" t="str">
        <f t="shared" si="9"/>
        <v/>
      </c>
      <c r="D292" s="77"/>
      <c r="E292" s="78"/>
      <c r="F292" s="133"/>
      <c r="G292" s="38"/>
      <c r="H292" s="39"/>
      <c r="I292" s="40"/>
      <c r="J292" s="41"/>
      <c r="K292" s="42"/>
      <c r="L292" s="43"/>
      <c r="M292" s="79"/>
      <c r="N292" s="80"/>
      <c r="O292" s="81"/>
      <c r="P292" s="82"/>
      <c r="Q292" s="83"/>
      <c r="R292" s="84"/>
      <c r="S292" s="79"/>
      <c r="T292" s="80"/>
      <c r="U292" s="81"/>
      <c r="V292" s="82"/>
      <c r="W292" s="83"/>
      <c r="X292" s="84"/>
      <c r="Y292" s="84"/>
      <c r="Z292" s="84"/>
      <c r="AA292" s="84"/>
      <c r="AB292" s="84"/>
      <c r="AC292" s="84"/>
      <c r="AD292" s="84"/>
      <c r="AE292" s="85"/>
      <c r="AF292" s="86"/>
      <c r="AG292" s="87"/>
      <c r="AH292" s="88"/>
    </row>
    <row r="293" spans="1:34" x14ac:dyDescent="0.25">
      <c r="A293" s="155" t="str">
        <f t="shared" si="10"/>
        <v/>
      </c>
      <c r="B293" s="155" t="str">
        <f t="shared" si="9"/>
        <v/>
      </c>
      <c r="D293" s="77"/>
      <c r="E293" s="78"/>
      <c r="F293" s="133"/>
      <c r="G293" s="38"/>
      <c r="H293" s="39"/>
      <c r="I293" s="40"/>
      <c r="J293" s="41"/>
      <c r="K293" s="42"/>
      <c r="L293" s="43"/>
      <c r="M293" s="79"/>
      <c r="N293" s="80"/>
      <c r="O293" s="81"/>
      <c r="P293" s="82"/>
      <c r="Q293" s="83"/>
      <c r="R293" s="84"/>
      <c r="S293" s="79"/>
      <c r="T293" s="80"/>
      <c r="U293" s="81"/>
      <c r="V293" s="82"/>
      <c r="W293" s="83"/>
      <c r="X293" s="84"/>
      <c r="Y293" s="84"/>
      <c r="Z293" s="84"/>
      <c r="AA293" s="84"/>
      <c r="AB293" s="84"/>
      <c r="AC293" s="84"/>
      <c r="AD293" s="84"/>
      <c r="AE293" s="85"/>
      <c r="AF293" s="86"/>
      <c r="AG293" s="87"/>
      <c r="AH293" s="88"/>
    </row>
    <row r="294" spans="1:34" x14ac:dyDescent="0.25">
      <c r="A294" s="155" t="str">
        <f t="shared" si="10"/>
        <v/>
      </c>
      <c r="B294" s="155" t="str">
        <f t="shared" si="9"/>
        <v/>
      </c>
      <c r="D294" s="77"/>
      <c r="E294" s="78"/>
      <c r="F294" s="133"/>
      <c r="G294" s="38"/>
      <c r="H294" s="39"/>
      <c r="I294" s="40"/>
      <c r="J294" s="41"/>
      <c r="K294" s="42"/>
      <c r="L294" s="43"/>
      <c r="M294" s="79"/>
      <c r="N294" s="80"/>
      <c r="O294" s="81"/>
      <c r="P294" s="82"/>
      <c r="Q294" s="83"/>
      <c r="R294" s="84"/>
      <c r="S294" s="79"/>
      <c r="T294" s="80"/>
      <c r="U294" s="81"/>
      <c r="V294" s="82"/>
      <c r="W294" s="83"/>
      <c r="X294" s="84"/>
      <c r="Y294" s="84"/>
      <c r="Z294" s="84"/>
      <c r="AA294" s="84"/>
      <c r="AB294" s="84"/>
      <c r="AC294" s="84"/>
      <c r="AD294" s="84"/>
      <c r="AE294" s="85"/>
      <c r="AF294" s="86"/>
      <c r="AG294" s="87"/>
      <c r="AH294" s="88"/>
    </row>
    <row r="295" spans="1:34" x14ac:dyDescent="0.25">
      <c r="A295" s="155" t="str">
        <f t="shared" si="10"/>
        <v/>
      </c>
      <c r="B295" s="155" t="str">
        <f t="shared" si="9"/>
        <v/>
      </c>
      <c r="D295" s="77"/>
      <c r="E295" s="78"/>
      <c r="F295" s="133"/>
      <c r="G295" s="38"/>
      <c r="H295" s="39"/>
      <c r="I295" s="40"/>
      <c r="J295" s="41"/>
      <c r="K295" s="42"/>
      <c r="L295" s="43"/>
      <c r="M295" s="79"/>
      <c r="N295" s="80"/>
      <c r="O295" s="81"/>
      <c r="P295" s="82"/>
      <c r="Q295" s="83"/>
      <c r="R295" s="84"/>
      <c r="S295" s="79"/>
      <c r="T295" s="80"/>
      <c r="U295" s="81"/>
      <c r="V295" s="82"/>
      <c r="W295" s="83"/>
      <c r="X295" s="84"/>
      <c r="Y295" s="84"/>
      <c r="Z295" s="84"/>
      <c r="AA295" s="84"/>
      <c r="AB295" s="84"/>
      <c r="AC295" s="84"/>
      <c r="AD295" s="84"/>
      <c r="AE295" s="85"/>
      <c r="AF295" s="86"/>
      <c r="AG295" s="87"/>
      <c r="AH295" s="88"/>
    </row>
    <row r="296" spans="1:34" x14ac:dyDescent="0.25">
      <c r="A296" s="155" t="str">
        <f t="shared" si="10"/>
        <v/>
      </c>
      <c r="B296" s="155" t="str">
        <f t="shared" si="9"/>
        <v/>
      </c>
      <c r="D296" s="77"/>
      <c r="E296" s="78"/>
      <c r="F296" s="133"/>
      <c r="G296" s="38"/>
      <c r="H296" s="39"/>
      <c r="I296" s="40"/>
      <c r="J296" s="41"/>
      <c r="K296" s="42"/>
      <c r="L296" s="43"/>
      <c r="M296" s="79"/>
      <c r="N296" s="80"/>
      <c r="O296" s="81"/>
      <c r="P296" s="82"/>
      <c r="Q296" s="83"/>
      <c r="R296" s="84"/>
      <c r="S296" s="79"/>
      <c r="T296" s="80"/>
      <c r="U296" s="81"/>
      <c r="V296" s="82"/>
      <c r="W296" s="83"/>
      <c r="X296" s="84"/>
      <c r="Y296" s="84"/>
      <c r="Z296" s="84"/>
      <c r="AA296" s="84"/>
      <c r="AB296" s="84"/>
      <c r="AC296" s="84"/>
      <c r="AD296" s="84"/>
      <c r="AE296" s="85"/>
      <c r="AF296" s="86"/>
      <c r="AG296" s="87"/>
      <c r="AH296" s="88"/>
    </row>
    <row r="297" spans="1:34" x14ac:dyDescent="0.25">
      <c r="A297" s="155" t="str">
        <f t="shared" si="10"/>
        <v/>
      </c>
      <c r="B297" s="155" t="str">
        <f t="shared" si="9"/>
        <v/>
      </c>
      <c r="D297" s="77"/>
      <c r="E297" s="78"/>
      <c r="F297" s="133"/>
      <c r="G297" s="38"/>
      <c r="H297" s="39"/>
      <c r="I297" s="40"/>
      <c r="J297" s="41"/>
      <c r="K297" s="42"/>
      <c r="L297" s="43"/>
      <c r="M297" s="79"/>
      <c r="N297" s="80"/>
      <c r="O297" s="81"/>
      <c r="P297" s="82"/>
      <c r="Q297" s="83"/>
      <c r="R297" s="84"/>
      <c r="S297" s="79"/>
      <c r="T297" s="80"/>
      <c r="U297" s="81"/>
      <c r="V297" s="82"/>
      <c r="W297" s="83"/>
      <c r="X297" s="84"/>
      <c r="Y297" s="84"/>
      <c r="Z297" s="84"/>
      <c r="AA297" s="84"/>
      <c r="AB297" s="84"/>
      <c r="AC297" s="84"/>
      <c r="AD297" s="84"/>
      <c r="AE297" s="85"/>
      <c r="AF297" s="86"/>
      <c r="AG297" s="87"/>
      <c r="AH297" s="88"/>
    </row>
    <row r="298" spans="1:34" x14ac:dyDescent="0.25">
      <c r="A298" s="155" t="str">
        <f t="shared" si="10"/>
        <v/>
      </c>
      <c r="B298" s="155" t="str">
        <f t="shared" si="9"/>
        <v/>
      </c>
      <c r="D298" s="77"/>
      <c r="E298" s="78"/>
      <c r="F298" s="133"/>
      <c r="G298" s="38"/>
      <c r="H298" s="39"/>
      <c r="I298" s="40"/>
      <c r="J298" s="41"/>
      <c r="K298" s="42"/>
      <c r="L298" s="43"/>
      <c r="M298" s="79"/>
      <c r="N298" s="80"/>
      <c r="O298" s="81"/>
      <c r="P298" s="82"/>
      <c r="Q298" s="83"/>
      <c r="R298" s="84"/>
      <c r="S298" s="79"/>
      <c r="T298" s="80"/>
      <c r="U298" s="81"/>
      <c r="V298" s="82"/>
      <c r="W298" s="83"/>
      <c r="X298" s="84"/>
      <c r="Y298" s="84"/>
      <c r="Z298" s="84"/>
      <c r="AA298" s="84"/>
      <c r="AB298" s="84"/>
      <c r="AC298" s="84"/>
      <c r="AD298" s="84"/>
      <c r="AE298" s="85"/>
      <c r="AF298" s="86"/>
      <c r="AG298" s="87"/>
      <c r="AH298" s="88"/>
    </row>
    <row r="299" spans="1:34" x14ac:dyDescent="0.25">
      <c r="A299" s="155" t="str">
        <f t="shared" si="10"/>
        <v/>
      </c>
      <c r="B299" s="155" t="str">
        <f t="shared" si="9"/>
        <v/>
      </c>
      <c r="D299" s="77"/>
      <c r="E299" s="78"/>
      <c r="F299" s="133"/>
      <c r="G299" s="38"/>
      <c r="H299" s="39"/>
      <c r="I299" s="40"/>
      <c r="J299" s="41"/>
      <c r="K299" s="42"/>
      <c r="L299" s="43"/>
      <c r="M299" s="79"/>
      <c r="N299" s="80"/>
      <c r="O299" s="81"/>
      <c r="P299" s="82"/>
      <c r="Q299" s="83"/>
      <c r="R299" s="84"/>
      <c r="S299" s="79"/>
      <c r="T299" s="80"/>
      <c r="U299" s="81"/>
      <c r="V299" s="82"/>
      <c r="W299" s="83"/>
      <c r="X299" s="84"/>
      <c r="Y299" s="84"/>
      <c r="Z299" s="84"/>
      <c r="AA299" s="84"/>
      <c r="AB299" s="84"/>
      <c r="AC299" s="84"/>
      <c r="AD299" s="84"/>
      <c r="AE299" s="85"/>
      <c r="AF299" s="86"/>
      <c r="AG299" s="87"/>
      <c r="AH299" s="88"/>
    </row>
    <row r="300" spans="1:34" x14ac:dyDescent="0.25">
      <c r="A300" s="155" t="str">
        <f t="shared" si="10"/>
        <v/>
      </c>
      <c r="B300" s="155" t="str">
        <f t="shared" si="9"/>
        <v/>
      </c>
      <c r="D300" s="77"/>
      <c r="E300" s="78"/>
      <c r="F300" s="133"/>
      <c r="G300" s="38"/>
      <c r="H300" s="39"/>
      <c r="I300" s="40"/>
      <c r="J300" s="41"/>
      <c r="K300" s="42"/>
      <c r="L300" s="43"/>
      <c r="M300" s="79"/>
      <c r="N300" s="80"/>
      <c r="O300" s="81"/>
      <c r="P300" s="82"/>
      <c r="Q300" s="83"/>
      <c r="R300" s="84"/>
      <c r="S300" s="79"/>
      <c r="T300" s="80"/>
      <c r="U300" s="81"/>
      <c r="V300" s="82"/>
      <c r="W300" s="83"/>
      <c r="X300" s="84"/>
      <c r="Y300" s="84"/>
      <c r="Z300" s="84"/>
      <c r="AA300" s="84"/>
      <c r="AB300" s="84"/>
      <c r="AC300" s="84"/>
      <c r="AD300" s="84"/>
      <c r="AE300" s="85"/>
      <c r="AF300" s="86"/>
      <c r="AG300" s="87"/>
      <c r="AH300" s="88"/>
    </row>
    <row r="301" spans="1:34" x14ac:dyDescent="0.25">
      <c r="A301" s="155" t="str">
        <f t="shared" si="10"/>
        <v/>
      </c>
      <c r="B301" s="155" t="str">
        <f t="shared" si="9"/>
        <v/>
      </c>
      <c r="D301" s="77"/>
      <c r="E301" s="78"/>
      <c r="F301" s="133"/>
      <c r="G301" s="38"/>
      <c r="H301" s="39"/>
      <c r="I301" s="40"/>
      <c r="J301" s="41"/>
      <c r="K301" s="42"/>
      <c r="L301" s="43"/>
      <c r="M301" s="79"/>
      <c r="N301" s="80"/>
      <c r="O301" s="81"/>
      <c r="P301" s="82"/>
      <c r="Q301" s="83"/>
      <c r="R301" s="84"/>
      <c r="S301" s="79"/>
      <c r="T301" s="80"/>
      <c r="U301" s="81"/>
      <c r="V301" s="82"/>
      <c r="W301" s="83"/>
      <c r="X301" s="84"/>
      <c r="Y301" s="84"/>
      <c r="Z301" s="84"/>
      <c r="AA301" s="84"/>
      <c r="AB301" s="84"/>
      <c r="AC301" s="84"/>
      <c r="AD301" s="84"/>
      <c r="AE301" s="85"/>
      <c r="AF301" s="86"/>
      <c r="AG301" s="87"/>
      <c r="AH301" s="88"/>
    </row>
    <row r="302" spans="1:34" x14ac:dyDescent="0.25">
      <c r="A302" s="155" t="str">
        <f t="shared" si="10"/>
        <v/>
      </c>
      <c r="B302" s="155" t="str">
        <f t="shared" si="9"/>
        <v/>
      </c>
      <c r="D302" s="77"/>
      <c r="E302" s="78"/>
      <c r="F302" s="133"/>
      <c r="G302" s="38"/>
      <c r="H302" s="39"/>
      <c r="I302" s="40"/>
      <c r="J302" s="41"/>
      <c r="K302" s="42"/>
      <c r="L302" s="43"/>
      <c r="M302" s="79"/>
      <c r="N302" s="80"/>
      <c r="O302" s="81"/>
      <c r="P302" s="82"/>
      <c r="Q302" s="83"/>
      <c r="R302" s="84"/>
      <c r="S302" s="79"/>
      <c r="T302" s="80"/>
      <c r="U302" s="81"/>
      <c r="V302" s="82"/>
      <c r="W302" s="83"/>
      <c r="X302" s="84"/>
      <c r="Y302" s="84"/>
      <c r="Z302" s="84"/>
      <c r="AA302" s="84"/>
      <c r="AB302" s="84"/>
      <c r="AC302" s="84"/>
      <c r="AD302" s="84"/>
      <c r="AE302" s="85"/>
      <c r="AF302" s="86"/>
      <c r="AG302" s="87"/>
      <c r="AH302" s="88"/>
    </row>
    <row r="303" spans="1:34" x14ac:dyDescent="0.25">
      <c r="A303" s="155" t="str">
        <f t="shared" si="10"/>
        <v/>
      </c>
      <c r="B303" s="155" t="str">
        <f t="shared" si="9"/>
        <v/>
      </c>
      <c r="D303" s="77"/>
      <c r="E303" s="78"/>
      <c r="F303" s="133"/>
      <c r="G303" s="38"/>
      <c r="H303" s="39"/>
      <c r="I303" s="40"/>
      <c r="J303" s="41"/>
      <c r="K303" s="42"/>
      <c r="L303" s="43"/>
      <c r="M303" s="79"/>
      <c r="N303" s="80"/>
      <c r="O303" s="81"/>
      <c r="P303" s="82"/>
      <c r="Q303" s="83"/>
      <c r="R303" s="84"/>
      <c r="S303" s="79"/>
      <c r="T303" s="80"/>
      <c r="U303" s="81"/>
      <c r="V303" s="82"/>
      <c r="W303" s="83"/>
      <c r="X303" s="84"/>
      <c r="Y303" s="84"/>
      <c r="Z303" s="84"/>
      <c r="AA303" s="84"/>
      <c r="AB303" s="84"/>
      <c r="AC303" s="84"/>
      <c r="AD303" s="84"/>
      <c r="AE303" s="85"/>
      <c r="AF303" s="86"/>
      <c r="AG303" s="87"/>
      <c r="AH303" s="88"/>
    </row>
    <row r="304" spans="1:34" x14ac:dyDescent="0.25">
      <c r="A304" s="155" t="str">
        <f t="shared" si="10"/>
        <v/>
      </c>
      <c r="B304" s="155" t="str">
        <f t="shared" si="9"/>
        <v/>
      </c>
      <c r="D304" s="77"/>
      <c r="E304" s="78"/>
      <c r="F304" s="133"/>
      <c r="G304" s="38"/>
      <c r="H304" s="39"/>
      <c r="I304" s="40"/>
      <c r="J304" s="41"/>
      <c r="K304" s="42"/>
      <c r="L304" s="43"/>
      <c r="M304" s="79"/>
      <c r="N304" s="80"/>
      <c r="O304" s="81"/>
      <c r="P304" s="82"/>
      <c r="Q304" s="83"/>
      <c r="R304" s="84"/>
      <c r="S304" s="79"/>
      <c r="T304" s="80"/>
      <c r="U304" s="81"/>
      <c r="V304" s="82"/>
      <c r="W304" s="83"/>
      <c r="X304" s="84"/>
      <c r="Y304" s="84"/>
      <c r="Z304" s="84"/>
      <c r="AA304" s="84"/>
      <c r="AB304" s="84"/>
      <c r="AC304" s="84"/>
      <c r="AD304" s="84"/>
      <c r="AE304" s="85"/>
      <c r="AF304" s="86"/>
      <c r="AG304" s="87"/>
      <c r="AH304" s="88"/>
    </row>
    <row r="305" spans="1:34" x14ac:dyDescent="0.25">
      <c r="A305" s="155" t="str">
        <f t="shared" si="10"/>
        <v/>
      </c>
      <c r="B305" s="155" t="str">
        <f t="shared" si="9"/>
        <v/>
      </c>
      <c r="D305" s="77"/>
      <c r="E305" s="78"/>
      <c r="F305" s="133"/>
      <c r="G305" s="38"/>
      <c r="H305" s="39"/>
      <c r="I305" s="40"/>
      <c r="J305" s="41"/>
      <c r="K305" s="42"/>
      <c r="L305" s="43"/>
      <c r="M305" s="79"/>
      <c r="N305" s="80"/>
      <c r="O305" s="81"/>
      <c r="P305" s="82"/>
      <c r="Q305" s="83"/>
      <c r="R305" s="84"/>
      <c r="S305" s="79"/>
      <c r="T305" s="80"/>
      <c r="U305" s="81"/>
      <c r="V305" s="82"/>
      <c r="W305" s="83"/>
      <c r="X305" s="84"/>
      <c r="Y305" s="84"/>
      <c r="Z305" s="84"/>
      <c r="AA305" s="84"/>
      <c r="AB305" s="84"/>
      <c r="AC305" s="84"/>
      <c r="AD305" s="84"/>
      <c r="AE305" s="85"/>
      <c r="AF305" s="86"/>
      <c r="AG305" s="87"/>
      <c r="AH305" s="88"/>
    </row>
    <row r="306" spans="1:34" x14ac:dyDescent="0.25">
      <c r="A306" s="155" t="str">
        <f t="shared" si="10"/>
        <v/>
      </c>
      <c r="B306" s="155" t="str">
        <f t="shared" si="9"/>
        <v/>
      </c>
      <c r="D306" s="77"/>
      <c r="E306" s="78"/>
      <c r="F306" s="133"/>
      <c r="G306" s="38"/>
      <c r="H306" s="39"/>
      <c r="I306" s="40"/>
      <c r="J306" s="41"/>
      <c r="K306" s="42"/>
      <c r="L306" s="43"/>
      <c r="M306" s="79"/>
      <c r="N306" s="80"/>
      <c r="O306" s="81"/>
      <c r="P306" s="82"/>
      <c r="Q306" s="83"/>
      <c r="R306" s="84"/>
      <c r="S306" s="79"/>
      <c r="T306" s="80"/>
      <c r="U306" s="81"/>
      <c r="V306" s="82"/>
      <c r="W306" s="83"/>
      <c r="X306" s="84"/>
      <c r="Y306" s="84"/>
      <c r="Z306" s="84"/>
      <c r="AA306" s="84"/>
      <c r="AB306" s="84"/>
      <c r="AC306" s="84"/>
      <c r="AD306" s="84"/>
      <c r="AE306" s="85"/>
      <c r="AF306" s="86"/>
      <c r="AG306" s="87"/>
      <c r="AH306" s="88"/>
    </row>
    <row r="307" spans="1:34" x14ac:dyDescent="0.25">
      <c r="A307" s="155" t="str">
        <f t="shared" si="10"/>
        <v/>
      </c>
      <c r="B307" s="155" t="str">
        <f t="shared" si="9"/>
        <v/>
      </c>
      <c r="D307" s="77"/>
      <c r="E307" s="78"/>
      <c r="F307" s="133"/>
      <c r="G307" s="38"/>
      <c r="H307" s="39"/>
      <c r="I307" s="40"/>
      <c r="J307" s="41"/>
      <c r="K307" s="42"/>
      <c r="L307" s="43"/>
      <c r="M307" s="79"/>
      <c r="N307" s="80"/>
      <c r="O307" s="81"/>
      <c r="P307" s="82"/>
      <c r="Q307" s="83"/>
      <c r="R307" s="84"/>
      <c r="S307" s="79"/>
      <c r="T307" s="80"/>
      <c r="U307" s="81"/>
      <c r="V307" s="82"/>
      <c r="W307" s="83"/>
      <c r="X307" s="84"/>
      <c r="Y307" s="84"/>
      <c r="Z307" s="84"/>
      <c r="AA307" s="84"/>
      <c r="AB307" s="84"/>
      <c r="AC307" s="84"/>
      <c r="AD307" s="84"/>
      <c r="AE307" s="85"/>
      <c r="AF307" s="86"/>
      <c r="AG307" s="87"/>
      <c r="AH307" s="88"/>
    </row>
    <row r="308" spans="1:34" x14ac:dyDescent="0.25">
      <c r="A308" s="155" t="str">
        <f t="shared" si="10"/>
        <v/>
      </c>
      <c r="B308" s="155" t="str">
        <f t="shared" si="9"/>
        <v/>
      </c>
      <c r="D308" s="77"/>
      <c r="E308" s="78"/>
      <c r="F308" s="133"/>
      <c r="G308" s="38"/>
      <c r="H308" s="39"/>
      <c r="I308" s="40"/>
      <c r="J308" s="41"/>
      <c r="K308" s="42"/>
      <c r="L308" s="43"/>
      <c r="M308" s="79"/>
      <c r="N308" s="80"/>
      <c r="O308" s="81"/>
      <c r="P308" s="82"/>
      <c r="Q308" s="83"/>
      <c r="R308" s="84"/>
      <c r="S308" s="79"/>
      <c r="T308" s="80"/>
      <c r="U308" s="81"/>
      <c r="V308" s="82"/>
      <c r="W308" s="83"/>
      <c r="X308" s="84"/>
      <c r="Y308" s="84"/>
      <c r="Z308" s="84"/>
      <c r="AA308" s="84"/>
      <c r="AB308" s="84"/>
      <c r="AC308" s="84"/>
      <c r="AD308" s="84"/>
      <c r="AE308" s="85"/>
      <c r="AF308" s="86"/>
      <c r="AG308" s="87"/>
      <c r="AH308" s="88"/>
    </row>
    <row r="309" spans="1:34" x14ac:dyDescent="0.25">
      <c r="A309" s="155" t="str">
        <f t="shared" si="10"/>
        <v/>
      </c>
      <c r="B309" s="155" t="str">
        <f t="shared" si="9"/>
        <v/>
      </c>
      <c r="D309" s="77"/>
      <c r="E309" s="78"/>
      <c r="F309" s="133"/>
      <c r="G309" s="38"/>
      <c r="H309" s="39"/>
      <c r="I309" s="40"/>
      <c r="J309" s="41"/>
      <c r="K309" s="42"/>
      <c r="L309" s="43"/>
      <c r="M309" s="79"/>
      <c r="N309" s="80"/>
      <c r="O309" s="81"/>
      <c r="P309" s="82"/>
      <c r="Q309" s="83"/>
      <c r="R309" s="84"/>
      <c r="S309" s="79"/>
      <c r="T309" s="80"/>
      <c r="U309" s="81"/>
      <c r="V309" s="82"/>
      <c r="W309" s="83"/>
      <c r="X309" s="84"/>
      <c r="Y309" s="84"/>
      <c r="Z309" s="84"/>
      <c r="AA309" s="84"/>
      <c r="AB309" s="84"/>
      <c r="AC309" s="84"/>
      <c r="AD309" s="84"/>
      <c r="AE309" s="85"/>
      <c r="AF309" s="86"/>
      <c r="AG309" s="87"/>
      <c r="AH309" s="88"/>
    </row>
    <row r="310" spans="1:34" x14ac:dyDescent="0.25">
      <c r="A310" s="155" t="str">
        <f t="shared" si="10"/>
        <v/>
      </c>
      <c r="B310" s="155" t="str">
        <f t="shared" si="9"/>
        <v/>
      </c>
      <c r="D310" s="77"/>
      <c r="E310" s="78"/>
      <c r="F310" s="133"/>
      <c r="G310" s="38"/>
      <c r="H310" s="39"/>
      <c r="I310" s="40"/>
      <c r="J310" s="41"/>
      <c r="K310" s="42"/>
      <c r="L310" s="43"/>
      <c r="M310" s="79"/>
      <c r="N310" s="80"/>
      <c r="O310" s="81"/>
      <c r="P310" s="82"/>
      <c r="Q310" s="83"/>
      <c r="R310" s="84"/>
      <c r="S310" s="79"/>
      <c r="T310" s="80"/>
      <c r="U310" s="81"/>
      <c r="V310" s="82"/>
      <c r="W310" s="83"/>
      <c r="X310" s="84"/>
      <c r="Y310" s="84"/>
      <c r="Z310" s="84"/>
      <c r="AA310" s="84"/>
      <c r="AB310" s="84"/>
      <c r="AC310" s="84"/>
      <c r="AD310" s="84"/>
      <c r="AE310" s="85"/>
      <c r="AF310" s="86"/>
      <c r="AG310" s="87"/>
      <c r="AH310" s="88"/>
    </row>
    <row r="311" spans="1:34" x14ac:dyDescent="0.25">
      <c r="A311" s="155" t="str">
        <f t="shared" si="10"/>
        <v/>
      </c>
      <c r="B311" s="155" t="str">
        <f t="shared" si="9"/>
        <v/>
      </c>
      <c r="D311" s="77"/>
      <c r="E311" s="78"/>
      <c r="F311" s="133"/>
      <c r="G311" s="38"/>
      <c r="H311" s="39"/>
      <c r="I311" s="40"/>
      <c r="J311" s="41"/>
      <c r="K311" s="42"/>
      <c r="L311" s="43"/>
      <c r="M311" s="79"/>
      <c r="N311" s="80"/>
      <c r="O311" s="81"/>
      <c r="P311" s="82"/>
      <c r="Q311" s="83"/>
      <c r="R311" s="84"/>
      <c r="S311" s="79"/>
      <c r="T311" s="80"/>
      <c r="U311" s="81"/>
      <c r="V311" s="82"/>
      <c r="W311" s="83"/>
      <c r="X311" s="84"/>
      <c r="Y311" s="84"/>
      <c r="Z311" s="84"/>
      <c r="AA311" s="84"/>
      <c r="AB311" s="84"/>
      <c r="AC311" s="84"/>
      <c r="AD311" s="84"/>
      <c r="AE311" s="85"/>
      <c r="AF311" s="86"/>
      <c r="AG311" s="87"/>
      <c r="AH311" s="88"/>
    </row>
    <row r="312" spans="1:34" x14ac:dyDescent="0.25">
      <c r="A312" s="155" t="str">
        <f t="shared" si="10"/>
        <v/>
      </c>
      <c r="B312" s="155" t="str">
        <f t="shared" si="9"/>
        <v/>
      </c>
      <c r="D312" s="77"/>
      <c r="E312" s="78"/>
      <c r="F312" s="133"/>
      <c r="G312" s="38"/>
      <c r="H312" s="39"/>
      <c r="I312" s="40"/>
      <c r="J312" s="41"/>
      <c r="K312" s="42"/>
      <c r="L312" s="43"/>
      <c r="M312" s="79"/>
      <c r="N312" s="80"/>
      <c r="O312" s="81"/>
      <c r="P312" s="82"/>
      <c r="Q312" s="83"/>
      <c r="R312" s="84"/>
      <c r="S312" s="79"/>
      <c r="T312" s="80"/>
      <c r="U312" s="81"/>
      <c r="V312" s="82"/>
      <c r="W312" s="83"/>
      <c r="X312" s="84"/>
      <c r="Y312" s="84"/>
      <c r="Z312" s="84"/>
      <c r="AA312" s="84"/>
      <c r="AB312" s="84"/>
      <c r="AC312" s="84"/>
      <c r="AD312" s="84"/>
      <c r="AE312" s="85"/>
      <c r="AF312" s="86"/>
      <c r="AG312" s="87"/>
      <c r="AH312" s="88"/>
    </row>
    <row r="313" spans="1:34" x14ac:dyDescent="0.25">
      <c r="A313" s="155" t="str">
        <f t="shared" si="10"/>
        <v/>
      </c>
      <c r="B313" s="155" t="str">
        <f t="shared" si="9"/>
        <v/>
      </c>
      <c r="D313" s="77"/>
      <c r="E313" s="78"/>
      <c r="F313" s="133"/>
      <c r="G313" s="38"/>
      <c r="H313" s="39"/>
      <c r="I313" s="40"/>
      <c r="J313" s="41"/>
      <c r="K313" s="42"/>
      <c r="L313" s="43"/>
      <c r="M313" s="79"/>
      <c r="N313" s="80"/>
      <c r="O313" s="81"/>
      <c r="P313" s="82"/>
      <c r="Q313" s="83"/>
      <c r="R313" s="84"/>
      <c r="S313" s="79"/>
      <c r="T313" s="80"/>
      <c r="U313" s="81"/>
      <c r="V313" s="82"/>
      <c r="W313" s="83"/>
      <c r="X313" s="84"/>
      <c r="Y313" s="84"/>
      <c r="Z313" s="84"/>
      <c r="AA313" s="84"/>
      <c r="AB313" s="84"/>
      <c r="AC313" s="84"/>
      <c r="AD313" s="84"/>
      <c r="AE313" s="85"/>
      <c r="AF313" s="86"/>
      <c r="AG313" s="87"/>
      <c r="AH313" s="88"/>
    </row>
    <row r="314" spans="1:34" x14ac:dyDescent="0.25">
      <c r="A314" s="155" t="str">
        <f t="shared" si="10"/>
        <v/>
      </c>
      <c r="B314" s="155" t="str">
        <f t="shared" si="9"/>
        <v/>
      </c>
      <c r="D314" s="77"/>
      <c r="E314" s="78"/>
      <c r="F314" s="133"/>
      <c r="G314" s="38"/>
      <c r="H314" s="39"/>
      <c r="I314" s="40"/>
      <c r="J314" s="41"/>
      <c r="K314" s="42"/>
      <c r="L314" s="43"/>
      <c r="M314" s="79"/>
      <c r="N314" s="80"/>
      <c r="O314" s="81"/>
      <c r="P314" s="82"/>
      <c r="Q314" s="83"/>
      <c r="R314" s="84"/>
      <c r="S314" s="79"/>
      <c r="T314" s="80"/>
      <c r="U314" s="81"/>
      <c r="V314" s="82"/>
      <c r="W314" s="83"/>
      <c r="X314" s="84"/>
      <c r="Y314" s="84"/>
      <c r="Z314" s="84"/>
      <c r="AA314" s="84"/>
      <c r="AB314" s="84"/>
      <c r="AC314" s="84"/>
      <c r="AD314" s="84"/>
      <c r="AE314" s="85"/>
      <c r="AF314" s="86"/>
      <c r="AG314" s="87"/>
      <c r="AH314" s="88"/>
    </row>
    <row r="315" spans="1:34" x14ac:dyDescent="0.25">
      <c r="A315" s="155" t="str">
        <f t="shared" si="10"/>
        <v/>
      </c>
      <c r="B315" s="155" t="str">
        <f t="shared" si="9"/>
        <v/>
      </c>
      <c r="D315" s="77"/>
      <c r="E315" s="78"/>
      <c r="F315" s="133"/>
      <c r="G315" s="38"/>
      <c r="H315" s="39"/>
      <c r="I315" s="40"/>
      <c r="J315" s="41"/>
      <c r="K315" s="42"/>
      <c r="L315" s="43"/>
      <c r="M315" s="79"/>
      <c r="N315" s="80"/>
      <c r="O315" s="81"/>
      <c r="P315" s="82"/>
      <c r="Q315" s="83"/>
      <c r="R315" s="84"/>
      <c r="S315" s="79"/>
      <c r="T315" s="80"/>
      <c r="U315" s="81"/>
      <c r="V315" s="82"/>
      <c r="W315" s="83"/>
      <c r="X315" s="84"/>
      <c r="Y315" s="84"/>
      <c r="Z315" s="84"/>
      <c r="AA315" s="84"/>
      <c r="AB315" s="84"/>
      <c r="AC315" s="84"/>
      <c r="AD315" s="84"/>
      <c r="AE315" s="85"/>
      <c r="AF315" s="86"/>
      <c r="AG315" s="87"/>
      <c r="AH315" s="88"/>
    </row>
    <row r="316" spans="1:34" x14ac:dyDescent="0.25">
      <c r="A316" s="155" t="str">
        <f t="shared" si="10"/>
        <v/>
      </c>
      <c r="B316" s="155" t="str">
        <f t="shared" si="9"/>
        <v/>
      </c>
      <c r="D316" s="77"/>
      <c r="E316" s="78"/>
      <c r="F316" s="133"/>
      <c r="G316" s="38"/>
      <c r="H316" s="39"/>
      <c r="I316" s="40"/>
      <c r="J316" s="41"/>
      <c r="K316" s="42"/>
      <c r="L316" s="43"/>
      <c r="M316" s="79"/>
      <c r="N316" s="80"/>
      <c r="O316" s="81"/>
      <c r="P316" s="82"/>
      <c r="Q316" s="83"/>
      <c r="R316" s="84"/>
      <c r="S316" s="79"/>
      <c r="T316" s="80"/>
      <c r="U316" s="81"/>
      <c r="V316" s="82"/>
      <c r="W316" s="83"/>
      <c r="X316" s="84"/>
      <c r="Y316" s="84"/>
      <c r="Z316" s="84"/>
      <c r="AA316" s="84"/>
      <c r="AB316" s="84"/>
      <c r="AC316" s="84"/>
      <c r="AD316" s="84"/>
      <c r="AE316" s="85"/>
      <c r="AF316" s="86"/>
      <c r="AG316" s="87"/>
      <c r="AH316" s="88"/>
    </row>
    <row r="317" spans="1:34" x14ac:dyDescent="0.25">
      <c r="A317" s="155" t="str">
        <f t="shared" si="10"/>
        <v/>
      </c>
      <c r="B317" s="155" t="str">
        <f t="shared" si="9"/>
        <v/>
      </c>
      <c r="D317" s="77"/>
      <c r="E317" s="78"/>
      <c r="F317" s="133"/>
      <c r="G317" s="38"/>
      <c r="H317" s="39"/>
      <c r="I317" s="40"/>
      <c r="J317" s="41"/>
      <c r="K317" s="42"/>
      <c r="L317" s="43"/>
      <c r="M317" s="79"/>
      <c r="N317" s="80"/>
      <c r="O317" s="81"/>
      <c r="P317" s="82"/>
      <c r="Q317" s="83"/>
      <c r="R317" s="84"/>
      <c r="S317" s="79"/>
      <c r="T317" s="80"/>
      <c r="U317" s="81"/>
      <c r="V317" s="82"/>
      <c r="W317" s="83"/>
      <c r="X317" s="84"/>
      <c r="Y317" s="84"/>
      <c r="Z317" s="84"/>
      <c r="AA317" s="84"/>
      <c r="AB317" s="84"/>
      <c r="AC317" s="84"/>
      <c r="AD317" s="84"/>
      <c r="AE317" s="85"/>
      <c r="AF317" s="86"/>
      <c r="AG317" s="87"/>
      <c r="AH317" s="88"/>
    </row>
    <row r="318" spans="1:34" x14ac:dyDescent="0.25">
      <c r="A318" s="155" t="str">
        <f t="shared" si="10"/>
        <v/>
      </c>
      <c r="B318" s="155" t="str">
        <f t="shared" si="9"/>
        <v/>
      </c>
      <c r="D318" s="77"/>
      <c r="E318" s="78"/>
      <c r="F318" s="133"/>
      <c r="G318" s="38"/>
      <c r="H318" s="39"/>
      <c r="I318" s="40"/>
      <c r="J318" s="41"/>
      <c r="K318" s="42"/>
      <c r="L318" s="43"/>
      <c r="M318" s="79"/>
      <c r="N318" s="80"/>
      <c r="O318" s="81"/>
      <c r="P318" s="82"/>
      <c r="Q318" s="83"/>
      <c r="R318" s="84"/>
      <c r="S318" s="79"/>
      <c r="T318" s="80"/>
      <c r="U318" s="81"/>
      <c r="V318" s="82"/>
      <c r="W318" s="83"/>
      <c r="X318" s="84"/>
      <c r="Y318" s="84"/>
      <c r="Z318" s="84"/>
      <c r="AA318" s="84"/>
      <c r="AB318" s="84"/>
      <c r="AC318" s="84"/>
      <c r="AD318" s="84"/>
      <c r="AE318" s="85"/>
      <c r="AF318" s="86"/>
      <c r="AG318" s="87"/>
      <c r="AH318" s="88"/>
    </row>
    <row r="319" spans="1:34" x14ac:dyDescent="0.25">
      <c r="A319" s="155" t="str">
        <f t="shared" si="10"/>
        <v/>
      </c>
      <c r="B319" s="155" t="str">
        <f t="shared" si="9"/>
        <v/>
      </c>
      <c r="D319" s="77"/>
      <c r="E319" s="78"/>
      <c r="F319" s="133"/>
      <c r="G319" s="38"/>
      <c r="H319" s="39"/>
      <c r="I319" s="40"/>
      <c r="J319" s="41"/>
      <c r="K319" s="42"/>
      <c r="L319" s="43"/>
      <c r="M319" s="79"/>
      <c r="N319" s="80"/>
      <c r="O319" s="81"/>
      <c r="P319" s="82"/>
      <c r="Q319" s="83"/>
      <c r="R319" s="84"/>
      <c r="S319" s="79"/>
      <c r="T319" s="80"/>
      <c r="U319" s="81"/>
      <c r="V319" s="82"/>
      <c r="W319" s="83"/>
      <c r="X319" s="84"/>
      <c r="Y319" s="84"/>
      <c r="Z319" s="84"/>
      <c r="AA319" s="84"/>
      <c r="AB319" s="84"/>
      <c r="AC319" s="84"/>
      <c r="AD319" s="84"/>
      <c r="AE319" s="85"/>
      <c r="AF319" s="86"/>
      <c r="AG319" s="87"/>
      <c r="AH319" s="88"/>
    </row>
    <row r="320" spans="1:34" x14ac:dyDescent="0.25">
      <c r="A320" s="155" t="str">
        <f t="shared" si="10"/>
        <v/>
      </c>
      <c r="B320" s="155" t="str">
        <f t="shared" si="9"/>
        <v/>
      </c>
      <c r="D320" s="77"/>
      <c r="E320" s="78"/>
      <c r="F320" s="133"/>
      <c r="G320" s="38"/>
      <c r="H320" s="39"/>
      <c r="I320" s="40"/>
      <c r="J320" s="41"/>
      <c r="K320" s="42"/>
      <c r="L320" s="43"/>
      <c r="M320" s="79"/>
      <c r="N320" s="80"/>
      <c r="O320" s="81"/>
      <c r="P320" s="82"/>
      <c r="Q320" s="83"/>
      <c r="R320" s="84"/>
      <c r="S320" s="79"/>
      <c r="T320" s="80"/>
      <c r="U320" s="81"/>
      <c r="V320" s="82"/>
      <c r="W320" s="83"/>
      <c r="X320" s="84"/>
      <c r="Y320" s="84"/>
      <c r="Z320" s="84"/>
      <c r="AA320" s="84"/>
      <c r="AB320" s="84"/>
      <c r="AC320" s="84"/>
      <c r="AD320" s="84"/>
      <c r="AE320" s="85"/>
      <c r="AF320" s="86"/>
      <c r="AG320" s="87"/>
      <c r="AH320" s="88"/>
    </row>
    <row r="321" spans="1:34" x14ac:dyDescent="0.25">
      <c r="A321" s="155" t="str">
        <f t="shared" si="10"/>
        <v/>
      </c>
      <c r="B321" s="155" t="str">
        <f t="shared" si="9"/>
        <v/>
      </c>
      <c r="D321" s="77"/>
      <c r="E321" s="78"/>
      <c r="F321" s="133"/>
      <c r="G321" s="38"/>
      <c r="H321" s="39"/>
      <c r="I321" s="40"/>
      <c r="J321" s="41"/>
      <c r="K321" s="42"/>
      <c r="L321" s="43"/>
      <c r="M321" s="79"/>
      <c r="N321" s="80"/>
      <c r="O321" s="81"/>
      <c r="P321" s="82"/>
      <c r="Q321" s="83"/>
      <c r="R321" s="84"/>
      <c r="S321" s="79"/>
      <c r="T321" s="80"/>
      <c r="U321" s="81"/>
      <c r="V321" s="82"/>
      <c r="W321" s="83"/>
      <c r="X321" s="84"/>
      <c r="Y321" s="84"/>
      <c r="Z321" s="84"/>
      <c r="AA321" s="84"/>
      <c r="AB321" s="84"/>
      <c r="AC321" s="84"/>
      <c r="AD321" s="84"/>
      <c r="AE321" s="85"/>
      <c r="AF321" s="86"/>
      <c r="AG321" s="87"/>
      <c r="AH321" s="88"/>
    </row>
    <row r="322" spans="1:34" x14ac:dyDescent="0.25">
      <c r="A322" s="155" t="str">
        <f t="shared" si="10"/>
        <v/>
      </c>
      <c r="B322" s="155" t="str">
        <f t="shared" si="9"/>
        <v/>
      </c>
      <c r="D322" s="77"/>
      <c r="E322" s="78"/>
      <c r="F322" s="133"/>
      <c r="G322" s="38"/>
      <c r="H322" s="39"/>
      <c r="I322" s="40"/>
      <c r="J322" s="41"/>
      <c r="K322" s="42"/>
      <c r="L322" s="43"/>
      <c r="M322" s="79"/>
      <c r="N322" s="80"/>
      <c r="O322" s="81"/>
      <c r="P322" s="82"/>
      <c r="Q322" s="83"/>
      <c r="R322" s="84"/>
      <c r="S322" s="79"/>
      <c r="T322" s="80"/>
      <c r="U322" s="81"/>
      <c r="V322" s="82"/>
      <c r="W322" s="83"/>
      <c r="X322" s="84"/>
      <c r="Y322" s="84"/>
      <c r="Z322" s="84"/>
      <c r="AA322" s="84"/>
      <c r="AB322" s="84"/>
      <c r="AC322" s="84"/>
      <c r="AD322" s="84"/>
      <c r="AE322" s="85"/>
      <c r="AF322" s="86"/>
      <c r="AG322" s="87"/>
      <c r="AH322" s="88"/>
    </row>
    <row r="323" spans="1:34" x14ac:dyDescent="0.25">
      <c r="A323" s="155" t="str">
        <f t="shared" si="10"/>
        <v/>
      </c>
      <c r="B323" s="155" t="str">
        <f t="shared" si="9"/>
        <v/>
      </c>
      <c r="D323" s="77"/>
      <c r="E323" s="78"/>
      <c r="F323" s="133"/>
      <c r="G323" s="38"/>
      <c r="H323" s="39"/>
      <c r="I323" s="40"/>
      <c r="J323" s="41"/>
      <c r="K323" s="42"/>
      <c r="L323" s="43"/>
      <c r="M323" s="79"/>
      <c r="N323" s="80"/>
      <c r="O323" s="81"/>
      <c r="P323" s="82"/>
      <c r="Q323" s="83"/>
      <c r="R323" s="84"/>
      <c r="S323" s="79"/>
      <c r="T323" s="80"/>
      <c r="U323" s="81"/>
      <c r="V323" s="82"/>
      <c r="W323" s="83"/>
      <c r="X323" s="84"/>
      <c r="Y323" s="84"/>
      <c r="Z323" s="84"/>
      <c r="AA323" s="84"/>
      <c r="AB323" s="84"/>
      <c r="AC323" s="84"/>
      <c r="AD323" s="84"/>
      <c r="AE323" s="85"/>
      <c r="AF323" s="86"/>
      <c r="AG323" s="87"/>
      <c r="AH323" s="88"/>
    </row>
    <row r="324" spans="1:34" x14ac:dyDescent="0.25">
      <c r="A324" s="155" t="str">
        <f t="shared" si="10"/>
        <v/>
      </c>
      <c r="B324" s="155" t="str">
        <f t="shared" si="9"/>
        <v/>
      </c>
      <c r="D324" s="77"/>
      <c r="E324" s="78"/>
      <c r="F324" s="133"/>
      <c r="G324" s="38"/>
      <c r="H324" s="39"/>
      <c r="I324" s="40"/>
      <c r="J324" s="41"/>
      <c r="K324" s="42"/>
      <c r="L324" s="43"/>
      <c r="M324" s="79"/>
      <c r="N324" s="80"/>
      <c r="O324" s="81"/>
      <c r="P324" s="82"/>
      <c r="Q324" s="83"/>
      <c r="R324" s="84"/>
      <c r="S324" s="79"/>
      <c r="T324" s="80"/>
      <c r="U324" s="81"/>
      <c r="V324" s="82"/>
      <c r="W324" s="83"/>
      <c r="X324" s="84"/>
      <c r="Y324" s="84"/>
      <c r="Z324" s="84"/>
      <c r="AA324" s="84"/>
      <c r="AB324" s="84"/>
      <c r="AC324" s="84"/>
      <c r="AD324" s="84"/>
      <c r="AE324" s="85"/>
      <c r="AF324" s="86"/>
      <c r="AG324" s="87"/>
      <c r="AH324" s="88"/>
    </row>
    <row r="325" spans="1:34" x14ac:dyDescent="0.25">
      <c r="A325" s="155" t="str">
        <f t="shared" si="10"/>
        <v/>
      </c>
      <c r="B325" s="155" t="str">
        <f t="shared" ref="B325:B388" si="11">IF(A325="","",COUNTA(G325:L325)-A325)</f>
        <v/>
      </c>
      <c r="D325" s="77"/>
      <c r="E325" s="78"/>
      <c r="F325" s="133"/>
      <c r="G325" s="38"/>
      <c r="H325" s="39"/>
      <c r="I325" s="40"/>
      <c r="J325" s="41"/>
      <c r="K325" s="42"/>
      <c r="L325" s="43"/>
      <c r="M325" s="79"/>
      <c r="N325" s="80"/>
      <c r="O325" s="81"/>
      <c r="P325" s="82"/>
      <c r="Q325" s="83"/>
      <c r="R325" s="84"/>
      <c r="S325" s="79"/>
      <c r="T325" s="80"/>
      <c r="U325" s="81"/>
      <c r="V325" s="82"/>
      <c r="W325" s="83"/>
      <c r="X325" s="84"/>
      <c r="Y325" s="84"/>
      <c r="Z325" s="84"/>
      <c r="AA325" s="84"/>
      <c r="AB325" s="84"/>
      <c r="AC325" s="84"/>
      <c r="AD325" s="84"/>
      <c r="AE325" s="85"/>
      <c r="AF325" s="86"/>
      <c r="AG325" s="87"/>
      <c r="AH325" s="88"/>
    </row>
    <row r="326" spans="1:34" x14ac:dyDescent="0.25">
      <c r="A326" s="155" t="str">
        <f t="shared" si="10"/>
        <v/>
      </c>
      <c r="B326" s="155" t="str">
        <f t="shared" si="11"/>
        <v/>
      </c>
      <c r="D326" s="77"/>
      <c r="E326" s="78"/>
      <c r="F326" s="133"/>
      <c r="G326" s="38"/>
      <c r="H326" s="39"/>
      <c r="I326" s="40"/>
      <c r="J326" s="41"/>
      <c r="K326" s="42"/>
      <c r="L326" s="43"/>
      <c r="M326" s="79"/>
      <c r="N326" s="80"/>
      <c r="O326" s="81"/>
      <c r="P326" s="82"/>
      <c r="Q326" s="83"/>
      <c r="R326" s="84"/>
      <c r="S326" s="79"/>
      <c r="T326" s="80"/>
      <c r="U326" s="81"/>
      <c r="V326" s="82"/>
      <c r="W326" s="83"/>
      <c r="X326" s="84"/>
      <c r="Y326" s="84"/>
      <c r="Z326" s="84"/>
      <c r="AA326" s="84"/>
      <c r="AB326" s="84"/>
      <c r="AC326" s="84"/>
      <c r="AD326" s="84"/>
      <c r="AE326" s="85"/>
      <c r="AF326" s="86"/>
      <c r="AG326" s="87"/>
      <c r="AH326" s="88"/>
    </row>
    <row r="327" spans="1:34" x14ac:dyDescent="0.25">
      <c r="A327" s="155" t="str">
        <f t="shared" ref="A327:A390" si="12">IF(COUNTIF(S327:X327,"&gt;0")=0,"",COUNTIF(S327:X327,"&gt;0"))</f>
        <v/>
      </c>
      <c r="B327" s="155" t="str">
        <f t="shared" si="11"/>
        <v/>
      </c>
      <c r="D327" s="77"/>
      <c r="E327" s="78"/>
      <c r="F327" s="133"/>
      <c r="G327" s="38"/>
      <c r="H327" s="39"/>
      <c r="I327" s="40"/>
      <c r="J327" s="41"/>
      <c r="K327" s="42"/>
      <c r="L327" s="43"/>
      <c r="M327" s="79"/>
      <c r="N327" s="80"/>
      <c r="O327" s="81"/>
      <c r="P327" s="82"/>
      <c r="Q327" s="83"/>
      <c r="R327" s="84"/>
      <c r="S327" s="79"/>
      <c r="T327" s="80"/>
      <c r="U327" s="81"/>
      <c r="V327" s="82"/>
      <c r="W327" s="83"/>
      <c r="X327" s="84"/>
      <c r="Y327" s="84"/>
      <c r="Z327" s="84"/>
      <c r="AA327" s="84"/>
      <c r="AB327" s="84"/>
      <c r="AC327" s="84"/>
      <c r="AD327" s="84"/>
      <c r="AE327" s="85"/>
      <c r="AF327" s="86"/>
      <c r="AG327" s="87"/>
      <c r="AH327" s="88"/>
    </row>
    <row r="328" spans="1:34" x14ac:dyDescent="0.25">
      <c r="A328" s="155" t="str">
        <f t="shared" si="12"/>
        <v/>
      </c>
      <c r="B328" s="155" t="str">
        <f t="shared" si="11"/>
        <v/>
      </c>
      <c r="D328" s="77"/>
      <c r="E328" s="78"/>
      <c r="F328" s="133"/>
      <c r="G328" s="38"/>
      <c r="H328" s="39"/>
      <c r="I328" s="40"/>
      <c r="J328" s="41"/>
      <c r="K328" s="42"/>
      <c r="L328" s="43"/>
      <c r="M328" s="79"/>
      <c r="N328" s="80"/>
      <c r="O328" s="81"/>
      <c r="P328" s="82"/>
      <c r="Q328" s="83"/>
      <c r="R328" s="84"/>
      <c r="S328" s="79"/>
      <c r="T328" s="80"/>
      <c r="U328" s="81"/>
      <c r="V328" s="82"/>
      <c r="W328" s="83"/>
      <c r="X328" s="84"/>
      <c r="Y328" s="84"/>
      <c r="Z328" s="84"/>
      <c r="AA328" s="84"/>
      <c r="AB328" s="84"/>
      <c r="AC328" s="84"/>
      <c r="AD328" s="84"/>
      <c r="AE328" s="85"/>
      <c r="AF328" s="86"/>
      <c r="AG328" s="87"/>
      <c r="AH328" s="88"/>
    </row>
    <row r="329" spans="1:34" x14ac:dyDescent="0.25">
      <c r="A329" s="155" t="str">
        <f t="shared" si="12"/>
        <v/>
      </c>
      <c r="B329" s="155" t="str">
        <f t="shared" si="11"/>
        <v/>
      </c>
      <c r="D329" s="77"/>
      <c r="E329" s="78"/>
      <c r="F329" s="133"/>
      <c r="G329" s="38"/>
      <c r="H329" s="39"/>
      <c r="I329" s="40"/>
      <c r="J329" s="41"/>
      <c r="K329" s="42"/>
      <c r="L329" s="43"/>
      <c r="M329" s="79"/>
      <c r="N329" s="80"/>
      <c r="O329" s="81"/>
      <c r="P329" s="82"/>
      <c r="Q329" s="83"/>
      <c r="R329" s="84"/>
      <c r="S329" s="79"/>
      <c r="T329" s="80"/>
      <c r="U329" s="81"/>
      <c r="V329" s="82"/>
      <c r="W329" s="83"/>
      <c r="X329" s="84"/>
      <c r="Y329" s="84"/>
      <c r="Z329" s="84"/>
      <c r="AA329" s="84"/>
      <c r="AB329" s="84"/>
      <c r="AC329" s="84"/>
      <c r="AD329" s="84"/>
      <c r="AE329" s="85"/>
      <c r="AF329" s="86"/>
      <c r="AG329" s="87"/>
      <c r="AH329" s="88"/>
    </row>
    <row r="330" spans="1:34" x14ac:dyDescent="0.25">
      <c r="A330" s="155" t="str">
        <f t="shared" si="12"/>
        <v/>
      </c>
      <c r="B330" s="155" t="str">
        <f t="shared" si="11"/>
        <v/>
      </c>
      <c r="D330" s="77"/>
      <c r="E330" s="78"/>
      <c r="F330" s="133"/>
      <c r="G330" s="38"/>
      <c r="H330" s="39"/>
      <c r="I330" s="40"/>
      <c r="J330" s="41"/>
      <c r="K330" s="42"/>
      <c r="L330" s="43"/>
      <c r="M330" s="79"/>
      <c r="N330" s="80"/>
      <c r="O330" s="81"/>
      <c r="P330" s="82"/>
      <c r="Q330" s="83"/>
      <c r="R330" s="84"/>
      <c r="S330" s="79"/>
      <c r="T330" s="80"/>
      <c r="U330" s="81"/>
      <c r="V330" s="82"/>
      <c r="W330" s="83"/>
      <c r="X330" s="84"/>
      <c r="Y330" s="84"/>
      <c r="Z330" s="84"/>
      <c r="AA330" s="84"/>
      <c r="AB330" s="84"/>
      <c r="AC330" s="84"/>
      <c r="AD330" s="84"/>
      <c r="AE330" s="85"/>
      <c r="AF330" s="86"/>
      <c r="AG330" s="87"/>
      <c r="AH330" s="88"/>
    </row>
    <row r="331" spans="1:34" x14ac:dyDescent="0.25">
      <c r="A331" s="155" t="str">
        <f t="shared" si="12"/>
        <v/>
      </c>
      <c r="B331" s="155" t="str">
        <f t="shared" si="11"/>
        <v/>
      </c>
      <c r="D331" s="77"/>
      <c r="E331" s="78"/>
      <c r="F331" s="133"/>
      <c r="G331" s="38"/>
      <c r="H331" s="39"/>
      <c r="I331" s="40"/>
      <c r="J331" s="41"/>
      <c r="K331" s="42"/>
      <c r="L331" s="43"/>
      <c r="M331" s="79"/>
      <c r="N331" s="80"/>
      <c r="O331" s="81"/>
      <c r="P331" s="82"/>
      <c r="Q331" s="83"/>
      <c r="R331" s="84"/>
      <c r="S331" s="79"/>
      <c r="T331" s="80"/>
      <c r="U331" s="81"/>
      <c r="V331" s="82"/>
      <c r="W331" s="83"/>
      <c r="X331" s="84"/>
      <c r="Y331" s="84"/>
      <c r="Z331" s="84"/>
      <c r="AA331" s="84"/>
      <c r="AB331" s="84"/>
      <c r="AC331" s="84"/>
      <c r="AD331" s="84"/>
      <c r="AE331" s="85"/>
      <c r="AF331" s="86"/>
      <c r="AG331" s="87"/>
      <c r="AH331" s="88"/>
    </row>
    <row r="332" spans="1:34" x14ac:dyDescent="0.25">
      <c r="A332" s="155" t="str">
        <f t="shared" si="12"/>
        <v/>
      </c>
      <c r="B332" s="155" t="str">
        <f t="shared" si="11"/>
        <v/>
      </c>
      <c r="D332" s="77"/>
      <c r="E332" s="78"/>
      <c r="F332" s="133"/>
      <c r="G332" s="38"/>
      <c r="H332" s="39"/>
      <c r="I332" s="40"/>
      <c r="J332" s="41"/>
      <c r="K332" s="42"/>
      <c r="L332" s="43"/>
      <c r="M332" s="79"/>
      <c r="N332" s="80"/>
      <c r="O332" s="81"/>
      <c r="P332" s="82"/>
      <c r="Q332" s="83"/>
      <c r="R332" s="84"/>
      <c r="S332" s="79"/>
      <c r="T332" s="80"/>
      <c r="U332" s="81"/>
      <c r="V332" s="82"/>
      <c r="W332" s="83"/>
      <c r="X332" s="84"/>
      <c r="Y332" s="84"/>
      <c r="Z332" s="84"/>
      <c r="AA332" s="84"/>
      <c r="AB332" s="84"/>
      <c r="AC332" s="84"/>
      <c r="AD332" s="84"/>
      <c r="AE332" s="85"/>
      <c r="AF332" s="86"/>
      <c r="AG332" s="87"/>
      <c r="AH332" s="88"/>
    </row>
    <row r="333" spans="1:34" x14ac:dyDescent="0.25">
      <c r="A333" s="155" t="str">
        <f t="shared" si="12"/>
        <v/>
      </c>
      <c r="B333" s="155" t="str">
        <f t="shared" si="11"/>
        <v/>
      </c>
      <c r="D333" s="77"/>
      <c r="E333" s="78"/>
      <c r="F333" s="133"/>
      <c r="G333" s="38"/>
      <c r="H333" s="39"/>
      <c r="I333" s="40"/>
      <c r="J333" s="41"/>
      <c r="K333" s="42"/>
      <c r="L333" s="43"/>
      <c r="M333" s="79"/>
      <c r="N333" s="80"/>
      <c r="O333" s="81"/>
      <c r="P333" s="82"/>
      <c r="Q333" s="83"/>
      <c r="R333" s="84"/>
      <c r="S333" s="79"/>
      <c r="T333" s="80"/>
      <c r="U333" s="81"/>
      <c r="V333" s="82"/>
      <c r="W333" s="83"/>
      <c r="X333" s="84"/>
      <c r="Y333" s="84"/>
      <c r="Z333" s="84"/>
      <c r="AA333" s="84"/>
      <c r="AB333" s="84"/>
      <c r="AC333" s="84"/>
      <c r="AD333" s="84"/>
      <c r="AE333" s="85"/>
      <c r="AF333" s="86"/>
      <c r="AG333" s="87"/>
      <c r="AH333" s="88"/>
    </row>
    <row r="334" spans="1:34" x14ac:dyDescent="0.25">
      <c r="A334" s="155" t="str">
        <f t="shared" si="12"/>
        <v/>
      </c>
      <c r="B334" s="155" t="str">
        <f t="shared" si="11"/>
        <v/>
      </c>
      <c r="D334" s="77"/>
      <c r="E334" s="78"/>
      <c r="F334" s="133"/>
      <c r="G334" s="38"/>
      <c r="H334" s="39"/>
      <c r="I334" s="40"/>
      <c r="J334" s="41"/>
      <c r="K334" s="42"/>
      <c r="L334" s="43"/>
      <c r="M334" s="79"/>
      <c r="N334" s="80"/>
      <c r="O334" s="81"/>
      <c r="P334" s="82"/>
      <c r="Q334" s="83"/>
      <c r="R334" s="84"/>
      <c r="S334" s="79"/>
      <c r="T334" s="80"/>
      <c r="U334" s="81"/>
      <c r="V334" s="82"/>
      <c r="W334" s="83"/>
      <c r="X334" s="84"/>
      <c r="Y334" s="84"/>
      <c r="Z334" s="84"/>
      <c r="AA334" s="84"/>
      <c r="AB334" s="84"/>
      <c r="AC334" s="84"/>
      <c r="AD334" s="84"/>
      <c r="AE334" s="85"/>
      <c r="AF334" s="86"/>
      <c r="AG334" s="87"/>
      <c r="AH334" s="88"/>
    </row>
    <row r="335" spans="1:34" x14ac:dyDescent="0.25">
      <c r="A335" s="155" t="str">
        <f t="shared" si="12"/>
        <v/>
      </c>
      <c r="B335" s="155" t="str">
        <f t="shared" si="11"/>
        <v/>
      </c>
      <c r="D335" s="77"/>
      <c r="E335" s="78"/>
      <c r="F335" s="133"/>
      <c r="G335" s="38"/>
      <c r="H335" s="39"/>
      <c r="I335" s="40"/>
      <c r="J335" s="41"/>
      <c r="K335" s="42"/>
      <c r="L335" s="43"/>
      <c r="M335" s="79"/>
      <c r="N335" s="80"/>
      <c r="O335" s="81"/>
      <c r="P335" s="82"/>
      <c r="Q335" s="83"/>
      <c r="R335" s="84"/>
      <c r="S335" s="79"/>
      <c r="T335" s="80"/>
      <c r="U335" s="81"/>
      <c r="V335" s="82"/>
      <c r="W335" s="83"/>
      <c r="X335" s="84"/>
      <c r="Y335" s="84"/>
      <c r="Z335" s="84"/>
      <c r="AA335" s="84"/>
      <c r="AB335" s="84"/>
      <c r="AC335" s="84"/>
      <c r="AD335" s="84"/>
      <c r="AE335" s="85"/>
      <c r="AF335" s="86"/>
      <c r="AG335" s="87"/>
      <c r="AH335" s="88"/>
    </row>
    <row r="336" spans="1:34" x14ac:dyDescent="0.25">
      <c r="A336" s="155" t="str">
        <f t="shared" si="12"/>
        <v/>
      </c>
      <c r="B336" s="155" t="str">
        <f t="shared" si="11"/>
        <v/>
      </c>
      <c r="D336" s="77"/>
      <c r="E336" s="78"/>
      <c r="F336" s="133"/>
      <c r="G336" s="38"/>
      <c r="H336" s="39"/>
      <c r="I336" s="40"/>
      <c r="J336" s="41"/>
      <c r="K336" s="42"/>
      <c r="L336" s="43"/>
      <c r="M336" s="79"/>
      <c r="N336" s="80"/>
      <c r="O336" s="81"/>
      <c r="P336" s="82"/>
      <c r="Q336" s="83"/>
      <c r="R336" s="84"/>
      <c r="S336" s="79"/>
      <c r="T336" s="80"/>
      <c r="U336" s="81"/>
      <c r="V336" s="82"/>
      <c r="W336" s="83"/>
      <c r="X336" s="84"/>
      <c r="Y336" s="84"/>
      <c r="Z336" s="84"/>
      <c r="AA336" s="84"/>
      <c r="AB336" s="84"/>
      <c r="AC336" s="84"/>
      <c r="AD336" s="84"/>
      <c r="AE336" s="85"/>
      <c r="AF336" s="86"/>
      <c r="AG336" s="87"/>
      <c r="AH336" s="88"/>
    </row>
    <row r="337" spans="1:34" x14ac:dyDescent="0.25">
      <c r="A337" s="155" t="str">
        <f t="shared" si="12"/>
        <v/>
      </c>
      <c r="B337" s="155" t="str">
        <f t="shared" si="11"/>
        <v/>
      </c>
      <c r="D337" s="77"/>
      <c r="E337" s="78"/>
      <c r="F337" s="133"/>
      <c r="G337" s="38"/>
      <c r="H337" s="39"/>
      <c r="I337" s="40"/>
      <c r="J337" s="41"/>
      <c r="K337" s="42"/>
      <c r="L337" s="43"/>
      <c r="M337" s="79"/>
      <c r="N337" s="80"/>
      <c r="O337" s="81"/>
      <c r="P337" s="82"/>
      <c r="Q337" s="83"/>
      <c r="R337" s="84"/>
      <c r="S337" s="79"/>
      <c r="T337" s="80"/>
      <c r="U337" s="81"/>
      <c r="V337" s="82"/>
      <c r="W337" s="83"/>
      <c r="X337" s="84"/>
      <c r="Y337" s="84"/>
      <c r="Z337" s="84"/>
      <c r="AA337" s="84"/>
      <c r="AB337" s="84"/>
      <c r="AC337" s="84"/>
      <c r="AD337" s="84"/>
      <c r="AE337" s="85"/>
      <c r="AF337" s="86"/>
      <c r="AG337" s="87"/>
      <c r="AH337" s="88"/>
    </row>
    <row r="338" spans="1:34" x14ac:dyDescent="0.25">
      <c r="A338" s="155" t="str">
        <f t="shared" si="12"/>
        <v/>
      </c>
      <c r="B338" s="155" t="str">
        <f t="shared" si="11"/>
        <v/>
      </c>
      <c r="D338" s="77"/>
      <c r="E338" s="78"/>
      <c r="F338" s="133"/>
      <c r="G338" s="38"/>
      <c r="H338" s="39"/>
      <c r="I338" s="40"/>
      <c r="J338" s="41"/>
      <c r="K338" s="42"/>
      <c r="L338" s="43"/>
      <c r="M338" s="79"/>
      <c r="N338" s="80"/>
      <c r="O338" s="81"/>
      <c r="P338" s="82"/>
      <c r="Q338" s="83"/>
      <c r="R338" s="84"/>
      <c r="S338" s="79"/>
      <c r="T338" s="80"/>
      <c r="U338" s="81"/>
      <c r="V338" s="82"/>
      <c r="W338" s="83"/>
      <c r="X338" s="84"/>
      <c r="Y338" s="84"/>
      <c r="Z338" s="84"/>
      <c r="AA338" s="84"/>
      <c r="AB338" s="84"/>
      <c r="AC338" s="84"/>
      <c r="AD338" s="84"/>
      <c r="AE338" s="85"/>
      <c r="AF338" s="86"/>
      <c r="AG338" s="87"/>
      <c r="AH338" s="88"/>
    </row>
    <row r="339" spans="1:34" x14ac:dyDescent="0.25">
      <c r="A339" s="155" t="str">
        <f t="shared" si="12"/>
        <v/>
      </c>
      <c r="B339" s="155" t="str">
        <f t="shared" si="11"/>
        <v/>
      </c>
      <c r="D339" s="77"/>
      <c r="E339" s="78"/>
      <c r="F339" s="133"/>
      <c r="G339" s="38"/>
      <c r="H339" s="39"/>
      <c r="I339" s="40"/>
      <c r="J339" s="41"/>
      <c r="K339" s="42"/>
      <c r="L339" s="43"/>
      <c r="M339" s="79"/>
      <c r="N339" s="80"/>
      <c r="O339" s="81"/>
      <c r="P339" s="82"/>
      <c r="Q339" s="83"/>
      <c r="R339" s="84"/>
      <c r="S339" s="79"/>
      <c r="T339" s="80"/>
      <c r="U339" s="81"/>
      <c r="V339" s="82"/>
      <c r="W339" s="83"/>
      <c r="X339" s="84"/>
      <c r="Y339" s="84"/>
      <c r="Z339" s="84"/>
      <c r="AA339" s="84"/>
      <c r="AB339" s="84"/>
      <c r="AC339" s="84"/>
      <c r="AD339" s="84"/>
      <c r="AE339" s="85"/>
      <c r="AF339" s="86"/>
      <c r="AG339" s="87"/>
      <c r="AH339" s="88"/>
    </row>
    <row r="340" spans="1:34" x14ac:dyDescent="0.25">
      <c r="A340" s="155" t="str">
        <f t="shared" si="12"/>
        <v/>
      </c>
      <c r="B340" s="155" t="str">
        <f t="shared" si="11"/>
        <v/>
      </c>
      <c r="D340" s="77"/>
      <c r="E340" s="78"/>
      <c r="F340" s="133"/>
      <c r="G340" s="38"/>
      <c r="H340" s="39"/>
      <c r="I340" s="40"/>
      <c r="J340" s="41"/>
      <c r="K340" s="42"/>
      <c r="L340" s="43"/>
      <c r="M340" s="79"/>
      <c r="N340" s="80"/>
      <c r="O340" s="81"/>
      <c r="P340" s="82"/>
      <c r="Q340" s="83"/>
      <c r="R340" s="84"/>
      <c r="S340" s="79"/>
      <c r="T340" s="80"/>
      <c r="U340" s="81"/>
      <c r="V340" s="82"/>
      <c r="W340" s="83"/>
      <c r="X340" s="84"/>
      <c r="Y340" s="84"/>
      <c r="Z340" s="84"/>
      <c r="AA340" s="84"/>
      <c r="AB340" s="84"/>
      <c r="AC340" s="84"/>
      <c r="AD340" s="84"/>
      <c r="AE340" s="85"/>
      <c r="AF340" s="86"/>
      <c r="AG340" s="87"/>
      <c r="AH340" s="88"/>
    </row>
    <row r="341" spans="1:34" x14ac:dyDescent="0.25">
      <c r="A341" s="155" t="str">
        <f t="shared" si="12"/>
        <v/>
      </c>
      <c r="B341" s="155" t="str">
        <f t="shared" si="11"/>
        <v/>
      </c>
      <c r="D341" s="77"/>
      <c r="E341" s="78"/>
      <c r="F341" s="133"/>
      <c r="G341" s="38"/>
      <c r="H341" s="39"/>
      <c r="I341" s="40"/>
      <c r="J341" s="41"/>
      <c r="K341" s="42"/>
      <c r="L341" s="43"/>
      <c r="M341" s="79"/>
      <c r="N341" s="80"/>
      <c r="O341" s="81"/>
      <c r="P341" s="82"/>
      <c r="Q341" s="83"/>
      <c r="R341" s="84"/>
      <c r="S341" s="79"/>
      <c r="T341" s="80"/>
      <c r="U341" s="81"/>
      <c r="V341" s="82"/>
      <c r="W341" s="83"/>
      <c r="X341" s="84"/>
      <c r="Y341" s="84"/>
      <c r="Z341" s="84"/>
      <c r="AA341" s="84"/>
      <c r="AB341" s="84"/>
      <c r="AC341" s="84"/>
      <c r="AD341" s="84"/>
      <c r="AE341" s="85"/>
      <c r="AF341" s="86"/>
      <c r="AG341" s="87"/>
      <c r="AH341" s="88"/>
    </row>
    <row r="342" spans="1:34" x14ac:dyDescent="0.25">
      <c r="A342" s="155" t="str">
        <f t="shared" si="12"/>
        <v/>
      </c>
      <c r="B342" s="155" t="str">
        <f t="shared" si="11"/>
        <v/>
      </c>
      <c r="D342" s="77"/>
      <c r="E342" s="78"/>
      <c r="F342" s="133"/>
      <c r="G342" s="38"/>
      <c r="H342" s="39"/>
      <c r="I342" s="40"/>
      <c r="J342" s="41"/>
      <c r="K342" s="42"/>
      <c r="L342" s="43"/>
      <c r="M342" s="79"/>
      <c r="N342" s="80"/>
      <c r="O342" s="81"/>
      <c r="P342" s="82"/>
      <c r="Q342" s="83"/>
      <c r="R342" s="84"/>
      <c r="S342" s="79"/>
      <c r="T342" s="80"/>
      <c r="U342" s="81"/>
      <c r="V342" s="82"/>
      <c r="W342" s="83"/>
      <c r="X342" s="84"/>
      <c r="Y342" s="84"/>
      <c r="Z342" s="84"/>
      <c r="AA342" s="84"/>
      <c r="AB342" s="84"/>
      <c r="AC342" s="84"/>
      <c r="AD342" s="84"/>
      <c r="AE342" s="85"/>
      <c r="AF342" s="86"/>
      <c r="AG342" s="87"/>
      <c r="AH342" s="88"/>
    </row>
    <row r="343" spans="1:34" x14ac:dyDescent="0.25">
      <c r="A343" s="155" t="str">
        <f t="shared" si="12"/>
        <v/>
      </c>
      <c r="B343" s="155" t="str">
        <f t="shared" si="11"/>
        <v/>
      </c>
      <c r="D343" s="77"/>
      <c r="E343" s="78"/>
      <c r="F343" s="133"/>
      <c r="G343" s="38"/>
      <c r="H343" s="39"/>
      <c r="I343" s="40"/>
      <c r="J343" s="41"/>
      <c r="K343" s="42"/>
      <c r="L343" s="43"/>
      <c r="M343" s="79"/>
      <c r="N343" s="80"/>
      <c r="O343" s="81"/>
      <c r="P343" s="82"/>
      <c r="Q343" s="83"/>
      <c r="R343" s="84"/>
      <c r="S343" s="79"/>
      <c r="T343" s="80"/>
      <c r="U343" s="81"/>
      <c r="V343" s="82"/>
      <c r="W343" s="83"/>
      <c r="X343" s="84"/>
      <c r="Y343" s="84"/>
      <c r="Z343" s="84"/>
      <c r="AA343" s="84"/>
      <c r="AB343" s="84"/>
      <c r="AC343" s="84"/>
      <c r="AD343" s="84"/>
      <c r="AE343" s="85"/>
      <c r="AF343" s="86"/>
      <c r="AG343" s="87"/>
      <c r="AH343" s="88"/>
    </row>
    <row r="344" spans="1:34" x14ac:dyDescent="0.25">
      <c r="A344" s="155" t="str">
        <f t="shared" si="12"/>
        <v/>
      </c>
      <c r="B344" s="155" t="str">
        <f t="shared" si="11"/>
        <v/>
      </c>
      <c r="D344" s="77"/>
      <c r="E344" s="78"/>
      <c r="F344" s="133"/>
      <c r="G344" s="38"/>
      <c r="H344" s="39"/>
      <c r="I344" s="40"/>
      <c r="J344" s="41"/>
      <c r="K344" s="42"/>
      <c r="L344" s="43"/>
      <c r="M344" s="79"/>
      <c r="N344" s="80"/>
      <c r="O344" s="81"/>
      <c r="P344" s="82"/>
      <c r="Q344" s="83"/>
      <c r="R344" s="84"/>
      <c r="S344" s="79"/>
      <c r="T344" s="80"/>
      <c r="U344" s="81"/>
      <c r="V344" s="82"/>
      <c r="W344" s="83"/>
      <c r="X344" s="84"/>
      <c r="Y344" s="84"/>
      <c r="Z344" s="84"/>
      <c r="AA344" s="84"/>
      <c r="AB344" s="84"/>
      <c r="AC344" s="84"/>
      <c r="AD344" s="84"/>
      <c r="AE344" s="85"/>
      <c r="AF344" s="86"/>
      <c r="AG344" s="87"/>
      <c r="AH344" s="88"/>
    </row>
    <row r="345" spans="1:34" x14ac:dyDescent="0.25">
      <c r="A345" s="155" t="str">
        <f t="shared" si="12"/>
        <v/>
      </c>
      <c r="B345" s="155" t="str">
        <f t="shared" si="11"/>
        <v/>
      </c>
      <c r="D345" s="77"/>
      <c r="E345" s="78"/>
      <c r="F345" s="133"/>
      <c r="G345" s="38"/>
      <c r="H345" s="39"/>
      <c r="I345" s="40"/>
      <c r="J345" s="41"/>
      <c r="K345" s="42"/>
      <c r="L345" s="43"/>
      <c r="M345" s="79"/>
      <c r="N345" s="80"/>
      <c r="O345" s="81"/>
      <c r="P345" s="82"/>
      <c r="Q345" s="83"/>
      <c r="R345" s="84"/>
      <c r="S345" s="79"/>
      <c r="T345" s="80"/>
      <c r="U345" s="81"/>
      <c r="V345" s="82"/>
      <c r="W345" s="83"/>
      <c r="X345" s="84"/>
      <c r="Y345" s="84"/>
      <c r="Z345" s="84"/>
      <c r="AA345" s="84"/>
      <c r="AB345" s="84"/>
      <c r="AC345" s="84"/>
      <c r="AD345" s="84"/>
      <c r="AE345" s="85"/>
      <c r="AF345" s="86"/>
      <c r="AG345" s="87"/>
      <c r="AH345" s="88"/>
    </row>
    <row r="346" spans="1:34" x14ac:dyDescent="0.25">
      <c r="A346" s="155" t="str">
        <f t="shared" si="12"/>
        <v/>
      </c>
      <c r="B346" s="155" t="str">
        <f t="shared" si="11"/>
        <v/>
      </c>
      <c r="D346" s="77"/>
      <c r="E346" s="78"/>
      <c r="F346" s="133"/>
      <c r="G346" s="38"/>
      <c r="H346" s="39"/>
      <c r="I346" s="40"/>
      <c r="J346" s="41"/>
      <c r="K346" s="42"/>
      <c r="L346" s="43"/>
      <c r="M346" s="79"/>
      <c r="N346" s="80"/>
      <c r="O346" s="81"/>
      <c r="P346" s="82"/>
      <c r="Q346" s="83"/>
      <c r="R346" s="84"/>
      <c r="S346" s="79"/>
      <c r="T346" s="80"/>
      <c r="U346" s="81"/>
      <c r="V346" s="82"/>
      <c r="W346" s="83"/>
      <c r="X346" s="84"/>
      <c r="Y346" s="84"/>
      <c r="Z346" s="84"/>
      <c r="AA346" s="84"/>
      <c r="AB346" s="84"/>
      <c r="AC346" s="84"/>
      <c r="AD346" s="84"/>
      <c r="AE346" s="85"/>
      <c r="AF346" s="86"/>
      <c r="AG346" s="87"/>
      <c r="AH346" s="88"/>
    </row>
    <row r="347" spans="1:34" x14ac:dyDescent="0.25">
      <c r="A347" s="155" t="str">
        <f t="shared" si="12"/>
        <v/>
      </c>
      <c r="B347" s="155" t="str">
        <f t="shared" si="11"/>
        <v/>
      </c>
      <c r="D347" s="77"/>
      <c r="E347" s="78"/>
      <c r="F347" s="133"/>
      <c r="G347" s="38"/>
      <c r="H347" s="39"/>
      <c r="I347" s="40"/>
      <c r="J347" s="41"/>
      <c r="K347" s="42"/>
      <c r="L347" s="43"/>
      <c r="M347" s="79"/>
      <c r="N347" s="80"/>
      <c r="O347" s="81"/>
      <c r="P347" s="82"/>
      <c r="Q347" s="83"/>
      <c r="R347" s="84"/>
      <c r="S347" s="79"/>
      <c r="T347" s="80"/>
      <c r="U347" s="81"/>
      <c r="V347" s="82"/>
      <c r="W347" s="83"/>
      <c r="X347" s="84"/>
      <c r="Y347" s="84"/>
      <c r="Z347" s="84"/>
      <c r="AA347" s="84"/>
      <c r="AB347" s="84"/>
      <c r="AC347" s="84"/>
      <c r="AD347" s="84"/>
      <c r="AE347" s="85"/>
      <c r="AF347" s="86"/>
      <c r="AG347" s="87"/>
      <c r="AH347" s="88"/>
    </row>
    <row r="348" spans="1:34" x14ac:dyDescent="0.25">
      <c r="A348" s="155" t="str">
        <f t="shared" si="12"/>
        <v/>
      </c>
      <c r="B348" s="155" t="str">
        <f t="shared" si="11"/>
        <v/>
      </c>
      <c r="D348" s="77"/>
      <c r="E348" s="78"/>
      <c r="F348" s="133"/>
      <c r="G348" s="38"/>
      <c r="H348" s="39"/>
      <c r="I348" s="40"/>
      <c r="J348" s="41"/>
      <c r="K348" s="42"/>
      <c r="L348" s="43"/>
      <c r="M348" s="79"/>
      <c r="N348" s="80"/>
      <c r="O348" s="81"/>
      <c r="P348" s="82"/>
      <c r="Q348" s="83"/>
      <c r="R348" s="84"/>
      <c r="S348" s="79"/>
      <c r="T348" s="80"/>
      <c r="U348" s="81"/>
      <c r="V348" s="82"/>
      <c r="W348" s="83"/>
      <c r="X348" s="84"/>
      <c r="Y348" s="84"/>
      <c r="Z348" s="84"/>
      <c r="AA348" s="84"/>
      <c r="AB348" s="84"/>
      <c r="AC348" s="84"/>
      <c r="AD348" s="84"/>
      <c r="AE348" s="85"/>
      <c r="AF348" s="86"/>
      <c r="AG348" s="87"/>
      <c r="AH348" s="88"/>
    </row>
    <row r="349" spans="1:34" x14ac:dyDescent="0.25">
      <c r="A349" s="155" t="str">
        <f t="shared" si="12"/>
        <v/>
      </c>
      <c r="B349" s="155" t="str">
        <f t="shared" si="11"/>
        <v/>
      </c>
      <c r="D349" s="77"/>
      <c r="E349" s="78"/>
      <c r="F349" s="133"/>
      <c r="G349" s="38"/>
      <c r="H349" s="39"/>
      <c r="I349" s="40"/>
      <c r="J349" s="41"/>
      <c r="K349" s="42"/>
      <c r="L349" s="43"/>
      <c r="M349" s="79"/>
      <c r="N349" s="80"/>
      <c r="O349" s="81"/>
      <c r="P349" s="82"/>
      <c r="Q349" s="83"/>
      <c r="R349" s="84"/>
      <c r="S349" s="79"/>
      <c r="T349" s="80"/>
      <c r="U349" s="81"/>
      <c r="V349" s="82"/>
      <c r="W349" s="83"/>
      <c r="X349" s="84"/>
      <c r="Y349" s="84"/>
      <c r="Z349" s="84"/>
      <c r="AA349" s="84"/>
      <c r="AB349" s="84"/>
      <c r="AC349" s="84"/>
      <c r="AD349" s="84"/>
      <c r="AE349" s="85"/>
      <c r="AF349" s="86"/>
      <c r="AG349" s="87"/>
      <c r="AH349" s="88"/>
    </row>
    <row r="350" spans="1:34" x14ac:dyDescent="0.25">
      <c r="A350" s="155" t="str">
        <f t="shared" si="12"/>
        <v/>
      </c>
      <c r="B350" s="155" t="str">
        <f t="shared" si="11"/>
        <v/>
      </c>
      <c r="D350" s="77"/>
      <c r="E350" s="78"/>
      <c r="F350" s="133"/>
      <c r="G350" s="38"/>
      <c r="H350" s="39"/>
      <c r="I350" s="40"/>
      <c r="J350" s="41"/>
      <c r="K350" s="42"/>
      <c r="L350" s="43"/>
      <c r="M350" s="79"/>
      <c r="N350" s="80"/>
      <c r="O350" s="81"/>
      <c r="P350" s="82"/>
      <c r="Q350" s="83"/>
      <c r="R350" s="84"/>
      <c r="S350" s="79"/>
      <c r="T350" s="80"/>
      <c r="U350" s="81"/>
      <c r="V350" s="82"/>
      <c r="W350" s="83"/>
      <c r="X350" s="84"/>
      <c r="Y350" s="84"/>
      <c r="Z350" s="84"/>
      <c r="AA350" s="84"/>
      <c r="AB350" s="84"/>
      <c r="AC350" s="84"/>
      <c r="AD350" s="84"/>
      <c r="AE350" s="85"/>
      <c r="AF350" s="86"/>
      <c r="AG350" s="87"/>
      <c r="AH350" s="88"/>
    </row>
    <row r="351" spans="1:34" x14ac:dyDescent="0.25">
      <c r="A351" s="155" t="str">
        <f t="shared" si="12"/>
        <v/>
      </c>
      <c r="B351" s="155" t="str">
        <f t="shared" si="11"/>
        <v/>
      </c>
      <c r="D351" s="77"/>
      <c r="E351" s="78"/>
      <c r="F351" s="133"/>
      <c r="G351" s="38"/>
      <c r="H351" s="39"/>
      <c r="I351" s="40"/>
      <c r="J351" s="41"/>
      <c r="K351" s="42"/>
      <c r="L351" s="43"/>
      <c r="M351" s="79"/>
      <c r="N351" s="80"/>
      <c r="O351" s="81"/>
      <c r="P351" s="82"/>
      <c r="Q351" s="83"/>
      <c r="R351" s="84"/>
      <c r="S351" s="79"/>
      <c r="T351" s="80"/>
      <c r="U351" s="81"/>
      <c r="V351" s="82"/>
      <c r="W351" s="83"/>
      <c r="X351" s="84"/>
      <c r="Y351" s="84"/>
      <c r="Z351" s="84"/>
      <c r="AA351" s="84"/>
      <c r="AB351" s="84"/>
      <c r="AC351" s="84"/>
      <c r="AD351" s="84"/>
      <c r="AE351" s="85"/>
      <c r="AF351" s="86"/>
      <c r="AG351" s="87"/>
      <c r="AH351" s="88"/>
    </row>
    <row r="352" spans="1:34" x14ac:dyDescent="0.25">
      <c r="A352" s="155" t="str">
        <f t="shared" si="12"/>
        <v/>
      </c>
      <c r="B352" s="155" t="str">
        <f t="shared" si="11"/>
        <v/>
      </c>
      <c r="D352" s="77"/>
      <c r="E352" s="78"/>
      <c r="F352" s="133"/>
      <c r="G352" s="38"/>
      <c r="H352" s="39"/>
      <c r="I352" s="40"/>
      <c r="J352" s="41"/>
      <c r="K352" s="42"/>
      <c r="L352" s="43"/>
      <c r="M352" s="79"/>
      <c r="N352" s="80"/>
      <c r="O352" s="81"/>
      <c r="P352" s="82"/>
      <c r="Q352" s="83"/>
      <c r="R352" s="84"/>
      <c r="S352" s="79"/>
      <c r="T352" s="80"/>
      <c r="U352" s="81"/>
      <c r="V352" s="82"/>
      <c r="W352" s="83"/>
      <c r="X352" s="84"/>
      <c r="Y352" s="84"/>
      <c r="Z352" s="84"/>
      <c r="AA352" s="84"/>
      <c r="AB352" s="84"/>
      <c r="AC352" s="84"/>
      <c r="AD352" s="84"/>
      <c r="AE352" s="85"/>
      <c r="AF352" s="86"/>
      <c r="AG352" s="87"/>
      <c r="AH352" s="88"/>
    </row>
    <row r="353" spans="1:34" x14ac:dyDescent="0.25">
      <c r="A353" s="155" t="str">
        <f t="shared" si="12"/>
        <v/>
      </c>
      <c r="B353" s="155" t="str">
        <f t="shared" si="11"/>
        <v/>
      </c>
      <c r="D353" s="77"/>
      <c r="E353" s="78"/>
      <c r="F353" s="133"/>
      <c r="G353" s="38"/>
      <c r="H353" s="39"/>
      <c r="I353" s="40"/>
      <c r="J353" s="41"/>
      <c r="K353" s="42"/>
      <c r="L353" s="43"/>
      <c r="M353" s="79"/>
      <c r="N353" s="80"/>
      <c r="O353" s="81"/>
      <c r="P353" s="82"/>
      <c r="Q353" s="83"/>
      <c r="R353" s="84"/>
      <c r="S353" s="79"/>
      <c r="T353" s="80"/>
      <c r="U353" s="81"/>
      <c r="V353" s="82"/>
      <c r="W353" s="83"/>
      <c r="X353" s="84"/>
      <c r="Y353" s="84"/>
      <c r="Z353" s="84"/>
      <c r="AA353" s="84"/>
      <c r="AB353" s="84"/>
      <c r="AC353" s="84"/>
      <c r="AD353" s="84"/>
      <c r="AE353" s="85"/>
      <c r="AF353" s="86"/>
      <c r="AG353" s="87"/>
      <c r="AH353" s="88"/>
    </row>
    <row r="354" spans="1:34" x14ac:dyDescent="0.25">
      <c r="A354" s="155" t="str">
        <f t="shared" si="12"/>
        <v/>
      </c>
      <c r="B354" s="155" t="str">
        <f t="shared" si="11"/>
        <v/>
      </c>
      <c r="D354" s="77"/>
      <c r="E354" s="78"/>
      <c r="F354" s="133"/>
      <c r="G354" s="38"/>
      <c r="H354" s="39"/>
      <c r="I354" s="40"/>
      <c r="J354" s="41"/>
      <c r="K354" s="42"/>
      <c r="L354" s="43"/>
      <c r="M354" s="79"/>
      <c r="N354" s="80"/>
      <c r="O354" s="81"/>
      <c r="P354" s="82"/>
      <c r="Q354" s="83"/>
      <c r="R354" s="84"/>
      <c r="S354" s="79"/>
      <c r="T354" s="80"/>
      <c r="U354" s="81"/>
      <c r="V354" s="82"/>
      <c r="W354" s="83"/>
      <c r="X354" s="84"/>
      <c r="Y354" s="84"/>
      <c r="Z354" s="84"/>
      <c r="AA354" s="84"/>
      <c r="AB354" s="84"/>
      <c r="AC354" s="84"/>
      <c r="AD354" s="84"/>
      <c r="AE354" s="85"/>
      <c r="AF354" s="86"/>
      <c r="AG354" s="87"/>
      <c r="AH354" s="88"/>
    </row>
    <row r="355" spans="1:34" x14ac:dyDescent="0.25">
      <c r="A355" s="155" t="str">
        <f t="shared" si="12"/>
        <v/>
      </c>
      <c r="B355" s="155" t="str">
        <f t="shared" si="11"/>
        <v/>
      </c>
      <c r="D355" s="77"/>
      <c r="E355" s="78"/>
      <c r="F355" s="133"/>
      <c r="G355" s="38"/>
      <c r="H355" s="39"/>
      <c r="I355" s="40"/>
      <c r="J355" s="41"/>
      <c r="K355" s="42"/>
      <c r="L355" s="43"/>
      <c r="M355" s="79"/>
      <c r="N355" s="80"/>
      <c r="O355" s="81"/>
      <c r="P355" s="82"/>
      <c r="Q355" s="83"/>
      <c r="R355" s="84"/>
      <c r="S355" s="79"/>
      <c r="T355" s="80"/>
      <c r="U355" s="81"/>
      <c r="V355" s="82"/>
      <c r="W355" s="83"/>
      <c r="X355" s="84"/>
      <c r="Y355" s="84"/>
      <c r="Z355" s="84"/>
      <c r="AA355" s="84"/>
      <c r="AB355" s="84"/>
      <c r="AC355" s="84"/>
      <c r="AD355" s="84"/>
      <c r="AE355" s="85"/>
      <c r="AF355" s="86"/>
      <c r="AG355" s="87"/>
      <c r="AH355" s="88"/>
    </row>
    <row r="356" spans="1:34" x14ac:dyDescent="0.25">
      <c r="A356" s="155" t="str">
        <f t="shared" si="12"/>
        <v/>
      </c>
      <c r="B356" s="155" t="str">
        <f t="shared" si="11"/>
        <v/>
      </c>
      <c r="D356" s="77"/>
      <c r="E356" s="78"/>
      <c r="F356" s="133"/>
      <c r="G356" s="38"/>
      <c r="H356" s="39"/>
      <c r="I356" s="40"/>
      <c r="J356" s="41"/>
      <c r="K356" s="42"/>
      <c r="L356" s="43"/>
      <c r="M356" s="79"/>
      <c r="N356" s="80"/>
      <c r="O356" s="81"/>
      <c r="P356" s="82"/>
      <c r="Q356" s="83"/>
      <c r="R356" s="84"/>
      <c r="S356" s="79"/>
      <c r="T356" s="80"/>
      <c r="U356" s="81"/>
      <c r="V356" s="82"/>
      <c r="W356" s="83"/>
      <c r="X356" s="84"/>
      <c r="Y356" s="84"/>
      <c r="Z356" s="84"/>
      <c r="AA356" s="84"/>
      <c r="AB356" s="84"/>
      <c r="AC356" s="84"/>
      <c r="AD356" s="84"/>
      <c r="AE356" s="85"/>
      <c r="AF356" s="86"/>
      <c r="AG356" s="87"/>
      <c r="AH356" s="88"/>
    </row>
    <row r="357" spans="1:34" x14ac:dyDescent="0.25">
      <c r="A357" s="155" t="str">
        <f t="shared" si="12"/>
        <v/>
      </c>
      <c r="B357" s="155" t="str">
        <f t="shared" si="11"/>
        <v/>
      </c>
      <c r="D357" s="77"/>
      <c r="E357" s="78"/>
      <c r="F357" s="133"/>
      <c r="G357" s="38"/>
      <c r="H357" s="39"/>
      <c r="I357" s="40"/>
      <c r="J357" s="41"/>
      <c r="K357" s="42"/>
      <c r="L357" s="43"/>
      <c r="M357" s="79"/>
      <c r="N357" s="80"/>
      <c r="O357" s="81"/>
      <c r="P357" s="82"/>
      <c r="Q357" s="83"/>
      <c r="R357" s="84"/>
      <c r="S357" s="79"/>
      <c r="T357" s="80"/>
      <c r="U357" s="81"/>
      <c r="V357" s="82"/>
      <c r="W357" s="83"/>
      <c r="X357" s="84"/>
      <c r="Y357" s="84"/>
      <c r="Z357" s="84"/>
      <c r="AA357" s="84"/>
      <c r="AB357" s="84"/>
      <c r="AC357" s="84"/>
      <c r="AD357" s="84"/>
      <c r="AE357" s="85"/>
      <c r="AF357" s="86"/>
      <c r="AG357" s="87"/>
      <c r="AH357" s="88"/>
    </row>
    <row r="358" spans="1:34" x14ac:dyDescent="0.25">
      <c r="A358" s="155" t="str">
        <f t="shared" si="12"/>
        <v/>
      </c>
      <c r="B358" s="155" t="str">
        <f t="shared" si="11"/>
        <v/>
      </c>
      <c r="D358" s="77"/>
      <c r="E358" s="78"/>
      <c r="F358" s="133"/>
      <c r="G358" s="38"/>
      <c r="H358" s="39"/>
      <c r="I358" s="40"/>
      <c r="J358" s="41"/>
      <c r="K358" s="42"/>
      <c r="L358" s="43"/>
      <c r="M358" s="79"/>
      <c r="N358" s="80"/>
      <c r="O358" s="81"/>
      <c r="P358" s="82"/>
      <c r="Q358" s="83"/>
      <c r="R358" s="84"/>
      <c r="S358" s="79"/>
      <c r="T358" s="80"/>
      <c r="U358" s="81"/>
      <c r="V358" s="82"/>
      <c r="W358" s="83"/>
      <c r="X358" s="84"/>
      <c r="Y358" s="84"/>
      <c r="Z358" s="84"/>
      <c r="AA358" s="84"/>
      <c r="AB358" s="84"/>
      <c r="AC358" s="84"/>
      <c r="AD358" s="84"/>
      <c r="AE358" s="85"/>
      <c r="AF358" s="86"/>
      <c r="AG358" s="87"/>
      <c r="AH358" s="88"/>
    </row>
    <row r="359" spans="1:34" x14ac:dyDescent="0.25">
      <c r="A359" s="155" t="str">
        <f t="shared" si="12"/>
        <v/>
      </c>
      <c r="B359" s="155" t="str">
        <f t="shared" si="11"/>
        <v/>
      </c>
      <c r="D359" s="77"/>
      <c r="E359" s="78"/>
      <c r="F359" s="133"/>
      <c r="G359" s="38"/>
      <c r="H359" s="39"/>
      <c r="I359" s="40"/>
      <c r="J359" s="41"/>
      <c r="K359" s="42"/>
      <c r="L359" s="43"/>
      <c r="M359" s="79"/>
      <c r="N359" s="80"/>
      <c r="O359" s="81"/>
      <c r="P359" s="82"/>
      <c r="Q359" s="83"/>
      <c r="R359" s="84"/>
      <c r="S359" s="79"/>
      <c r="T359" s="80"/>
      <c r="U359" s="81"/>
      <c r="V359" s="82"/>
      <c r="W359" s="83"/>
      <c r="X359" s="84"/>
      <c r="Y359" s="84"/>
      <c r="Z359" s="84"/>
      <c r="AA359" s="84"/>
      <c r="AB359" s="84"/>
      <c r="AC359" s="84"/>
      <c r="AD359" s="84"/>
      <c r="AE359" s="85"/>
      <c r="AF359" s="86"/>
      <c r="AG359" s="87"/>
      <c r="AH359" s="88"/>
    </row>
    <row r="360" spans="1:34" x14ac:dyDescent="0.25">
      <c r="A360" s="155" t="str">
        <f t="shared" si="12"/>
        <v/>
      </c>
      <c r="B360" s="155" t="str">
        <f t="shared" si="11"/>
        <v/>
      </c>
      <c r="D360" s="77"/>
      <c r="E360" s="78"/>
      <c r="F360" s="133"/>
      <c r="G360" s="38"/>
      <c r="H360" s="39"/>
      <c r="I360" s="40"/>
      <c r="J360" s="41"/>
      <c r="K360" s="42"/>
      <c r="L360" s="43"/>
      <c r="M360" s="79"/>
      <c r="N360" s="80"/>
      <c r="O360" s="81"/>
      <c r="P360" s="82"/>
      <c r="Q360" s="83"/>
      <c r="R360" s="84"/>
      <c r="S360" s="79"/>
      <c r="T360" s="80"/>
      <c r="U360" s="81"/>
      <c r="V360" s="82"/>
      <c r="W360" s="83"/>
      <c r="X360" s="84"/>
      <c r="Y360" s="84"/>
      <c r="Z360" s="84"/>
      <c r="AA360" s="84"/>
      <c r="AB360" s="84"/>
      <c r="AC360" s="84"/>
      <c r="AD360" s="84"/>
      <c r="AE360" s="85"/>
      <c r="AF360" s="86"/>
      <c r="AG360" s="87"/>
      <c r="AH360" s="88"/>
    </row>
    <row r="361" spans="1:34" x14ac:dyDescent="0.25">
      <c r="A361" s="155" t="str">
        <f t="shared" si="12"/>
        <v/>
      </c>
      <c r="B361" s="155" t="str">
        <f t="shared" si="11"/>
        <v/>
      </c>
      <c r="D361" s="77"/>
      <c r="E361" s="78"/>
      <c r="F361" s="133"/>
      <c r="G361" s="38"/>
      <c r="H361" s="39"/>
      <c r="I361" s="40"/>
      <c r="J361" s="41"/>
      <c r="K361" s="42"/>
      <c r="L361" s="43"/>
      <c r="M361" s="79"/>
      <c r="N361" s="80"/>
      <c r="O361" s="81"/>
      <c r="P361" s="82"/>
      <c r="Q361" s="83"/>
      <c r="R361" s="84"/>
      <c r="S361" s="79"/>
      <c r="T361" s="80"/>
      <c r="U361" s="81"/>
      <c r="V361" s="82"/>
      <c r="W361" s="83"/>
      <c r="X361" s="84"/>
      <c r="Y361" s="84"/>
      <c r="Z361" s="84"/>
      <c r="AA361" s="84"/>
      <c r="AB361" s="84"/>
      <c r="AC361" s="84"/>
      <c r="AD361" s="84"/>
      <c r="AE361" s="85"/>
      <c r="AF361" s="86"/>
      <c r="AG361" s="87"/>
      <c r="AH361" s="88"/>
    </row>
    <row r="362" spans="1:34" x14ac:dyDescent="0.25">
      <c r="A362" s="155" t="str">
        <f t="shared" si="12"/>
        <v/>
      </c>
      <c r="B362" s="155" t="str">
        <f t="shared" si="11"/>
        <v/>
      </c>
      <c r="D362" s="77"/>
      <c r="E362" s="78"/>
      <c r="F362" s="133"/>
      <c r="G362" s="38"/>
      <c r="H362" s="39"/>
      <c r="I362" s="40"/>
      <c r="J362" s="41"/>
      <c r="K362" s="42"/>
      <c r="L362" s="43"/>
      <c r="M362" s="79"/>
      <c r="N362" s="80"/>
      <c r="O362" s="81"/>
      <c r="P362" s="82"/>
      <c r="Q362" s="83"/>
      <c r="R362" s="84"/>
      <c r="S362" s="79"/>
      <c r="T362" s="80"/>
      <c r="U362" s="81"/>
      <c r="V362" s="82"/>
      <c r="W362" s="83"/>
      <c r="X362" s="84"/>
      <c r="Y362" s="84"/>
      <c r="Z362" s="84"/>
      <c r="AA362" s="84"/>
      <c r="AB362" s="84"/>
      <c r="AC362" s="84"/>
      <c r="AD362" s="84"/>
      <c r="AE362" s="85"/>
      <c r="AF362" s="86"/>
      <c r="AG362" s="87"/>
      <c r="AH362" s="88"/>
    </row>
    <row r="363" spans="1:34" x14ac:dyDescent="0.25">
      <c r="A363" s="155" t="str">
        <f t="shared" si="12"/>
        <v/>
      </c>
      <c r="B363" s="155" t="str">
        <f t="shared" si="11"/>
        <v/>
      </c>
      <c r="D363" s="77"/>
      <c r="E363" s="78"/>
      <c r="F363" s="133"/>
      <c r="G363" s="38"/>
      <c r="H363" s="39"/>
      <c r="I363" s="40"/>
      <c r="J363" s="41"/>
      <c r="K363" s="42"/>
      <c r="L363" s="43"/>
      <c r="M363" s="79"/>
      <c r="N363" s="80"/>
      <c r="O363" s="81"/>
      <c r="P363" s="82"/>
      <c r="Q363" s="83"/>
      <c r="R363" s="84"/>
      <c r="S363" s="79"/>
      <c r="T363" s="80"/>
      <c r="U363" s="81"/>
      <c r="V363" s="82"/>
      <c r="W363" s="83"/>
      <c r="X363" s="84"/>
      <c r="Y363" s="84"/>
      <c r="Z363" s="84"/>
      <c r="AA363" s="84"/>
      <c r="AB363" s="84"/>
      <c r="AC363" s="84"/>
      <c r="AD363" s="84"/>
      <c r="AE363" s="85"/>
      <c r="AF363" s="86"/>
      <c r="AG363" s="87"/>
      <c r="AH363" s="88"/>
    </row>
    <row r="364" spans="1:34" x14ac:dyDescent="0.25">
      <c r="A364" s="155" t="str">
        <f t="shared" si="12"/>
        <v/>
      </c>
      <c r="B364" s="155" t="str">
        <f t="shared" si="11"/>
        <v/>
      </c>
      <c r="D364" s="77"/>
      <c r="E364" s="78"/>
      <c r="F364" s="133"/>
      <c r="G364" s="38"/>
      <c r="H364" s="39"/>
      <c r="I364" s="40"/>
      <c r="J364" s="41"/>
      <c r="K364" s="42"/>
      <c r="L364" s="43"/>
      <c r="M364" s="79"/>
      <c r="N364" s="80"/>
      <c r="O364" s="81"/>
      <c r="P364" s="82"/>
      <c r="Q364" s="83"/>
      <c r="R364" s="84"/>
      <c r="S364" s="79"/>
      <c r="T364" s="80"/>
      <c r="U364" s="81"/>
      <c r="V364" s="82"/>
      <c r="W364" s="83"/>
      <c r="X364" s="84"/>
      <c r="Y364" s="84"/>
      <c r="Z364" s="84"/>
      <c r="AA364" s="84"/>
      <c r="AB364" s="84"/>
      <c r="AC364" s="84"/>
      <c r="AD364" s="84"/>
      <c r="AE364" s="85"/>
      <c r="AF364" s="86"/>
      <c r="AG364" s="87"/>
      <c r="AH364" s="88"/>
    </row>
    <row r="365" spans="1:34" x14ac:dyDescent="0.25">
      <c r="A365" s="155" t="str">
        <f t="shared" si="12"/>
        <v/>
      </c>
      <c r="B365" s="155" t="str">
        <f t="shared" si="11"/>
        <v/>
      </c>
      <c r="D365" s="77"/>
      <c r="E365" s="78"/>
      <c r="F365" s="133"/>
      <c r="G365" s="38"/>
      <c r="H365" s="39"/>
      <c r="I365" s="40"/>
      <c r="J365" s="41"/>
      <c r="K365" s="42"/>
      <c r="L365" s="43"/>
      <c r="M365" s="79"/>
      <c r="N365" s="80"/>
      <c r="O365" s="81"/>
      <c r="P365" s="82"/>
      <c r="Q365" s="83"/>
      <c r="R365" s="84"/>
      <c r="S365" s="79"/>
      <c r="T365" s="80"/>
      <c r="U365" s="81"/>
      <c r="V365" s="82"/>
      <c r="W365" s="83"/>
      <c r="X365" s="84"/>
      <c r="Y365" s="84"/>
      <c r="Z365" s="84"/>
      <c r="AA365" s="84"/>
      <c r="AB365" s="84"/>
      <c r="AC365" s="84"/>
      <c r="AD365" s="84"/>
      <c r="AE365" s="85"/>
      <c r="AF365" s="86"/>
      <c r="AG365" s="87"/>
      <c r="AH365" s="88"/>
    </row>
    <row r="366" spans="1:34" x14ac:dyDescent="0.25">
      <c r="A366" s="155" t="str">
        <f t="shared" si="12"/>
        <v/>
      </c>
      <c r="B366" s="155" t="str">
        <f t="shared" si="11"/>
        <v/>
      </c>
      <c r="D366" s="77"/>
      <c r="E366" s="78"/>
      <c r="F366" s="133"/>
      <c r="G366" s="38"/>
      <c r="H366" s="39"/>
      <c r="I366" s="40"/>
      <c r="J366" s="41"/>
      <c r="K366" s="42"/>
      <c r="L366" s="43"/>
      <c r="M366" s="79"/>
      <c r="N366" s="80"/>
      <c r="O366" s="81"/>
      <c r="P366" s="82"/>
      <c r="Q366" s="83"/>
      <c r="R366" s="84"/>
      <c r="S366" s="79"/>
      <c r="T366" s="80"/>
      <c r="U366" s="81"/>
      <c r="V366" s="82"/>
      <c r="W366" s="83"/>
      <c r="X366" s="84"/>
      <c r="Y366" s="84"/>
      <c r="Z366" s="84"/>
      <c r="AA366" s="84"/>
      <c r="AB366" s="84"/>
      <c r="AC366" s="84"/>
      <c r="AD366" s="84"/>
      <c r="AE366" s="85"/>
      <c r="AF366" s="86"/>
      <c r="AG366" s="87"/>
      <c r="AH366" s="88"/>
    </row>
    <row r="367" spans="1:34" x14ac:dyDescent="0.25">
      <c r="A367" s="155" t="str">
        <f t="shared" si="12"/>
        <v/>
      </c>
      <c r="B367" s="155" t="str">
        <f t="shared" si="11"/>
        <v/>
      </c>
      <c r="D367" s="77"/>
      <c r="E367" s="78"/>
      <c r="F367" s="133"/>
      <c r="G367" s="38"/>
      <c r="H367" s="39"/>
      <c r="I367" s="40"/>
      <c r="J367" s="41"/>
      <c r="K367" s="42"/>
      <c r="L367" s="43"/>
      <c r="M367" s="79"/>
      <c r="N367" s="80"/>
      <c r="O367" s="81"/>
      <c r="P367" s="82"/>
      <c r="Q367" s="83"/>
      <c r="R367" s="84"/>
      <c r="S367" s="79"/>
      <c r="T367" s="80"/>
      <c r="U367" s="81"/>
      <c r="V367" s="82"/>
      <c r="W367" s="83"/>
      <c r="X367" s="84"/>
      <c r="Y367" s="84"/>
      <c r="Z367" s="84"/>
      <c r="AA367" s="84"/>
      <c r="AB367" s="84"/>
      <c r="AC367" s="84"/>
      <c r="AD367" s="84"/>
      <c r="AE367" s="85"/>
      <c r="AF367" s="86"/>
      <c r="AG367" s="87"/>
      <c r="AH367" s="88"/>
    </row>
    <row r="368" spans="1:34" x14ac:dyDescent="0.25">
      <c r="A368" s="155" t="str">
        <f t="shared" si="12"/>
        <v/>
      </c>
      <c r="B368" s="155" t="str">
        <f t="shared" si="11"/>
        <v/>
      </c>
      <c r="D368" s="77"/>
      <c r="E368" s="78"/>
      <c r="F368" s="133"/>
      <c r="G368" s="38"/>
      <c r="H368" s="39"/>
      <c r="I368" s="40"/>
      <c r="J368" s="41"/>
      <c r="K368" s="42"/>
      <c r="L368" s="43"/>
      <c r="M368" s="79"/>
      <c r="N368" s="80"/>
      <c r="O368" s="81"/>
      <c r="P368" s="82"/>
      <c r="Q368" s="83"/>
      <c r="R368" s="84"/>
      <c r="S368" s="79"/>
      <c r="T368" s="80"/>
      <c r="U368" s="81"/>
      <c r="V368" s="82"/>
      <c r="W368" s="83"/>
      <c r="X368" s="84"/>
      <c r="Y368" s="84"/>
      <c r="Z368" s="84"/>
      <c r="AA368" s="84"/>
      <c r="AB368" s="84"/>
      <c r="AC368" s="84"/>
      <c r="AD368" s="84"/>
      <c r="AE368" s="85"/>
      <c r="AF368" s="86"/>
      <c r="AG368" s="87"/>
      <c r="AH368" s="88"/>
    </row>
    <row r="369" spans="1:34" x14ac:dyDescent="0.25">
      <c r="A369" s="155" t="str">
        <f t="shared" si="12"/>
        <v/>
      </c>
      <c r="B369" s="155" t="str">
        <f t="shared" si="11"/>
        <v/>
      </c>
      <c r="D369" s="77"/>
      <c r="E369" s="78"/>
      <c r="F369" s="133"/>
      <c r="G369" s="38"/>
      <c r="H369" s="39"/>
      <c r="I369" s="40"/>
      <c r="J369" s="41"/>
      <c r="K369" s="42"/>
      <c r="L369" s="43"/>
      <c r="M369" s="79"/>
      <c r="N369" s="80"/>
      <c r="O369" s="81"/>
      <c r="P369" s="82"/>
      <c r="Q369" s="83"/>
      <c r="R369" s="84"/>
      <c r="S369" s="79"/>
      <c r="T369" s="80"/>
      <c r="U369" s="81"/>
      <c r="V369" s="82"/>
      <c r="W369" s="83"/>
      <c r="X369" s="84"/>
      <c r="Y369" s="84"/>
      <c r="Z369" s="84"/>
      <c r="AA369" s="84"/>
      <c r="AB369" s="84"/>
      <c r="AC369" s="84"/>
      <c r="AD369" s="84"/>
      <c r="AE369" s="85"/>
      <c r="AF369" s="86"/>
      <c r="AG369" s="87"/>
      <c r="AH369" s="88"/>
    </row>
    <row r="370" spans="1:34" x14ac:dyDescent="0.25">
      <c r="A370" s="155" t="str">
        <f t="shared" si="12"/>
        <v/>
      </c>
      <c r="B370" s="155" t="str">
        <f t="shared" si="11"/>
        <v/>
      </c>
      <c r="D370" s="77"/>
      <c r="E370" s="78"/>
      <c r="F370" s="133"/>
      <c r="G370" s="38"/>
      <c r="H370" s="39"/>
      <c r="I370" s="40"/>
      <c r="J370" s="41"/>
      <c r="K370" s="42"/>
      <c r="L370" s="43"/>
      <c r="M370" s="79"/>
      <c r="N370" s="80"/>
      <c r="O370" s="81"/>
      <c r="P370" s="82"/>
      <c r="Q370" s="83"/>
      <c r="R370" s="84"/>
      <c r="S370" s="79"/>
      <c r="T370" s="80"/>
      <c r="U370" s="81"/>
      <c r="V370" s="82"/>
      <c r="W370" s="83"/>
      <c r="X370" s="84"/>
      <c r="Y370" s="84"/>
      <c r="Z370" s="84"/>
      <c r="AA370" s="84"/>
      <c r="AB370" s="84"/>
      <c r="AC370" s="84"/>
      <c r="AD370" s="84"/>
      <c r="AE370" s="85"/>
      <c r="AF370" s="86"/>
      <c r="AG370" s="87"/>
      <c r="AH370" s="88"/>
    </row>
    <row r="371" spans="1:34" x14ac:dyDescent="0.25">
      <c r="A371" s="155" t="str">
        <f t="shared" si="12"/>
        <v/>
      </c>
      <c r="B371" s="155" t="str">
        <f t="shared" si="11"/>
        <v/>
      </c>
      <c r="D371" s="77"/>
      <c r="E371" s="78"/>
      <c r="F371" s="133"/>
      <c r="G371" s="38"/>
      <c r="H371" s="39"/>
      <c r="I371" s="40"/>
      <c r="J371" s="41"/>
      <c r="K371" s="42"/>
      <c r="L371" s="43"/>
      <c r="M371" s="79"/>
      <c r="N371" s="80"/>
      <c r="O371" s="81"/>
      <c r="P371" s="82"/>
      <c r="Q371" s="83"/>
      <c r="R371" s="84"/>
      <c r="S371" s="79"/>
      <c r="T371" s="80"/>
      <c r="U371" s="81"/>
      <c r="V371" s="82"/>
      <c r="W371" s="83"/>
      <c r="X371" s="84"/>
      <c r="Y371" s="84"/>
      <c r="Z371" s="84"/>
      <c r="AA371" s="84"/>
      <c r="AB371" s="84"/>
      <c r="AC371" s="84"/>
      <c r="AD371" s="84"/>
      <c r="AE371" s="85"/>
      <c r="AF371" s="86"/>
      <c r="AG371" s="87"/>
      <c r="AH371" s="88"/>
    </row>
    <row r="372" spans="1:34" x14ac:dyDescent="0.25">
      <c r="A372" s="155" t="str">
        <f t="shared" si="12"/>
        <v/>
      </c>
      <c r="B372" s="155" t="str">
        <f t="shared" si="11"/>
        <v/>
      </c>
      <c r="D372" s="77"/>
      <c r="E372" s="78"/>
      <c r="F372" s="133"/>
      <c r="G372" s="38"/>
      <c r="H372" s="39"/>
      <c r="I372" s="40"/>
      <c r="J372" s="41"/>
      <c r="K372" s="42"/>
      <c r="L372" s="43"/>
      <c r="M372" s="79"/>
      <c r="N372" s="80"/>
      <c r="O372" s="81"/>
      <c r="P372" s="82"/>
      <c r="Q372" s="83"/>
      <c r="R372" s="84"/>
      <c r="S372" s="79"/>
      <c r="T372" s="80"/>
      <c r="U372" s="81"/>
      <c r="V372" s="82"/>
      <c r="W372" s="83"/>
      <c r="X372" s="84"/>
      <c r="Y372" s="84"/>
      <c r="Z372" s="84"/>
      <c r="AA372" s="84"/>
      <c r="AB372" s="84"/>
      <c r="AC372" s="84"/>
      <c r="AD372" s="84"/>
      <c r="AE372" s="85"/>
      <c r="AF372" s="86"/>
      <c r="AG372" s="87"/>
      <c r="AH372" s="88"/>
    </row>
    <row r="373" spans="1:34" x14ac:dyDescent="0.25">
      <c r="A373" s="155" t="str">
        <f t="shared" si="12"/>
        <v/>
      </c>
      <c r="B373" s="155" t="str">
        <f t="shared" si="11"/>
        <v/>
      </c>
      <c r="D373" s="77"/>
      <c r="E373" s="78"/>
      <c r="F373" s="133"/>
      <c r="G373" s="38"/>
      <c r="H373" s="39"/>
      <c r="I373" s="40"/>
      <c r="J373" s="41"/>
      <c r="K373" s="42"/>
      <c r="L373" s="43"/>
      <c r="M373" s="79"/>
      <c r="N373" s="80"/>
      <c r="O373" s="81"/>
      <c r="P373" s="82"/>
      <c r="Q373" s="83"/>
      <c r="R373" s="84"/>
      <c r="S373" s="79"/>
      <c r="T373" s="80"/>
      <c r="U373" s="81"/>
      <c r="V373" s="82"/>
      <c r="W373" s="83"/>
      <c r="X373" s="84"/>
      <c r="Y373" s="84"/>
      <c r="Z373" s="84"/>
      <c r="AA373" s="84"/>
      <c r="AB373" s="84"/>
      <c r="AC373" s="84"/>
      <c r="AD373" s="84"/>
      <c r="AE373" s="85"/>
      <c r="AF373" s="86"/>
      <c r="AG373" s="87"/>
      <c r="AH373" s="88"/>
    </row>
    <row r="374" spans="1:34" x14ac:dyDescent="0.25">
      <c r="A374" s="155" t="str">
        <f t="shared" si="12"/>
        <v/>
      </c>
      <c r="B374" s="155" t="str">
        <f t="shared" si="11"/>
        <v/>
      </c>
      <c r="D374" s="77"/>
      <c r="E374" s="78"/>
      <c r="F374" s="133"/>
      <c r="G374" s="38"/>
      <c r="H374" s="39"/>
      <c r="I374" s="40"/>
      <c r="J374" s="41"/>
      <c r="K374" s="42"/>
      <c r="L374" s="43"/>
      <c r="M374" s="79"/>
      <c r="N374" s="80"/>
      <c r="O374" s="81"/>
      <c r="P374" s="82"/>
      <c r="Q374" s="83"/>
      <c r="R374" s="84"/>
      <c r="S374" s="79"/>
      <c r="T374" s="80"/>
      <c r="U374" s="81"/>
      <c r="V374" s="82"/>
      <c r="W374" s="83"/>
      <c r="X374" s="84"/>
      <c r="Y374" s="84"/>
      <c r="Z374" s="84"/>
      <c r="AA374" s="84"/>
      <c r="AB374" s="84"/>
      <c r="AC374" s="84"/>
      <c r="AD374" s="84"/>
      <c r="AE374" s="85"/>
      <c r="AF374" s="86"/>
      <c r="AG374" s="87"/>
      <c r="AH374" s="88"/>
    </row>
    <row r="375" spans="1:34" x14ac:dyDescent="0.25">
      <c r="A375" s="155" t="str">
        <f t="shared" si="12"/>
        <v/>
      </c>
      <c r="B375" s="155" t="str">
        <f t="shared" si="11"/>
        <v/>
      </c>
      <c r="D375" s="77"/>
      <c r="E375" s="78"/>
      <c r="F375" s="133"/>
      <c r="G375" s="38"/>
      <c r="H375" s="39"/>
      <c r="I375" s="40"/>
      <c r="J375" s="41"/>
      <c r="K375" s="42"/>
      <c r="L375" s="43"/>
      <c r="M375" s="79"/>
      <c r="N375" s="80"/>
      <c r="O375" s="81"/>
      <c r="P375" s="82"/>
      <c r="Q375" s="83"/>
      <c r="R375" s="84"/>
      <c r="S375" s="79"/>
      <c r="T375" s="80"/>
      <c r="U375" s="81"/>
      <c r="V375" s="82"/>
      <c r="W375" s="83"/>
      <c r="X375" s="84"/>
      <c r="Y375" s="84"/>
      <c r="Z375" s="84"/>
      <c r="AA375" s="84"/>
      <c r="AB375" s="84"/>
      <c r="AC375" s="84"/>
      <c r="AD375" s="84"/>
      <c r="AE375" s="85"/>
      <c r="AF375" s="86"/>
      <c r="AG375" s="87"/>
      <c r="AH375" s="88"/>
    </row>
    <row r="376" spans="1:34" x14ac:dyDescent="0.25">
      <c r="A376" s="155" t="str">
        <f t="shared" si="12"/>
        <v/>
      </c>
      <c r="B376" s="155" t="str">
        <f t="shared" si="11"/>
        <v/>
      </c>
      <c r="D376" s="77"/>
      <c r="E376" s="78"/>
      <c r="F376" s="133"/>
      <c r="G376" s="38"/>
      <c r="H376" s="39"/>
      <c r="I376" s="40"/>
      <c r="J376" s="41"/>
      <c r="K376" s="42"/>
      <c r="L376" s="43"/>
      <c r="M376" s="79"/>
      <c r="N376" s="80"/>
      <c r="O376" s="81"/>
      <c r="P376" s="82"/>
      <c r="Q376" s="83"/>
      <c r="R376" s="84"/>
      <c r="S376" s="79"/>
      <c r="T376" s="80"/>
      <c r="U376" s="81"/>
      <c r="V376" s="82"/>
      <c r="W376" s="83"/>
      <c r="X376" s="84"/>
      <c r="Y376" s="84"/>
      <c r="Z376" s="84"/>
      <c r="AA376" s="84"/>
      <c r="AB376" s="84"/>
      <c r="AC376" s="84"/>
      <c r="AD376" s="84"/>
      <c r="AE376" s="85"/>
      <c r="AF376" s="86"/>
      <c r="AG376" s="87"/>
      <c r="AH376" s="88"/>
    </row>
    <row r="377" spans="1:34" x14ac:dyDescent="0.25">
      <c r="A377" s="155" t="str">
        <f t="shared" si="12"/>
        <v/>
      </c>
      <c r="B377" s="155" t="str">
        <f t="shared" si="11"/>
        <v/>
      </c>
      <c r="D377" s="77"/>
      <c r="E377" s="78"/>
      <c r="F377" s="133"/>
      <c r="G377" s="38"/>
      <c r="H377" s="39"/>
      <c r="I377" s="40"/>
      <c r="J377" s="41"/>
      <c r="K377" s="42"/>
      <c r="L377" s="43"/>
      <c r="M377" s="79"/>
      <c r="N377" s="80"/>
      <c r="O377" s="81"/>
      <c r="P377" s="82"/>
      <c r="Q377" s="83"/>
      <c r="R377" s="84"/>
      <c r="S377" s="79"/>
      <c r="T377" s="80"/>
      <c r="U377" s="81"/>
      <c r="V377" s="82"/>
      <c r="W377" s="83"/>
      <c r="X377" s="84"/>
      <c r="Y377" s="84"/>
      <c r="Z377" s="84"/>
      <c r="AA377" s="84"/>
      <c r="AB377" s="84"/>
      <c r="AC377" s="84"/>
      <c r="AD377" s="84"/>
      <c r="AE377" s="85"/>
      <c r="AF377" s="86"/>
      <c r="AG377" s="87"/>
      <c r="AH377" s="88"/>
    </row>
    <row r="378" spans="1:34" x14ac:dyDescent="0.25">
      <c r="A378" s="155" t="str">
        <f t="shared" si="12"/>
        <v/>
      </c>
      <c r="B378" s="155" t="str">
        <f t="shared" si="11"/>
        <v/>
      </c>
      <c r="D378" s="77"/>
      <c r="E378" s="78"/>
      <c r="F378" s="133"/>
      <c r="G378" s="38"/>
      <c r="H378" s="39"/>
      <c r="I378" s="40"/>
      <c r="J378" s="41"/>
      <c r="K378" s="42"/>
      <c r="L378" s="43"/>
      <c r="M378" s="79"/>
      <c r="N378" s="80"/>
      <c r="O378" s="81"/>
      <c r="P378" s="82"/>
      <c r="Q378" s="83"/>
      <c r="R378" s="84"/>
      <c r="S378" s="79"/>
      <c r="T378" s="80"/>
      <c r="U378" s="81"/>
      <c r="V378" s="82"/>
      <c r="W378" s="83"/>
      <c r="X378" s="84"/>
      <c r="Y378" s="84"/>
      <c r="Z378" s="84"/>
      <c r="AA378" s="84"/>
      <c r="AB378" s="84"/>
      <c r="AC378" s="84"/>
      <c r="AD378" s="84"/>
      <c r="AE378" s="85"/>
      <c r="AF378" s="86"/>
      <c r="AG378" s="87"/>
      <c r="AH378" s="88"/>
    </row>
    <row r="379" spans="1:34" x14ac:dyDescent="0.25">
      <c r="A379" s="155" t="str">
        <f t="shared" si="12"/>
        <v/>
      </c>
      <c r="B379" s="155" t="str">
        <f t="shared" si="11"/>
        <v/>
      </c>
      <c r="D379" s="77"/>
      <c r="E379" s="78"/>
      <c r="F379" s="133"/>
      <c r="G379" s="38"/>
      <c r="H379" s="39"/>
      <c r="I379" s="40"/>
      <c r="J379" s="41"/>
      <c r="K379" s="42"/>
      <c r="L379" s="43"/>
      <c r="M379" s="79"/>
      <c r="N379" s="80"/>
      <c r="O379" s="81"/>
      <c r="P379" s="82"/>
      <c r="Q379" s="83"/>
      <c r="R379" s="84"/>
      <c r="S379" s="79"/>
      <c r="T379" s="80"/>
      <c r="U379" s="81"/>
      <c r="V379" s="82"/>
      <c r="W379" s="83"/>
      <c r="X379" s="84"/>
      <c r="Y379" s="84"/>
      <c r="Z379" s="84"/>
      <c r="AA379" s="84"/>
      <c r="AB379" s="84"/>
      <c r="AC379" s="84"/>
      <c r="AD379" s="84"/>
      <c r="AE379" s="85"/>
      <c r="AF379" s="86"/>
      <c r="AG379" s="87"/>
      <c r="AH379" s="88"/>
    </row>
    <row r="380" spans="1:34" x14ac:dyDescent="0.25">
      <c r="A380" s="155" t="str">
        <f t="shared" si="12"/>
        <v/>
      </c>
      <c r="B380" s="155" t="str">
        <f t="shared" si="11"/>
        <v/>
      </c>
      <c r="D380" s="77"/>
      <c r="E380" s="78"/>
      <c r="F380" s="133"/>
      <c r="G380" s="38"/>
      <c r="H380" s="39"/>
      <c r="I380" s="40"/>
      <c r="J380" s="41"/>
      <c r="K380" s="42"/>
      <c r="L380" s="43"/>
      <c r="M380" s="79"/>
      <c r="N380" s="80"/>
      <c r="O380" s="81"/>
      <c r="P380" s="82"/>
      <c r="Q380" s="83"/>
      <c r="R380" s="84"/>
      <c r="S380" s="79"/>
      <c r="T380" s="80"/>
      <c r="U380" s="81"/>
      <c r="V380" s="82"/>
      <c r="W380" s="83"/>
      <c r="X380" s="84"/>
      <c r="Y380" s="84"/>
      <c r="Z380" s="84"/>
      <c r="AA380" s="84"/>
      <c r="AB380" s="84"/>
      <c r="AC380" s="84"/>
      <c r="AD380" s="84"/>
      <c r="AE380" s="85"/>
      <c r="AF380" s="86"/>
      <c r="AG380" s="87"/>
      <c r="AH380" s="88"/>
    </row>
    <row r="381" spans="1:34" x14ac:dyDescent="0.25">
      <c r="A381" s="155" t="str">
        <f t="shared" si="12"/>
        <v/>
      </c>
      <c r="B381" s="155" t="str">
        <f t="shared" si="11"/>
        <v/>
      </c>
      <c r="D381" s="77"/>
      <c r="E381" s="78"/>
      <c r="F381" s="133"/>
      <c r="G381" s="38"/>
      <c r="H381" s="39"/>
      <c r="I381" s="40"/>
      <c r="J381" s="41"/>
      <c r="K381" s="42"/>
      <c r="L381" s="43"/>
      <c r="M381" s="79"/>
      <c r="N381" s="80"/>
      <c r="O381" s="81"/>
      <c r="P381" s="82"/>
      <c r="Q381" s="83"/>
      <c r="R381" s="84"/>
      <c r="S381" s="79"/>
      <c r="T381" s="80"/>
      <c r="U381" s="81"/>
      <c r="V381" s="82"/>
      <c r="W381" s="83"/>
      <c r="X381" s="84"/>
      <c r="Y381" s="84"/>
      <c r="Z381" s="84"/>
      <c r="AA381" s="84"/>
      <c r="AB381" s="84"/>
      <c r="AC381" s="84"/>
      <c r="AD381" s="84"/>
      <c r="AE381" s="85"/>
      <c r="AF381" s="86"/>
      <c r="AG381" s="87"/>
      <c r="AH381" s="88"/>
    </row>
    <row r="382" spans="1:34" x14ac:dyDescent="0.25">
      <c r="A382" s="155" t="str">
        <f t="shared" si="12"/>
        <v/>
      </c>
      <c r="B382" s="155" t="str">
        <f t="shared" si="11"/>
        <v/>
      </c>
      <c r="D382" s="77"/>
      <c r="E382" s="78"/>
      <c r="F382" s="133"/>
      <c r="G382" s="38"/>
      <c r="H382" s="39"/>
      <c r="I382" s="40"/>
      <c r="J382" s="41"/>
      <c r="K382" s="42"/>
      <c r="L382" s="43"/>
      <c r="M382" s="79"/>
      <c r="N382" s="80"/>
      <c r="O382" s="81"/>
      <c r="P382" s="82"/>
      <c r="Q382" s="83"/>
      <c r="R382" s="84"/>
      <c r="S382" s="79"/>
      <c r="T382" s="80"/>
      <c r="U382" s="81"/>
      <c r="V382" s="82"/>
      <c r="W382" s="83"/>
      <c r="X382" s="84"/>
      <c r="Y382" s="84"/>
      <c r="Z382" s="84"/>
      <c r="AA382" s="84"/>
      <c r="AB382" s="84"/>
      <c r="AC382" s="84"/>
      <c r="AD382" s="84"/>
      <c r="AE382" s="85"/>
      <c r="AF382" s="86"/>
      <c r="AG382" s="87"/>
      <c r="AH382" s="88"/>
    </row>
    <row r="383" spans="1:34" x14ac:dyDescent="0.25">
      <c r="A383" s="155" t="str">
        <f t="shared" si="12"/>
        <v/>
      </c>
      <c r="B383" s="155" t="str">
        <f t="shared" si="11"/>
        <v/>
      </c>
      <c r="D383" s="77"/>
      <c r="E383" s="78"/>
      <c r="F383" s="133"/>
      <c r="G383" s="38"/>
      <c r="H383" s="39"/>
      <c r="I383" s="40"/>
      <c r="J383" s="41"/>
      <c r="K383" s="42"/>
      <c r="L383" s="43"/>
      <c r="M383" s="79"/>
      <c r="N383" s="80"/>
      <c r="O383" s="81"/>
      <c r="P383" s="82"/>
      <c r="Q383" s="83"/>
      <c r="R383" s="84"/>
      <c r="S383" s="79"/>
      <c r="T383" s="80"/>
      <c r="U383" s="81"/>
      <c r="V383" s="82"/>
      <c r="W383" s="83"/>
      <c r="X383" s="84"/>
      <c r="Y383" s="84"/>
      <c r="Z383" s="84"/>
      <c r="AA383" s="84"/>
      <c r="AB383" s="84"/>
      <c r="AC383" s="84"/>
      <c r="AD383" s="84"/>
      <c r="AE383" s="85"/>
      <c r="AF383" s="86"/>
      <c r="AG383" s="87"/>
      <c r="AH383" s="88"/>
    </row>
    <row r="384" spans="1:34" x14ac:dyDescent="0.25">
      <c r="A384" s="155" t="str">
        <f t="shared" si="12"/>
        <v/>
      </c>
      <c r="B384" s="155" t="str">
        <f t="shared" si="11"/>
        <v/>
      </c>
      <c r="D384" s="77"/>
      <c r="E384" s="78"/>
      <c r="F384" s="133"/>
      <c r="G384" s="38"/>
      <c r="H384" s="39"/>
      <c r="I384" s="40"/>
      <c r="J384" s="41"/>
      <c r="K384" s="42"/>
      <c r="L384" s="43"/>
      <c r="M384" s="79"/>
      <c r="N384" s="80"/>
      <c r="O384" s="81"/>
      <c r="P384" s="82"/>
      <c r="Q384" s="83"/>
      <c r="R384" s="84"/>
      <c r="S384" s="79"/>
      <c r="T384" s="80"/>
      <c r="U384" s="81"/>
      <c r="V384" s="82"/>
      <c r="W384" s="83"/>
      <c r="X384" s="84"/>
      <c r="Y384" s="84"/>
      <c r="Z384" s="84"/>
      <c r="AA384" s="84"/>
      <c r="AB384" s="84"/>
      <c r="AC384" s="84"/>
      <c r="AD384" s="84"/>
      <c r="AE384" s="85"/>
      <c r="AF384" s="86"/>
      <c r="AG384" s="87"/>
      <c r="AH384" s="88"/>
    </row>
    <row r="385" spans="1:34" x14ac:dyDescent="0.25">
      <c r="A385" s="155" t="str">
        <f t="shared" si="12"/>
        <v/>
      </c>
      <c r="B385" s="155" t="str">
        <f t="shared" si="11"/>
        <v/>
      </c>
      <c r="D385" s="77"/>
      <c r="E385" s="78"/>
      <c r="F385" s="133"/>
      <c r="G385" s="38"/>
      <c r="H385" s="39"/>
      <c r="I385" s="40"/>
      <c r="J385" s="41"/>
      <c r="K385" s="42"/>
      <c r="L385" s="43"/>
      <c r="M385" s="79"/>
      <c r="N385" s="80"/>
      <c r="O385" s="81"/>
      <c r="P385" s="82"/>
      <c r="Q385" s="83"/>
      <c r="R385" s="84"/>
      <c r="S385" s="79"/>
      <c r="T385" s="80"/>
      <c r="U385" s="81"/>
      <c r="V385" s="82"/>
      <c r="W385" s="83"/>
      <c r="X385" s="84"/>
      <c r="Y385" s="84"/>
      <c r="Z385" s="84"/>
      <c r="AA385" s="84"/>
      <c r="AB385" s="84"/>
      <c r="AC385" s="84"/>
      <c r="AD385" s="84"/>
      <c r="AE385" s="85"/>
      <c r="AF385" s="86"/>
      <c r="AG385" s="87"/>
      <c r="AH385" s="88"/>
    </row>
    <row r="386" spans="1:34" x14ac:dyDescent="0.25">
      <c r="A386" s="155" t="str">
        <f t="shared" si="12"/>
        <v/>
      </c>
      <c r="B386" s="155" t="str">
        <f t="shared" si="11"/>
        <v/>
      </c>
      <c r="D386" s="77"/>
      <c r="E386" s="78"/>
      <c r="F386" s="133"/>
      <c r="G386" s="38"/>
      <c r="H386" s="39"/>
      <c r="I386" s="40"/>
      <c r="J386" s="41"/>
      <c r="K386" s="42"/>
      <c r="L386" s="43"/>
      <c r="M386" s="79"/>
      <c r="N386" s="80"/>
      <c r="O386" s="81"/>
      <c r="P386" s="82"/>
      <c r="Q386" s="83"/>
      <c r="R386" s="84"/>
      <c r="S386" s="79"/>
      <c r="T386" s="80"/>
      <c r="U386" s="81"/>
      <c r="V386" s="82"/>
      <c r="W386" s="83"/>
      <c r="X386" s="84"/>
      <c r="Y386" s="84"/>
      <c r="Z386" s="84"/>
      <c r="AA386" s="84"/>
      <c r="AB386" s="84"/>
      <c r="AC386" s="84"/>
      <c r="AD386" s="84"/>
      <c r="AE386" s="85"/>
      <c r="AF386" s="86"/>
      <c r="AG386" s="87"/>
      <c r="AH386" s="88"/>
    </row>
    <row r="387" spans="1:34" x14ac:dyDescent="0.25">
      <c r="A387" s="155" t="str">
        <f t="shared" si="12"/>
        <v/>
      </c>
      <c r="B387" s="155" t="str">
        <f t="shared" si="11"/>
        <v/>
      </c>
      <c r="D387" s="77"/>
      <c r="E387" s="78"/>
      <c r="F387" s="133"/>
      <c r="G387" s="38"/>
      <c r="H387" s="39"/>
      <c r="I387" s="40"/>
      <c r="J387" s="41"/>
      <c r="K387" s="42"/>
      <c r="L387" s="43"/>
      <c r="M387" s="79"/>
      <c r="N387" s="80"/>
      <c r="O387" s="81"/>
      <c r="P387" s="82"/>
      <c r="Q387" s="83"/>
      <c r="R387" s="84"/>
      <c r="S387" s="79"/>
      <c r="T387" s="80"/>
      <c r="U387" s="81"/>
      <c r="V387" s="82"/>
      <c r="W387" s="83"/>
      <c r="X387" s="84"/>
      <c r="Y387" s="84"/>
      <c r="Z387" s="84"/>
      <c r="AA387" s="84"/>
      <c r="AB387" s="84"/>
      <c r="AC387" s="84"/>
      <c r="AD387" s="84"/>
      <c r="AE387" s="85"/>
      <c r="AF387" s="86"/>
      <c r="AG387" s="87"/>
      <c r="AH387" s="88"/>
    </row>
    <row r="388" spans="1:34" x14ac:dyDescent="0.25">
      <c r="A388" s="155" t="str">
        <f t="shared" si="12"/>
        <v/>
      </c>
      <c r="B388" s="155" t="str">
        <f t="shared" si="11"/>
        <v/>
      </c>
      <c r="D388" s="77"/>
      <c r="E388" s="78"/>
      <c r="F388" s="133"/>
      <c r="G388" s="38"/>
      <c r="H388" s="39"/>
      <c r="I388" s="40"/>
      <c r="J388" s="41"/>
      <c r="K388" s="42"/>
      <c r="L388" s="43"/>
      <c r="M388" s="79"/>
      <c r="N388" s="80"/>
      <c r="O388" s="81"/>
      <c r="P388" s="82"/>
      <c r="Q388" s="83"/>
      <c r="R388" s="84"/>
      <c r="S388" s="79"/>
      <c r="T388" s="80"/>
      <c r="U388" s="81"/>
      <c r="V388" s="82"/>
      <c r="W388" s="83"/>
      <c r="X388" s="84"/>
      <c r="Y388" s="84"/>
      <c r="Z388" s="84"/>
      <c r="AA388" s="84"/>
      <c r="AB388" s="84"/>
      <c r="AC388" s="84"/>
      <c r="AD388" s="84"/>
      <c r="AE388" s="85"/>
      <c r="AF388" s="86"/>
      <c r="AG388" s="87"/>
      <c r="AH388" s="88"/>
    </row>
    <row r="389" spans="1:34" x14ac:dyDescent="0.25">
      <c r="A389" s="155" t="str">
        <f t="shared" si="12"/>
        <v/>
      </c>
      <c r="B389" s="155" t="str">
        <f t="shared" ref="B389:B452" si="13">IF(A389="","",COUNTA(G389:L389)-A389)</f>
        <v/>
      </c>
      <c r="D389" s="77"/>
      <c r="E389" s="78"/>
      <c r="F389" s="133"/>
      <c r="G389" s="38"/>
      <c r="H389" s="39"/>
      <c r="I389" s="40"/>
      <c r="J389" s="41"/>
      <c r="K389" s="42"/>
      <c r="L389" s="43"/>
      <c r="M389" s="79"/>
      <c r="N389" s="80"/>
      <c r="O389" s="81"/>
      <c r="P389" s="82"/>
      <c r="Q389" s="83"/>
      <c r="R389" s="84"/>
      <c r="S389" s="79"/>
      <c r="T389" s="80"/>
      <c r="U389" s="81"/>
      <c r="V389" s="82"/>
      <c r="W389" s="83"/>
      <c r="X389" s="84"/>
      <c r="Y389" s="84"/>
      <c r="Z389" s="84"/>
      <c r="AA389" s="84"/>
      <c r="AB389" s="84"/>
      <c r="AC389" s="84"/>
      <c r="AD389" s="84"/>
      <c r="AE389" s="85"/>
      <c r="AF389" s="86"/>
      <c r="AG389" s="87"/>
      <c r="AH389" s="88"/>
    </row>
    <row r="390" spans="1:34" x14ac:dyDescent="0.25">
      <c r="A390" s="155" t="str">
        <f t="shared" si="12"/>
        <v/>
      </c>
      <c r="B390" s="155" t="str">
        <f t="shared" si="13"/>
        <v/>
      </c>
      <c r="D390" s="77"/>
      <c r="E390" s="78"/>
      <c r="F390" s="133"/>
      <c r="G390" s="38"/>
      <c r="H390" s="39"/>
      <c r="I390" s="40"/>
      <c r="J390" s="41"/>
      <c r="K390" s="42"/>
      <c r="L390" s="43"/>
      <c r="M390" s="79"/>
      <c r="N390" s="80"/>
      <c r="O390" s="81"/>
      <c r="P390" s="82"/>
      <c r="Q390" s="83"/>
      <c r="R390" s="84"/>
      <c r="S390" s="79"/>
      <c r="T390" s="80"/>
      <c r="U390" s="81"/>
      <c r="V390" s="82"/>
      <c r="W390" s="83"/>
      <c r="X390" s="84"/>
      <c r="Y390" s="84"/>
      <c r="Z390" s="84"/>
      <c r="AA390" s="84"/>
      <c r="AB390" s="84"/>
      <c r="AC390" s="84"/>
      <c r="AD390" s="84"/>
      <c r="AE390" s="85"/>
      <c r="AF390" s="86"/>
      <c r="AG390" s="87"/>
      <c r="AH390" s="88"/>
    </row>
    <row r="391" spans="1:34" x14ac:dyDescent="0.25">
      <c r="A391" s="155" t="str">
        <f t="shared" ref="A391:A454" si="14">IF(COUNTIF(S391:X391,"&gt;0")=0,"",COUNTIF(S391:X391,"&gt;0"))</f>
        <v/>
      </c>
      <c r="B391" s="155" t="str">
        <f t="shared" si="13"/>
        <v/>
      </c>
      <c r="D391" s="77"/>
      <c r="E391" s="78"/>
      <c r="F391" s="133"/>
      <c r="G391" s="38"/>
      <c r="H391" s="39"/>
      <c r="I391" s="40"/>
      <c r="J391" s="41"/>
      <c r="K391" s="42"/>
      <c r="L391" s="43"/>
      <c r="M391" s="79"/>
      <c r="N391" s="80"/>
      <c r="O391" s="81"/>
      <c r="P391" s="82"/>
      <c r="Q391" s="83"/>
      <c r="R391" s="84"/>
      <c r="S391" s="79"/>
      <c r="T391" s="80"/>
      <c r="U391" s="81"/>
      <c r="V391" s="82"/>
      <c r="W391" s="83"/>
      <c r="X391" s="84"/>
      <c r="Y391" s="84"/>
      <c r="Z391" s="84"/>
      <c r="AA391" s="84"/>
      <c r="AB391" s="84"/>
      <c r="AC391" s="84"/>
      <c r="AD391" s="84"/>
      <c r="AE391" s="85"/>
      <c r="AF391" s="86"/>
      <c r="AG391" s="87"/>
      <c r="AH391" s="88"/>
    </row>
    <row r="392" spans="1:34" x14ac:dyDescent="0.25">
      <c r="A392" s="155" t="str">
        <f t="shared" si="14"/>
        <v/>
      </c>
      <c r="B392" s="155" t="str">
        <f t="shared" si="13"/>
        <v/>
      </c>
      <c r="D392" s="77"/>
      <c r="E392" s="78"/>
      <c r="F392" s="133"/>
      <c r="G392" s="38"/>
      <c r="H392" s="39"/>
      <c r="I392" s="40"/>
      <c r="J392" s="41"/>
      <c r="K392" s="42"/>
      <c r="L392" s="43"/>
      <c r="M392" s="79"/>
      <c r="N392" s="80"/>
      <c r="O392" s="81"/>
      <c r="P392" s="82"/>
      <c r="Q392" s="83"/>
      <c r="R392" s="84"/>
      <c r="S392" s="79"/>
      <c r="T392" s="80"/>
      <c r="U392" s="81"/>
      <c r="V392" s="82"/>
      <c r="W392" s="83"/>
      <c r="X392" s="84"/>
      <c r="Y392" s="84"/>
      <c r="Z392" s="84"/>
      <c r="AA392" s="84"/>
      <c r="AB392" s="84"/>
      <c r="AC392" s="84"/>
      <c r="AD392" s="84"/>
      <c r="AE392" s="85"/>
      <c r="AF392" s="86"/>
      <c r="AG392" s="87"/>
      <c r="AH392" s="88"/>
    </row>
    <row r="393" spans="1:34" x14ac:dyDescent="0.25">
      <c r="A393" s="155" t="str">
        <f t="shared" si="14"/>
        <v/>
      </c>
      <c r="B393" s="155" t="str">
        <f t="shared" si="13"/>
        <v/>
      </c>
      <c r="D393" s="77"/>
      <c r="E393" s="78"/>
      <c r="F393" s="133"/>
      <c r="G393" s="38"/>
      <c r="H393" s="39"/>
      <c r="I393" s="40"/>
      <c r="J393" s="41"/>
      <c r="K393" s="42"/>
      <c r="L393" s="43"/>
      <c r="M393" s="79"/>
      <c r="N393" s="80"/>
      <c r="O393" s="81"/>
      <c r="P393" s="82"/>
      <c r="Q393" s="83"/>
      <c r="R393" s="84"/>
      <c r="S393" s="79"/>
      <c r="T393" s="80"/>
      <c r="U393" s="81"/>
      <c r="V393" s="82"/>
      <c r="W393" s="83"/>
      <c r="X393" s="84"/>
      <c r="Y393" s="84"/>
      <c r="Z393" s="84"/>
      <c r="AA393" s="84"/>
      <c r="AB393" s="84"/>
      <c r="AC393" s="84"/>
      <c r="AD393" s="84"/>
      <c r="AE393" s="85"/>
      <c r="AF393" s="86"/>
      <c r="AG393" s="87"/>
      <c r="AH393" s="88"/>
    </row>
    <row r="394" spans="1:34" x14ac:dyDescent="0.25">
      <c r="A394" s="155" t="str">
        <f t="shared" si="14"/>
        <v/>
      </c>
      <c r="B394" s="155" t="str">
        <f t="shared" si="13"/>
        <v/>
      </c>
      <c r="D394" s="77"/>
      <c r="E394" s="78"/>
      <c r="F394" s="133"/>
      <c r="G394" s="38"/>
      <c r="H394" s="39"/>
      <c r="I394" s="40"/>
      <c r="J394" s="41"/>
      <c r="K394" s="42"/>
      <c r="L394" s="43"/>
      <c r="M394" s="79"/>
      <c r="N394" s="80"/>
      <c r="O394" s="81"/>
      <c r="P394" s="82"/>
      <c r="Q394" s="83"/>
      <c r="R394" s="84"/>
      <c r="S394" s="79"/>
      <c r="T394" s="80"/>
      <c r="U394" s="81"/>
      <c r="V394" s="82"/>
      <c r="W394" s="83"/>
      <c r="X394" s="84"/>
      <c r="Y394" s="84"/>
      <c r="Z394" s="84"/>
      <c r="AA394" s="84"/>
      <c r="AB394" s="84"/>
      <c r="AC394" s="84"/>
      <c r="AD394" s="84"/>
      <c r="AE394" s="85"/>
      <c r="AF394" s="86"/>
      <c r="AG394" s="87"/>
      <c r="AH394" s="88"/>
    </row>
    <row r="395" spans="1:34" x14ac:dyDescent="0.25">
      <c r="A395" s="155" t="str">
        <f t="shared" si="14"/>
        <v/>
      </c>
      <c r="B395" s="155" t="str">
        <f t="shared" si="13"/>
        <v/>
      </c>
      <c r="D395" s="77"/>
      <c r="E395" s="78"/>
      <c r="F395" s="133"/>
      <c r="G395" s="38"/>
      <c r="H395" s="39"/>
      <c r="I395" s="40"/>
      <c r="J395" s="41"/>
      <c r="K395" s="42"/>
      <c r="L395" s="43"/>
      <c r="M395" s="79"/>
      <c r="N395" s="80"/>
      <c r="O395" s="81"/>
      <c r="P395" s="82"/>
      <c r="Q395" s="83"/>
      <c r="R395" s="84"/>
      <c r="S395" s="79"/>
      <c r="T395" s="80"/>
      <c r="U395" s="81"/>
      <c r="V395" s="82"/>
      <c r="W395" s="83"/>
      <c r="X395" s="84"/>
      <c r="Y395" s="84"/>
      <c r="Z395" s="84"/>
      <c r="AA395" s="84"/>
      <c r="AB395" s="84"/>
      <c r="AC395" s="84"/>
      <c r="AD395" s="84"/>
      <c r="AE395" s="85"/>
      <c r="AF395" s="86"/>
      <c r="AG395" s="87"/>
      <c r="AH395" s="88"/>
    </row>
    <row r="396" spans="1:34" x14ac:dyDescent="0.25">
      <c r="A396" s="155" t="str">
        <f t="shared" si="14"/>
        <v/>
      </c>
      <c r="B396" s="155" t="str">
        <f t="shared" si="13"/>
        <v/>
      </c>
      <c r="D396" s="77"/>
      <c r="E396" s="78"/>
      <c r="F396" s="133"/>
      <c r="G396" s="38"/>
      <c r="H396" s="39"/>
      <c r="I396" s="40"/>
      <c r="J396" s="41"/>
      <c r="K396" s="42"/>
      <c r="L396" s="43"/>
      <c r="M396" s="79"/>
      <c r="N396" s="80"/>
      <c r="O396" s="81"/>
      <c r="P396" s="82"/>
      <c r="Q396" s="83"/>
      <c r="R396" s="84"/>
      <c r="S396" s="79"/>
      <c r="T396" s="80"/>
      <c r="U396" s="81"/>
      <c r="V396" s="82"/>
      <c r="W396" s="83"/>
      <c r="X396" s="84"/>
      <c r="Y396" s="84"/>
      <c r="Z396" s="84"/>
      <c r="AA396" s="84"/>
      <c r="AB396" s="84"/>
      <c r="AC396" s="84"/>
      <c r="AD396" s="84"/>
      <c r="AE396" s="85"/>
      <c r="AF396" s="86"/>
      <c r="AG396" s="87"/>
      <c r="AH396" s="88"/>
    </row>
    <row r="397" spans="1:34" x14ac:dyDescent="0.25">
      <c r="A397" s="155" t="str">
        <f t="shared" si="14"/>
        <v/>
      </c>
      <c r="B397" s="155" t="str">
        <f t="shared" si="13"/>
        <v/>
      </c>
      <c r="D397" s="77"/>
      <c r="E397" s="78"/>
      <c r="F397" s="133"/>
      <c r="G397" s="38"/>
      <c r="H397" s="39"/>
      <c r="I397" s="40"/>
      <c r="J397" s="41"/>
      <c r="K397" s="42"/>
      <c r="L397" s="43"/>
      <c r="M397" s="79"/>
      <c r="N397" s="80"/>
      <c r="O397" s="81"/>
      <c r="P397" s="82"/>
      <c r="Q397" s="83"/>
      <c r="R397" s="84"/>
      <c r="S397" s="79"/>
      <c r="T397" s="80"/>
      <c r="U397" s="81"/>
      <c r="V397" s="82"/>
      <c r="W397" s="83"/>
      <c r="X397" s="84"/>
      <c r="Y397" s="84"/>
      <c r="Z397" s="84"/>
      <c r="AA397" s="84"/>
      <c r="AB397" s="84"/>
      <c r="AC397" s="84"/>
      <c r="AD397" s="84"/>
      <c r="AE397" s="85"/>
      <c r="AF397" s="86"/>
      <c r="AG397" s="87"/>
      <c r="AH397" s="88"/>
    </row>
    <row r="398" spans="1:34" x14ac:dyDescent="0.25">
      <c r="A398" s="155" t="str">
        <f t="shared" si="14"/>
        <v/>
      </c>
      <c r="B398" s="155" t="str">
        <f t="shared" si="13"/>
        <v/>
      </c>
      <c r="D398" s="77"/>
      <c r="E398" s="78"/>
      <c r="F398" s="133"/>
      <c r="G398" s="38"/>
      <c r="H398" s="39"/>
      <c r="I398" s="40"/>
      <c r="J398" s="41"/>
      <c r="K398" s="42"/>
      <c r="L398" s="43"/>
      <c r="M398" s="79"/>
      <c r="N398" s="80"/>
      <c r="O398" s="81"/>
      <c r="P398" s="82"/>
      <c r="Q398" s="83"/>
      <c r="R398" s="84"/>
      <c r="S398" s="79"/>
      <c r="T398" s="80"/>
      <c r="U398" s="81"/>
      <c r="V398" s="82"/>
      <c r="W398" s="83"/>
      <c r="X398" s="84"/>
      <c r="Y398" s="84"/>
      <c r="Z398" s="84"/>
      <c r="AA398" s="84"/>
      <c r="AB398" s="84"/>
      <c r="AC398" s="84"/>
      <c r="AD398" s="84"/>
      <c r="AE398" s="85"/>
      <c r="AF398" s="86"/>
      <c r="AG398" s="87"/>
      <c r="AH398" s="88"/>
    </row>
    <row r="399" spans="1:34" x14ac:dyDescent="0.25">
      <c r="A399" s="155" t="str">
        <f t="shared" si="14"/>
        <v/>
      </c>
      <c r="B399" s="155" t="str">
        <f t="shared" si="13"/>
        <v/>
      </c>
      <c r="D399" s="77"/>
      <c r="E399" s="78"/>
      <c r="F399" s="133"/>
      <c r="G399" s="38"/>
      <c r="H399" s="39"/>
      <c r="I399" s="40"/>
      <c r="J399" s="41"/>
      <c r="K399" s="42"/>
      <c r="L399" s="43"/>
      <c r="M399" s="79"/>
      <c r="N399" s="80"/>
      <c r="O399" s="81"/>
      <c r="P399" s="82"/>
      <c r="Q399" s="83"/>
      <c r="R399" s="84"/>
      <c r="S399" s="79"/>
      <c r="T399" s="80"/>
      <c r="U399" s="81"/>
      <c r="V399" s="82"/>
      <c r="W399" s="83"/>
      <c r="X399" s="84"/>
      <c r="Y399" s="84"/>
      <c r="Z399" s="84"/>
      <c r="AA399" s="84"/>
      <c r="AB399" s="84"/>
      <c r="AC399" s="84"/>
      <c r="AD399" s="84"/>
      <c r="AE399" s="85"/>
      <c r="AF399" s="86"/>
      <c r="AG399" s="87"/>
      <c r="AH399" s="88"/>
    </row>
    <row r="400" spans="1:34" x14ac:dyDescent="0.25">
      <c r="A400" s="155" t="str">
        <f t="shared" si="14"/>
        <v/>
      </c>
      <c r="B400" s="155" t="str">
        <f t="shared" si="13"/>
        <v/>
      </c>
      <c r="D400" s="77"/>
      <c r="E400" s="78"/>
      <c r="F400" s="133"/>
      <c r="G400" s="38"/>
      <c r="H400" s="39"/>
      <c r="I400" s="40"/>
      <c r="J400" s="41"/>
      <c r="K400" s="42"/>
      <c r="L400" s="43"/>
      <c r="M400" s="79"/>
      <c r="N400" s="80"/>
      <c r="O400" s="81"/>
      <c r="P400" s="82"/>
      <c r="Q400" s="83"/>
      <c r="R400" s="84"/>
      <c r="S400" s="79"/>
      <c r="T400" s="80"/>
      <c r="U400" s="81"/>
      <c r="V400" s="82"/>
      <c r="W400" s="83"/>
      <c r="X400" s="84"/>
      <c r="Y400" s="84"/>
      <c r="Z400" s="84"/>
      <c r="AA400" s="84"/>
      <c r="AB400" s="84"/>
      <c r="AC400" s="84"/>
      <c r="AD400" s="84"/>
      <c r="AE400" s="85"/>
      <c r="AF400" s="86"/>
      <c r="AG400" s="87"/>
      <c r="AH400" s="88"/>
    </row>
    <row r="401" spans="1:34" x14ac:dyDescent="0.25">
      <c r="A401" s="155" t="str">
        <f t="shared" si="14"/>
        <v/>
      </c>
      <c r="B401" s="155" t="str">
        <f t="shared" si="13"/>
        <v/>
      </c>
      <c r="D401" s="77"/>
      <c r="E401" s="78"/>
      <c r="F401" s="133"/>
      <c r="G401" s="38"/>
      <c r="H401" s="39"/>
      <c r="I401" s="40"/>
      <c r="J401" s="41"/>
      <c r="K401" s="42"/>
      <c r="L401" s="43"/>
      <c r="M401" s="79"/>
      <c r="N401" s="80"/>
      <c r="O401" s="81"/>
      <c r="P401" s="82"/>
      <c r="Q401" s="83"/>
      <c r="R401" s="84"/>
      <c r="S401" s="79"/>
      <c r="T401" s="80"/>
      <c r="U401" s="81"/>
      <c r="V401" s="82"/>
      <c r="W401" s="83"/>
      <c r="X401" s="84"/>
      <c r="Y401" s="84"/>
      <c r="Z401" s="84"/>
      <c r="AA401" s="84"/>
      <c r="AB401" s="84"/>
      <c r="AC401" s="84"/>
      <c r="AD401" s="84"/>
      <c r="AE401" s="85"/>
      <c r="AF401" s="86"/>
      <c r="AG401" s="87"/>
      <c r="AH401" s="88"/>
    </row>
    <row r="402" spans="1:34" x14ac:dyDescent="0.25">
      <c r="A402" s="155" t="str">
        <f t="shared" si="14"/>
        <v/>
      </c>
      <c r="B402" s="155" t="str">
        <f t="shared" si="13"/>
        <v/>
      </c>
      <c r="D402" s="77"/>
      <c r="E402" s="78"/>
      <c r="F402" s="133"/>
      <c r="G402" s="38"/>
      <c r="H402" s="39"/>
      <c r="I402" s="40"/>
      <c r="J402" s="41"/>
      <c r="K402" s="42"/>
      <c r="L402" s="43"/>
      <c r="M402" s="79"/>
      <c r="N402" s="80"/>
      <c r="O402" s="81"/>
      <c r="P402" s="82"/>
      <c r="Q402" s="83"/>
      <c r="R402" s="84"/>
      <c r="S402" s="79"/>
      <c r="T402" s="80"/>
      <c r="U402" s="81"/>
      <c r="V402" s="82"/>
      <c r="W402" s="83"/>
      <c r="X402" s="84"/>
      <c r="Y402" s="84"/>
      <c r="Z402" s="84"/>
      <c r="AA402" s="84"/>
      <c r="AB402" s="84"/>
      <c r="AC402" s="84"/>
      <c r="AD402" s="84"/>
      <c r="AE402" s="85"/>
      <c r="AF402" s="86"/>
      <c r="AG402" s="87"/>
      <c r="AH402" s="88"/>
    </row>
    <row r="403" spans="1:34" x14ac:dyDescent="0.25">
      <c r="A403" s="155" t="str">
        <f t="shared" si="14"/>
        <v/>
      </c>
      <c r="B403" s="155" t="str">
        <f t="shared" si="13"/>
        <v/>
      </c>
      <c r="D403" s="77"/>
      <c r="E403" s="78"/>
      <c r="F403" s="133"/>
      <c r="G403" s="38"/>
      <c r="H403" s="39"/>
      <c r="I403" s="40"/>
      <c r="J403" s="41"/>
      <c r="K403" s="42"/>
      <c r="L403" s="43"/>
      <c r="M403" s="79"/>
      <c r="N403" s="80"/>
      <c r="O403" s="81"/>
      <c r="P403" s="82"/>
      <c r="Q403" s="83"/>
      <c r="R403" s="84"/>
      <c r="S403" s="79"/>
      <c r="T403" s="80"/>
      <c r="U403" s="81"/>
      <c r="V403" s="82"/>
      <c r="W403" s="83"/>
      <c r="X403" s="84"/>
      <c r="Y403" s="84"/>
      <c r="Z403" s="84"/>
      <c r="AA403" s="84"/>
      <c r="AB403" s="84"/>
      <c r="AC403" s="84"/>
      <c r="AD403" s="84"/>
      <c r="AE403" s="85"/>
      <c r="AF403" s="86"/>
      <c r="AG403" s="87"/>
      <c r="AH403" s="88"/>
    </row>
    <row r="404" spans="1:34" x14ac:dyDescent="0.25">
      <c r="A404" s="155" t="str">
        <f t="shared" si="14"/>
        <v/>
      </c>
      <c r="B404" s="155" t="str">
        <f t="shared" si="13"/>
        <v/>
      </c>
      <c r="D404" s="77"/>
      <c r="E404" s="78"/>
      <c r="F404" s="133"/>
      <c r="G404" s="38"/>
      <c r="H404" s="39"/>
      <c r="I404" s="40"/>
      <c r="J404" s="41"/>
      <c r="K404" s="42"/>
      <c r="L404" s="43"/>
      <c r="M404" s="79"/>
      <c r="N404" s="80"/>
      <c r="O404" s="81"/>
      <c r="P404" s="82"/>
      <c r="Q404" s="83"/>
      <c r="R404" s="84"/>
      <c r="S404" s="79"/>
      <c r="T404" s="80"/>
      <c r="U404" s="81"/>
      <c r="V404" s="82"/>
      <c r="W404" s="83"/>
      <c r="X404" s="84"/>
      <c r="Y404" s="84"/>
      <c r="Z404" s="84"/>
      <c r="AA404" s="84"/>
      <c r="AB404" s="84"/>
      <c r="AC404" s="84"/>
      <c r="AD404" s="84"/>
      <c r="AE404" s="85"/>
      <c r="AF404" s="86"/>
      <c r="AG404" s="87"/>
      <c r="AH404" s="88"/>
    </row>
    <row r="405" spans="1:34" x14ac:dyDescent="0.25">
      <c r="A405" s="155" t="str">
        <f t="shared" si="14"/>
        <v/>
      </c>
      <c r="B405" s="155" t="str">
        <f t="shared" si="13"/>
        <v/>
      </c>
      <c r="D405" s="77"/>
      <c r="E405" s="78"/>
      <c r="F405" s="133"/>
      <c r="G405" s="38"/>
      <c r="H405" s="39"/>
      <c r="I405" s="40"/>
      <c r="J405" s="41"/>
      <c r="K405" s="42"/>
      <c r="L405" s="43"/>
      <c r="M405" s="79"/>
      <c r="N405" s="80"/>
      <c r="O405" s="81"/>
      <c r="P405" s="82"/>
      <c r="Q405" s="83"/>
      <c r="R405" s="84"/>
      <c r="S405" s="79"/>
      <c r="T405" s="80"/>
      <c r="U405" s="81"/>
      <c r="V405" s="82"/>
      <c r="W405" s="83"/>
      <c r="X405" s="84"/>
      <c r="Y405" s="84"/>
      <c r="Z405" s="84"/>
      <c r="AA405" s="84"/>
      <c r="AB405" s="84"/>
      <c r="AC405" s="84"/>
      <c r="AD405" s="84"/>
      <c r="AE405" s="85"/>
      <c r="AF405" s="86"/>
      <c r="AG405" s="87"/>
      <c r="AH405" s="88"/>
    </row>
    <row r="406" spans="1:34" x14ac:dyDescent="0.25">
      <c r="A406" s="155" t="str">
        <f t="shared" si="14"/>
        <v/>
      </c>
      <c r="B406" s="155" t="str">
        <f t="shared" si="13"/>
        <v/>
      </c>
      <c r="D406" s="77"/>
      <c r="E406" s="78"/>
      <c r="F406" s="133"/>
      <c r="G406" s="38"/>
      <c r="H406" s="39"/>
      <c r="I406" s="40"/>
      <c r="J406" s="41"/>
      <c r="K406" s="42"/>
      <c r="L406" s="43"/>
      <c r="M406" s="79"/>
      <c r="N406" s="80"/>
      <c r="O406" s="81"/>
      <c r="P406" s="82"/>
      <c r="Q406" s="83"/>
      <c r="R406" s="84"/>
      <c r="S406" s="79"/>
      <c r="T406" s="80"/>
      <c r="U406" s="81"/>
      <c r="V406" s="82"/>
      <c r="W406" s="83"/>
      <c r="X406" s="84"/>
      <c r="Y406" s="84"/>
      <c r="Z406" s="84"/>
      <c r="AA406" s="84"/>
      <c r="AB406" s="84"/>
      <c r="AC406" s="84"/>
      <c r="AD406" s="84"/>
      <c r="AE406" s="85"/>
      <c r="AF406" s="86"/>
      <c r="AG406" s="87"/>
      <c r="AH406" s="88"/>
    </row>
    <row r="407" spans="1:34" x14ac:dyDescent="0.25">
      <c r="A407" s="155" t="str">
        <f t="shared" si="14"/>
        <v/>
      </c>
      <c r="B407" s="155" t="str">
        <f t="shared" si="13"/>
        <v/>
      </c>
      <c r="D407" s="77"/>
      <c r="E407" s="78"/>
      <c r="F407" s="133"/>
      <c r="G407" s="38"/>
      <c r="H407" s="39"/>
      <c r="I407" s="40"/>
      <c r="J407" s="41"/>
      <c r="K407" s="42"/>
      <c r="L407" s="43"/>
      <c r="M407" s="79"/>
      <c r="N407" s="80"/>
      <c r="O407" s="81"/>
      <c r="P407" s="82"/>
      <c r="Q407" s="83"/>
      <c r="R407" s="84"/>
      <c r="S407" s="79"/>
      <c r="T407" s="80"/>
      <c r="U407" s="81"/>
      <c r="V407" s="82"/>
      <c r="W407" s="83"/>
      <c r="X407" s="84"/>
      <c r="Y407" s="84"/>
      <c r="Z407" s="84"/>
      <c r="AA407" s="84"/>
      <c r="AB407" s="84"/>
      <c r="AC407" s="84"/>
      <c r="AD407" s="84"/>
      <c r="AE407" s="85"/>
      <c r="AF407" s="86"/>
      <c r="AG407" s="87"/>
      <c r="AH407" s="88"/>
    </row>
    <row r="408" spans="1:34" x14ac:dyDescent="0.25">
      <c r="A408" s="155" t="str">
        <f t="shared" si="14"/>
        <v/>
      </c>
      <c r="B408" s="155" t="str">
        <f t="shared" si="13"/>
        <v/>
      </c>
      <c r="D408" s="77"/>
      <c r="E408" s="78"/>
      <c r="F408" s="133"/>
      <c r="G408" s="38"/>
      <c r="H408" s="39"/>
      <c r="I408" s="40"/>
      <c r="J408" s="41"/>
      <c r="K408" s="42"/>
      <c r="L408" s="43"/>
      <c r="M408" s="79"/>
      <c r="N408" s="80"/>
      <c r="O408" s="81"/>
      <c r="P408" s="82"/>
      <c r="Q408" s="83"/>
      <c r="R408" s="84"/>
      <c r="S408" s="79"/>
      <c r="T408" s="80"/>
      <c r="U408" s="81"/>
      <c r="V408" s="82"/>
      <c r="W408" s="83"/>
      <c r="X408" s="84"/>
      <c r="Y408" s="84"/>
      <c r="Z408" s="84"/>
      <c r="AA408" s="84"/>
      <c r="AB408" s="84"/>
      <c r="AC408" s="84"/>
      <c r="AD408" s="84"/>
      <c r="AE408" s="85"/>
      <c r="AF408" s="86"/>
      <c r="AG408" s="87"/>
      <c r="AH408" s="88"/>
    </row>
    <row r="409" spans="1:34" x14ac:dyDescent="0.25">
      <c r="A409" s="155" t="str">
        <f t="shared" si="14"/>
        <v/>
      </c>
      <c r="B409" s="155" t="str">
        <f t="shared" si="13"/>
        <v/>
      </c>
      <c r="D409" s="77"/>
      <c r="E409" s="78"/>
      <c r="F409" s="133"/>
      <c r="G409" s="38"/>
      <c r="H409" s="39"/>
      <c r="I409" s="40"/>
      <c r="J409" s="41"/>
      <c r="K409" s="42"/>
      <c r="L409" s="43"/>
      <c r="M409" s="79"/>
      <c r="N409" s="80"/>
      <c r="O409" s="81"/>
      <c r="P409" s="82"/>
      <c r="Q409" s="83"/>
      <c r="R409" s="84"/>
      <c r="S409" s="79"/>
      <c r="T409" s="80"/>
      <c r="U409" s="81"/>
      <c r="V409" s="82"/>
      <c r="W409" s="83"/>
      <c r="X409" s="84"/>
      <c r="Y409" s="84"/>
      <c r="Z409" s="84"/>
      <c r="AA409" s="84"/>
      <c r="AB409" s="84"/>
      <c r="AC409" s="84"/>
      <c r="AD409" s="84"/>
      <c r="AE409" s="85"/>
      <c r="AF409" s="86"/>
      <c r="AG409" s="87"/>
      <c r="AH409" s="88"/>
    </row>
    <row r="410" spans="1:34" x14ac:dyDescent="0.25">
      <c r="A410" s="155" t="str">
        <f t="shared" si="14"/>
        <v/>
      </c>
      <c r="B410" s="155" t="str">
        <f t="shared" si="13"/>
        <v/>
      </c>
      <c r="D410" s="77"/>
      <c r="E410" s="78"/>
      <c r="F410" s="133"/>
      <c r="G410" s="38"/>
      <c r="H410" s="39"/>
      <c r="I410" s="40"/>
      <c r="J410" s="41"/>
      <c r="K410" s="42"/>
      <c r="L410" s="43"/>
      <c r="M410" s="79"/>
      <c r="N410" s="80"/>
      <c r="O410" s="81"/>
      <c r="P410" s="82"/>
      <c r="Q410" s="83"/>
      <c r="R410" s="84"/>
      <c r="S410" s="79"/>
      <c r="T410" s="80"/>
      <c r="U410" s="81"/>
      <c r="V410" s="82"/>
      <c r="W410" s="83"/>
      <c r="X410" s="84"/>
      <c r="Y410" s="84"/>
      <c r="Z410" s="84"/>
      <c r="AA410" s="84"/>
      <c r="AB410" s="84"/>
      <c r="AC410" s="84"/>
      <c r="AD410" s="84"/>
      <c r="AE410" s="85"/>
      <c r="AF410" s="86"/>
      <c r="AG410" s="87"/>
      <c r="AH410" s="88"/>
    </row>
    <row r="411" spans="1:34" x14ac:dyDescent="0.25">
      <c r="A411" s="155" t="str">
        <f t="shared" si="14"/>
        <v/>
      </c>
      <c r="B411" s="155" t="str">
        <f t="shared" si="13"/>
        <v/>
      </c>
      <c r="D411" s="77"/>
      <c r="E411" s="78"/>
      <c r="F411" s="133"/>
      <c r="G411" s="38"/>
      <c r="H411" s="39"/>
      <c r="I411" s="40"/>
      <c r="J411" s="41"/>
      <c r="K411" s="42"/>
      <c r="L411" s="43"/>
      <c r="M411" s="79"/>
      <c r="N411" s="80"/>
      <c r="O411" s="81"/>
      <c r="P411" s="82"/>
      <c r="Q411" s="83"/>
      <c r="R411" s="84"/>
      <c r="S411" s="79"/>
      <c r="T411" s="80"/>
      <c r="U411" s="81"/>
      <c r="V411" s="82"/>
      <c r="W411" s="83"/>
      <c r="X411" s="84"/>
      <c r="Y411" s="84"/>
      <c r="Z411" s="84"/>
      <c r="AA411" s="84"/>
      <c r="AB411" s="84"/>
      <c r="AC411" s="84"/>
      <c r="AD411" s="84"/>
      <c r="AE411" s="85"/>
      <c r="AF411" s="86"/>
      <c r="AG411" s="87"/>
      <c r="AH411" s="88"/>
    </row>
    <row r="412" spans="1:34" x14ac:dyDescent="0.25">
      <c r="A412" s="155" t="str">
        <f t="shared" si="14"/>
        <v/>
      </c>
      <c r="B412" s="155" t="str">
        <f t="shared" si="13"/>
        <v/>
      </c>
      <c r="D412" s="77"/>
      <c r="E412" s="78"/>
      <c r="F412" s="133"/>
      <c r="G412" s="38"/>
      <c r="H412" s="39"/>
      <c r="I412" s="40"/>
      <c r="J412" s="41"/>
      <c r="K412" s="42"/>
      <c r="L412" s="43"/>
      <c r="M412" s="79"/>
      <c r="N412" s="80"/>
      <c r="O412" s="81"/>
      <c r="P412" s="82"/>
      <c r="Q412" s="83"/>
      <c r="R412" s="84"/>
      <c r="S412" s="79"/>
      <c r="T412" s="80"/>
      <c r="U412" s="81"/>
      <c r="V412" s="82"/>
      <c r="W412" s="83"/>
      <c r="X412" s="84"/>
      <c r="Y412" s="84"/>
      <c r="Z412" s="84"/>
      <c r="AA412" s="84"/>
      <c r="AB412" s="84"/>
      <c r="AC412" s="84"/>
      <c r="AD412" s="84"/>
      <c r="AE412" s="85"/>
      <c r="AF412" s="86"/>
      <c r="AG412" s="87"/>
      <c r="AH412" s="88"/>
    </row>
    <row r="413" spans="1:34" x14ac:dyDescent="0.25">
      <c r="A413" s="155" t="str">
        <f t="shared" si="14"/>
        <v/>
      </c>
      <c r="B413" s="155" t="str">
        <f t="shared" si="13"/>
        <v/>
      </c>
      <c r="D413" s="77"/>
      <c r="E413" s="78"/>
      <c r="F413" s="133"/>
      <c r="G413" s="38"/>
      <c r="H413" s="39"/>
      <c r="I413" s="40"/>
      <c r="J413" s="41"/>
      <c r="K413" s="42"/>
      <c r="L413" s="43"/>
      <c r="M413" s="79"/>
      <c r="N413" s="80"/>
      <c r="O413" s="81"/>
      <c r="P413" s="82"/>
      <c r="Q413" s="83"/>
      <c r="R413" s="84"/>
      <c r="S413" s="79"/>
      <c r="T413" s="80"/>
      <c r="U413" s="81"/>
      <c r="V413" s="82"/>
      <c r="W413" s="83"/>
      <c r="X413" s="84"/>
      <c r="Y413" s="84"/>
      <c r="Z413" s="84"/>
      <c r="AA413" s="84"/>
      <c r="AB413" s="84"/>
      <c r="AC413" s="84"/>
      <c r="AD413" s="84"/>
      <c r="AE413" s="85"/>
      <c r="AF413" s="86"/>
      <c r="AG413" s="87"/>
      <c r="AH413" s="88"/>
    </row>
    <row r="414" spans="1:34" x14ac:dyDescent="0.25">
      <c r="A414" s="155" t="str">
        <f t="shared" si="14"/>
        <v/>
      </c>
      <c r="B414" s="155" t="str">
        <f t="shared" si="13"/>
        <v/>
      </c>
      <c r="D414" s="77"/>
      <c r="E414" s="78"/>
      <c r="F414" s="133"/>
      <c r="G414" s="38"/>
      <c r="H414" s="39"/>
      <c r="I414" s="40"/>
      <c r="J414" s="41"/>
      <c r="K414" s="42"/>
      <c r="L414" s="43"/>
      <c r="M414" s="79"/>
      <c r="N414" s="80"/>
      <c r="O414" s="81"/>
      <c r="P414" s="82"/>
      <c r="Q414" s="83"/>
      <c r="R414" s="84"/>
      <c r="S414" s="79"/>
      <c r="T414" s="80"/>
      <c r="U414" s="81"/>
      <c r="V414" s="82"/>
      <c r="W414" s="83"/>
      <c r="X414" s="84"/>
      <c r="Y414" s="84"/>
      <c r="Z414" s="84"/>
      <c r="AA414" s="84"/>
      <c r="AB414" s="84"/>
      <c r="AC414" s="84"/>
      <c r="AD414" s="84"/>
      <c r="AE414" s="85"/>
      <c r="AF414" s="86"/>
      <c r="AG414" s="87"/>
      <c r="AH414" s="88"/>
    </row>
    <row r="415" spans="1:34" x14ac:dyDescent="0.25">
      <c r="A415" s="155" t="str">
        <f t="shared" si="14"/>
        <v/>
      </c>
      <c r="B415" s="155" t="str">
        <f t="shared" si="13"/>
        <v/>
      </c>
      <c r="D415" s="77"/>
      <c r="E415" s="78"/>
      <c r="F415" s="133"/>
      <c r="G415" s="38"/>
      <c r="H415" s="39"/>
      <c r="I415" s="40"/>
      <c r="J415" s="41"/>
      <c r="K415" s="42"/>
      <c r="L415" s="43"/>
      <c r="M415" s="79"/>
      <c r="N415" s="80"/>
      <c r="O415" s="81"/>
      <c r="P415" s="82"/>
      <c r="Q415" s="83"/>
      <c r="R415" s="84"/>
      <c r="S415" s="79"/>
      <c r="T415" s="80"/>
      <c r="U415" s="81"/>
      <c r="V415" s="82"/>
      <c r="W415" s="83"/>
      <c r="X415" s="84"/>
      <c r="Y415" s="84"/>
      <c r="Z415" s="84"/>
      <c r="AA415" s="84"/>
      <c r="AB415" s="84"/>
      <c r="AC415" s="84"/>
      <c r="AD415" s="84"/>
      <c r="AE415" s="85"/>
      <c r="AF415" s="86"/>
      <c r="AG415" s="87"/>
      <c r="AH415" s="88"/>
    </row>
    <row r="416" spans="1:34" x14ac:dyDescent="0.25">
      <c r="A416" s="155" t="str">
        <f t="shared" si="14"/>
        <v/>
      </c>
      <c r="B416" s="155" t="str">
        <f t="shared" si="13"/>
        <v/>
      </c>
      <c r="D416" s="77"/>
      <c r="E416" s="78"/>
      <c r="F416" s="133"/>
      <c r="G416" s="38"/>
      <c r="H416" s="39"/>
      <c r="I416" s="40"/>
      <c r="J416" s="41"/>
      <c r="K416" s="42"/>
      <c r="L416" s="43"/>
      <c r="M416" s="79"/>
      <c r="N416" s="80"/>
      <c r="O416" s="81"/>
      <c r="P416" s="82"/>
      <c r="Q416" s="83"/>
      <c r="R416" s="84"/>
      <c r="S416" s="79"/>
      <c r="T416" s="80"/>
      <c r="U416" s="81"/>
      <c r="V416" s="82"/>
      <c r="W416" s="83"/>
      <c r="X416" s="84"/>
      <c r="Y416" s="84"/>
      <c r="Z416" s="84"/>
      <c r="AA416" s="84"/>
      <c r="AB416" s="84"/>
      <c r="AC416" s="84"/>
      <c r="AD416" s="84"/>
      <c r="AE416" s="85"/>
      <c r="AF416" s="86"/>
      <c r="AG416" s="87"/>
      <c r="AH416" s="88"/>
    </row>
    <row r="417" spans="1:34" x14ac:dyDescent="0.25">
      <c r="A417" s="155" t="str">
        <f t="shared" si="14"/>
        <v/>
      </c>
      <c r="B417" s="155" t="str">
        <f t="shared" si="13"/>
        <v/>
      </c>
      <c r="D417" s="77"/>
      <c r="E417" s="78"/>
      <c r="F417" s="133"/>
      <c r="G417" s="38"/>
      <c r="H417" s="39"/>
      <c r="I417" s="40"/>
      <c r="J417" s="41"/>
      <c r="K417" s="42"/>
      <c r="L417" s="43"/>
      <c r="M417" s="79"/>
      <c r="N417" s="80"/>
      <c r="O417" s="81"/>
      <c r="P417" s="82"/>
      <c r="Q417" s="83"/>
      <c r="R417" s="84"/>
      <c r="S417" s="79"/>
      <c r="T417" s="80"/>
      <c r="U417" s="81"/>
      <c r="V417" s="82"/>
      <c r="W417" s="83"/>
      <c r="X417" s="84"/>
      <c r="Y417" s="84"/>
      <c r="Z417" s="84"/>
      <c r="AA417" s="84"/>
      <c r="AB417" s="84"/>
      <c r="AC417" s="84"/>
      <c r="AD417" s="84"/>
      <c r="AE417" s="85"/>
      <c r="AF417" s="86"/>
      <c r="AG417" s="87"/>
      <c r="AH417" s="88"/>
    </row>
    <row r="418" spans="1:34" x14ac:dyDescent="0.25">
      <c r="A418" s="155" t="str">
        <f t="shared" si="14"/>
        <v/>
      </c>
      <c r="B418" s="155" t="str">
        <f t="shared" si="13"/>
        <v/>
      </c>
      <c r="D418" s="77"/>
      <c r="E418" s="78"/>
      <c r="F418" s="133"/>
      <c r="G418" s="38"/>
      <c r="H418" s="39"/>
      <c r="I418" s="40"/>
      <c r="J418" s="41"/>
      <c r="K418" s="42"/>
      <c r="L418" s="43"/>
      <c r="M418" s="79"/>
      <c r="N418" s="80"/>
      <c r="O418" s="81"/>
      <c r="P418" s="82"/>
      <c r="Q418" s="83"/>
      <c r="R418" s="84"/>
      <c r="S418" s="79"/>
      <c r="T418" s="80"/>
      <c r="U418" s="81"/>
      <c r="V418" s="82"/>
      <c r="W418" s="83"/>
      <c r="X418" s="84"/>
      <c r="Y418" s="84"/>
      <c r="Z418" s="84"/>
      <c r="AA418" s="84"/>
      <c r="AB418" s="84"/>
      <c r="AC418" s="84"/>
      <c r="AD418" s="84"/>
      <c r="AE418" s="85"/>
      <c r="AF418" s="86"/>
      <c r="AG418" s="87"/>
      <c r="AH418" s="88"/>
    </row>
    <row r="419" spans="1:34" x14ac:dyDescent="0.25">
      <c r="A419" s="155" t="str">
        <f t="shared" si="14"/>
        <v/>
      </c>
      <c r="B419" s="155" t="str">
        <f t="shared" si="13"/>
        <v/>
      </c>
      <c r="D419" s="77"/>
      <c r="E419" s="78"/>
      <c r="F419" s="133"/>
      <c r="G419" s="38"/>
      <c r="H419" s="39"/>
      <c r="I419" s="40"/>
      <c r="J419" s="41"/>
      <c r="K419" s="42"/>
      <c r="L419" s="43"/>
      <c r="M419" s="79"/>
      <c r="N419" s="80"/>
      <c r="O419" s="81"/>
      <c r="P419" s="82"/>
      <c r="Q419" s="83"/>
      <c r="R419" s="84"/>
      <c r="S419" s="79"/>
      <c r="T419" s="80"/>
      <c r="U419" s="81"/>
      <c r="V419" s="82"/>
      <c r="W419" s="83"/>
      <c r="X419" s="84"/>
      <c r="Y419" s="84"/>
      <c r="Z419" s="84"/>
      <c r="AA419" s="84"/>
      <c r="AB419" s="84"/>
      <c r="AC419" s="84"/>
      <c r="AD419" s="84"/>
      <c r="AE419" s="85"/>
      <c r="AF419" s="86"/>
      <c r="AG419" s="87"/>
      <c r="AH419" s="88"/>
    </row>
    <row r="420" spans="1:34" x14ac:dyDescent="0.25">
      <c r="A420" s="155" t="str">
        <f t="shared" si="14"/>
        <v/>
      </c>
      <c r="B420" s="155" t="str">
        <f t="shared" si="13"/>
        <v/>
      </c>
      <c r="D420" s="77"/>
      <c r="E420" s="78"/>
      <c r="F420" s="133"/>
      <c r="G420" s="38"/>
      <c r="H420" s="39"/>
      <c r="I420" s="40"/>
      <c r="J420" s="41"/>
      <c r="K420" s="42"/>
      <c r="L420" s="43"/>
      <c r="M420" s="79"/>
      <c r="N420" s="80"/>
      <c r="O420" s="81"/>
      <c r="P420" s="82"/>
      <c r="Q420" s="83"/>
      <c r="R420" s="84"/>
      <c r="S420" s="79"/>
      <c r="T420" s="80"/>
      <c r="U420" s="81"/>
      <c r="V420" s="82"/>
      <c r="W420" s="83"/>
      <c r="X420" s="84"/>
      <c r="Y420" s="84"/>
      <c r="Z420" s="84"/>
      <c r="AA420" s="84"/>
      <c r="AB420" s="84"/>
      <c r="AC420" s="84"/>
      <c r="AD420" s="84"/>
      <c r="AE420" s="85"/>
      <c r="AF420" s="86"/>
      <c r="AG420" s="87"/>
      <c r="AH420" s="88"/>
    </row>
    <row r="421" spans="1:34" x14ac:dyDescent="0.25">
      <c r="A421" s="155" t="str">
        <f t="shared" si="14"/>
        <v/>
      </c>
      <c r="B421" s="155" t="str">
        <f t="shared" si="13"/>
        <v/>
      </c>
      <c r="D421" s="77"/>
      <c r="E421" s="78"/>
      <c r="F421" s="133"/>
      <c r="G421" s="38"/>
      <c r="H421" s="39"/>
      <c r="I421" s="40"/>
      <c r="J421" s="41"/>
      <c r="K421" s="42"/>
      <c r="L421" s="43"/>
      <c r="M421" s="79"/>
      <c r="N421" s="80"/>
      <c r="O421" s="81"/>
      <c r="P421" s="82"/>
      <c r="Q421" s="83"/>
      <c r="R421" s="84"/>
      <c r="S421" s="79"/>
      <c r="T421" s="80"/>
      <c r="U421" s="81"/>
      <c r="V421" s="82"/>
      <c r="W421" s="83"/>
      <c r="X421" s="84"/>
      <c r="Y421" s="84"/>
      <c r="Z421" s="84"/>
      <c r="AA421" s="84"/>
      <c r="AB421" s="84"/>
      <c r="AC421" s="84"/>
      <c r="AD421" s="84"/>
      <c r="AE421" s="85"/>
      <c r="AF421" s="86"/>
      <c r="AG421" s="87"/>
      <c r="AH421" s="88"/>
    </row>
    <row r="422" spans="1:34" x14ac:dyDescent="0.25">
      <c r="A422" s="155" t="str">
        <f t="shared" si="14"/>
        <v/>
      </c>
      <c r="B422" s="155" t="str">
        <f t="shared" si="13"/>
        <v/>
      </c>
      <c r="D422" s="77"/>
      <c r="E422" s="78"/>
      <c r="F422" s="133"/>
      <c r="G422" s="38"/>
      <c r="H422" s="39"/>
      <c r="I422" s="40"/>
      <c r="J422" s="41"/>
      <c r="K422" s="42"/>
      <c r="L422" s="43"/>
      <c r="M422" s="79"/>
      <c r="N422" s="80"/>
      <c r="O422" s="81"/>
      <c r="P422" s="82"/>
      <c r="Q422" s="83"/>
      <c r="R422" s="84"/>
      <c r="S422" s="79"/>
      <c r="T422" s="80"/>
      <c r="U422" s="81"/>
      <c r="V422" s="82"/>
      <c r="W422" s="83"/>
      <c r="X422" s="84"/>
      <c r="Y422" s="84"/>
      <c r="Z422" s="84"/>
      <c r="AA422" s="84"/>
      <c r="AB422" s="84"/>
      <c r="AC422" s="84"/>
      <c r="AD422" s="84"/>
      <c r="AE422" s="85"/>
      <c r="AF422" s="86"/>
      <c r="AG422" s="87"/>
      <c r="AH422" s="88"/>
    </row>
    <row r="423" spans="1:34" x14ac:dyDescent="0.25">
      <c r="A423" s="155" t="str">
        <f t="shared" si="14"/>
        <v/>
      </c>
      <c r="B423" s="155" t="str">
        <f t="shared" si="13"/>
        <v/>
      </c>
      <c r="D423" s="77"/>
      <c r="E423" s="78"/>
      <c r="F423" s="133"/>
      <c r="G423" s="38"/>
      <c r="H423" s="39"/>
      <c r="I423" s="40"/>
      <c r="J423" s="41"/>
      <c r="K423" s="42"/>
      <c r="L423" s="43"/>
      <c r="M423" s="79"/>
      <c r="N423" s="80"/>
      <c r="O423" s="81"/>
      <c r="P423" s="82"/>
      <c r="Q423" s="83"/>
      <c r="R423" s="84"/>
      <c r="S423" s="79"/>
      <c r="T423" s="80"/>
      <c r="U423" s="81"/>
      <c r="V423" s="82"/>
      <c r="W423" s="83"/>
      <c r="X423" s="84"/>
      <c r="Y423" s="84"/>
      <c r="Z423" s="84"/>
      <c r="AA423" s="84"/>
      <c r="AB423" s="84"/>
      <c r="AC423" s="84"/>
      <c r="AD423" s="84"/>
      <c r="AE423" s="85"/>
      <c r="AF423" s="86"/>
      <c r="AG423" s="87"/>
      <c r="AH423" s="88"/>
    </row>
    <row r="424" spans="1:34" x14ac:dyDescent="0.25">
      <c r="A424" s="155" t="str">
        <f t="shared" si="14"/>
        <v/>
      </c>
      <c r="B424" s="155" t="str">
        <f t="shared" si="13"/>
        <v/>
      </c>
      <c r="D424" s="77"/>
      <c r="E424" s="78"/>
      <c r="F424" s="133"/>
      <c r="G424" s="38"/>
      <c r="H424" s="39"/>
      <c r="I424" s="40"/>
      <c r="J424" s="41"/>
      <c r="K424" s="42"/>
      <c r="L424" s="43"/>
      <c r="M424" s="79"/>
      <c r="N424" s="80"/>
      <c r="O424" s="81"/>
      <c r="P424" s="82"/>
      <c r="Q424" s="83"/>
      <c r="R424" s="84"/>
      <c r="S424" s="79"/>
      <c r="T424" s="80"/>
      <c r="U424" s="81"/>
      <c r="V424" s="82"/>
      <c r="W424" s="83"/>
      <c r="X424" s="84"/>
      <c r="Y424" s="84"/>
      <c r="Z424" s="84"/>
      <c r="AA424" s="84"/>
      <c r="AB424" s="84"/>
      <c r="AC424" s="84"/>
      <c r="AD424" s="84"/>
      <c r="AE424" s="85"/>
      <c r="AF424" s="86"/>
      <c r="AG424" s="87"/>
      <c r="AH424" s="88"/>
    </row>
    <row r="425" spans="1:34" x14ac:dyDescent="0.25">
      <c r="A425" s="155" t="str">
        <f t="shared" si="14"/>
        <v/>
      </c>
      <c r="B425" s="155" t="str">
        <f t="shared" si="13"/>
        <v/>
      </c>
      <c r="D425" s="77"/>
      <c r="E425" s="78"/>
      <c r="F425" s="133"/>
      <c r="G425" s="38"/>
      <c r="H425" s="39"/>
      <c r="I425" s="40"/>
      <c r="J425" s="41"/>
      <c r="K425" s="42"/>
      <c r="L425" s="43"/>
      <c r="M425" s="79"/>
      <c r="N425" s="80"/>
      <c r="O425" s="81"/>
      <c r="P425" s="82"/>
      <c r="Q425" s="83"/>
      <c r="R425" s="84"/>
      <c r="S425" s="79"/>
      <c r="T425" s="80"/>
      <c r="U425" s="81"/>
      <c r="V425" s="82"/>
      <c r="W425" s="83"/>
      <c r="X425" s="84"/>
      <c r="Y425" s="84"/>
      <c r="Z425" s="84"/>
      <c r="AA425" s="84"/>
      <c r="AB425" s="84"/>
      <c r="AC425" s="84"/>
      <c r="AD425" s="84"/>
      <c r="AE425" s="85"/>
      <c r="AF425" s="86"/>
      <c r="AG425" s="87"/>
      <c r="AH425" s="88"/>
    </row>
    <row r="426" spans="1:34" x14ac:dyDescent="0.25">
      <c r="A426" s="155" t="str">
        <f t="shared" si="14"/>
        <v/>
      </c>
      <c r="B426" s="155" t="str">
        <f t="shared" si="13"/>
        <v/>
      </c>
      <c r="D426" s="77"/>
      <c r="E426" s="78"/>
      <c r="F426" s="133"/>
      <c r="G426" s="38"/>
      <c r="H426" s="39"/>
      <c r="I426" s="40"/>
      <c r="J426" s="41"/>
      <c r="K426" s="42"/>
      <c r="L426" s="43"/>
      <c r="M426" s="79"/>
      <c r="N426" s="80"/>
      <c r="O426" s="81"/>
      <c r="P426" s="82"/>
      <c r="Q426" s="83"/>
      <c r="R426" s="84"/>
      <c r="S426" s="79"/>
      <c r="T426" s="80"/>
      <c r="U426" s="81"/>
      <c r="V426" s="82"/>
      <c r="W426" s="83"/>
      <c r="X426" s="84"/>
      <c r="Y426" s="84"/>
      <c r="Z426" s="84"/>
      <c r="AA426" s="84"/>
      <c r="AB426" s="84"/>
      <c r="AC426" s="84"/>
      <c r="AD426" s="84"/>
      <c r="AE426" s="85"/>
      <c r="AF426" s="86"/>
      <c r="AG426" s="87"/>
      <c r="AH426" s="88"/>
    </row>
    <row r="427" spans="1:34" x14ac:dyDescent="0.25">
      <c r="A427" s="155" t="str">
        <f t="shared" si="14"/>
        <v/>
      </c>
      <c r="B427" s="155" t="str">
        <f t="shared" si="13"/>
        <v/>
      </c>
      <c r="D427" s="77"/>
      <c r="E427" s="78"/>
      <c r="F427" s="133"/>
      <c r="G427" s="38"/>
      <c r="H427" s="39"/>
      <c r="I427" s="40"/>
      <c r="J427" s="41"/>
      <c r="K427" s="42"/>
      <c r="L427" s="43"/>
      <c r="M427" s="79"/>
      <c r="N427" s="80"/>
      <c r="O427" s="81"/>
      <c r="P427" s="82"/>
      <c r="Q427" s="83"/>
      <c r="R427" s="84"/>
      <c r="S427" s="79"/>
      <c r="T427" s="80"/>
      <c r="U427" s="81"/>
      <c r="V427" s="82"/>
      <c r="W427" s="83"/>
      <c r="X427" s="84"/>
      <c r="Y427" s="84"/>
      <c r="Z427" s="84"/>
      <c r="AA427" s="84"/>
      <c r="AB427" s="84"/>
      <c r="AC427" s="84"/>
      <c r="AD427" s="84"/>
      <c r="AE427" s="85"/>
      <c r="AF427" s="86"/>
      <c r="AG427" s="87"/>
      <c r="AH427" s="88"/>
    </row>
    <row r="428" spans="1:34" x14ac:dyDescent="0.25">
      <c r="A428" s="155" t="str">
        <f t="shared" si="14"/>
        <v/>
      </c>
      <c r="B428" s="155" t="str">
        <f t="shared" si="13"/>
        <v/>
      </c>
      <c r="D428" s="77"/>
      <c r="E428" s="78"/>
      <c r="F428" s="133"/>
      <c r="G428" s="38"/>
      <c r="H428" s="39"/>
      <c r="I428" s="40"/>
      <c r="J428" s="41"/>
      <c r="K428" s="42"/>
      <c r="L428" s="43"/>
      <c r="M428" s="79"/>
      <c r="N428" s="80"/>
      <c r="O428" s="81"/>
      <c r="P428" s="82"/>
      <c r="Q428" s="83"/>
      <c r="R428" s="84"/>
      <c r="S428" s="79"/>
      <c r="T428" s="80"/>
      <c r="U428" s="81"/>
      <c r="V428" s="82"/>
      <c r="W428" s="83"/>
      <c r="X428" s="84"/>
      <c r="Y428" s="84"/>
      <c r="Z428" s="84"/>
      <c r="AA428" s="84"/>
      <c r="AB428" s="84"/>
      <c r="AC428" s="84"/>
      <c r="AD428" s="84"/>
      <c r="AE428" s="85"/>
      <c r="AF428" s="86"/>
      <c r="AG428" s="87"/>
      <c r="AH428" s="88"/>
    </row>
    <row r="429" spans="1:34" x14ac:dyDescent="0.25">
      <c r="A429" s="155" t="str">
        <f t="shared" si="14"/>
        <v/>
      </c>
      <c r="B429" s="155" t="str">
        <f t="shared" si="13"/>
        <v/>
      </c>
      <c r="D429" s="77"/>
      <c r="E429" s="78"/>
      <c r="F429" s="133"/>
      <c r="G429" s="38"/>
      <c r="H429" s="39"/>
      <c r="I429" s="40"/>
      <c r="J429" s="41"/>
      <c r="K429" s="42"/>
      <c r="L429" s="43"/>
      <c r="M429" s="79"/>
      <c r="N429" s="80"/>
      <c r="O429" s="81"/>
      <c r="P429" s="82"/>
      <c r="Q429" s="83"/>
      <c r="R429" s="84"/>
      <c r="S429" s="79"/>
      <c r="T429" s="80"/>
      <c r="U429" s="81"/>
      <c r="V429" s="82"/>
      <c r="W429" s="83"/>
      <c r="X429" s="84"/>
      <c r="Y429" s="84"/>
      <c r="Z429" s="84"/>
      <c r="AA429" s="84"/>
      <c r="AB429" s="84"/>
      <c r="AC429" s="84"/>
      <c r="AD429" s="84"/>
      <c r="AE429" s="85"/>
      <c r="AF429" s="86"/>
      <c r="AG429" s="87"/>
      <c r="AH429" s="88"/>
    </row>
    <row r="430" spans="1:34" x14ac:dyDescent="0.25">
      <c r="A430" s="155" t="str">
        <f t="shared" si="14"/>
        <v/>
      </c>
      <c r="B430" s="155" t="str">
        <f t="shared" si="13"/>
        <v/>
      </c>
      <c r="D430" s="77"/>
      <c r="E430" s="78"/>
      <c r="F430" s="133"/>
      <c r="G430" s="38"/>
      <c r="H430" s="39"/>
      <c r="I430" s="40"/>
      <c r="J430" s="41"/>
      <c r="K430" s="42"/>
      <c r="L430" s="43"/>
      <c r="M430" s="79"/>
      <c r="N430" s="80"/>
      <c r="O430" s="81"/>
      <c r="P430" s="82"/>
      <c r="Q430" s="83"/>
      <c r="R430" s="84"/>
      <c r="S430" s="79"/>
      <c r="T430" s="80"/>
      <c r="U430" s="81"/>
      <c r="V430" s="82"/>
      <c r="W430" s="83"/>
      <c r="X430" s="84"/>
      <c r="Y430" s="84"/>
      <c r="Z430" s="84"/>
      <c r="AA430" s="84"/>
      <c r="AB430" s="84"/>
      <c r="AC430" s="84"/>
      <c r="AD430" s="84"/>
      <c r="AE430" s="85"/>
      <c r="AF430" s="86"/>
      <c r="AG430" s="87"/>
      <c r="AH430" s="88"/>
    </row>
    <row r="431" spans="1:34" x14ac:dyDescent="0.25">
      <c r="A431" s="155" t="str">
        <f t="shared" si="14"/>
        <v/>
      </c>
      <c r="B431" s="155" t="str">
        <f t="shared" si="13"/>
        <v/>
      </c>
      <c r="D431" s="77"/>
      <c r="E431" s="78"/>
      <c r="F431" s="133"/>
      <c r="G431" s="38"/>
      <c r="H431" s="39"/>
      <c r="I431" s="40"/>
      <c r="J431" s="41"/>
      <c r="K431" s="42"/>
      <c r="L431" s="43"/>
      <c r="M431" s="79"/>
      <c r="N431" s="80"/>
      <c r="O431" s="81"/>
      <c r="P431" s="82"/>
      <c r="Q431" s="83"/>
      <c r="R431" s="84"/>
      <c r="S431" s="79"/>
      <c r="T431" s="80"/>
      <c r="U431" s="81"/>
      <c r="V431" s="82"/>
      <c r="W431" s="83"/>
      <c r="X431" s="84"/>
      <c r="Y431" s="84"/>
      <c r="Z431" s="84"/>
      <c r="AA431" s="84"/>
      <c r="AB431" s="84"/>
      <c r="AC431" s="84"/>
      <c r="AD431" s="84"/>
      <c r="AE431" s="85"/>
      <c r="AF431" s="86"/>
      <c r="AG431" s="87"/>
      <c r="AH431" s="88"/>
    </row>
    <row r="432" spans="1:34" x14ac:dyDescent="0.25">
      <c r="A432" s="155" t="str">
        <f t="shared" si="14"/>
        <v/>
      </c>
      <c r="B432" s="155" t="str">
        <f t="shared" si="13"/>
        <v/>
      </c>
      <c r="D432" s="77"/>
      <c r="E432" s="78"/>
      <c r="F432" s="133"/>
      <c r="G432" s="38"/>
      <c r="H432" s="39"/>
      <c r="I432" s="40"/>
      <c r="J432" s="41"/>
      <c r="K432" s="42"/>
      <c r="L432" s="43"/>
      <c r="M432" s="79"/>
      <c r="N432" s="80"/>
      <c r="O432" s="81"/>
      <c r="P432" s="82"/>
      <c r="Q432" s="83"/>
      <c r="R432" s="84"/>
      <c r="S432" s="79"/>
      <c r="T432" s="80"/>
      <c r="U432" s="81"/>
      <c r="V432" s="82"/>
      <c r="W432" s="83"/>
      <c r="X432" s="84"/>
      <c r="Y432" s="84"/>
      <c r="Z432" s="84"/>
      <c r="AA432" s="84"/>
      <c r="AB432" s="84"/>
      <c r="AC432" s="84"/>
      <c r="AD432" s="84"/>
      <c r="AE432" s="85"/>
      <c r="AF432" s="86"/>
      <c r="AG432" s="87"/>
      <c r="AH432" s="88"/>
    </row>
    <row r="433" spans="1:34" x14ac:dyDescent="0.25">
      <c r="A433" s="155" t="str">
        <f t="shared" si="14"/>
        <v/>
      </c>
      <c r="B433" s="155" t="str">
        <f t="shared" si="13"/>
        <v/>
      </c>
      <c r="D433" s="77"/>
      <c r="E433" s="78"/>
      <c r="F433" s="133"/>
      <c r="G433" s="38"/>
      <c r="H433" s="39"/>
      <c r="I433" s="40"/>
      <c r="J433" s="41"/>
      <c r="K433" s="42"/>
      <c r="L433" s="43"/>
      <c r="M433" s="79"/>
      <c r="N433" s="80"/>
      <c r="O433" s="81"/>
      <c r="P433" s="82"/>
      <c r="Q433" s="83"/>
      <c r="R433" s="84"/>
      <c r="S433" s="79"/>
      <c r="T433" s="80"/>
      <c r="U433" s="81"/>
      <c r="V433" s="82"/>
      <c r="W433" s="83"/>
      <c r="X433" s="84"/>
      <c r="Y433" s="84"/>
      <c r="Z433" s="84"/>
      <c r="AA433" s="84"/>
      <c r="AB433" s="84"/>
      <c r="AC433" s="84"/>
      <c r="AD433" s="84"/>
      <c r="AE433" s="85"/>
      <c r="AF433" s="86"/>
      <c r="AG433" s="87"/>
      <c r="AH433" s="88"/>
    </row>
    <row r="434" spans="1:34" x14ac:dyDescent="0.25">
      <c r="A434" s="155" t="str">
        <f t="shared" si="14"/>
        <v/>
      </c>
      <c r="B434" s="155" t="str">
        <f t="shared" si="13"/>
        <v/>
      </c>
      <c r="D434" s="77"/>
      <c r="E434" s="78"/>
      <c r="F434" s="133"/>
      <c r="G434" s="38"/>
      <c r="H434" s="39"/>
      <c r="I434" s="40"/>
      <c r="J434" s="41"/>
      <c r="K434" s="42"/>
      <c r="L434" s="43"/>
      <c r="M434" s="79"/>
      <c r="N434" s="80"/>
      <c r="O434" s="81"/>
      <c r="P434" s="82"/>
      <c r="Q434" s="83"/>
      <c r="R434" s="84"/>
      <c r="S434" s="79"/>
      <c r="T434" s="80"/>
      <c r="U434" s="81"/>
      <c r="V434" s="82"/>
      <c r="W434" s="83"/>
      <c r="X434" s="84"/>
      <c r="Y434" s="84"/>
      <c r="Z434" s="84"/>
      <c r="AA434" s="84"/>
      <c r="AB434" s="84"/>
      <c r="AC434" s="84"/>
      <c r="AD434" s="84"/>
      <c r="AE434" s="85"/>
      <c r="AF434" s="86"/>
      <c r="AG434" s="87"/>
      <c r="AH434" s="88"/>
    </row>
    <row r="435" spans="1:34" x14ac:dyDescent="0.25">
      <c r="A435" s="155" t="str">
        <f t="shared" si="14"/>
        <v/>
      </c>
      <c r="B435" s="155" t="str">
        <f t="shared" si="13"/>
        <v/>
      </c>
      <c r="D435" s="77"/>
      <c r="E435" s="78"/>
      <c r="F435" s="133"/>
      <c r="G435" s="38"/>
      <c r="H435" s="39"/>
      <c r="I435" s="40"/>
      <c r="J435" s="41"/>
      <c r="K435" s="42"/>
      <c r="L435" s="43"/>
      <c r="M435" s="79"/>
      <c r="N435" s="80"/>
      <c r="O435" s="81"/>
      <c r="P435" s="82"/>
      <c r="Q435" s="83"/>
      <c r="R435" s="84"/>
      <c r="S435" s="79"/>
      <c r="T435" s="80"/>
      <c r="U435" s="81"/>
      <c r="V435" s="82"/>
      <c r="W435" s="83"/>
      <c r="X435" s="84"/>
      <c r="Y435" s="84"/>
      <c r="Z435" s="84"/>
      <c r="AA435" s="84"/>
      <c r="AB435" s="84"/>
      <c r="AC435" s="84"/>
      <c r="AD435" s="84"/>
      <c r="AE435" s="85"/>
      <c r="AF435" s="86"/>
      <c r="AG435" s="87"/>
      <c r="AH435" s="88"/>
    </row>
    <row r="436" spans="1:34" x14ac:dyDescent="0.25">
      <c r="A436" s="155" t="str">
        <f t="shared" si="14"/>
        <v/>
      </c>
      <c r="B436" s="155" t="str">
        <f t="shared" si="13"/>
        <v/>
      </c>
      <c r="D436" s="77"/>
      <c r="E436" s="78"/>
      <c r="F436" s="133"/>
      <c r="G436" s="38"/>
      <c r="H436" s="39"/>
      <c r="I436" s="40"/>
      <c r="J436" s="41"/>
      <c r="K436" s="42"/>
      <c r="L436" s="43"/>
      <c r="M436" s="79"/>
      <c r="N436" s="80"/>
      <c r="O436" s="81"/>
      <c r="P436" s="82"/>
      <c r="Q436" s="83"/>
      <c r="R436" s="84"/>
      <c r="S436" s="79"/>
      <c r="T436" s="80"/>
      <c r="U436" s="81"/>
      <c r="V436" s="82"/>
      <c r="W436" s="83"/>
      <c r="X436" s="84"/>
      <c r="Y436" s="84"/>
      <c r="Z436" s="84"/>
      <c r="AA436" s="84"/>
      <c r="AB436" s="84"/>
      <c r="AC436" s="84"/>
      <c r="AD436" s="84"/>
      <c r="AE436" s="85"/>
      <c r="AF436" s="86"/>
      <c r="AG436" s="87"/>
      <c r="AH436" s="88"/>
    </row>
    <row r="437" spans="1:34" x14ac:dyDescent="0.25">
      <c r="A437" s="155" t="str">
        <f t="shared" si="14"/>
        <v/>
      </c>
      <c r="B437" s="155" t="str">
        <f t="shared" si="13"/>
        <v/>
      </c>
      <c r="D437" s="77"/>
      <c r="E437" s="78"/>
      <c r="F437" s="133"/>
      <c r="G437" s="38"/>
      <c r="H437" s="39"/>
      <c r="I437" s="40"/>
      <c r="J437" s="41"/>
      <c r="K437" s="42"/>
      <c r="L437" s="43"/>
      <c r="M437" s="79"/>
      <c r="N437" s="80"/>
      <c r="O437" s="81"/>
      <c r="P437" s="82"/>
      <c r="Q437" s="83"/>
      <c r="R437" s="84"/>
      <c r="S437" s="79"/>
      <c r="T437" s="80"/>
      <c r="U437" s="81"/>
      <c r="V437" s="82"/>
      <c r="W437" s="83"/>
      <c r="X437" s="84"/>
      <c r="Y437" s="84"/>
      <c r="Z437" s="84"/>
      <c r="AA437" s="84"/>
      <c r="AB437" s="84"/>
      <c r="AC437" s="84"/>
      <c r="AD437" s="84"/>
      <c r="AE437" s="85"/>
      <c r="AF437" s="86"/>
      <c r="AG437" s="87"/>
      <c r="AH437" s="88"/>
    </row>
    <row r="438" spans="1:34" x14ac:dyDescent="0.25">
      <c r="A438" s="155" t="str">
        <f t="shared" si="14"/>
        <v/>
      </c>
      <c r="B438" s="155" t="str">
        <f t="shared" si="13"/>
        <v/>
      </c>
      <c r="D438" s="77"/>
      <c r="E438" s="78"/>
      <c r="F438" s="133"/>
      <c r="G438" s="38"/>
      <c r="H438" s="39"/>
      <c r="I438" s="40"/>
      <c r="J438" s="41"/>
      <c r="K438" s="42"/>
      <c r="L438" s="43"/>
      <c r="M438" s="79"/>
      <c r="N438" s="80"/>
      <c r="O438" s="81"/>
      <c r="P438" s="82"/>
      <c r="Q438" s="83"/>
      <c r="R438" s="84"/>
      <c r="S438" s="79"/>
      <c r="T438" s="80"/>
      <c r="U438" s="81"/>
      <c r="V438" s="82"/>
      <c r="W438" s="83"/>
      <c r="X438" s="84"/>
      <c r="Y438" s="84"/>
      <c r="Z438" s="84"/>
      <c r="AA438" s="84"/>
      <c r="AB438" s="84"/>
      <c r="AC438" s="84"/>
      <c r="AD438" s="84"/>
      <c r="AE438" s="85"/>
      <c r="AF438" s="86"/>
      <c r="AG438" s="87"/>
      <c r="AH438" s="88"/>
    </row>
    <row r="439" spans="1:34" x14ac:dyDescent="0.25">
      <c r="A439" s="155" t="str">
        <f t="shared" si="14"/>
        <v/>
      </c>
      <c r="B439" s="155" t="str">
        <f t="shared" si="13"/>
        <v/>
      </c>
      <c r="D439" s="77"/>
      <c r="E439" s="78"/>
      <c r="F439" s="133"/>
      <c r="G439" s="38"/>
      <c r="H439" s="39"/>
      <c r="I439" s="40"/>
      <c r="J439" s="41"/>
      <c r="K439" s="42"/>
      <c r="L439" s="43"/>
      <c r="M439" s="79"/>
      <c r="N439" s="80"/>
      <c r="O439" s="81"/>
      <c r="P439" s="82"/>
      <c r="Q439" s="83"/>
      <c r="R439" s="84"/>
      <c r="S439" s="79"/>
      <c r="T439" s="80"/>
      <c r="U439" s="81"/>
      <c r="V439" s="82"/>
      <c r="W439" s="83"/>
      <c r="X439" s="84"/>
      <c r="Y439" s="84"/>
      <c r="Z439" s="84"/>
      <c r="AA439" s="84"/>
      <c r="AB439" s="84"/>
      <c r="AC439" s="84"/>
      <c r="AD439" s="84"/>
      <c r="AE439" s="85"/>
      <c r="AF439" s="86"/>
      <c r="AG439" s="87"/>
      <c r="AH439" s="88"/>
    </row>
    <row r="440" spans="1:34" x14ac:dyDescent="0.25">
      <c r="A440" s="155" t="str">
        <f t="shared" si="14"/>
        <v/>
      </c>
      <c r="B440" s="155" t="str">
        <f t="shared" si="13"/>
        <v/>
      </c>
      <c r="D440" s="77"/>
      <c r="E440" s="78"/>
      <c r="F440" s="133"/>
      <c r="G440" s="38"/>
      <c r="H440" s="39"/>
      <c r="I440" s="40"/>
      <c r="J440" s="41"/>
      <c r="K440" s="42"/>
      <c r="L440" s="43"/>
      <c r="M440" s="79"/>
      <c r="N440" s="80"/>
      <c r="O440" s="81"/>
      <c r="P440" s="82"/>
      <c r="Q440" s="83"/>
      <c r="R440" s="84"/>
      <c r="S440" s="79"/>
      <c r="T440" s="80"/>
      <c r="U440" s="81"/>
      <c r="V440" s="82"/>
      <c r="W440" s="83"/>
      <c r="X440" s="84"/>
      <c r="Y440" s="84"/>
      <c r="Z440" s="84"/>
      <c r="AA440" s="84"/>
      <c r="AB440" s="84"/>
      <c r="AC440" s="84"/>
      <c r="AD440" s="84"/>
      <c r="AE440" s="85"/>
      <c r="AF440" s="86"/>
      <c r="AG440" s="87"/>
      <c r="AH440" s="88"/>
    </row>
    <row r="441" spans="1:34" x14ac:dyDescent="0.25">
      <c r="A441" s="155" t="str">
        <f t="shared" si="14"/>
        <v/>
      </c>
      <c r="B441" s="155" t="str">
        <f t="shared" si="13"/>
        <v/>
      </c>
      <c r="D441" s="77"/>
      <c r="E441" s="78"/>
      <c r="F441" s="133"/>
      <c r="G441" s="38"/>
      <c r="H441" s="39"/>
      <c r="I441" s="40"/>
      <c r="J441" s="41"/>
      <c r="K441" s="42"/>
      <c r="L441" s="43"/>
      <c r="M441" s="79"/>
      <c r="N441" s="80"/>
      <c r="O441" s="81"/>
      <c r="P441" s="82"/>
      <c r="Q441" s="83"/>
      <c r="R441" s="84"/>
      <c r="S441" s="79"/>
      <c r="T441" s="80"/>
      <c r="U441" s="81"/>
      <c r="V441" s="82"/>
      <c r="W441" s="83"/>
      <c r="X441" s="84"/>
      <c r="Y441" s="84"/>
      <c r="Z441" s="84"/>
      <c r="AA441" s="84"/>
      <c r="AB441" s="84"/>
      <c r="AC441" s="84"/>
      <c r="AD441" s="84"/>
      <c r="AE441" s="85"/>
      <c r="AF441" s="86"/>
      <c r="AG441" s="87"/>
      <c r="AH441" s="88"/>
    </row>
    <row r="442" spans="1:34" x14ac:dyDescent="0.25">
      <c r="A442" s="155" t="str">
        <f t="shared" si="14"/>
        <v/>
      </c>
      <c r="B442" s="155" t="str">
        <f t="shared" si="13"/>
        <v/>
      </c>
      <c r="D442" s="77"/>
      <c r="E442" s="78"/>
      <c r="F442" s="133"/>
      <c r="G442" s="38"/>
      <c r="H442" s="39"/>
      <c r="I442" s="40"/>
      <c r="J442" s="41"/>
      <c r="K442" s="42"/>
      <c r="L442" s="43"/>
      <c r="M442" s="79"/>
      <c r="N442" s="80"/>
      <c r="O442" s="81"/>
      <c r="P442" s="82"/>
      <c r="Q442" s="83"/>
      <c r="R442" s="84"/>
      <c r="S442" s="79"/>
      <c r="T442" s="80"/>
      <c r="U442" s="81"/>
      <c r="V442" s="82"/>
      <c r="W442" s="83"/>
      <c r="X442" s="84"/>
      <c r="Y442" s="84"/>
      <c r="Z442" s="84"/>
      <c r="AA442" s="84"/>
      <c r="AB442" s="84"/>
      <c r="AC442" s="84"/>
      <c r="AD442" s="84"/>
      <c r="AE442" s="85"/>
      <c r="AF442" s="86"/>
      <c r="AG442" s="87"/>
      <c r="AH442" s="88"/>
    </row>
    <row r="443" spans="1:34" x14ac:dyDescent="0.25">
      <c r="A443" s="155" t="str">
        <f t="shared" si="14"/>
        <v/>
      </c>
      <c r="B443" s="155" t="str">
        <f t="shared" si="13"/>
        <v/>
      </c>
      <c r="D443" s="77"/>
      <c r="E443" s="78"/>
      <c r="F443" s="133"/>
      <c r="G443" s="38"/>
      <c r="H443" s="39"/>
      <c r="I443" s="40"/>
      <c r="J443" s="41"/>
      <c r="K443" s="42"/>
      <c r="L443" s="43"/>
      <c r="M443" s="79"/>
      <c r="N443" s="80"/>
      <c r="O443" s="81"/>
      <c r="P443" s="82"/>
      <c r="Q443" s="83"/>
      <c r="R443" s="84"/>
      <c r="S443" s="79"/>
      <c r="T443" s="80"/>
      <c r="U443" s="81"/>
      <c r="V443" s="82"/>
      <c r="W443" s="83"/>
      <c r="X443" s="84"/>
      <c r="Y443" s="84"/>
      <c r="Z443" s="84"/>
      <c r="AA443" s="84"/>
      <c r="AB443" s="84"/>
      <c r="AC443" s="84"/>
      <c r="AD443" s="84"/>
      <c r="AE443" s="85"/>
      <c r="AF443" s="86"/>
      <c r="AG443" s="87"/>
      <c r="AH443" s="88"/>
    </row>
    <row r="444" spans="1:34" x14ac:dyDescent="0.25">
      <c r="A444" s="155" t="str">
        <f t="shared" si="14"/>
        <v/>
      </c>
      <c r="B444" s="155" t="str">
        <f t="shared" si="13"/>
        <v/>
      </c>
      <c r="D444" s="77"/>
      <c r="E444" s="78"/>
      <c r="F444" s="133"/>
      <c r="G444" s="38"/>
      <c r="H444" s="39"/>
      <c r="I444" s="40"/>
      <c r="J444" s="41"/>
      <c r="K444" s="42"/>
      <c r="L444" s="43"/>
      <c r="M444" s="79"/>
      <c r="N444" s="80"/>
      <c r="O444" s="81"/>
      <c r="P444" s="82"/>
      <c r="Q444" s="83"/>
      <c r="R444" s="84"/>
      <c r="S444" s="79"/>
      <c r="T444" s="80"/>
      <c r="U444" s="81"/>
      <c r="V444" s="82"/>
      <c r="W444" s="83"/>
      <c r="X444" s="84"/>
      <c r="Y444" s="84"/>
      <c r="Z444" s="84"/>
      <c r="AA444" s="84"/>
      <c r="AB444" s="84"/>
      <c r="AC444" s="84"/>
      <c r="AD444" s="84"/>
      <c r="AE444" s="85"/>
      <c r="AF444" s="86"/>
      <c r="AG444" s="87"/>
      <c r="AH444" s="88"/>
    </row>
    <row r="445" spans="1:34" x14ac:dyDescent="0.25">
      <c r="A445" s="155" t="str">
        <f t="shared" si="14"/>
        <v/>
      </c>
      <c r="B445" s="155" t="str">
        <f t="shared" si="13"/>
        <v/>
      </c>
      <c r="D445" s="77"/>
      <c r="E445" s="78"/>
      <c r="F445" s="133"/>
      <c r="G445" s="38"/>
      <c r="H445" s="39"/>
      <c r="I445" s="40"/>
      <c r="J445" s="41"/>
      <c r="K445" s="42"/>
      <c r="L445" s="43"/>
      <c r="M445" s="79"/>
      <c r="N445" s="80"/>
      <c r="O445" s="81"/>
      <c r="P445" s="82"/>
      <c r="Q445" s="83"/>
      <c r="R445" s="84"/>
      <c r="S445" s="79"/>
      <c r="T445" s="80"/>
      <c r="U445" s="81"/>
      <c r="V445" s="82"/>
      <c r="W445" s="83"/>
      <c r="X445" s="84"/>
      <c r="Y445" s="84"/>
      <c r="Z445" s="84"/>
      <c r="AA445" s="84"/>
      <c r="AB445" s="84"/>
      <c r="AC445" s="84"/>
      <c r="AD445" s="84"/>
      <c r="AE445" s="85"/>
      <c r="AF445" s="86"/>
      <c r="AG445" s="87"/>
      <c r="AH445" s="88"/>
    </row>
    <row r="446" spans="1:34" x14ac:dyDescent="0.25">
      <c r="A446" s="155" t="str">
        <f t="shared" si="14"/>
        <v/>
      </c>
      <c r="B446" s="155" t="str">
        <f t="shared" si="13"/>
        <v/>
      </c>
      <c r="D446" s="77"/>
      <c r="E446" s="78"/>
      <c r="F446" s="133"/>
      <c r="G446" s="38"/>
      <c r="H446" s="39"/>
      <c r="I446" s="40"/>
      <c r="J446" s="41"/>
      <c r="K446" s="42"/>
      <c r="L446" s="43"/>
      <c r="M446" s="79"/>
      <c r="N446" s="80"/>
      <c r="O446" s="81"/>
      <c r="P446" s="82"/>
      <c r="Q446" s="83"/>
      <c r="R446" s="84"/>
      <c r="S446" s="79"/>
      <c r="T446" s="80"/>
      <c r="U446" s="81"/>
      <c r="V446" s="82"/>
      <c r="W446" s="83"/>
      <c r="X446" s="84"/>
      <c r="Y446" s="84"/>
      <c r="Z446" s="84"/>
      <c r="AA446" s="84"/>
      <c r="AB446" s="84"/>
      <c r="AC446" s="84"/>
      <c r="AD446" s="84"/>
      <c r="AE446" s="85"/>
      <c r="AF446" s="86"/>
      <c r="AG446" s="87"/>
      <c r="AH446" s="88"/>
    </row>
    <row r="447" spans="1:34" x14ac:dyDescent="0.25">
      <c r="A447" s="155" t="str">
        <f t="shared" si="14"/>
        <v/>
      </c>
      <c r="B447" s="155" t="str">
        <f t="shared" si="13"/>
        <v/>
      </c>
      <c r="D447" s="77"/>
      <c r="E447" s="78"/>
      <c r="F447" s="133"/>
      <c r="G447" s="38"/>
      <c r="H447" s="39"/>
      <c r="I447" s="40"/>
      <c r="J447" s="41"/>
      <c r="K447" s="42"/>
      <c r="L447" s="43"/>
      <c r="M447" s="79"/>
      <c r="N447" s="80"/>
      <c r="O447" s="81"/>
      <c r="P447" s="82"/>
      <c r="Q447" s="83"/>
      <c r="R447" s="84"/>
      <c r="S447" s="79"/>
      <c r="T447" s="80"/>
      <c r="U447" s="81"/>
      <c r="V447" s="82"/>
      <c r="W447" s="83"/>
      <c r="X447" s="84"/>
      <c r="Y447" s="84"/>
      <c r="Z447" s="84"/>
      <c r="AA447" s="84"/>
      <c r="AB447" s="84"/>
      <c r="AC447" s="84"/>
      <c r="AD447" s="84"/>
      <c r="AE447" s="85"/>
      <c r="AF447" s="86"/>
      <c r="AG447" s="87"/>
      <c r="AH447" s="88"/>
    </row>
    <row r="448" spans="1:34" x14ac:dyDescent="0.25">
      <c r="A448" s="155" t="str">
        <f t="shared" si="14"/>
        <v/>
      </c>
      <c r="B448" s="155" t="str">
        <f t="shared" si="13"/>
        <v/>
      </c>
      <c r="D448" s="77"/>
      <c r="E448" s="78"/>
      <c r="F448" s="133"/>
      <c r="G448" s="38"/>
      <c r="H448" s="39"/>
      <c r="I448" s="40"/>
      <c r="J448" s="41"/>
      <c r="K448" s="42"/>
      <c r="L448" s="43"/>
      <c r="M448" s="79"/>
      <c r="N448" s="80"/>
      <c r="O448" s="81"/>
      <c r="P448" s="82"/>
      <c r="Q448" s="83"/>
      <c r="R448" s="84"/>
      <c r="S448" s="79"/>
      <c r="T448" s="80"/>
      <c r="U448" s="81"/>
      <c r="V448" s="82"/>
      <c r="W448" s="83"/>
      <c r="X448" s="84"/>
      <c r="Y448" s="84"/>
      <c r="Z448" s="84"/>
      <c r="AA448" s="84"/>
      <c r="AB448" s="84"/>
      <c r="AC448" s="84"/>
      <c r="AD448" s="84"/>
      <c r="AE448" s="85"/>
      <c r="AF448" s="86"/>
      <c r="AG448" s="87"/>
      <c r="AH448" s="88"/>
    </row>
    <row r="449" spans="1:34" x14ac:dyDescent="0.25">
      <c r="A449" s="155" t="str">
        <f t="shared" si="14"/>
        <v/>
      </c>
      <c r="B449" s="155" t="str">
        <f t="shared" si="13"/>
        <v/>
      </c>
      <c r="D449" s="77"/>
      <c r="E449" s="78"/>
      <c r="F449" s="133"/>
      <c r="G449" s="38"/>
      <c r="H449" s="39"/>
      <c r="I449" s="40"/>
      <c r="J449" s="41"/>
      <c r="K449" s="42"/>
      <c r="L449" s="43"/>
      <c r="M449" s="79"/>
      <c r="N449" s="80"/>
      <c r="O449" s="81"/>
      <c r="P449" s="82"/>
      <c r="Q449" s="83"/>
      <c r="R449" s="84"/>
      <c r="S449" s="79"/>
      <c r="T449" s="80"/>
      <c r="U449" s="81"/>
      <c r="V449" s="82"/>
      <c r="W449" s="83"/>
      <c r="X449" s="84"/>
      <c r="Y449" s="84"/>
      <c r="Z449" s="84"/>
      <c r="AA449" s="84"/>
      <c r="AB449" s="84"/>
      <c r="AC449" s="84"/>
      <c r="AD449" s="84"/>
      <c r="AE449" s="85"/>
      <c r="AF449" s="86"/>
      <c r="AG449" s="87"/>
      <c r="AH449" s="88"/>
    </row>
    <row r="450" spans="1:34" x14ac:dyDescent="0.25">
      <c r="A450" s="155" t="str">
        <f t="shared" si="14"/>
        <v/>
      </c>
      <c r="B450" s="155" t="str">
        <f t="shared" si="13"/>
        <v/>
      </c>
      <c r="D450" s="77"/>
      <c r="E450" s="78"/>
      <c r="F450" s="133"/>
      <c r="G450" s="38"/>
      <c r="H450" s="39"/>
      <c r="I450" s="40"/>
      <c r="J450" s="41"/>
      <c r="K450" s="42"/>
      <c r="L450" s="43"/>
      <c r="M450" s="79"/>
      <c r="N450" s="80"/>
      <c r="O450" s="81"/>
      <c r="P450" s="82"/>
      <c r="Q450" s="83"/>
      <c r="R450" s="84"/>
      <c r="S450" s="79"/>
      <c r="T450" s="80"/>
      <c r="U450" s="81"/>
      <c r="V450" s="82"/>
      <c r="W450" s="83"/>
      <c r="X450" s="84"/>
      <c r="Y450" s="84"/>
      <c r="Z450" s="84"/>
      <c r="AA450" s="84"/>
      <c r="AB450" s="84"/>
      <c r="AC450" s="84"/>
      <c r="AD450" s="84"/>
      <c r="AE450" s="85"/>
      <c r="AF450" s="86"/>
      <c r="AG450" s="87"/>
      <c r="AH450" s="88"/>
    </row>
    <row r="451" spans="1:34" x14ac:dyDescent="0.25">
      <c r="A451" s="155" t="str">
        <f t="shared" si="14"/>
        <v/>
      </c>
      <c r="B451" s="155" t="str">
        <f t="shared" si="13"/>
        <v/>
      </c>
      <c r="D451" s="77"/>
      <c r="E451" s="78"/>
      <c r="F451" s="133"/>
      <c r="G451" s="38"/>
      <c r="H451" s="39"/>
      <c r="I451" s="40"/>
      <c r="J451" s="41"/>
      <c r="K451" s="42"/>
      <c r="L451" s="43"/>
      <c r="M451" s="79"/>
      <c r="N451" s="80"/>
      <c r="O451" s="81"/>
      <c r="P451" s="82"/>
      <c r="Q451" s="83"/>
      <c r="R451" s="84"/>
      <c r="S451" s="79"/>
      <c r="T451" s="80"/>
      <c r="U451" s="81"/>
      <c r="V451" s="82"/>
      <c r="W451" s="83"/>
      <c r="X451" s="84"/>
      <c r="Y451" s="84"/>
      <c r="Z451" s="84"/>
      <c r="AA451" s="84"/>
      <c r="AB451" s="84"/>
      <c r="AC451" s="84"/>
      <c r="AD451" s="84"/>
      <c r="AE451" s="85"/>
      <c r="AF451" s="86"/>
      <c r="AG451" s="87"/>
      <c r="AH451" s="88"/>
    </row>
    <row r="452" spans="1:34" x14ac:dyDescent="0.25">
      <c r="A452" s="155" t="str">
        <f t="shared" si="14"/>
        <v/>
      </c>
      <c r="B452" s="155" t="str">
        <f t="shared" si="13"/>
        <v/>
      </c>
      <c r="D452" s="77"/>
      <c r="E452" s="78"/>
      <c r="F452" s="133"/>
      <c r="G452" s="38"/>
      <c r="H452" s="39"/>
      <c r="I452" s="40"/>
      <c r="J452" s="41"/>
      <c r="K452" s="42"/>
      <c r="L452" s="43"/>
      <c r="M452" s="79"/>
      <c r="N452" s="80"/>
      <c r="O452" s="81"/>
      <c r="P452" s="82"/>
      <c r="Q452" s="83"/>
      <c r="R452" s="84"/>
      <c r="S452" s="79"/>
      <c r="T452" s="80"/>
      <c r="U452" s="81"/>
      <c r="V452" s="82"/>
      <c r="W452" s="83"/>
      <c r="X452" s="84"/>
      <c r="Y452" s="84"/>
      <c r="Z452" s="84"/>
      <c r="AA452" s="84"/>
      <c r="AB452" s="84"/>
      <c r="AC452" s="84"/>
      <c r="AD452" s="84"/>
      <c r="AE452" s="85"/>
      <c r="AF452" s="86"/>
      <c r="AG452" s="87"/>
      <c r="AH452" s="88"/>
    </row>
    <row r="453" spans="1:34" x14ac:dyDescent="0.25">
      <c r="A453" s="155" t="str">
        <f t="shared" si="14"/>
        <v/>
      </c>
      <c r="B453" s="155" t="str">
        <f t="shared" ref="B453:B505" si="15">IF(A453="","",COUNTA(G453:L453)-A453)</f>
        <v/>
      </c>
      <c r="D453" s="77"/>
      <c r="E453" s="78"/>
      <c r="F453" s="133"/>
      <c r="G453" s="38"/>
      <c r="H453" s="39"/>
      <c r="I453" s="40"/>
      <c r="J453" s="41"/>
      <c r="K453" s="42"/>
      <c r="L453" s="43"/>
      <c r="M453" s="79"/>
      <c r="N453" s="80"/>
      <c r="O453" s="81"/>
      <c r="P453" s="82"/>
      <c r="Q453" s="83"/>
      <c r="R453" s="84"/>
      <c r="S453" s="79"/>
      <c r="T453" s="80"/>
      <c r="U453" s="81"/>
      <c r="V453" s="82"/>
      <c r="W453" s="83"/>
      <c r="X453" s="84"/>
      <c r="Y453" s="84"/>
      <c r="Z453" s="84"/>
      <c r="AA453" s="84"/>
      <c r="AB453" s="84"/>
      <c r="AC453" s="84"/>
      <c r="AD453" s="84"/>
      <c r="AE453" s="85"/>
      <c r="AF453" s="86"/>
      <c r="AG453" s="87"/>
      <c r="AH453" s="88"/>
    </row>
    <row r="454" spans="1:34" x14ac:dyDescent="0.25">
      <c r="A454" s="155" t="str">
        <f t="shared" si="14"/>
        <v/>
      </c>
      <c r="B454" s="155" t="str">
        <f t="shared" si="15"/>
        <v/>
      </c>
      <c r="D454" s="77"/>
      <c r="E454" s="78"/>
      <c r="F454" s="133"/>
      <c r="G454" s="38"/>
      <c r="H454" s="39"/>
      <c r="I454" s="40"/>
      <c r="J454" s="41"/>
      <c r="K454" s="42"/>
      <c r="L454" s="43"/>
      <c r="M454" s="79"/>
      <c r="N454" s="80"/>
      <c r="O454" s="81"/>
      <c r="P454" s="82"/>
      <c r="Q454" s="83"/>
      <c r="R454" s="84"/>
      <c r="S454" s="79"/>
      <c r="T454" s="80"/>
      <c r="U454" s="81"/>
      <c r="V454" s="82"/>
      <c r="W454" s="83"/>
      <c r="X454" s="84"/>
      <c r="Y454" s="84"/>
      <c r="Z454" s="84"/>
      <c r="AA454" s="84"/>
      <c r="AB454" s="84"/>
      <c r="AC454" s="84"/>
      <c r="AD454" s="84"/>
      <c r="AE454" s="85"/>
      <c r="AF454" s="86"/>
      <c r="AG454" s="87"/>
      <c r="AH454" s="88"/>
    </row>
    <row r="455" spans="1:34" x14ac:dyDescent="0.25">
      <c r="A455" s="155" t="str">
        <f t="shared" ref="A455:A505" si="16">IF(COUNTIF(S455:X455,"&gt;0")=0,"",COUNTIF(S455:X455,"&gt;0"))</f>
        <v/>
      </c>
      <c r="B455" s="155" t="str">
        <f t="shared" si="15"/>
        <v/>
      </c>
      <c r="D455" s="77"/>
      <c r="E455" s="78"/>
      <c r="F455" s="133"/>
      <c r="G455" s="38"/>
      <c r="H455" s="39"/>
      <c r="I455" s="40"/>
      <c r="J455" s="41"/>
      <c r="K455" s="42"/>
      <c r="L455" s="43"/>
      <c r="M455" s="79"/>
      <c r="N455" s="80"/>
      <c r="O455" s="81"/>
      <c r="P455" s="82"/>
      <c r="Q455" s="83"/>
      <c r="R455" s="84"/>
      <c r="S455" s="79"/>
      <c r="T455" s="80"/>
      <c r="U455" s="81"/>
      <c r="V455" s="82"/>
      <c r="W455" s="83"/>
      <c r="X455" s="84"/>
      <c r="Y455" s="84"/>
      <c r="Z455" s="84"/>
      <c r="AA455" s="84"/>
      <c r="AB455" s="84"/>
      <c r="AC455" s="84"/>
      <c r="AD455" s="84"/>
      <c r="AE455" s="85"/>
      <c r="AF455" s="86"/>
      <c r="AG455" s="87"/>
      <c r="AH455" s="88"/>
    </row>
    <row r="456" spans="1:34" x14ac:dyDescent="0.25">
      <c r="A456" s="155" t="str">
        <f t="shared" si="16"/>
        <v/>
      </c>
      <c r="B456" s="155" t="str">
        <f t="shared" si="15"/>
        <v/>
      </c>
      <c r="D456" s="77"/>
      <c r="E456" s="78"/>
      <c r="F456" s="133"/>
      <c r="G456" s="38"/>
      <c r="H456" s="39"/>
      <c r="I456" s="40"/>
      <c r="J456" s="41"/>
      <c r="K456" s="42"/>
      <c r="L456" s="43"/>
      <c r="M456" s="79"/>
      <c r="N456" s="80"/>
      <c r="O456" s="81"/>
      <c r="P456" s="82"/>
      <c r="Q456" s="83"/>
      <c r="R456" s="84"/>
      <c r="S456" s="79"/>
      <c r="T456" s="80"/>
      <c r="U456" s="81"/>
      <c r="V456" s="82"/>
      <c r="W456" s="83"/>
      <c r="X456" s="84"/>
      <c r="Y456" s="84"/>
      <c r="Z456" s="84"/>
      <c r="AA456" s="84"/>
      <c r="AB456" s="84"/>
      <c r="AC456" s="84"/>
      <c r="AD456" s="84"/>
      <c r="AE456" s="85"/>
      <c r="AF456" s="86"/>
      <c r="AG456" s="87"/>
      <c r="AH456" s="88"/>
    </row>
    <row r="457" spans="1:34" x14ac:dyDescent="0.25">
      <c r="A457" s="155" t="str">
        <f t="shared" si="16"/>
        <v/>
      </c>
      <c r="B457" s="155" t="str">
        <f t="shared" si="15"/>
        <v/>
      </c>
      <c r="D457" s="77"/>
      <c r="E457" s="78"/>
      <c r="F457" s="133"/>
      <c r="G457" s="38"/>
      <c r="H457" s="39"/>
      <c r="I457" s="40"/>
      <c r="J457" s="41"/>
      <c r="K457" s="42"/>
      <c r="L457" s="43"/>
      <c r="M457" s="79"/>
      <c r="N457" s="80"/>
      <c r="O457" s="81"/>
      <c r="P457" s="82"/>
      <c r="Q457" s="83"/>
      <c r="R457" s="84"/>
      <c r="S457" s="79"/>
      <c r="T457" s="80"/>
      <c r="U457" s="81"/>
      <c r="V457" s="82"/>
      <c r="W457" s="83"/>
      <c r="X457" s="84"/>
      <c r="Y457" s="84"/>
      <c r="Z457" s="84"/>
      <c r="AA457" s="84"/>
      <c r="AB457" s="84"/>
      <c r="AC457" s="84"/>
      <c r="AD457" s="84"/>
      <c r="AE457" s="85"/>
      <c r="AF457" s="86"/>
      <c r="AG457" s="87"/>
      <c r="AH457" s="88"/>
    </row>
    <row r="458" spans="1:34" x14ac:dyDescent="0.25">
      <c r="A458" s="155" t="str">
        <f t="shared" si="16"/>
        <v/>
      </c>
      <c r="B458" s="155" t="str">
        <f t="shared" si="15"/>
        <v/>
      </c>
      <c r="D458" s="77"/>
      <c r="E458" s="78"/>
      <c r="F458" s="133"/>
      <c r="G458" s="38"/>
      <c r="H458" s="39"/>
      <c r="I458" s="40"/>
      <c r="J458" s="41"/>
      <c r="K458" s="42"/>
      <c r="L458" s="43"/>
      <c r="M458" s="79"/>
      <c r="N458" s="80"/>
      <c r="O458" s="81"/>
      <c r="P458" s="82"/>
      <c r="Q458" s="83"/>
      <c r="R458" s="84"/>
      <c r="S458" s="79"/>
      <c r="T458" s="80"/>
      <c r="U458" s="81"/>
      <c r="V458" s="82"/>
      <c r="W458" s="83"/>
      <c r="X458" s="84"/>
      <c r="Y458" s="84"/>
      <c r="Z458" s="84"/>
      <c r="AA458" s="84"/>
      <c r="AB458" s="84"/>
      <c r="AC458" s="84"/>
      <c r="AD458" s="84"/>
      <c r="AE458" s="85"/>
      <c r="AF458" s="86"/>
      <c r="AG458" s="87"/>
      <c r="AH458" s="88"/>
    </row>
    <row r="459" spans="1:34" x14ac:dyDescent="0.25">
      <c r="A459" s="155" t="str">
        <f t="shared" si="16"/>
        <v/>
      </c>
      <c r="B459" s="155" t="str">
        <f t="shared" si="15"/>
        <v/>
      </c>
      <c r="D459" s="77"/>
      <c r="E459" s="78"/>
      <c r="F459" s="133"/>
      <c r="G459" s="38"/>
      <c r="H459" s="39"/>
      <c r="I459" s="40"/>
      <c r="J459" s="41"/>
      <c r="K459" s="42"/>
      <c r="L459" s="43"/>
      <c r="M459" s="79"/>
      <c r="N459" s="80"/>
      <c r="O459" s="81"/>
      <c r="P459" s="82"/>
      <c r="Q459" s="83"/>
      <c r="R459" s="84"/>
      <c r="S459" s="79"/>
      <c r="T459" s="80"/>
      <c r="U459" s="81"/>
      <c r="V459" s="82"/>
      <c r="W459" s="83"/>
      <c r="X459" s="84"/>
      <c r="Y459" s="84"/>
      <c r="Z459" s="84"/>
      <c r="AA459" s="84"/>
      <c r="AB459" s="84"/>
      <c r="AC459" s="84"/>
      <c r="AD459" s="84"/>
      <c r="AE459" s="85"/>
      <c r="AF459" s="86"/>
      <c r="AG459" s="87"/>
      <c r="AH459" s="88"/>
    </row>
    <row r="460" spans="1:34" x14ac:dyDescent="0.25">
      <c r="A460" s="155" t="str">
        <f t="shared" si="16"/>
        <v/>
      </c>
      <c r="B460" s="155" t="str">
        <f t="shared" si="15"/>
        <v/>
      </c>
      <c r="D460" s="77"/>
      <c r="E460" s="78"/>
      <c r="F460" s="133"/>
      <c r="G460" s="38"/>
      <c r="H460" s="39"/>
      <c r="I460" s="40"/>
      <c r="J460" s="41"/>
      <c r="K460" s="42"/>
      <c r="L460" s="43"/>
      <c r="M460" s="79"/>
      <c r="N460" s="80"/>
      <c r="O460" s="81"/>
      <c r="P460" s="82"/>
      <c r="Q460" s="83"/>
      <c r="R460" s="84"/>
      <c r="S460" s="79"/>
      <c r="T460" s="80"/>
      <c r="U460" s="81"/>
      <c r="V460" s="82"/>
      <c r="W460" s="83"/>
      <c r="X460" s="84"/>
      <c r="Y460" s="84"/>
      <c r="Z460" s="84"/>
      <c r="AA460" s="84"/>
      <c r="AB460" s="84"/>
      <c r="AC460" s="84"/>
      <c r="AD460" s="84"/>
      <c r="AE460" s="85"/>
      <c r="AF460" s="86"/>
      <c r="AG460" s="87"/>
      <c r="AH460" s="88"/>
    </row>
    <row r="461" spans="1:34" x14ac:dyDescent="0.25">
      <c r="A461" s="155" t="str">
        <f t="shared" si="16"/>
        <v/>
      </c>
      <c r="B461" s="155" t="str">
        <f t="shared" si="15"/>
        <v/>
      </c>
      <c r="D461" s="77"/>
      <c r="E461" s="78"/>
      <c r="F461" s="133"/>
      <c r="G461" s="38"/>
      <c r="H461" s="39"/>
      <c r="I461" s="40"/>
      <c r="J461" s="41"/>
      <c r="K461" s="42"/>
      <c r="L461" s="43"/>
      <c r="M461" s="79"/>
      <c r="N461" s="80"/>
      <c r="O461" s="81"/>
      <c r="P461" s="82"/>
      <c r="Q461" s="83"/>
      <c r="R461" s="84"/>
      <c r="S461" s="79"/>
      <c r="T461" s="80"/>
      <c r="U461" s="81"/>
      <c r="V461" s="82"/>
      <c r="W461" s="83"/>
      <c r="X461" s="84"/>
      <c r="Y461" s="84"/>
      <c r="Z461" s="84"/>
      <c r="AA461" s="84"/>
      <c r="AB461" s="84"/>
      <c r="AC461" s="84"/>
      <c r="AD461" s="84"/>
      <c r="AE461" s="85"/>
      <c r="AF461" s="86"/>
      <c r="AG461" s="87"/>
      <c r="AH461" s="88"/>
    </row>
    <row r="462" spans="1:34" x14ac:dyDescent="0.25">
      <c r="A462" s="155" t="str">
        <f t="shared" si="16"/>
        <v/>
      </c>
      <c r="B462" s="155" t="str">
        <f t="shared" si="15"/>
        <v/>
      </c>
      <c r="D462" s="77"/>
      <c r="E462" s="78"/>
      <c r="F462" s="133"/>
      <c r="G462" s="38"/>
      <c r="H462" s="39"/>
      <c r="I462" s="40"/>
      <c r="J462" s="41"/>
      <c r="K462" s="42"/>
      <c r="L462" s="43"/>
      <c r="M462" s="79"/>
      <c r="N462" s="80"/>
      <c r="O462" s="81"/>
      <c r="P462" s="82"/>
      <c r="Q462" s="83"/>
      <c r="R462" s="84"/>
      <c r="S462" s="79"/>
      <c r="T462" s="80"/>
      <c r="U462" s="81"/>
      <c r="V462" s="82"/>
      <c r="W462" s="83"/>
      <c r="X462" s="84"/>
      <c r="Y462" s="84"/>
      <c r="Z462" s="84"/>
      <c r="AA462" s="84"/>
      <c r="AB462" s="84"/>
      <c r="AC462" s="84"/>
      <c r="AD462" s="84"/>
      <c r="AE462" s="85"/>
      <c r="AF462" s="86"/>
      <c r="AG462" s="87"/>
      <c r="AH462" s="88"/>
    </row>
    <row r="463" spans="1:34" x14ac:dyDescent="0.25">
      <c r="A463" s="155" t="str">
        <f t="shared" si="16"/>
        <v/>
      </c>
      <c r="B463" s="155" t="str">
        <f t="shared" si="15"/>
        <v/>
      </c>
      <c r="D463" s="77"/>
      <c r="E463" s="78"/>
      <c r="F463" s="133"/>
      <c r="G463" s="38"/>
      <c r="H463" s="39"/>
      <c r="I463" s="40"/>
      <c r="J463" s="41"/>
      <c r="K463" s="42"/>
      <c r="L463" s="43"/>
      <c r="M463" s="79"/>
      <c r="N463" s="80"/>
      <c r="O463" s="81"/>
      <c r="P463" s="82"/>
      <c r="Q463" s="83"/>
      <c r="R463" s="84"/>
      <c r="S463" s="79"/>
      <c r="T463" s="80"/>
      <c r="U463" s="81"/>
      <c r="V463" s="82"/>
      <c r="W463" s="83"/>
      <c r="X463" s="84"/>
      <c r="Y463" s="84"/>
      <c r="Z463" s="84"/>
      <c r="AA463" s="84"/>
      <c r="AB463" s="84"/>
      <c r="AC463" s="84"/>
      <c r="AD463" s="84"/>
      <c r="AE463" s="85"/>
      <c r="AF463" s="86"/>
      <c r="AG463" s="87"/>
      <c r="AH463" s="88"/>
    </row>
    <row r="464" spans="1:34" x14ac:dyDescent="0.25">
      <c r="A464" s="155" t="str">
        <f t="shared" si="16"/>
        <v/>
      </c>
      <c r="B464" s="155" t="str">
        <f t="shared" si="15"/>
        <v/>
      </c>
      <c r="D464" s="77"/>
      <c r="E464" s="78"/>
      <c r="F464" s="133"/>
      <c r="G464" s="38"/>
      <c r="H464" s="39"/>
      <c r="I464" s="40"/>
      <c r="J464" s="41"/>
      <c r="K464" s="42"/>
      <c r="L464" s="43"/>
      <c r="M464" s="79"/>
      <c r="N464" s="80"/>
      <c r="O464" s="81"/>
      <c r="P464" s="82"/>
      <c r="Q464" s="83"/>
      <c r="R464" s="84"/>
      <c r="S464" s="79"/>
      <c r="T464" s="80"/>
      <c r="U464" s="81"/>
      <c r="V464" s="82"/>
      <c r="W464" s="83"/>
      <c r="X464" s="84"/>
      <c r="Y464" s="84"/>
      <c r="Z464" s="84"/>
      <c r="AA464" s="84"/>
      <c r="AB464" s="84"/>
      <c r="AC464" s="84"/>
      <c r="AD464" s="84"/>
      <c r="AE464" s="85"/>
      <c r="AF464" s="86"/>
      <c r="AG464" s="87"/>
      <c r="AH464" s="88"/>
    </row>
    <row r="465" spans="1:34" x14ac:dyDescent="0.25">
      <c r="A465" s="155" t="str">
        <f t="shared" si="16"/>
        <v/>
      </c>
      <c r="B465" s="155" t="str">
        <f t="shared" si="15"/>
        <v/>
      </c>
      <c r="D465" s="77"/>
      <c r="E465" s="78"/>
      <c r="F465" s="133"/>
      <c r="G465" s="38"/>
      <c r="H465" s="39"/>
      <c r="I465" s="40"/>
      <c r="J465" s="41"/>
      <c r="K465" s="42"/>
      <c r="L465" s="43"/>
      <c r="M465" s="79"/>
      <c r="N465" s="80"/>
      <c r="O465" s="81"/>
      <c r="P465" s="82"/>
      <c r="Q465" s="83"/>
      <c r="R465" s="84"/>
      <c r="S465" s="79"/>
      <c r="T465" s="80"/>
      <c r="U465" s="81"/>
      <c r="V465" s="82"/>
      <c r="W465" s="83"/>
      <c r="X465" s="84"/>
      <c r="Y465" s="84"/>
      <c r="Z465" s="84"/>
      <c r="AA465" s="84"/>
      <c r="AB465" s="84"/>
      <c r="AC465" s="84"/>
      <c r="AD465" s="84"/>
      <c r="AE465" s="85"/>
      <c r="AF465" s="86"/>
      <c r="AG465" s="87"/>
      <c r="AH465" s="88"/>
    </row>
    <row r="466" spans="1:34" x14ac:dyDescent="0.25">
      <c r="A466" s="155" t="str">
        <f t="shared" si="16"/>
        <v/>
      </c>
      <c r="B466" s="155" t="str">
        <f t="shared" si="15"/>
        <v/>
      </c>
      <c r="D466" s="77"/>
      <c r="E466" s="78"/>
      <c r="F466" s="133"/>
      <c r="G466" s="38"/>
      <c r="H466" s="39"/>
      <c r="I466" s="40"/>
      <c r="J466" s="41"/>
      <c r="K466" s="42"/>
      <c r="L466" s="43"/>
      <c r="M466" s="79"/>
      <c r="N466" s="80"/>
      <c r="O466" s="81"/>
      <c r="P466" s="82"/>
      <c r="Q466" s="83"/>
      <c r="R466" s="84"/>
      <c r="S466" s="79"/>
      <c r="T466" s="80"/>
      <c r="U466" s="81"/>
      <c r="V466" s="82"/>
      <c r="W466" s="83"/>
      <c r="X466" s="84"/>
      <c r="Y466" s="84"/>
      <c r="Z466" s="84"/>
      <c r="AA466" s="84"/>
      <c r="AB466" s="84"/>
      <c r="AC466" s="84"/>
      <c r="AD466" s="84"/>
      <c r="AE466" s="85"/>
      <c r="AF466" s="86"/>
      <c r="AG466" s="87"/>
      <c r="AH466" s="88"/>
    </row>
    <row r="467" spans="1:34" x14ac:dyDescent="0.25">
      <c r="A467" s="155" t="str">
        <f t="shared" si="16"/>
        <v/>
      </c>
      <c r="B467" s="155" t="str">
        <f t="shared" si="15"/>
        <v/>
      </c>
      <c r="D467" s="77"/>
      <c r="E467" s="78"/>
      <c r="F467" s="133"/>
      <c r="G467" s="38"/>
      <c r="H467" s="39"/>
      <c r="I467" s="40"/>
      <c r="J467" s="41"/>
      <c r="K467" s="42"/>
      <c r="L467" s="43"/>
      <c r="M467" s="79"/>
      <c r="N467" s="80"/>
      <c r="O467" s="81"/>
      <c r="P467" s="82"/>
      <c r="Q467" s="83"/>
      <c r="R467" s="84"/>
      <c r="S467" s="79"/>
      <c r="T467" s="80"/>
      <c r="U467" s="81"/>
      <c r="V467" s="82"/>
      <c r="W467" s="83"/>
      <c r="X467" s="84"/>
      <c r="Y467" s="84"/>
      <c r="Z467" s="84"/>
      <c r="AA467" s="84"/>
      <c r="AB467" s="84"/>
      <c r="AC467" s="84"/>
      <c r="AD467" s="84"/>
      <c r="AE467" s="85"/>
      <c r="AF467" s="86"/>
      <c r="AG467" s="87"/>
      <c r="AH467" s="88"/>
    </row>
    <row r="468" spans="1:34" x14ac:dyDescent="0.25">
      <c r="A468" s="155" t="str">
        <f t="shared" si="16"/>
        <v/>
      </c>
      <c r="B468" s="155" t="str">
        <f t="shared" si="15"/>
        <v/>
      </c>
      <c r="D468" s="77"/>
      <c r="E468" s="78"/>
      <c r="F468" s="133"/>
      <c r="G468" s="38"/>
      <c r="H468" s="39"/>
      <c r="I468" s="40"/>
      <c r="J468" s="41"/>
      <c r="K468" s="42"/>
      <c r="L468" s="43"/>
      <c r="M468" s="79"/>
      <c r="N468" s="80"/>
      <c r="O468" s="81"/>
      <c r="P468" s="82"/>
      <c r="Q468" s="83"/>
      <c r="R468" s="84"/>
      <c r="S468" s="79"/>
      <c r="T468" s="80"/>
      <c r="U468" s="81"/>
      <c r="V468" s="82"/>
      <c r="W468" s="83"/>
      <c r="X468" s="84"/>
      <c r="Y468" s="84"/>
      <c r="Z468" s="84"/>
      <c r="AA468" s="84"/>
      <c r="AB468" s="84"/>
      <c r="AC468" s="84"/>
      <c r="AD468" s="84"/>
      <c r="AE468" s="85"/>
      <c r="AF468" s="86"/>
      <c r="AG468" s="87"/>
      <c r="AH468" s="88"/>
    </row>
    <row r="469" spans="1:34" x14ac:dyDescent="0.25">
      <c r="A469" s="155" t="str">
        <f t="shared" si="16"/>
        <v/>
      </c>
      <c r="B469" s="155" t="str">
        <f t="shared" si="15"/>
        <v/>
      </c>
      <c r="D469" s="77"/>
      <c r="E469" s="78"/>
      <c r="F469" s="133"/>
      <c r="G469" s="38"/>
      <c r="H469" s="39"/>
      <c r="I469" s="40"/>
      <c r="J469" s="41"/>
      <c r="K469" s="42"/>
      <c r="L469" s="43"/>
      <c r="M469" s="79"/>
      <c r="N469" s="80"/>
      <c r="O469" s="81"/>
      <c r="P469" s="82"/>
      <c r="Q469" s="83"/>
      <c r="R469" s="84"/>
      <c r="S469" s="79"/>
      <c r="T469" s="80"/>
      <c r="U469" s="81"/>
      <c r="V469" s="82"/>
      <c r="W469" s="83"/>
      <c r="X469" s="84"/>
      <c r="Y469" s="84"/>
      <c r="Z469" s="84"/>
      <c r="AA469" s="84"/>
      <c r="AB469" s="84"/>
      <c r="AC469" s="84"/>
      <c r="AD469" s="84"/>
      <c r="AE469" s="85"/>
      <c r="AF469" s="86"/>
      <c r="AG469" s="87"/>
      <c r="AH469" s="88"/>
    </row>
    <row r="470" spans="1:34" x14ac:dyDescent="0.25">
      <c r="A470" s="155" t="str">
        <f t="shared" si="16"/>
        <v/>
      </c>
      <c r="B470" s="155" t="str">
        <f t="shared" si="15"/>
        <v/>
      </c>
      <c r="D470" s="77"/>
      <c r="E470" s="78"/>
      <c r="F470" s="133"/>
      <c r="G470" s="38"/>
      <c r="H470" s="39"/>
      <c r="I470" s="40"/>
      <c r="J470" s="41"/>
      <c r="K470" s="42"/>
      <c r="L470" s="43"/>
      <c r="M470" s="79"/>
      <c r="N470" s="80"/>
      <c r="O470" s="81"/>
      <c r="P470" s="82"/>
      <c r="Q470" s="83"/>
      <c r="R470" s="84"/>
      <c r="S470" s="79"/>
      <c r="T470" s="80"/>
      <c r="U470" s="81"/>
      <c r="V470" s="82"/>
      <c r="W470" s="83"/>
      <c r="X470" s="84"/>
      <c r="Y470" s="84"/>
      <c r="Z470" s="84"/>
      <c r="AA470" s="84"/>
      <c r="AB470" s="84"/>
      <c r="AC470" s="84"/>
      <c r="AD470" s="84"/>
      <c r="AE470" s="85"/>
      <c r="AF470" s="86"/>
      <c r="AG470" s="87"/>
      <c r="AH470" s="88"/>
    </row>
    <row r="471" spans="1:34" x14ac:dyDescent="0.25">
      <c r="A471" s="155" t="str">
        <f t="shared" si="16"/>
        <v/>
      </c>
      <c r="B471" s="155" t="str">
        <f t="shared" si="15"/>
        <v/>
      </c>
      <c r="D471" s="77"/>
      <c r="E471" s="78"/>
      <c r="F471" s="133"/>
      <c r="G471" s="38"/>
      <c r="H471" s="39"/>
      <c r="I471" s="40"/>
      <c r="J471" s="41"/>
      <c r="K471" s="42"/>
      <c r="L471" s="43"/>
      <c r="M471" s="79"/>
      <c r="N471" s="80"/>
      <c r="O471" s="81"/>
      <c r="P471" s="82"/>
      <c r="Q471" s="83"/>
      <c r="R471" s="84"/>
      <c r="S471" s="79"/>
      <c r="T471" s="80"/>
      <c r="U471" s="81"/>
      <c r="V471" s="82"/>
      <c r="W471" s="83"/>
      <c r="X471" s="84"/>
      <c r="Y471" s="84"/>
      <c r="Z471" s="84"/>
      <c r="AA471" s="84"/>
      <c r="AB471" s="84"/>
      <c r="AC471" s="84"/>
      <c r="AD471" s="84"/>
      <c r="AE471" s="85"/>
      <c r="AF471" s="86"/>
      <c r="AG471" s="87"/>
      <c r="AH471" s="88"/>
    </row>
    <row r="472" spans="1:34" x14ac:dyDescent="0.25">
      <c r="A472" s="155" t="str">
        <f t="shared" si="16"/>
        <v/>
      </c>
      <c r="B472" s="155" t="str">
        <f t="shared" si="15"/>
        <v/>
      </c>
      <c r="D472" s="77"/>
      <c r="E472" s="78"/>
      <c r="F472" s="133"/>
      <c r="G472" s="38"/>
      <c r="H472" s="39"/>
      <c r="I472" s="40"/>
      <c r="J472" s="41"/>
      <c r="K472" s="42"/>
      <c r="L472" s="43"/>
      <c r="M472" s="79"/>
      <c r="N472" s="80"/>
      <c r="O472" s="81"/>
      <c r="P472" s="82"/>
      <c r="Q472" s="83"/>
      <c r="R472" s="84"/>
      <c r="S472" s="79"/>
      <c r="T472" s="80"/>
      <c r="U472" s="81"/>
      <c r="V472" s="82"/>
      <c r="W472" s="83"/>
      <c r="X472" s="84"/>
      <c r="Y472" s="84"/>
      <c r="Z472" s="84"/>
      <c r="AA472" s="84"/>
      <c r="AB472" s="84"/>
      <c r="AC472" s="84"/>
      <c r="AD472" s="84"/>
      <c r="AE472" s="85"/>
      <c r="AF472" s="86"/>
      <c r="AG472" s="87"/>
      <c r="AH472" s="88"/>
    </row>
    <row r="473" spans="1:34" x14ac:dyDescent="0.25">
      <c r="A473" s="155" t="str">
        <f t="shared" si="16"/>
        <v/>
      </c>
      <c r="B473" s="155" t="str">
        <f t="shared" si="15"/>
        <v/>
      </c>
      <c r="D473" s="77"/>
      <c r="E473" s="78"/>
      <c r="F473" s="133"/>
      <c r="G473" s="38"/>
      <c r="H473" s="39"/>
      <c r="I473" s="40"/>
      <c r="J473" s="41"/>
      <c r="K473" s="42"/>
      <c r="L473" s="43"/>
      <c r="M473" s="79"/>
      <c r="N473" s="80"/>
      <c r="O473" s="81"/>
      <c r="P473" s="82"/>
      <c r="Q473" s="83"/>
      <c r="R473" s="84"/>
      <c r="S473" s="79"/>
      <c r="T473" s="80"/>
      <c r="U473" s="81"/>
      <c r="V473" s="82"/>
      <c r="W473" s="83"/>
      <c r="X473" s="84"/>
      <c r="Y473" s="84"/>
      <c r="Z473" s="84"/>
      <c r="AA473" s="84"/>
      <c r="AB473" s="84"/>
      <c r="AC473" s="84"/>
      <c r="AD473" s="84"/>
      <c r="AE473" s="85"/>
      <c r="AF473" s="86"/>
      <c r="AG473" s="87"/>
      <c r="AH473" s="88"/>
    </row>
    <row r="474" spans="1:34" x14ac:dyDescent="0.25">
      <c r="A474" s="155" t="str">
        <f t="shared" si="16"/>
        <v/>
      </c>
      <c r="B474" s="155" t="str">
        <f t="shared" si="15"/>
        <v/>
      </c>
      <c r="D474" s="77"/>
      <c r="E474" s="78"/>
      <c r="F474" s="133"/>
      <c r="G474" s="38"/>
      <c r="H474" s="39"/>
      <c r="I474" s="40"/>
      <c r="J474" s="41"/>
      <c r="K474" s="42"/>
      <c r="L474" s="43"/>
      <c r="M474" s="79"/>
      <c r="N474" s="80"/>
      <c r="O474" s="81"/>
      <c r="P474" s="82"/>
      <c r="Q474" s="83"/>
      <c r="R474" s="84"/>
      <c r="S474" s="79"/>
      <c r="T474" s="80"/>
      <c r="U474" s="81"/>
      <c r="V474" s="82"/>
      <c r="W474" s="83"/>
      <c r="X474" s="84"/>
      <c r="Y474" s="84"/>
      <c r="Z474" s="84"/>
      <c r="AA474" s="84"/>
      <c r="AB474" s="84"/>
      <c r="AC474" s="84"/>
      <c r="AD474" s="84"/>
      <c r="AE474" s="85"/>
      <c r="AF474" s="86"/>
      <c r="AG474" s="87"/>
      <c r="AH474" s="88"/>
    </row>
    <row r="475" spans="1:34" x14ac:dyDescent="0.25">
      <c r="A475" s="155" t="str">
        <f t="shared" si="16"/>
        <v/>
      </c>
      <c r="B475" s="155" t="str">
        <f t="shared" si="15"/>
        <v/>
      </c>
      <c r="D475" s="77"/>
      <c r="E475" s="78"/>
      <c r="F475" s="133"/>
      <c r="G475" s="38"/>
      <c r="H475" s="39"/>
      <c r="I475" s="40"/>
      <c r="J475" s="41"/>
      <c r="K475" s="42"/>
      <c r="L475" s="43"/>
      <c r="M475" s="79"/>
      <c r="N475" s="80"/>
      <c r="O475" s="81"/>
      <c r="P475" s="82"/>
      <c r="Q475" s="83"/>
      <c r="R475" s="84"/>
      <c r="S475" s="79"/>
      <c r="T475" s="80"/>
      <c r="U475" s="81"/>
      <c r="V475" s="82"/>
      <c r="W475" s="83"/>
      <c r="X475" s="84"/>
      <c r="Y475" s="84"/>
      <c r="Z475" s="84"/>
      <c r="AA475" s="84"/>
      <c r="AB475" s="84"/>
      <c r="AC475" s="84"/>
      <c r="AD475" s="84"/>
      <c r="AE475" s="85"/>
      <c r="AF475" s="86"/>
      <c r="AG475" s="87"/>
      <c r="AH475" s="88"/>
    </row>
    <row r="476" spans="1:34" x14ac:dyDescent="0.25">
      <c r="A476" s="155" t="str">
        <f t="shared" si="16"/>
        <v/>
      </c>
      <c r="B476" s="155" t="str">
        <f t="shared" si="15"/>
        <v/>
      </c>
      <c r="D476" s="77"/>
      <c r="E476" s="78"/>
      <c r="F476" s="133"/>
      <c r="G476" s="38"/>
      <c r="H476" s="39"/>
      <c r="I476" s="40"/>
      <c r="J476" s="41"/>
      <c r="K476" s="42"/>
      <c r="L476" s="43"/>
      <c r="M476" s="79"/>
      <c r="N476" s="80"/>
      <c r="O476" s="81"/>
      <c r="P476" s="82"/>
      <c r="Q476" s="83"/>
      <c r="R476" s="84"/>
      <c r="S476" s="79"/>
      <c r="T476" s="80"/>
      <c r="U476" s="81"/>
      <c r="V476" s="82"/>
      <c r="W476" s="83"/>
      <c r="X476" s="84"/>
      <c r="Y476" s="84"/>
      <c r="Z476" s="84"/>
      <c r="AA476" s="84"/>
      <c r="AB476" s="84"/>
      <c r="AC476" s="84"/>
      <c r="AD476" s="84"/>
      <c r="AE476" s="85"/>
      <c r="AF476" s="86"/>
      <c r="AG476" s="87"/>
      <c r="AH476" s="88"/>
    </row>
    <row r="477" spans="1:34" x14ac:dyDescent="0.25">
      <c r="A477" s="155" t="str">
        <f t="shared" si="16"/>
        <v/>
      </c>
      <c r="B477" s="155" t="str">
        <f t="shared" si="15"/>
        <v/>
      </c>
      <c r="D477" s="77"/>
      <c r="E477" s="78"/>
      <c r="F477" s="133"/>
      <c r="G477" s="38"/>
      <c r="H477" s="39"/>
      <c r="I477" s="40"/>
      <c r="J477" s="41"/>
      <c r="K477" s="42"/>
      <c r="L477" s="43"/>
      <c r="M477" s="79"/>
      <c r="N477" s="80"/>
      <c r="O477" s="81"/>
      <c r="P477" s="82"/>
      <c r="Q477" s="83"/>
      <c r="R477" s="84"/>
      <c r="S477" s="79"/>
      <c r="T477" s="80"/>
      <c r="U477" s="81"/>
      <c r="V477" s="82"/>
      <c r="W477" s="83"/>
      <c r="X477" s="84"/>
      <c r="Y477" s="84"/>
      <c r="Z477" s="84"/>
      <c r="AA477" s="84"/>
      <c r="AB477" s="84"/>
      <c r="AC477" s="84"/>
      <c r="AD477" s="84"/>
      <c r="AE477" s="85"/>
      <c r="AF477" s="86"/>
      <c r="AG477" s="87"/>
      <c r="AH477" s="88"/>
    </row>
    <row r="478" spans="1:34" x14ac:dyDescent="0.25">
      <c r="A478" s="155" t="str">
        <f t="shared" si="16"/>
        <v/>
      </c>
      <c r="B478" s="155" t="str">
        <f t="shared" si="15"/>
        <v/>
      </c>
      <c r="D478" s="77"/>
      <c r="E478" s="78"/>
      <c r="F478" s="133"/>
      <c r="G478" s="38"/>
      <c r="H478" s="39"/>
      <c r="I478" s="40"/>
      <c r="J478" s="41"/>
      <c r="K478" s="42"/>
      <c r="L478" s="43"/>
      <c r="M478" s="79"/>
      <c r="N478" s="80"/>
      <c r="O478" s="81"/>
      <c r="P478" s="82"/>
      <c r="Q478" s="83"/>
      <c r="R478" s="84"/>
      <c r="S478" s="79"/>
      <c r="T478" s="80"/>
      <c r="U478" s="81"/>
      <c r="V478" s="82"/>
      <c r="W478" s="83"/>
      <c r="X478" s="84"/>
      <c r="Y478" s="84"/>
      <c r="Z478" s="84"/>
      <c r="AA478" s="84"/>
      <c r="AB478" s="84"/>
      <c r="AC478" s="84"/>
      <c r="AD478" s="84"/>
      <c r="AE478" s="85"/>
      <c r="AF478" s="86"/>
      <c r="AG478" s="87"/>
      <c r="AH478" s="88"/>
    </row>
    <row r="479" spans="1:34" x14ac:dyDescent="0.25">
      <c r="A479" s="155" t="str">
        <f t="shared" si="16"/>
        <v/>
      </c>
      <c r="B479" s="155" t="str">
        <f t="shared" si="15"/>
        <v/>
      </c>
      <c r="D479" s="77"/>
      <c r="E479" s="78"/>
      <c r="F479" s="133"/>
      <c r="G479" s="38"/>
      <c r="H479" s="39"/>
      <c r="I479" s="40"/>
      <c r="J479" s="41"/>
      <c r="K479" s="42"/>
      <c r="L479" s="43"/>
      <c r="M479" s="79"/>
      <c r="N479" s="80"/>
      <c r="O479" s="81"/>
      <c r="P479" s="82"/>
      <c r="Q479" s="83"/>
      <c r="R479" s="84"/>
      <c r="S479" s="79"/>
      <c r="T479" s="80"/>
      <c r="U479" s="81"/>
      <c r="V479" s="82"/>
      <c r="W479" s="83"/>
      <c r="X479" s="84"/>
      <c r="Y479" s="84"/>
      <c r="Z479" s="84"/>
      <c r="AA479" s="84"/>
      <c r="AB479" s="84"/>
      <c r="AC479" s="84"/>
      <c r="AD479" s="84"/>
      <c r="AE479" s="85"/>
      <c r="AF479" s="86"/>
      <c r="AG479" s="87"/>
      <c r="AH479" s="88"/>
    </row>
    <row r="480" spans="1:34" x14ac:dyDescent="0.25">
      <c r="A480" s="155" t="str">
        <f t="shared" si="16"/>
        <v/>
      </c>
      <c r="B480" s="155" t="str">
        <f t="shared" si="15"/>
        <v/>
      </c>
      <c r="D480" s="77"/>
      <c r="E480" s="78"/>
      <c r="F480" s="133"/>
      <c r="G480" s="38"/>
      <c r="H480" s="39"/>
      <c r="I480" s="40"/>
      <c r="J480" s="41"/>
      <c r="K480" s="42"/>
      <c r="L480" s="43"/>
      <c r="M480" s="79"/>
      <c r="N480" s="80"/>
      <c r="O480" s="81"/>
      <c r="P480" s="82"/>
      <c r="Q480" s="83"/>
      <c r="R480" s="84"/>
      <c r="S480" s="79"/>
      <c r="T480" s="80"/>
      <c r="U480" s="81"/>
      <c r="V480" s="82"/>
      <c r="W480" s="83"/>
      <c r="X480" s="84"/>
      <c r="Y480" s="84"/>
      <c r="Z480" s="84"/>
      <c r="AA480" s="84"/>
      <c r="AB480" s="84"/>
      <c r="AC480" s="84"/>
      <c r="AD480" s="84"/>
      <c r="AE480" s="85"/>
      <c r="AF480" s="86"/>
      <c r="AG480" s="87"/>
      <c r="AH480" s="88"/>
    </row>
    <row r="481" spans="1:34" x14ac:dyDescent="0.25">
      <c r="A481" s="155" t="str">
        <f t="shared" si="16"/>
        <v/>
      </c>
      <c r="B481" s="155" t="str">
        <f t="shared" si="15"/>
        <v/>
      </c>
      <c r="D481" s="77"/>
      <c r="E481" s="78"/>
      <c r="F481" s="133"/>
      <c r="G481" s="38"/>
      <c r="H481" s="39"/>
      <c r="I481" s="40"/>
      <c r="J481" s="41"/>
      <c r="K481" s="42"/>
      <c r="L481" s="43"/>
      <c r="M481" s="79"/>
      <c r="N481" s="80"/>
      <c r="O481" s="81"/>
      <c r="P481" s="82"/>
      <c r="Q481" s="83"/>
      <c r="R481" s="84"/>
      <c r="S481" s="79"/>
      <c r="T481" s="80"/>
      <c r="U481" s="81"/>
      <c r="V481" s="82"/>
      <c r="W481" s="83"/>
      <c r="X481" s="84"/>
      <c r="Y481" s="84"/>
      <c r="Z481" s="84"/>
      <c r="AA481" s="84"/>
      <c r="AB481" s="84"/>
      <c r="AC481" s="84"/>
      <c r="AD481" s="84"/>
      <c r="AE481" s="85"/>
      <c r="AF481" s="86"/>
      <c r="AG481" s="87"/>
      <c r="AH481" s="88"/>
    </row>
    <row r="482" spans="1:34" x14ac:dyDescent="0.25">
      <c r="A482" s="155" t="str">
        <f t="shared" si="16"/>
        <v/>
      </c>
      <c r="B482" s="155" t="str">
        <f t="shared" si="15"/>
        <v/>
      </c>
      <c r="D482" s="77"/>
      <c r="E482" s="78"/>
      <c r="F482" s="133"/>
      <c r="G482" s="38"/>
      <c r="H482" s="39"/>
      <c r="I482" s="40"/>
      <c r="J482" s="41"/>
      <c r="K482" s="42"/>
      <c r="L482" s="43"/>
      <c r="M482" s="79"/>
      <c r="N482" s="80"/>
      <c r="O482" s="81"/>
      <c r="P482" s="82"/>
      <c r="Q482" s="83"/>
      <c r="R482" s="84"/>
      <c r="S482" s="79"/>
      <c r="T482" s="80"/>
      <c r="U482" s="81"/>
      <c r="V482" s="82"/>
      <c r="W482" s="83"/>
      <c r="X482" s="84"/>
      <c r="Y482" s="84"/>
      <c r="Z482" s="84"/>
      <c r="AA482" s="84"/>
      <c r="AB482" s="84"/>
      <c r="AC482" s="84"/>
      <c r="AD482" s="84"/>
      <c r="AE482" s="85"/>
      <c r="AF482" s="86"/>
      <c r="AG482" s="87"/>
      <c r="AH482" s="88"/>
    </row>
    <row r="483" spans="1:34" x14ac:dyDescent="0.25">
      <c r="A483" s="155" t="str">
        <f t="shared" si="16"/>
        <v/>
      </c>
      <c r="B483" s="155" t="str">
        <f t="shared" si="15"/>
        <v/>
      </c>
      <c r="D483" s="77"/>
      <c r="E483" s="78"/>
      <c r="F483" s="133"/>
      <c r="G483" s="38"/>
      <c r="H483" s="39"/>
      <c r="I483" s="40"/>
      <c r="J483" s="41"/>
      <c r="K483" s="42"/>
      <c r="L483" s="43"/>
      <c r="M483" s="79"/>
      <c r="N483" s="80"/>
      <c r="O483" s="81"/>
      <c r="P483" s="82"/>
      <c r="Q483" s="83"/>
      <c r="R483" s="84"/>
      <c r="S483" s="79"/>
      <c r="T483" s="80"/>
      <c r="U483" s="81"/>
      <c r="V483" s="82"/>
      <c r="W483" s="83"/>
      <c r="X483" s="84"/>
      <c r="Y483" s="84"/>
      <c r="Z483" s="84"/>
      <c r="AA483" s="84"/>
      <c r="AB483" s="84"/>
      <c r="AC483" s="84"/>
      <c r="AD483" s="84"/>
      <c r="AE483" s="85"/>
      <c r="AF483" s="86"/>
      <c r="AG483" s="87"/>
      <c r="AH483" s="88"/>
    </row>
    <row r="484" spans="1:34" x14ac:dyDescent="0.25">
      <c r="A484" s="155" t="str">
        <f t="shared" si="16"/>
        <v/>
      </c>
      <c r="B484" s="155" t="str">
        <f t="shared" si="15"/>
        <v/>
      </c>
      <c r="D484" s="77"/>
      <c r="E484" s="78"/>
      <c r="F484" s="133"/>
      <c r="G484" s="38"/>
      <c r="H484" s="39"/>
      <c r="I484" s="40"/>
      <c r="J484" s="41"/>
      <c r="K484" s="42"/>
      <c r="L484" s="43"/>
      <c r="M484" s="79"/>
      <c r="N484" s="80"/>
      <c r="O484" s="81"/>
      <c r="P484" s="82"/>
      <c r="Q484" s="83"/>
      <c r="R484" s="84"/>
      <c r="S484" s="79"/>
      <c r="T484" s="80"/>
      <c r="U484" s="81"/>
      <c r="V484" s="82"/>
      <c r="W484" s="83"/>
      <c r="X484" s="84"/>
      <c r="Y484" s="84"/>
      <c r="Z484" s="84"/>
      <c r="AA484" s="84"/>
      <c r="AB484" s="84"/>
      <c r="AC484" s="84"/>
      <c r="AD484" s="84"/>
      <c r="AE484" s="85"/>
      <c r="AF484" s="86"/>
      <c r="AG484" s="87"/>
      <c r="AH484" s="88"/>
    </row>
    <row r="485" spans="1:34" x14ac:dyDescent="0.25">
      <c r="A485" s="155" t="str">
        <f t="shared" si="16"/>
        <v/>
      </c>
      <c r="B485" s="155" t="str">
        <f t="shared" si="15"/>
        <v/>
      </c>
      <c r="D485" s="77"/>
      <c r="E485" s="78"/>
      <c r="F485" s="133"/>
      <c r="G485" s="38"/>
      <c r="H485" s="39"/>
      <c r="I485" s="40"/>
      <c r="J485" s="41"/>
      <c r="K485" s="42"/>
      <c r="L485" s="43"/>
      <c r="M485" s="79"/>
      <c r="N485" s="80"/>
      <c r="O485" s="81"/>
      <c r="P485" s="82"/>
      <c r="Q485" s="83"/>
      <c r="R485" s="84"/>
      <c r="S485" s="79"/>
      <c r="T485" s="80"/>
      <c r="U485" s="81"/>
      <c r="V485" s="82"/>
      <c r="W485" s="83"/>
      <c r="X485" s="84"/>
      <c r="Y485" s="84"/>
      <c r="Z485" s="84"/>
      <c r="AA485" s="84"/>
      <c r="AB485" s="84"/>
      <c r="AC485" s="84"/>
      <c r="AD485" s="84"/>
      <c r="AE485" s="85"/>
      <c r="AF485" s="86"/>
      <c r="AG485" s="87"/>
      <c r="AH485" s="88"/>
    </row>
    <row r="486" spans="1:34" x14ac:dyDescent="0.25">
      <c r="A486" s="155" t="str">
        <f t="shared" si="16"/>
        <v/>
      </c>
      <c r="B486" s="155" t="str">
        <f t="shared" si="15"/>
        <v/>
      </c>
      <c r="D486" s="77"/>
      <c r="E486" s="78"/>
      <c r="F486" s="133"/>
      <c r="G486" s="38"/>
      <c r="H486" s="39"/>
      <c r="I486" s="40"/>
      <c r="J486" s="41"/>
      <c r="K486" s="42"/>
      <c r="L486" s="43"/>
      <c r="M486" s="79"/>
      <c r="N486" s="80"/>
      <c r="O486" s="81"/>
      <c r="P486" s="82"/>
      <c r="Q486" s="83"/>
      <c r="R486" s="84"/>
      <c r="S486" s="79"/>
      <c r="T486" s="80"/>
      <c r="U486" s="81"/>
      <c r="V486" s="82"/>
      <c r="W486" s="83"/>
      <c r="X486" s="84"/>
      <c r="Y486" s="84"/>
      <c r="Z486" s="84"/>
      <c r="AA486" s="84"/>
      <c r="AB486" s="84"/>
      <c r="AC486" s="84"/>
      <c r="AD486" s="84"/>
      <c r="AE486" s="85"/>
      <c r="AF486" s="86"/>
      <c r="AG486" s="87"/>
      <c r="AH486" s="88"/>
    </row>
    <row r="487" spans="1:34" x14ac:dyDescent="0.25">
      <c r="A487" s="155" t="str">
        <f t="shared" si="16"/>
        <v/>
      </c>
      <c r="B487" s="155" t="str">
        <f t="shared" si="15"/>
        <v/>
      </c>
      <c r="D487" s="77"/>
      <c r="E487" s="78"/>
      <c r="F487" s="133"/>
      <c r="G487" s="38"/>
      <c r="H487" s="39"/>
      <c r="I487" s="40"/>
      <c r="J487" s="41"/>
      <c r="K487" s="42"/>
      <c r="L487" s="43"/>
      <c r="M487" s="79"/>
      <c r="N487" s="80"/>
      <c r="O487" s="81"/>
      <c r="P487" s="82"/>
      <c r="Q487" s="83"/>
      <c r="R487" s="84"/>
      <c r="S487" s="79"/>
      <c r="T487" s="80"/>
      <c r="U487" s="81"/>
      <c r="V487" s="82"/>
      <c r="W487" s="83"/>
      <c r="X487" s="84"/>
      <c r="Y487" s="84"/>
      <c r="Z487" s="84"/>
      <c r="AA487" s="84"/>
      <c r="AB487" s="84"/>
      <c r="AC487" s="84"/>
      <c r="AD487" s="84"/>
      <c r="AE487" s="85"/>
      <c r="AF487" s="86"/>
      <c r="AG487" s="87"/>
      <c r="AH487" s="88"/>
    </row>
    <row r="488" spans="1:34" x14ac:dyDescent="0.25">
      <c r="A488" s="155" t="str">
        <f t="shared" si="16"/>
        <v/>
      </c>
      <c r="B488" s="155" t="str">
        <f t="shared" si="15"/>
        <v/>
      </c>
      <c r="D488" s="77"/>
      <c r="E488" s="78"/>
      <c r="F488" s="133"/>
      <c r="G488" s="38"/>
      <c r="H488" s="39"/>
      <c r="I488" s="40"/>
      <c r="J488" s="41"/>
      <c r="K488" s="42"/>
      <c r="L488" s="43"/>
      <c r="M488" s="79"/>
      <c r="N488" s="80"/>
      <c r="O488" s="81"/>
      <c r="P488" s="82"/>
      <c r="Q488" s="83"/>
      <c r="R488" s="84"/>
      <c r="S488" s="79"/>
      <c r="T488" s="80"/>
      <c r="U488" s="81"/>
      <c r="V488" s="82"/>
      <c r="W488" s="83"/>
      <c r="X488" s="84"/>
      <c r="Y488" s="84"/>
      <c r="Z488" s="84"/>
      <c r="AA488" s="84"/>
      <c r="AB488" s="84"/>
      <c r="AC488" s="84"/>
      <c r="AD488" s="84"/>
      <c r="AE488" s="85"/>
      <c r="AF488" s="86"/>
      <c r="AG488" s="87"/>
      <c r="AH488" s="88"/>
    </row>
    <row r="489" spans="1:34" x14ac:dyDescent="0.25">
      <c r="A489" s="155" t="str">
        <f t="shared" si="16"/>
        <v/>
      </c>
      <c r="B489" s="155" t="str">
        <f t="shared" si="15"/>
        <v/>
      </c>
      <c r="D489" s="77"/>
      <c r="E489" s="78"/>
      <c r="F489" s="133"/>
      <c r="G489" s="38"/>
      <c r="H489" s="39"/>
      <c r="I489" s="40"/>
      <c r="J489" s="41"/>
      <c r="K489" s="42"/>
      <c r="L489" s="43"/>
      <c r="M489" s="79"/>
      <c r="N489" s="80"/>
      <c r="O489" s="81"/>
      <c r="P489" s="82"/>
      <c r="Q489" s="83"/>
      <c r="R489" s="84"/>
      <c r="S489" s="79"/>
      <c r="T489" s="80"/>
      <c r="U489" s="81"/>
      <c r="V489" s="82"/>
      <c r="W489" s="83"/>
      <c r="X489" s="84"/>
      <c r="Y489" s="84"/>
      <c r="Z489" s="84"/>
      <c r="AA489" s="84"/>
      <c r="AB489" s="84"/>
      <c r="AC489" s="84"/>
      <c r="AD489" s="84"/>
      <c r="AE489" s="85"/>
      <c r="AF489" s="86"/>
      <c r="AG489" s="87"/>
      <c r="AH489" s="88"/>
    </row>
    <row r="490" spans="1:34" x14ac:dyDescent="0.25">
      <c r="A490" s="155" t="str">
        <f t="shared" si="16"/>
        <v/>
      </c>
      <c r="B490" s="155" t="str">
        <f t="shared" si="15"/>
        <v/>
      </c>
      <c r="D490" s="77"/>
      <c r="E490" s="78"/>
      <c r="F490" s="133"/>
      <c r="G490" s="38"/>
      <c r="H490" s="39"/>
      <c r="I490" s="40"/>
      <c r="J490" s="41"/>
      <c r="K490" s="42"/>
      <c r="L490" s="43"/>
      <c r="M490" s="79"/>
      <c r="N490" s="80"/>
      <c r="O490" s="81"/>
      <c r="P490" s="82"/>
      <c r="Q490" s="83"/>
      <c r="R490" s="84"/>
      <c r="S490" s="79"/>
      <c r="T490" s="80"/>
      <c r="U490" s="81"/>
      <c r="V490" s="82"/>
      <c r="W490" s="83"/>
      <c r="X490" s="84"/>
      <c r="Y490" s="84"/>
      <c r="Z490" s="84"/>
      <c r="AA490" s="84"/>
      <c r="AB490" s="84"/>
      <c r="AC490" s="84"/>
      <c r="AD490" s="84"/>
      <c r="AE490" s="85"/>
      <c r="AF490" s="86"/>
      <c r="AG490" s="87"/>
      <c r="AH490" s="88"/>
    </row>
    <row r="491" spans="1:34" x14ac:dyDescent="0.25">
      <c r="A491" s="155" t="str">
        <f t="shared" si="16"/>
        <v/>
      </c>
      <c r="B491" s="155" t="str">
        <f t="shared" si="15"/>
        <v/>
      </c>
      <c r="D491" s="77"/>
      <c r="E491" s="78"/>
      <c r="F491" s="133"/>
      <c r="G491" s="38"/>
      <c r="H491" s="39"/>
      <c r="I491" s="40"/>
      <c r="J491" s="41"/>
      <c r="K491" s="42"/>
      <c r="L491" s="43"/>
      <c r="M491" s="79"/>
      <c r="N491" s="80"/>
      <c r="O491" s="81"/>
      <c r="P491" s="82"/>
      <c r="Q491" s="83"/>
      <c r="R491" s="84"/>
      <c r="S491" s="79"/>
      <c r="T491" s="80"/>
      <c r="U491" s="81"/>
      <c r="V491" s="82"/>
      <c r="W491" s="83"/>
      <c r="X491" s="84"/>
      <c r="Y491" s="84"/>
      <c r="Z491" s="84"/>
      <c r="AA491" s="84"/>
      <c r="AB491" s="84"/>
      <c r="AC491" s="84"/>
      <c r="AD491" s="84"/>
      <c r="AE491" s="85"/>
      <c r="AF491" s="86"/>
      <c r="AG491" s="87"/>
      <c r="AH491" s="88"/>
    </row>
    <row r="492" spans="1:34" x14ac:dyDescent="0.25">
      <c r="A492" s="155" t="str">
        <f t="shared" si="16"/>
        <v/>
      </c>
      <c r="B492" s="155" t="str">
        <f t="shared" si="15"/>
        <v/>
      </c>
      <c r="D492" s="77"/>
      <c r="E492" s="78"/>
      <c r="F492" s="133"/>
      <c r="G492" s="38"/>
      <c r="H492" s="39"/>
      <c r="I492" s="40"/>
      <c r="J492" s="41"/>
      <c r="K492" s="42"/>
      <c r="L492" s="43"/>
      <c r="M492" s="79"/>
      <c r="N492" s="80"/>
      <c r="O492" s="81"/>
      <c r="P492" s="82"/>
      <c r="Q492" s="83"/>
      <c r="R492" s="84"/>
      <c r="S492" s="79"/>
      <c r="T492" s="80"/>
      <c r="U492" s="81"/>
      <c r="V492" s="82"/>
      <c r="W492" s="83"/>
      <c r="X492" s="84"/>
      <c r="Y492" s="84"/>
      <c r="Z492" s="84"/>
      <c r="AA492" s="84"/>
      <c r="AB492" s="84"/>
      <c r="AC492" s="84"/>
      <c r="AD492" s="84"/>
      <c r="AE492" s="85"/>
      <c r="AF492" s="86"/>
      <c r="AG492" s="87"/>
      <c r="AH492" s="88"/>
    </row>
    <row r="493" spans="1:34" x14ac:dyDescent="0.25">
      <c r="A493" s="155" t="str">
        <f t="shared" si="16"/>
        <v/>
      </c>
      <c r="B493" s="155" t="str">
        <f t="shared" si="15"/>
        <v/>
      </c>
      <c r="D493" s="77"/>
      <c r="E493" s="78"/>
      <c r="F493" s="133"/>
      <c r="G493" s="38"/>
      <c r="H493" s="39"/>
      <c r="I493" s="40"/>
      <c r="J493" s="41"/>
      <c r="K493" s="42"/>
      <c r="L493" s="43"/>
      <c r="M493" s="79"/>
      <c r="N493" s="80"/>
      <c r="O493" s="81"/>
      <c r="P493" s="82"/>
      <c r="Q493" s="83"/>
      <c r="R493" s="84"/>
      <c r="S493" s="79"/>
      <c r="T493" s="80"/>
      <c r="U493" s="81"/>
      <c r="V493" s="82"/>
      <c r="W493" s="83"/>
      <c r="X493" s="84"/>
      <c r="Y493" s="84"/>
      <c r="Z493" s="84"/>
      <c r="AA493" s="84"/>
      <c r="AB493" s="84"/>
      <c r="AC493" s="84"/>
      <c r="AD493" s="84"/>
      <c r="AE493" s="85"/>
      <c r="AF493" s="86"/>
      <c r="AG493" s="87"/>
      <c r="AH493" s="88"/>
    </row>
    <row r="494" spans="1:34" x14ac:dyDescent="0.25">
      <c r="A494" s="155" t="str">
        <f t="shared" si="16"/>
        <v/>
      </c>
      <c r="B494" s="155" t="str">
        <f t="shared" si="15"/>
        <v/>
      </c>
      <c r="D494" s="77"/>
      <c r="E494" s="78"/>
      <c r="F494" s="133"/>
      <c r="G494" s="38"/>
      <c r="H494" s="39"/>
      <c r="I494" s="40"/>
      <c r="J494" s="41"/>
      <c r="K494" s="42"/>
      <c r="L494" s="43"/>
      <c r="M494" s="79"/>
      <c r="N494" s="80"/>
      <c r="O494" s="81"/>
      <c r="P494" s="82"/>
      <c r="Q494" s="83"/>
      <c r="R494" s="84"/>
      <c r="S494" s="79"/>
      <c r="T494" s="80"/>
      <c r="U494" s="81"/>
      <c r="V494" s="82"/>
      <c r="W494" s="83"/>
      <c r="X494" s="84"/>
      <c r="Y494" s="84"/>
      <c r="Z494" s="84"/>
      <c r="AA494" s="84"/>
      <c r="AB494" s="84"/>
      <c r="AC494" s="84"/>
      <c r="AD494" s="84"/>
      <c r="AE494" s="85"/>
      <c r="AF494" s="86"/>
      <c r="AG494" s="87"/>
      <c r="AH494" s="88"/>
    </row>
    <row r="495" spans="1:34" x14ac:dyDescent="0.25">
      <c r="A495" s="155" t="str">
        <f t="shared" si="16"/>
        <v/>
      </c>
      <c r="B495" s="155" t="str">
        <f t="shared" si="15"/>
        <v/>
      </c>
      <c r="D495" s="77"/>
      <c r="E495" s="78"/>
      <c r="F495" s="133"/>
      <c r="G495" s="38"/>
      <c r="H495" s="39"/>
      <c r="I495" s="40"/>
      <c r="J495" s="41"/>
      <c r="K495" s="42"/>
      <c r="L495" s="43"/>
      <c r="M495" s="79"/>
      <c r="N495" s="80"/>
      <c r="O495" s="81"/>
      <c r="P495" s="82"/>
      <c r="Q495" s="83"/>
      <c r="R495" s="84"/>
      <c r="S495" s="79"/>
      <c r="T495" s="80"/>
      <c r="U495" s="81"/>
      <c r="V495" s="82"/>
      <c r="W495" s="83"/>
      <c r="X495" s="84"/>
      <c r="Y495" s="84"/>
      <c r="Z495" s="84"/>
      <c r="AA495" s="84"/>
      <c r="AB495" s="84"/>
      <c r="AC495" s="84"/>
      <c r="AD495" s="84"/>
      <c r="AE495" s="85"/>
      <c r="AF495" s="86"/>
      <c r="AG495" s="87"/>
      <c r="AH495" s="88"/>
    </row>
    <row r="496" spans="1:34" x14ac:dyDescent="0.25">
      <c r="A496" s="155" t="str">
        <f t="shared" si="16"/>
        <v/>
      </c>
      <c r="B496" s="155" t="str">
        <f t="shared" si="15"/>
        <v/>
      </c>
      <c r="D496" s="77"/>
      <c r="E496" s="78"/>
      <c r="F496" s="133"/>
      <c r="G496" s="38"/>
      <c r="H496" s="39"/>
      <c r="I496" s="40"/>
      <c r="J496" s="41"/>
      <c r="K496" s="42"/>
      <c r="L496" s="43"/>
      <c r="M496" s="79"/>
      <c r="N496" s="80"/>
      <c r="O496" s="81"/>
      <c r="P496" s="82"/>
      <c r="Q496" s="83"/>
      <c r="R496" s="84"/>
      <c r="S496" s="79"/>
      <c r="T496" s="80"/>
      <c r="U496" s="81"/>
      <c r="V496" s="82"/>
      <c r="W496" s="83"/>
      <c r="X496" s="84"/>
      <c r="Y496" s="84"/>
      <c r="Z496" s="84"/>
      <c r="AA496" s="84"/>
      <c r="AB496" s="84"/>
      <c r="AC496" s="84"/>
      <c r="AD496" s="84"/>
      <c r="AE496" s="85"/>
      <c r="AF496" s="86"/>
      <c r="AG496" s="87"/>
      <c r="AH496" s="88"/>
    </row>
    <row r="497" spans="1:34" x14ac:dyDescent="0.25">
      <c r="A497" s="155" t="str">
        <f t="shared" si="16"/>
        <v/>
      </c>
      <c r="B497" s="155" t="str">
        <f t="shared" si="15"/>
        <v/>
      </c>
      <c r="D497" s="77"/>
      <c r="E497" s="78"/>
      <c r="F497" s="133"/>
      <c r="G497" s="38"/>
      <c r="H497" s="39"/>
      <c r="I497" s="40"/>
      <c r="J497" s="41"/>
      <c r="K497" s="42"/>
      <c r="L497" s="43"/>
      <c r="M497" s="79"/>
      <c r="N497" s="80"/>
      <c r="O497" s="81"/>
      <c r="P497" s="82"/>
      <c r="Q497" s="83"/>
      <c r="R497" s="84"/>
      <c r="S497" s="79"/>
      <c r="T497" s="80"/>
      <c r="U497" s="81"/>
      <c r="V497" s="82"/>
      <c r="W497" s="83"/>
      <c r="X497" s="84"/>
      <c r="Y497" s="84"/>
      <c r="Z497" s="84"/>
      <c r="AA497" s="84"/>
      <c r="AB497" s="84"/>
      <c r="AC497" s="84"/>
      <c r="AD497" s="84"/>
      <c r="AE497" s="85"/>
      <c r="AF497" s="86"/>
      <c r="AG497" s="87"/>
      <c r="AH497" s="88"/>
    </row>
    <row r="498" spans="1:34" x14ac:dyDescent="0.25">
      <c r="A498" s="155" t="str">
        <f t="shared" si="16"/>
        <v/>
      </c>
      <c r="B498" s="155" t="str">
        <f t="shared" si="15"/>
        <v/>
      </c>
      <c r="D498" s="77"/>
      <c r="E498" s="78"/>
      <c r="F498" s="133"/>
      <c r="G498" s="38"/>
      <c r="H498" s="39"/>
      <c r="I498" s="40"/>
      <c r="J498" s="41"/>
      <c r="K498" s="42"/>
      <c r="L498" s="43"/>
      <c r="M498" s="79"/>
      <c r="N498" s="80"/>
      <c r="O498" s="81"/>
      <c r="P498" s="82"/>
      <c r="Q498" s="83"/>
      <c r="R498" s="84"/>
      <c r="S498" s="79"/>
      <c r="T498" s="80"/>
      <c r="U498" s="81"/>
      <c r="V498" s="82"/>
      <c r="W498" s="83"/>
      <c r="X498" s="84"/>
      <c r="Y498" s="84"/>
      <c r="Z498" s="84"/>
      <c r="AA498" s="84"/>
      <c r="AB498" s="84"/>
      <c r="AC498" s="84"/>
      <c r="AD498" s="84"/>
      <c r="AE498" s="85"/>
      <c r="AF498" s="86"/>
      <c r="AG498" s="87"/>
      <c r="AH498" s="88"/>
    </row>
    <row r="499" spans="1:34" x14ac:dyDescent="0.25">
      <c r="A499" s="155" t="str">
        <f t="shared" si="16"/>
        <v/>
      </c>
      <c r="B499" s="155" t="str">
        <f t="shared" si="15"/>
        <v/>
      </c>
      <c r="D499" s="77"/>
      <c r="E499" s="78"/>
      <c r="F499" s="133"/>
      <c r="G499" s="38"/>
      <c r="H499" s="39"/>
      <c r="I499" s="40"/>
      <c r="J499" s="41"/>
      <c r="K499" s="42"/>
      <c r="L499" s="43"/>
      <c r="M499" s="79"/>
      <c r="N499" s="80"/>
      <c r="O499" s="81"/>
      <c r="P499" s="82"/>
      <c r="Q499" s="83"/>
      <c r="R499" s="84"/>
      <c r="S499" s="79"/>
      <c r="T499" s="80"/>
      <c r="U499" s="81"/>
      <c r="V499" s="82"/>
      <c r="W499" s="83"/>
      <c r="X499" s="84"/>
      <c r="Y499" s="84"/>
      <c r="Z499" s="84"/>
      <c r="AA499" s="84"/>
      <c r="AB499" s="84"/>
      <c r="AC499" s="84"/>
      <c r="AD499" s="84"/>
      <c r="AE499" s="85"/>
      <c r="AF499" s="86"/>
      <c r="AG499" s="87"/>
      <c r="AH499" s="88"/>
    </row>
    <row r="500" spans="1:34" x14ac:dyDescent="0.25">
      <c r="A500" s="155" t="str">
        <f t="shared" si="16"/>
        <v/>
      </c>
      <c r="B500" s="155" t="str">
        <f t="shared" si="15"/>
        <v/>
      </c>
      <c r="D500" s="77"/>
      <c r="E500" s="78"/>
      <c r="F500" s="133"/>
      <c r="G500" s="38"/>
      <c r="H500" s="39"/>
      <c r="I500" s="40"/>
      <c r="J500" s="41"/>
      <c r="K500" s="42"/>
      <c r="L500" s="43"/>
      <c r="M500" s="79"/>
      <c r="N500" s="80"/>
      <c r="O500" s="81"/>
      <c r="P500" s="82"/>
      <c r="Q500" s="83"/>
      <c r="R500" s="84"/>
      <c r="S500" s="79"/>
      <c r="T500" s="80"/>
      <c r="U500" s="81"/>
      <c r="V500" s="82"/>
      <c r="W500" s="83"/>
      <c r="X500" s="84"/>
      <c r="Y500" s="84"/>
      <c r="Z500" s="84"/>
      <c r="AA500" s="84"/>
      <c r="AB500" s="84"/>
      <c r="AC500" s="84"/>
      <c r="AD500" s="84"/>
      <c r="AE500" s="85"/>
      <c r="AF500" s="86"/>
      <c r="AG500" s="87"/>
      <c r="AH500" s="88"/>
    </row>
    <row r="501" spans="1:34" x14ac:dyDescent="0.25">
      <c r="A501" s="155" t="str">
        <f t="shared" si="16"/>
        <v/>
      </c>
      <c r="B501" s="155" t="str">
        <f t="shared" si="15"/>
        <v/>
      </c>
      <c r="D501" s="77"/>
      <c r="E501" s="78"/>
      <c r="F501" s="133"/>
      <c r="G501" s="38"/>
      <c r="H501" s="39"/>
      <c r="I501" s="40"/>
      <c r="J501" s="41"/>
      <c r="K501" s="42"/>
      <c r="L501" s="43"/>
      <c r="M501" s="79"/>
      <c r="N501" s="80"/>
      <c r="O501" s="81"/>
      <c r="P501" s="82"/>
      <c r="Q501" s="83"/>
      <c r="R501" s="84"/>
      <c r="S501" s="79"/>
      <c r="T501" s="80"/>
      <c r="U501" s="81"/>
      <c r="V501" s="82"/>
      <c r="W501" s="83"/>
      <c r="X501" s="84"/>
      <c r="Y501" s="84"/>
      <c r="Z501" s="84"/>
      <c r="AA501" s="84"/>
      <c r="AB501" s="84"/>
      <c r="AC501" s="84"/>
      <c r="AD501" s="84"/>
      <c r="AE501" s="85"/>
      <c r="AF501" s="86"/>
      <c r="AG501" s="87"/>
      <c r="AH501" s="88"/>
    </row>
    <row r="502" spans="1:34" x14ac:dyDescent="0.25">
      <c r="A502" s="155" t="str">
        <f t="shared" si="16"/>
        <v/>
      </c>
      <c r="B502" s="155" t="str">
        <f t="shared" si="15"/>
        <v/>
      </c>
      <c r="D502" s="77"/>
      <c r="E502" s="78"/>
      <c r="F502" s="133"/>
      <c r="G502" s="38"/>
      <c r="H502" s="39"/>
      <c r="I502" s="40"/>
      <c r="J502" s="41"/>
      <c r="K502" s="42"/>
      <c r="L502" s="43"/>
      <c r="M502" s="79"/>
      <c r="N502" s="80"/>
      <c r="O502" s="81"/>
      <c r="P502" s="82"/>
      <c r="Q502" s="83"/>
      <c r="R502" s="84"/>
      <c r="S502" s="79"/>
      <c r="T502" s="80"/>
      <c r="U502" s="81"/>
      <c r="V502" s="82"/>
      <c r="W502" s="83"/>
      <c r="X502" s="84"/>
      <c r="Y502" s="84"/>
      <c r="Z502" s="84"/>
      <c r="AA502" s="84"/>
      <c r="AB502" s="84"/>
      <c r="AC502" s="84"/>
      <c r="AD502" s="84"/>
      <c r="AE502" s="85"/>
      <c r="AF502" s="86"/>
      <c r="AG502" s="87"/>
      <c r="AH502" s="88"/>
    </row>
    <row r="503" spans="1:34" x14ac:dyDescent="0.25">
      <c r="A503" s="155" t="str">
        <f t="shared" si="16"/>
        <v/>
      </c>
      <c r="B503" s="155" t="str">
        <f t="shared" si="15"/>
        <v/>
      </c>
      <c r="D503" s="77"/>
      <c r="E503" s="78"/>
      <c r="F503" s="133"/>
      <c r="G503" s="38"/>
      <c r="H503" s="39"/>
      <c r="I503" s="40"/>
      <c r="J503" s="41"/>
      <c r="K503" s="42"/>
      <c r="L503" s="43"/>
      <c r="M503" s="79"/>
      <c r="N503" s="80"/>
      <c r="O503" s="81"/>
      <c r="P503" s="82"/>
      <c r="Q503" s="83"/>
      <c r="R503" s="84"/>
      <c r="S503" s="79"/>
      <c r="T503" s="80"/>
      <c r="U503" s="81"/>
      <c r="V503" s="82"/>
      <c r="W503" s="83"/>
      <c r="X503" s="84"/>
      <c r="Y503" s="84"/>
      <c r="Z503" s="84"/>
      <c r="AA503" s="84"/>
      <c r="AB503" s="84"/>
      <c r="AC503" s="84"/>
      <c r="AD503" s="84"/>
      <c r="AE503" s="85"/>
      <c r="AF503" s="86"/>
      <c r="AG503" s="87"/>
      <c r="AH503" s="88"/>
    </row>
    <row r="504" spans="1:34" x14ac:dyDescent="0.25">
      <c r="A504" s="155" t="str">
        <f t="shared" si="16"/>
        <v/>
      </c>
      <c r="B504" s="155" t="str">
        <f t="shared" si="15"/>
        <v/>
      </c>
      <c r="D504" s="77"/>
      <c r="E504" s="78"/>
      <c r="F504" s="133"/>
      <c r="G504" s="38"/>
      <c r="H504" s="39"/>
      <c r="I504" s="40"/>
      <c r="J504" s="41"/>
      <c r="K504" s="42"/>
      <c r="L504" s="43"/>
      <c r="M504" s="79"/>
      <c r="N504" s="80"/>
      <c r="O504" s="81"/>
      <c r="P504" s="82"/>
      <c r="Q504" s="83"/>
      <c r="R504" s="84"/>
      <c r="S504" s="79"/>
      <c r="T504" s="80"/>
      <c r="U504" s="81"/>
      <c r="V504" s="82"/>
      <c r="W504" s="83"/>
      <c r="X504" s="84"/>
      <c r="Y504" s="84"/>
      <c r="Z504" s="84"/>
      <c r="AA504" s="84"/>
      <c r="AB504" s="84"/>
      <c r="AC504" s="84"/>
      <c r="AD504" s="84"/>
      <c r="AE504" s="85"/>
      <c r="AF504" s="86"/>
      <c r="AG504" s="87"/>
      <c r="AH504" s="88"/>
    </row>
    <row r="505" spans="1:34" x14ac:dyDescent="0.25">
      <c r="A505" s="155" t="str">
        <f t="shared" si="16"/>
        <v/>
      </c>
      <c r="B505" s="155" t="str">
        <f t="shared" si="15"/>
        <v/>
      </c>
      <c r="D505" s="77"/>
      <c r="E505" s="78"/>
      <c r="F505" s="133"/>
      <c r="G505" s="38"/>
      <c r="H505" s="39"/>
      <c r="I505" s="40"/>
      <c r="J505" s="41"/>
      <c r="K505" s="42"/>
      <c r="L505" s="43"/>
      <c r="M505" s="79"/>
      <c r="N505" s="80"/>
      <c r="O505" s="81"/>
      <c r="P505" s="82"/>
      <c r="Q505" s="83"/>
      <c r="R505" s="84"/>
      <c r="S505" s="79"/>
      <c r="T505" s="80"/>
      <c r="U505" s="81"/>
      <c r="V505" s="82"/>
      <c r="W505" s="83"/>
      <c r="X505" s="84"/>
      <c r="Y505" s="84"/>
      <c r="Z505" s="84"/>
      <c r="AA505" s="84"/>
      <c r="AB505" s="84"/>
      <c r="AC505" s="84"/>
      <c r="AD505" s="84"/>
      <c r="AE505" s="85"/>
      <c r="AF505" s="86"/>
      <c r="AG505" s="87"/>
      <c r="AH505" s="88"/>
    </row>
  </sheetData>
  <sheetProtection algorithmName="SHA-512" hashValue="lj2dKkjGSu5OHVh44Fpn8GH7sYSmMn91fhIUcga4foKaceJhq5e/t/sP6M12VhJGmUMZKJZfEICZ+7Jf9tR7Ig==" saltValue="sOrUrFt8OV4YLcAmyUcoFw==" spinCount="100000" sheet="1" objects="1" scenarios="1" selectLockedCells="1"/>
  <dataValidations disablePrompts="1" count="1">
    <dataValidation allowBlank="1" showInputMessage="1" showErrorMessage="1" errorTitle="Error" error="Debes introducir un número válido. _x000a_Rellena primero las respuestas._x000a__x000a_Pulsa ESC para continuar." sqref="D4:D50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52" r:id="rId3" name="Button 23">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351" r:id="rId4" name="Button 24">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350" r:id="rId5" name="Button 25">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349" r:id="rId6" name="Button 26">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348" r:id="rId7" name="Button 27">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347" r:id="rId8" name="Button 28">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346" r:id="rId9" name="Button 29">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345" r:id="rId10" name="Button 30">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344" r:id="rId11" name="Button 9">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343" r:id="rId12" name="Button 10">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342" r:id="rId13" name="Button 11">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341" r:id="rId14" name="Button 12">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340" r:id="rId15" name="Button 13">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339" r:id="rId16" name="Button 1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338" r:id="rId17" name="Button 16">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337" r:id="rId18" name="Button 18">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368" r:id="rId19" name="Button 32">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367" r:id="rId20" name="Button 31">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366" r:id="rId21" name="Button 30">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365" r:id="rId22" name="Button 29">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364" r:id="rId23" name="Button 28">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363" r:id="rId24" name="Button 27">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362" r:id="rId25" name="Button 26">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361" r:id="rId26" name="Button 25">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360" r:id="rId27" name="Button 24">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359" r:id="rId28" name="Button 23">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358" r:id="rId29" name="Button 22">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357" r:id="rId30" name="Button 21">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356" r:id="rId31" name="Button 20">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355" r:id="rId32" name="Button 19">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354" r:id="rId33" name="Button 18">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353" r:id="rId34" name="Button 17">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384" r:id="rId35" name="Button 48">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383" r:id="rId36" name="Button 47">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382" r:id="rId37" name="Button 46">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381" r:id="rId38" name="Button 45">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380" r:id="rId39" name="Button 44">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379" r:id="rId40" name="Button 43">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378" r:id="rId41" name="Button 42">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377" r:id="rId42" name="Button 41">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376" r:id="rId43" name="Button 40">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375" r:id="rId44" name="Button 39">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374" r:id="rId45" name="Button 38">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373" r:id="rId46" name="Button 37">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372" r:id="rId47" name="Button 36">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371" r:id="rId48" name="Button 3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370" r:id="rId49" name="Button 34">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369" r:id="rId50" name="Button 33">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400" r:id="rId51" name="Button 64">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399" r:id="rId52" name="Button 63">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398" r:id="rId53" name="Button 62">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397" r:id="rId54" name="Button 61">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396" r:id="rId55" name="Button 60">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395" r:id="rId56" name="Button 59">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394" r:id="rId57" name="Button 58">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393" r:id="rId58" name="Button 57">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392" r:id="rId59" name="Button 56">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391" r:id="rId60" name="Button 55">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390" r:id="rId61" name="Button 54">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389" r:id="rId62" name="Button 53">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388" r:id="rId63" name="Button 52">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387" r:id="rId64" name="Button 51">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386" r:id="rId65" name="Button 50">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385" r:id="rId66" name="Button 49">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416" r:id="rId67" name="Button 80">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15" r:id="rId68" name="Button 79">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14" r:id="rId69" name="Button 78">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13" r:id="rId70" name="Button 77">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12" r:id="rId71" name="Button 76">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11" r:id="rId72" name="Button 75">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10" r:id="rId73" name="Button 74">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09" r:id="rId74" name="Button 73">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08" r:id="rId75" name="Button 72">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07" r:id="rId76" name="Button 71">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06" r:id="rId77" name="Button 70">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05" r:id="rId78" name="Button 69">
              <controlPr defaultSize="0" autoFill="0" autoPict="0" macro="[0]!IR_E">
                <anchor moveWithCells="1" sizeWithCells="1">
                  <from>
                    <xdr:col>5</xdr:col>
                    <xdr:colOff>561975</xdr:colOff>
                    <xdr:row>0</xdr:row>
                    <xdr:rowOff>161925</xdr:rowOff>
                  </from>
                  <to>
                    <xdr:col>5</xdr:col>
                    <xdr:colOff>1866900</xdr:colOff>
                    <xdr:row>1</xdr:row>
                    <xdr:rowOff>0</xdr:rowOff>
                  </to>
                </anchor>
              </controlPr>
            </control>
          </mc:Choice>
        </mc:AlternateContent>
        <mc:AlternateContent xmlns:mc="http://schemas.openxmlformats.org/markup-compatibility/2006">
          <mc:Choice Requires="x14">
            <control shapeId="14404" r:id="rId79" name="Button 68">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03" r:id="rId80" name="Button 67">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02" r:id="rId81" name="Button 66">
              <controlPr defaultSize="0" autoFill="0" autoPict="0" macro="[0]!Copiar_Formatos">
                <anchor moveWithCells="1" sizeWithCells="1">
                  <from>
                    <xdr:col>5</xdr:col>
                    <xdr:colOff>9525</xdr:colOff>
                    <xdr:row>0</xdr:row>
                    <xdr:rowOff>161925</xdr:rowOff>
                  </from>
                  <to>
                    <xdr:col>5</xdr:col>
                    <xdr:colOff>581025</xdr:colOff>
                    <xdr:row>1</xdr:row>
                    <xdr:rowOff>0</xdr:rowOff>
                  </to>
                </anchor>
              </controlPr>
            </control>
          </mc:Choice>
        </mc:AlternateContent>
        <mc:AlternateContent xmlns:mc="http://schemas.openxmlformats.org/markup-compatibility/2006">
          <mc:Choice Requires="x14">
            <control shapeId="14401" r:id="rId82" name="Button 65">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432" r:id="rId83" name="Button 96">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31" r:id="rId84" name="Button 95">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30" r:id="rId85" name="Button 94">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29" r:id="rId86" name="Button 93">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28" r:id="rId87" name="Button 92">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27" r:id="rId88" name="Button 91">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26" r:id="rId89" name="Button 90">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25" r:id="rId90" name="Button 89">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24" r:id="rId91" name="Button 88">
              <controlPr defaultSize="0" autoFill="0" autoPict="0" macro="[0]!IR_VF">
                <anchor moveWithCells="1" sizeWithCells="1">
                  <from>
                    <xdr:col>5</xdr:col>
                    <xdr:colOff>3162300</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23" r:id="rId92" name="Button 87">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22" r:id="rId93" name="Button 86">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21" r:id="rId94" name="Button 85">
              <controlPr defaultSize="0" autoFill="0" autoPict="0" macro="[0]!IR_E">
                <anchor moveWithCells="1" sizeWithCells="1">
                  <from>
                    <xdr:col>5</xdr:col>
                    <xdr:colOff>561975</xdr:colOff>
                    <xdr:row>0</xdr:row>
                    <xdr:rowOff>161925</xdr:rowOff>
                  </from>
                  <to>
                    <xdr:col>5</xdr:col>
                    <xdr:colOff>1857375</xdr:colOff>
                    <xdr:row>0</xdr:row>
                    <xdr:rowOff>314325</xdr:rowOff>
                  </to>
                </anchor>
              </controlPr>
            </control>
          </mc:Choice>
        </mc:AlternateContent>
        <mc:AlternateContent xmlns:mc="http://schemas.openxmlformats.org/markup-compatibility/2006">
          <mc:Choice Requires="x14">
            <control shapeId="14420" r:id="rId95" name="Button 84">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19" r:id="rId96" name="Button 83">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18" r:id="rId97" name="Button 82">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17" r:id="rId98" name="Button 81">
              <controlPr defaultSize="0" autoFill="0" autoPict="0" macro="[0]!IR_O2" altText="Opción Múltiple VR">
                <anchor moveWithCells="1" sizeWithCells="1">
                  <from>
                    <xdr:col>5</xdr:col>
                    <xdr:colOff>1866900</xdr:colOff>
                    <xdr:row>0</xdr:row>
                    <xdr:rowOff>9525</xdr:rowOff>
                  </from>
                  <to>
                    <xdr:col>5</xdr:col>
                    <xdr:colOff>3162300</xdr:colOff>
                    <xdr:row>0</xdr:row>
                    <xdr:rowOff>161925</xdr:rowOff>
                  </to>
                </anchor>
              </controlPr>
            </control>
          </mc:Choice>
        </mc:AlternateContent>
        <mc:AlternateContent xmlns:mc="http://schemas.openxmlformats.org/markup-compatibility/2006">
          <mc:Choice Requires="x14">
            <control shapeId="14448" r:id="rId99" name="Button 112">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47" r:id="rId100" name="Button 111">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46" r:id="rId101" name="Button 110">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45" r:id="rId102" name="Button 109">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44" r:id="rId103" name="Button 108">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43" r:id="rId104" name="Button 107">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42" r:id="rId105" name="Button 106">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41" r:id="rId106" name="Button 105">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40" r:id="rId107" name="Button 104">
              <controlPr defaultSize="0" autoFill="0" autoPict="0" macro="[0]!IR_VF">
                <anchor moveWithCells="1" sizeWithCells="1">
                  <from>
                    <xdr:col>5</xdr:col>
                    <xdr:colOff>3162300</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39" r:id="rId108" name="Button 103">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38" r:id="rId109" name="Button 102">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37" r:id="rId110" name="Button 101">
              <controlPr defaultSize="0" autoFill="0" autoPict="0" macro="[0]!IR_E">
                <anchor moveWithCells="1" sizeWithCells="1">
                  <from>
                    <xdr:col>5</xdr:col>
                    <xdr:colOff>561975</xdr:colOff>
                    <xdr:row>0</xdr:row>
                    <xdr:rowOff>161925</xdr:rowOff>
                  </from>
                  <to>
                    <xdr:col>5</xdr:col>
                    <xdr:colOff>1857375</xdr:colOff>
                    <xdr:row>0</xdr:row>
                    <xdr:rowOff>314325</xdr:rowOff>
                  </to>
                </anchor>
              </controlPr>
            </control>
          </mc:Choice>
        </mc:AlternateContent>
        <mc:AlternateContent xmlns:mc="http://schemas.openxmlformats.org/markup-compatibility/2006">
          <mc:Choice Requires="x14">
            <control shapeId="14436" r:id="rId111" name="Button 100">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35" r:id="rId112" name="Button 99">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34" r:id="rId113" name="Button 98">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33" r:id="rId114" name="Button 97">
              <controlPr defaultSize="0" autoFill="0" autoPict="0" macro="[0]!IR_O2" altText="Opción Múltiple VR">
                <anchor moveWithCells="1" sizeWithCells="1">
                  <from>
                    <xdr:col>5</xdr:col>
                    <xdr:colOff>1866900</xdr:colOff>
                    <xdr:row>0</xdr:row>
                    <xdr:rowOff>9525</xdr:rowOff>
                  </from>
                  <to>
                    <xdr:col>5</xdr:col>
                    <xdr:colOff>3162300</xdr:colOff>
                    <xdr:row>0</xdr:row>
                    <xdr:rowOff>161925</xdr:rowOff>
                  </to>
                </anchor>
              </controlPr>
            </control>
          </mc:Choice>
        </mc:AlternateContent>
        <mc:AlternateContent xmlns:mc="http://schemas.openxmlformats.org/markup-compatibility/2006">
          <mc:Choice Requires="x14">
            <control shapeId="14464" r:id="rId115" name="Button 128">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63" r:id="rId116" name="Button 127">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62" r:id="rId117" name="Button 126">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61" r:id="rId118" name="Button 125">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60" r:id="rId119" name="Button 124">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59" r:id="rId120" name="Button 123">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58" r:id="rId121" name="Button 122">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57" r:id="rId122" name="Button 121">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56" r:id="rId123" name="Button 120">
              <controlPr defaultSize="0" autoFill="0" autoPict="0" macro="[0]!IR_VF">
                <anchor moveWithCells="1" sizeWithCells="1">
                  <from>
                    <xdr:col>5</xdr:col>
                    <xdr:colOff>3162300</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55" r:id="rId124" name="Button 119">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54" r:id="rId125" name="Button 118">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53" r:id="rId126" name="Button 117">
              <controlPr defaultSize="0" autoFill="0" autoPict="0" macro="[0]!IR_E">
                <anchor moveWithCells="1" sizeWithCells="1">
                  <from>
                    <xdr:col>5</xdr:col>
                    <xdr:colOff>561975</xdr:colOff>
                    <xdr:row>0</xdr:row>
                    <xdr:rowOff>161925</xdr:rowOff>
                  </from>
                  <to>
                    <xdr:col>5</xdr:col>
                    <xdr:colOff>1857375</xdr:colOff>
                    <xdr:row>0</xdr:row>
                    <xdr:rowOff>314325</xdr:rowOff>
                  </to>
                </anchor>
              </controlPr>
            </control>
          </mc:Choice>
        </mc:AlternateContent>
        <mc:AlternateContent xmlns:mc="http://schemas.openxmlformats.org/markup-compatibility/2006">
          <mc:Choice Requires="x14">
            <control shapeId="14452" r:id="rId127" name="Button 116">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51" r:id="rId128" name="Button 11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50" r:id="rId129" name="Button 114">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49" r:id="rId130" name="Button 113">
              <controlPr defaultSize="0" autoFill="0" autoPict="0" macro="[0]!IR_O2" altText="Opción Múltiple VR">
                <anchor moveWithCells="1" sizeWithCells="1">
                  <from>
                    <xdr:col>5</xdr:col>
                    <xdr:colOff>1866900</xdr:colOff>
                    <xdr:row>0</xdr:row>
                    <xdr:rowOff>9525</xdr:rowOff>
                  </from>
                  <to>
                    <xdr:col>5</xdr:col>
                    <xdr:colOff>3162300</xdr:colOff>
                    <xdr:row>0</xdr:row>
                    <xdr:rowOff>161925</xdr:rowOff>
                  </to>
                </anchor>
              </controlPr>
            </control>
          </mc:Choice>
        </mc:AlternateContent>
        <mc:AlternateContent xmlns:mc="http://schemas.openxmlformats.org/markup-compatibility/2006">
          <mc:Choice Requires="x14">
            <control shapeId="14480" r:id="rId131" name="Button 144">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79" r:id="rId132" name="Button 143">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78" r:id="rId133" name="Button 142">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77" r:id="rId134" name="Button 141">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76" r:id="rId135" name="Button 140">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75" r:id="rId136" name="Button 139">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74" r:id="rId137" name="Button 138">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73" r:id="rId138" name="Button 137">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72" r:id="rId139" name="Button 136">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71" r:id="rId140" name="Button 135">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70" r:id="rId141" name="Button 134">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69" r:id="rId142" name="Button 133">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468" r:id="rId143" name="Button 132">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67" r:id="rId144" name="Button 131">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66" r:id="rId145" name="Button 130">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65" r:id="rId146" name="Button 129">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496" r:id="rId147" name="Button 160">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495" r:id="rId148" name="Button 159">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494" r:id="rId149" name="Button 158">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493" r:id="rId150" name="Button 157">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492" r:id="rId151" name="Button 156">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491" r:id="rId152" name="Button 155">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490" r:id="rId153" name="Button 154">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489" r:id="rId154" name="Button 153">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488" r:id="rId155" name="Button 152">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487" r:id="rId156" name="Button 151">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486" r:id="rId157" name="Button 150">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485" r:id="rId158" name="Button 149">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484" r:id="rId159" name="Button 148">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83" r:id="rId160" name="Button 147">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82" r:id="rId161" name="Button 146">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81" r:id="rId162" name="Button 145">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12" r:id="rId163" name="Button 176">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11" r:id="rId164" name="Button 175">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10" r:id="rId165" name="Button 174">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09" r:id="rId166" name="Button 173">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08" r:id="rId167" name="Button 172">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07" r:id="rId168" name="Button 171">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06" r:id="rId169" name="Button 170">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05" r:id="rId170" name="Button 169">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04" r:id="rId171" name="Button 168">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03" r:id="rId172" name="Button 167">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02" r:id="rId173" name="Button 166">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01" r:id="rId174" name="Button 165">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00" r:id="rId175" name="Button 164">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499" r:id="rId176" name="Button 163">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498" r:id="rId177" name="Button 162">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497" r:id="rId178" name="Button 161">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28" r:id="rId179" name="Button 192">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27" r:id="rId180" name="Button 191">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26" r:id="rId181" name="Button 190">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25" r:id="rId182" name="Button 189">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24" r:id="rId183" name="Button 188">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23" r:id="rId184" name="Button 187">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22" r:id="rId185" name="Button 186">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21" r:id="rId186" name="Button 185">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20" r:id="rId187" name="Button 184">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19" r:id="rId188" name="Button 183">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18" r:id="rId189" name="Button 182">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17" r:id="rId190" name="Button 181">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16" r:id="rId191" name="Button 180">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515" r:id="rId192" name="Button 179">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514" r:id="rId193" name="Button 178">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513" r:id="rId194" name="Button 177">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44" r:id="rId195" name="Button 208">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43" r:id="rId196" name="Button 207">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42" r:id="rId197" name="Button 206">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41" r:id="rId198" name="Button 205">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40" r:id="rId199" name="Button 204">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39" r:id="rId200" name="Button 203">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38" r:id="rId201" name="Button 202">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37" r:id="rId202" name="Button 201">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36" r:id="rId203" name="Button 200">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35" r:id="rId204" name="Button 199">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34" r:id="rId205" name="Button 198">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33" r:id="rId206" name="Button 197">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32" r:id="rId207" name="Button 196">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531" r:id="rId208" name="Button 19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530" r:id="rId209" name="Button 194">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529" r:id="rId210" name="Button 193">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14560" r:id="rId211" name="Button 224">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14559" r:id="rId212" name="Button 223">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14558" r:id="rId213" name="Button 222">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14557" r:id="rId214" name="Button 221">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14556" r:id="rId215" name="Button 220">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14555" r:id="rId216" name="Button 219">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4554" r:id="rId217" name="Button 218">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4553" r:id="rId218" name="Button 217">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14552" r:id="rId219" name="Button 216">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14551" r:id="rId220" name="Button 215">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14550" r:id="rId221" name="Button 214">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14549" r:id="rId222" name="Button 213">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14548" r:id="rId223" name="Button 212">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14547" r:id="rId224" name="Button 211">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14546" r:id="rId225" name="Button 210">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14545" r:id="rId226" name="Button 209">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mc:AlternateContent xmlns:mc="http://schemas.openxmlformats.org/markup-compatibility/2006">
          <mc:Choice Requires="x14">
            <control shapeId="4" r:id="rId227" name="Button 23">
              <controlPr defaultSize="0" print="0" autoFill="0" autoPict="0" macro="[0]!IR_VF">
                <anchor moveWithCells="1" sizeWithCells="1">
                  <from>
                    <xdr:col>5</xdr:col>
                    <xdr:colOff>1885950</xdr:colOff>
                    <xdr:row>0</xdr:row>
                    <xdr:rowOff>9525</xdr:rowOff>
                  </from>
                  <to>
                    <xdr:col>5</xdr:col>
                    <xdr:colOff>3200400</xdr:colOff>
                    <xdr:row>0</xdr:row>
                    <xdr:rowOff>314325</xdr:rowOff>
                  </to>
                </anchor>
              </controlPr>
            </control>
          </mc:Choice>
        </mc:AlternateContent>
        <mc:AlternateContent xmlns:mc="http://schemas.openxmlformats.org/markup-compatibility/2006">
          <mc:Choice Requires="x14">
            <control shapeId="5" r:id="rId228" name="Button 24">
              <controlPr defaultSize="0" print="0" autoFill="0" autoPict="0" macro="[0]!IR_OM">
                <anchor moveWithCells="1" sizeWithCells="1">
                  <from>
                    <xdr:col>5</xdr:col>
                    <xdr:colOff>581025</xdr:colOff>
                    <xdr:row>0</xdr:row>
                    <xdr:rowOff>9525</xdr:rowOff>
                  </from>
                  <to>
                    <xdr:col>5</xdr:col>
                    <xdr:colOff>1885950</xdr:colOff>
                    <xdr:row>0</xdr:row>
                    <xdr:rowOff>314325</xdr:rowOff>
                  </to>
                </anchor>
              </controlPr>
            </control>
          </mc:Choice>
        </mc:AlternateContent>
        <mc:AlternateContent xmlns:mc="http://schemas.openxmlformats.org/markup-compatibility/2006">
          <mc:Choice Requires="x14">
            <control shapeId="6" r:id="rId229" name="Button 25">
              <controlPr defaultSize="0" print="0" autoFill="0" autoPict="0" macro="[0]!IR_RC">
                <anchor moveWithCells="1" sizeWithCells="1">
                  <from>
                    <xdr:col>5</xdr:col>
                    <xdr:colOff>571500</xdr:colOff>
                    <xdr:row>0</xdr:row>
                    <xdr:rowOff>323850</xdr:rowOff>
                  </from>
                  <to>
                    <xdr:col>5</xdr:col>
                    <xdr:colOff>1885950</xdr:colOff>
                    <xdr:row>1</xdr:row>
                    <xdr:rowOff>0</xdr:rowOff>
                  </to>
                </anchor>
              </controlPr>
            </control>
          </mc:Choice>
        </mc:AlternateContent>
        <mc:AlternateContent xmlns:mc="http://schemas.openxmlformats.org/markup-compatibility/2006">
          <mc:Choice Requires="x14">
            <control shapeId="7" r:id="rId230" name="Button 26">
              <controlPr defaultSize="0" print="0" autoFill="0" autoPict="0" macro="[0]!IR_E">
                <anchor moveWithCells="1" sizeWithCells="1">
                  <from>
                    <xdr:col>5</xdr:col>
                    <xdr:colOff>3200400</xdr:colOff>
                    <xdr:row>0</xdr:row>
                    <xdr:rowOff>0</xdr:rowOff>
                  </from>
                  <to>
                    <xdr:col>7</xdr:col>
                    <xdr:colOff>361950</xdr:colOff>
                    <xdr:row>0</xdr:row>
                    <xdr:rowOff>314325</xdr:rowOff>
                  </to>
                </anchor>
              </controlPr>
            </control>
          </mc:Choice>
        </mc:AlternateContent>
        <mc:AlternateContent xmlns:mc="http://schemas.openxmlformats.org/markup-compatibility/2006">
          <mc:Choice Requires="x14">
            <control shapeId="8" r:id="rId231" name="Button 27">
              <controlPr defaultSize="0" print="0" autoFill="0" autoPict="0" macro="[0]!IR_PP">
                <anchor moveWithCells="1" sizeWithCells="1">
                  <from>
                    <xdr:col>5</xdr:col>
                    <xdr:colOff>1895475</xdr:colOff>
                    <xdr:row>0</xdr:row>
                    <xdr:rowOff>323850</xdr:rowOff>
                  </from>
                  <to>
                    <xdr:col>5</xdr:col>
                    <xdr:colOff>3200400</xdr:colOff>
                    <xdr:row>1</xdr:row>
                    <xdr:rowOff>0</xdr:rowOff>
                  </to>
                </anchor>
              </controlPr>
            </control>
          </mc:Choice>
        </mc:AlternateContent>
        <mc:AlternateContent xmlns:mc="http://schemas.openxmlformats.org/markup-compatibility/2006">
          <mc:Choice Requires="x14">
            <control shapeId="9" r:id="rId232" name="Button 28">
              <controlPr defaultSize="0" print="0" autoFill="0" autoPict="0" macro="[0]!IR_INICIO">
                <anchor moveWithCells="1" sizeWithCells="1">
                  <from>
                    <xdr:col>5</xdr:col>
                    <xdr:colOff>3200400</xdr:colOff>
                    <xdr:row>0</xdr:row>
                    <xdr:rowOff>323850</xdr:rowOff>
                  </from>
                  <to>
                    <xdr:col>7</xdr:col>
                    <xdr:colOff>361950</xdr:colOff>
                    <xdr:row>1</xdr:row>
                    <xdr:rowOff>0</xdr:rowOff>
                  </to>
                </anchor>
              </controlPr>
            </control>
          </mc:Choice>
        </mc:AlternateContent>
        <mc:AlternateContent xmlns:mc="http://schemas.openxmlformats.org/markup-compatibility/2006">
          <mc:Choice Requires="x14">
            <control shapeId="10" r:id="rId233" name="Button 29">
              <controlPr defaultSize="0" autoFill="0" autoPict="0" macro="[0]!IR_INICIO">
                <anchor moveWithCells="1" sizeWithCells="1">
                  <from>
                    <xdr:col>5</xdr:col>
                    <xdr:colOff>9525</xdr:colOff>
                    <xdr:row>0</xdr:row>
                    <xdr:rowOff>9525</xdr:rowOff>
                  </from>
                  <to>
                    <xdr:col>5</xdr:col>
                    <xdr:colOff>561975</xdr:colOff>
                    <xdr:row>0</xdr:row>
                    <xdr:rowOff>323850</xdr:rowOff>
                  </to>
                </anchor>
              </controlPr>
            </control>
          </mc:Choice>
        </mc:AlternateContent>
        <mc:AlternateContent xmlns:mc="http://schemas.openxmlformats.org/markup-compatibility/2006">
          <mc:Choice Requires="x14">
            <control shapeId="11" r:id="rId234" name="Button 30">
              <controlPr defaultSize="0" autoFill="0" autoPict="0" macro="[0]!Copiar_Formatos">
                <anchor moveWithCells="1" sizeWithCells="1">
                  <from>
                    <xdr:col>5</xdr:col>
                    <xdr:colOff>9525</xdr:colOff>
                    <xdr:row>0</xdr:row>
                    <xdr:rowOff>323850</xdr:rowOff>
                  </from>
                  <to>
                    <xdr:col>5</xdr:col>
                    <xdr:colOff>561975</xdr:colOff>
                    <xdr:row>1</xdr:row>
                    <xdr:rowOff>0</xdr:rowOff>
                  </to>
                </anchor>
              </controlPr>
            </control>
          </mc:Choice>
        </mc:AlternateContent>
        <mc:AlternateContent xmlns:mc="http://schemas.openxmlformats.org/markup-compatibility/2006">
          <mc:Choice Requires="x14">
            <control shapeId="22" r:id="rId235" name="Button 9">
              <controlPr defaultSize="0" autoFill="0" autoPict="0" macro="[0]!IR_VF">
                <anchor moveWithCells="1" sizeWithCells="1">
                  <from>
                    <xdr:col>5</xdr:col>
                    <xdr:colOff>3171825</xdr:colOff>
                    <xdr:row>0</xdr:row>
                    <xdr:rowOff>9525</xdr:rowOff>
                  </from>
                  <to>
                    <xdr:col>7</xdr:col>
                    <xdr:colOff>304800</xdr:colOff>
                    <xdr:row>0</xdr:row>
                    <xdr:rowOff>161925</xdr:rowOff>
                  </to>
                </anchor>
              </controlPr>
            </control>
          </mc:Choice>
        </mc:AlternateContent>
        <mc:AlternateContent xmlns:mc="http://schemas.openxmlformats.org/markup-compatibility/2006">
          <mc:Choice Requires="x14">
            <control shapeId="24" r:id="rId236" name="Button 10">
              <controlPr defaultSize="0" autoFill="0" autoPict="0">
                <anchor moveWithCells="1" sizeWithCells="1">
                  <from>
                    <xdr:col>5</xdr:col>
                    <xdr:colOff>561975</xdr:colOff>
                    <xdr:row>0</xdr:row>
                    <xdr:rowOff>9525</xdr:rowOff>
                  </from>
                  <to>
                    <xdr:col>5</xdr:col>
                    <xdr:colOff>1857375</xdr:colOff>
                    <xdr:row>0</xdr:row>
                    <xdr:rowOff>161925</xdr:rowOff>
                  </to>
                </anchor>
              </controlPr>
            </control>
          </mc:Choice>
        </mc:AlternateContent>
        <mc:AlternateContent xmlns:mc="http://schemas.openxmlformats.org/markup-compatibility/2006">
          <mc:Choice Requires="x14">
            <control shapeId="25" r:id="rId237" name="Button 11">
              <controlPr defaultSize="0" autoFill="0" autoPict="0" macro="[0]!IR_RC">
                <anchor moveWithCells="1" sizeWithCells="1">
                  <from>
                    <xdr:col>5</xdr:col>
                    <xdr:colOff>1866900</xdr:colOff>
                    <xdr:row>0</xdr:row>
                    <xdr:rowOff>161925</xdr:rowOff>
                  </from>
                  <to>
                    <xdr:col>5</xdr:col>
                    <xdr:colOff>3162300</xdr:colOff>
                    <xdr:row>1</xdr:row>
                    <xdr:rowOff>0</xdr:rowOff>
                  </to>
                </anchor>
              </controlPr>
            </control>
          </mc:Choice>
        </mc:AlternateContent>
        <mc:AlternateContent xmlns:mc="http://schemas.openxmlformats.org/markup-compatibility/2006">
          <mc:Choice Requires="x14">
            <control shapeId="26" r:id="rId238" name="Button 12">
              <controlPr defaultSize="0" autoFill="0" autoPict="0" macro="[0]!IR_E">
                <anchor moveWithCells="1" sizeWithCells="1">
                  <from>
                    <xdr:col>5</xdr:col>
                    <xdr:colOff>561975</xdr:colOff>
                    <xdr:row>0</xdr:row>
                    <xdr:rowOff>161925</xdr:rowOff>
                  </from>
                  <to>
                    <xdr:col>5</xdr:col>
                    <xdr:colOff>1866900</xdr:colOff>
                    <xdr:row>0</xdr:row>
                    <xdr:rowOff>314325</xdr:rowOff>
                  </to>
                </anchor>
              </controlPr>
            </control>
          </mc:Choice>
        </mc:AlternateContent>
        <mc:AlternateContent xmlns:mc="http://schemas.openxmlformats.org/markup-compatibility/2006">
          <mc:Choice Requires="x14">
            <control shapeId="27" r:id="rId239" name="Button 13">
              <controlPr defaultSize="0" autoFill="0" autoPict="0" macro="[0]!IR_PP">
                <anchor moveWithCells="1" sizeWithCells="1">
                  <from>
                    <xdr:col>5</xdr:col>
                    <xdr:colOff>3171825</xdr:colOff>
                    <xdr:row>0</xdr:row>
                    <xdr:rowOff>161925</xdr:rowOff>
                  </from>
                  <to>
                    <xdr:col>7</xdr:col>
                    <xdr:colOff>314325</xdr:colOff>
                    <xdr:row>1</xdr:row>
                    <xdr:rowOff>0</xdr:rowOff>
                  </to>
                </anchor>
              </controlPr>
            </control>
          </mc:Choice>
        </mc:AlternateContent>
        <mc:AlternateContent xmlns:mc="http://schemas.openxmlformats.org/markup-compatibility/2006">
          <mc:Choice Requires="x14">
            <control shapeId="30" r:id="rId240" name="Button 15">
              <controlPr defaultSize="0" autoFill="0" autoPict="0" macro="[0]!IR_INICIO">
                <anchor moveWithCells="1" sizeWithCells="1">
                  <from>
                    <xdr:col>5</xdr:col>
                    <xdr:colOff>9525</xdr:colOff>
                    <xdr:row>0</xdr:row>
                    <xdr:rowOff>9525</xdr:rowOff>
                  </from>
                  <to>
                    <xdr:col>5</xdr:col>
                    <xdr:colOff>581025</xdr:colOff>
                    <xdr:row>0</xdr:row>
                    <xdr:rowOff>161925</xdr:rowOff>
                  </to>
                </anchor>
              </controlPr>
            </control>
          </mc:Choice>
        </mc:AlternateContent>
        <mc:AlternateContent xmlns:mc="http://schemas.openxmlformats.org/markup-compatibility/2006">
          <mc:Choice Requires="x14">
            <control shapeId="32" r:id="rId241" name="Button 16">
              <controlPr defaultSize="0" autoFill="0" autoPict="0" macro="[0]!Copiar_Formatos">
                <anchor moveWithCells="1" sizeWithCells="1">
                  <from>
                    <xdr:col>5</xdr:col>
                    <xdr:colOff>9525</xdr:colOff>
                    <xdr:row>0</xdr:row>
                    <xdr:rowOff>161925</xdr:rowOff>
                  </from>
                  <to>
                    <xdr:col>5</xdr:col>
                    <xdr:colOff>581025</xdr:colOff>
                    <xdr:row>0</xdr:row>
                    <xdr:rowOff>314325</xdr:rowOff>
                  </to>
                </anchor>
              </controlPr>
            </control>
          </mc:Choice>
        </mc:AlternateContent>
        <mc:AlternateContent xmlns:mc="http://schemas.openxmlformats.org/markup-compatibility/2006">
          <mc:Choice Requires="x14">
            <control shapeId="28" r:id="rId242" name="Button 18">
              <controlPr defaultSize="0" autoFill="0" autoPict="0" macro="[0]!IR_O2" altText="Opción Múltiple VR">
                <anchor moveWithCells="1" sizeWithCells="1">
                  <from>
                    <xdr:col>5</xdr:col>
                    <xdr:colOff>1866900</xdr:colOff>
                    <xdr:row>0</xdr:row>
                    <xdr:rowOff>9525</xdr:rowOff>
                  </from>
                  <to>
                    <xdr:col>5</xdr:col>
                    <xdr:colOff>3171825</xdr:colOff>
                    <xdr:row>0</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H505"/>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E4" sqref="E4"/>
    </sheetView>
  </sheetViews>
  <sheetFormatPr baseColWidth="10" defaultColWidth="11.42578125" defaultRowHeight="15" x14ac:dyDescent="0.25"/>
  <cols>
    <col min="1" max="2" width="3.7109375" style="6" customWidth="1"/>
    <col min="3" max="3" width="3.5703125" style="5" hidden="1" customWidth="1"/>
    <col min="4" max="4" width="4" style="5" hidden="1" customWidth="1"/>
    <col min="5" max="5" width="16.140625" style="6" customWidth="1"/>
    <col min="6" max="6" width="49.7109375" style="5" customWidth="1"/>
    <col min="7" max="12" width="12.5703125" style="5" customWidth="1"/>
    <col min="13" max="24" width="14.28515625" style="5" customWidth="1"/>
    <col min="25" max="30" width="14.28515625" style="5" hidden="1" customWidth="1"/>
    <col min="31" max="16384" width="11.42578125" style="5"/>
  </cols>
  <sheetData>
    <row r="1" spans="1:34" s="2" customFormat="1" ht="24.95" customHeight="1" thickBot="1" x14ac:dyDescent="0.3">
      <c r="A1" s="120"/>
      <c r="B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s="2" customFormat="1" ht="24.95" customHeight="1" x14ac:dyDescent="0.25">
      <c r="A2" s="4"/>
      <c r="B2" s="4"/>
      <c r="D2" s="3"/>
      <c r="F2" s="122" t="str">
        <f ca="1">'Datos OM'!F2</f>
        <v>EM                                 RC                             PP</v>
      </c>
      <c r="G2" s="119">
        <f>COUNTA(F4:F505)</f>
        <v>2</v>
      </c>
      <c r="H2" s="148" t="str">
        <f ca="1">'Datos OM'!H2</f>
        <v>Preguntas Almacenadas</v>
      </c>
    </row>
    <row r="3" spans="1:34" s="23" customFormat="1" ht="50.1" customHeight="1" x14ac:dyDescent="0.25">
      <c r="A3" s="149" t="str">
        <f ca="1">'Datos OM'!A3</f>
        <v>N. Respuesta Correcta</v>
      </c>
      <c r="B3" s="149" t="str">
        <f ca="1">'Datos OM'!B3</f>
        <v>N. Respuesta Incorrecta</v>
      </c>
      <c r="C3" s="44"/>
      <c r="D3" s="3"/>
      <c r="E3" s="66" t="str">
        <f ca="1">'Datos OM'!E3</f>
        <v>Descripción</v>
      </c>
      <c r="F3" s="121" t="str">
        <f ca="1">"FastTest PlugIn - "&amp;UPPER(INICIO!G23)&amp;"
"&amp;INDIRECT("Z_BP_03_"&amp;IDIOMA)</f>
        <v>FastTest PlugIn - OPCIÓN MÚLTIPLE VR 
Enunciado de la pregunta</v>
      </c>
      <c r="G3" s="32" t="str">
        <f ca="1">'Datos OM'!G3</f>
        <v>Respuesta 1</v>
      </c>
      <c r="H3" s="33" t="str">
        <f ca="1">'Datos OM'!H3</f>
        <v>Respuesta 2</v>
      </c>
      <c r="I3" s="34" t="str">
        <f ca="1">'Datos OM'!I3</f>
        <v>Respuesta 3</v>
      </c>
      <c r="J3" s="35" t="str">
        <f ca="1">'Datos OM'!J3</f>
        <v>Respuesta 4</v>
      </c>
      <c r="K3" s="36" t="str">
        <f ca="1">'Datos OM'!K3</f>
        <v>Respuesta 5</v>
      </c>
      <c r="L3" s="37" t="str">
        <f ca="1">'Datos OM'!L3</f>
        <v>Respuesta 6</v>
      </c>
      <c r="M3" s="67" t="str">
        <f ca="1">'Datos OM'!M3</f>
        <v>Retroalim. 1</v>
      </c>
      <c r="N3" s="68" t="str">
        <f ca="1">'Datos OM'!N3</f>
        <v>Retroalim. 2</v>
      </c>
      <c r="O3" s="69" t="str">
        <f ca="1">'Datos OM'!O3</f>
        <v>Retroalim. 3</v>
      </c>
      <c r="P3" s="70" t="str">
        <f ca="1">'Datos OM'!P3</f>
        <v>Retroalim. 4</v>
      </c>
      <c r="Q3" s="71" t="str">
        <f ca="1">'Datos OM'!Q3</f>
        <v>Retroalim. 5</v>
      </c>
      <c r="R3" s="72" t="str">
        <f ca="1">'Datos OM'!R3</f>
        <v>Retroalim. 6</v>
      </c>
      <c r="S3" s="67" t="str">
        <f ca="1">'Datos OM'!S3</f>
        <v>Puntos 1</v>
      </c>
      <c r="T3" s="68" t="str">
        <f ca="1">'Datos OM'!T3</f>
        <v>Puntos 2</v>
      </c>
      <c r="U3" s="69" t="str">
        <f ca="1">'Datos OM'!U3</f>
        <v>Puntos 3</v>
      </c>
      <c r="V3" s="70" t="str">
        <f ca="1">'Datos OM'!V3</f>
        <v>Puntos 4</v>
      </c>
      <c r="W3" s="71" t="str">
        <f ca="1">'Datos OM'!W3</f>
        <v>Puntos 5</v>
      </c>
      <c r="X3" s="72" t="str">
        <f ca="1">'Datos OM'!X3</f>
        <v>Puntos 6</v>
      </c>
      <c r="Y3" s="72"/>
      <c r="Z3" s="72"/>
      <c r="AA3" s="72"/>
      <c r="AB3" s="72"/>
      <c r="AC3" s="72"/>
      <c r="AD3" s="72"/>
      <c r="AE3" s="73" t="str">
        <f ca="1">'Datos OM'!AE3</f>
        <v>Pista 1</v>
      </c>
      <c r="AF3" s="74" t="str">
        <f ca="1">'Datos OM'!AF3</f>
        <v>Pista 2</v>
      </c>
      <c r="AG3" s="75" t="str">
        <f ca="1">'Datos OM'!AG3</f>
        <v>Pista 3</v>
      </c>
      <c r="AH3" s="76" t="str">
        <f ca="1">'Datos OM'!AH3</f>
        <v>Pista 4</v>
      </c>
    </row>
    <row r="4" spans="1:34" s="2" customFormat="1" x14ac:dyDescent="0.25">
      <c r="A4" s="155">
        <f>IF(COUNTIF(S4:X4,"&gt;0")=0,"",COUNTIF(S4:X4,"&gt;0"))</f>
        <v>2</v>
      </c>
      <c r="B4" s="155">
        <f>IF(A4="","",COUNTA(G4:L4)-A4)</f>
        <v>4</v>
      </c>
      <c r="C4" s="157"/>
      <c r="D4" s="150"/>
      <c r="E4" s="78" t="s">
        <v>26</v>
      </c>
      <c r="F4" s="133" t="s">
        <v>27</v>
      </c>
      <c r="G4" s="38" t="s">
        <v>54</v>
      </c>
      <c r="H4" s="39" t="s">
        <v>55</v>
      </c>
      <c r="I4" s="40" t="s">
        <v>30</v>
      </c>
      <c r="J4" s="41" t="s">
        <v>31</v>
      </c>
      <c r="K4" s="42" t="s">
        <v>32</v>
      </c>
      <c r="L4" s="43" t="s">
        <v>29</v>
      </c>
      <c r="M4" s="79" t="s">
        <v>34</v>
      </c>
      <c r="N4" s="80" t="s">
        <v>34</v>
      </c>
      <c r="O4" s="81" t="s">
        <v>36</v>
      </c>
      <c r="P4" s="82" t="s">
        <v>37</v>
      </c>
      <c r="Q4" s="83" t="s">
        <v>38</v>
      </c>
      <c r="R4" s="84" t="s">
        <v>39</v>
      </c>
      <c r="S4" s="79">
        <v>50</v>
      </c>
      <c r="T4" s="80">
        <v>50</v>
      </c>
      <c r="U4" s="81"/>
      <c r="V4" s="82"/>
      <c r="W4" s="83"/>
      <c r="X4" s="84"/>
      <c r="Y4" s="84"/>
      <c r="Z4" s="84"/>
      <c r="AA4" s="84"/>
      <c r="AB4" s="84"/>
      <c r="AC4" s="84"/>
      <c r="AD4" s="84"/>
      <c r="AE4" s="85" t="s">
        <v>0</v>
      </c>
      <c r="AF4" s="86" t="s">
        <v>1</v>
      </c>
      <c r="AG4" s="87" t="s">
        <v>2</v>
      </c>
      <c r="AH4" s="88" t="s">
        <v>3</v>
      </c>
    </row>
    <row r="5" spans="1:34" s="2" customFormat="1" ht="30" x14ac:dyDescent="0.25">
      <c r="A5" s="155">
        <f>IF(COUNTIF(S5:X5,"&gt;0")=0,"",COUNTIF(S5:X5,"&gt;0"))</f>
        <v>2</v>
      </c>
      <c r="B5" s="155">
        <f>IF(A5="","",COUNTA(G5:L5)-A5)</f>
        <v>4</v>
      </c>
      <c r="C5" s="157"/>
      <c r="D5" s="150"/>
      <c r="E5" s="78" t="s">
        <v>41</v>
      </c>
      <c r="F5" s="133" t="s">
        <v>42</v>
      </c>
      <c r="G5" s="38" t="s">
        <v>43</v>
      </c>
      <c r="H5" s="39" t="s">
        <v>56</v>
      </c>
      <c r="I5" s="40" t="s">
        <v>44</v>
      </c>
      <c r="J5" s="41" t="s">
        <v>45</v>
      </c>
      <c r="K5" s="42" t="s">
        <v>57</v>
      </c>
      <c r="L5" s="43" t="s">
        <v>58</v>
      </c>
      <c r="M5" s="79" t="s">
        <v>34</v>
      </c>
      <c r="N5" s="80" t="s">
        <v>34</v>
      </c>
      <c r="O5" s="81" t="s">
        <v>36</v>
      </c>
      <c r="P5" s="82" t="s">
        <v>37</v>
      </c>
      <c r="Q5" s="83" t="s">
        <v>38</v>
      </c>
      <c r="R5" s="84" t="s">
        <v>39</v>
      </c>
      <c r="S5" s="79">
        <v>50</v>
      </c>
      <c r="T5" s="80">
        <v>50</v>
      </c>
      <c r="U5" s="81"/>
      <c r="V5" s="82"/>
      <c r="W5" s="83"/>
      <c r="X5" s="84"/>
      <c r="Y5" s="84"/>
      <c r="Z5" s="84"/>
      <c r="AA5" s="84"/>
      <c r="AB5" s="84"/>
      <c r="AC5" s="84"/>
      <c r="AD5" s="84"/>
      <c r="AE5" s="85" t="s">
        <v>0</v>
      </c>
      <c r="AF5" s="86" t="s">
        <v>1</v>
      </c>
      <c r="AG5" s="87" t="s">
        <v>2</v>
      </c>
      <c r="AH5" s="88" t="s">
        <v>3</v>
      </c>
    </row>
    <row r="6" spans="1:34" s="2" customFormat="1" x14ac:dyDescent="0.25">
      <c r="A6" s="155" t="str">
        <f t="shared" ref="A6:A69" si="0">IF(COUNTIF(S6:X6,"&gt;0")=0,"",COUNTIF(S6:X6,"&gt;0"))</f>
        <v/>
      </c>
      <c r="B6" s="155" t="str">
        <f t="shared" ref="B6:B69" si="1">IF(A6="","",COUNTA(G6:L6)-A6)</f>
        <v/>
      </c>
      <c r="C6" s="157"/>
      <c r="D6" s="150"/>
      <c r="E6" s="78"/>
      <c r="F6" s="133"/>
      <c r="G6" s="38"/>
      <c r="H6" s="39"/>
      <c r="I6" s="40"/>
      <c r="J6" s="41"/>
      <c r="K6" s="42"/>
      <c r="L6" s="43"/>
      <c r="M6" s="79"/>
      <c r="N6" s="80"/>
      <c r="O6" s="81"/>
      <c r="P6" s="82"/>
      <c r="Q6" s="83"/>
      <c r="R6" s="84"/>
      <c r="S6" s="79"/>
      <c r="T6" s="80"/>
      <c r="U6" s="81"/>
      <c r="V6" s="82"/>
      <c r="W6" s="83"/>
      <c r="X6" s="84"/>
      <c r="Y6" s="84"/>
      <c r="Z6" s="84"/>
      <c r="AA6" s="84"/>
      <c r="AB6" s="84"/>
      <c r="AC6" s="84"/>
      <c r="AD6" s="84"/>
      <c r="AE6" s="85"/>
      <c r="AF6" s="86"/>
      <c r="AG6" s="87"/>
      <c r="AH6" s="88"/>
    </row>
    <row r="7" spans="1:34" s="2" customFormat="1" x14ac:dyDescent="0.25">
      <c r="A7" s="155" t="str">
        <f t="shared" si="0"/>
        <v/>
      </c>
      <c r="B7" s="155" t="str">
        <f t="shared" si="1"/>
        <v/>
      </c>
      <c r="C7" s="157"/>
      <c r="D7" s="150"/>
      <c r="E7" s="78"/>
      <c r="F7" s="133"/>
      <c r="G7" s="38"/>
      <c r="H7" s="39"/>
      <c r="I7" s="40"/>
      <c r="J7" s="41"/>
      <c r="K7" s="42"/>
      <c r="L7" s="43"/>
      <c r="M7" s="79"/>
      <c r="N7" s="80"/>
      <c r="O7" s="81"/>
      <c r="P7" s="82"/>
      <c r="Q7" s="83"/>
      <c r="R7" s="84"/>
      <c r="S7" s="79"/>
      <c r="T7" s="80"/>
      <c r="U7" s="81"/>
      <c r="V7" s="82"/>
      <c r="W7" s="83"/>
      <c r="X7" s="84"/>
      <c r="Y7" s="84"/>
      <c r="Z7" s="84"/>
      <c r="AA7" s="84"/>
      <c r="AB7" s="84"/>
      <c r="AC7" s="84"/>
      <c r="AD7" s="84"/>
      <c r="AE7" s="85"/>
      <c r="AF7" s="86"/>
      <c r="AG7" s="87"/>
      <c r="AH7" s="88"/>
    </row>
    <row r="8" spans="1:34" s="2" customFormat="1" x14ac:dyDescent="0.25">
      <c r="A8" s="155" t="str">
        <f t="shared" si="0"/>
        <v/>
      </c>
      <c r="B8" s="155" t="str">
        <f t="shared" si="1"/>
        <v/>
      </c>
      <c r="C8" s="157"/>
      <c r="D8" s="150"/>
      <c r="E8" s="78"/>
      <c r="F8" s="133"/>
      <c r="G8" s="38"/>
      <c r="H8" s="39"/>
      <c r="I8" s="40"/>
      <c r="J8" s="41"/>
      <c r="K8" s="42"/>
      <c r="L8" s="43"/>
      <c r="M8" s="79"/>
      <c r="N8" s="80"/>
      <c r="O8" s="81"/>
      <c r="P8" s="82"/>
      <c r="Q8" s="83"/>
      <c r="R8" s="84"/>
      <c r="S8" s="79"/>
      <c r="T8" s="80"/>
      <c r="U8" s="81"/>
      <c r="V8" s="82"/>
      <c r="W8" s="83"/>
      <c r="X8" s="84"/>
      <c r="Y8" s="84"/>
      <c r="Z8" s="84"/>
      <c r="AA8" s="84"/>
      <c r="AB8" s="84"/>
      <c r="AC8" s="84"/>
      <c r="AD8" s="84"/>
      <c r="AE8" s="85"/>
      <c r="AF8" s="86"/>
      <c r="AG8" s="87"/>
      <c r="AH8" s="88"/>
    </row>
    <row r="9" spans="1:34" s="2" customFormat="1" x14ac:dyDescent="0.25">
      <c r="A9" s="155" t="str">
        <f t="shared" si="0"/>
        <v/>
      </c>
      <c r="B9" s="155" t="str">
        <f t="shared" si="1"/>
        <v/>
      </c>
      <c r="C9" s="157"/>
      <c r="D9" s="150"/>
      <c r="E9" s="78"/>
      <c r="F9" s="133"/>
      <c r="G9" s="38"/>
      <c r="H9" s="39"/>
      <c r="I9" s="40"/>
      <c r="J9" s="41"/>
      <c r="K9" s="42"/>
      <c r="L9" s="43"/>
      <c r="M9" s="79"/>
      <c r="N9" s="80"/>
      <c r="O9" s="81"/>
      <c r="P9" s="82"/>
      <c r="Q9" s="83"/>
      <c r="R9" s="84"/>
      <c r="S9" s="79"/>
      <c r="T9" s="80"/>
      <c r="U9" s="81"/>
      <c r="V9" s="82"/>
      <c r="W9" s="83"/>
      <c r="X9" s="84"/>
      <c r="Y9" s="84"/>
      <c r="Z9" s="84"/>
      <c r="AA9" s="84"/>
      <c r="AB9" s="84"/>
      <c r="AC9" s="84"/>
      <c r="AD9" s="84"/>
      <c r="AE9" s="85"/>
      <c r="AF9" s="86"/>
      <c r="AG9" s="87"/>
      <c r="AH9" s="88"/>
    </row>
    <row r="10" spans="1:34" s="2" customFormat="1" x14ac:dyDescent="0.25">
      <c r="A10" s="155" t="str">
        <f t="shared" si="0"/>
        <v/>
      </c>
      <c r="B10" s="155" t="str">
        <f t="shared" si="1"/>
        <v/>
      </c>
      <c r="C10" s="157"/>
      <c r="D10" s="150"/>
      <c r="E10" s="78"/>
      <c r="F10" s="133"/>
      <c r="G10" s="38"/>
      <c r="H10" s="39"/>
      <c r="I10" s="40"/>
      <c r="J10" s="41"/>
      <c r="K10" s="42"/>
      <c r="L10" s="43"/>
      <c r="M10" s="79"/>
      <c r="N10" s="80"/>
      <c r="O10" s="81"/>
      <c r="P10" s="82"/>
      <c r="Q10" s="83"/>
      <c r="R10" s="84"/>
      <c r="S10" s="79"/>
      <c r="T10" s="80"/>
      <c r="U10" s="81"/>
      <c r="V10" s="82"/>
      <c r="W10" s="83"/>
      <c r="X10" s="84"/>
      <c r="Y10" s="84"/>
      <c r="Z10" s="84"/>
      <c r="AA10" s="84"/>
      <c r="AB10" s="84"/>
      <c r="AC10" s="84"/>
      <c r="AD10" s="84"/>
      <c r="AE10" s="85"/>
      <c r="AF10" s="86"/>
      <c r="AG10" s="87"/>
      <c r="AH10" s="88"/>
    </row>
    <row r="11" spans="1:34" s="2" customFormat="1" x14ac:dyDescent="0.25">
      <c r="A11" s="155" t="str">
        <f t="shared" si="0"/>
        <v/>
      </c>
      <c r="B11" s="155" t="str">
        <f t="shared" si="1"/>
        <v/>
      </c>
      <c r="C11" s="157"/>
      <c r="D11" s="150"/>
      <c r="E11" s="78"/>
      <c r="F11" s="133"/>
      <c r="G11" s="38"/>
      <c r="H11" s="39"/>
      <c r="I11" s="40"/>
      <c r="J11" s="41"/>
      <c r="K11" s="42"/>
      <c r="L11" s="43"/>
      <c r="M11" s="79"/>
      <c r="N11" s="80"/>
      <c r="O11" s="81"/>
      <c r="P11" s="82"/>
      <c r="Q11" s="83"/>
      <c r="R11" s="84"/>
      <c r="S11" s="79"/>
      <c r="T11" s="80"/>
      <c r="U11" s="81"/>
      <c r="V11" s="82"/>
      <c r="W11" s="83"/>
      <c r="X11" s="84"/>
      <c r="Y11" s="84"/>
      <c r="Z11" s="84"/>
      <c r="AA11" s="84"/>
      <c r="AB11" s="84"/>
      <c r="AC11" s="84"/>
      <c r="AD11" s="84"/>
      <c r="AE11" s="85"/>
      <c r="AF11" s="86"/>
      <c r="AG11" s="87"/>
      <c r="AH11" s="88"/>
    </row>
    <row r="12" spans="1:34" s="2" customFormat="1" x14ac:dyDescent="0.25">
      <c r="A12" s="155" t="str">
        <f t="shared" si="0"/>
        <v/>
      </c>
      <c r="B12" s="155" t="str">
        <f t="shared" si="1"/>
        <v/>
      </c>
      <c r="C12" s="157"/>
      <c r="D12" s="150"/>
      <c r="E12" s="78"/>
      <c r="F12" s="133"/>
      <c r="G12" s="38"/>
      <c r="H12" s="39"/>
      <c r="I12" s="40"/>
      <c r="J12" s="41"/>
      <c r="K12" s="42"/>
      <c r="L12" s="43"/>
      <c r="M12" s="79"/>
      <c r="N12" s="80"/>
      <c r="O12" s="81"/>
      <c r="P12" s="82"/>
      <c r="Q12" s="83"/>
      <c r="R12" s="84"/>
      <c r="S12" s="79"/>
      <c r="T12" s="80"/>
      <c r="U12" s="81"/>
      <c r="V12" s="82"/>
      <c r="W12" s="83"/>
      <c r="X12" s="84"/>
      <c r="Y12" s="84"/>
      <c r="Z12" s="84"/>
      <c r="AA12" s="84"/>
      <c r="AB12" s="84"/>
      <c r="AC12" s="84"/>
      <c r="AD12" s="84"/>
      <c r="AE12" s="85"/>
      <c r="AF12" s="86"/>
      <c r="AG12" s="87"/>
      <c r="AH12" s="88"/>
    </row>
    <row r="13" spans="1:34" s="2" customFormat="1" x14ac:dyDescent="0.25">
      <c r="A13" s="155" t="str">
        <f t="shared" si="0"/>
        <v/>
      </c>
      <c r="B13" s="155" t="str">
        <f t="shared" si="1"/>
        <v/>
      </c>
      <c r="C13" s="157"/>
      <c r="D13" s="150"/>
      <c r="E13" s="78"/>
      <c r="F13" s="133"/>
      <c r="G13" s="38"/>
      <c r="H13" s="39"/>
      <c r="I13" s="40"/>
      <c r="J13" s="41"/>
      <c r="K13" s="42"/>
      <c r="L13" s="43"/>
      <c r="M13" s="79"/>
      <c r="N13" s="80"/>
      <c r="O13" s="81"/>
      <c r="P13" s="82"/>
      <c r="Q13" s="83"/>
      <c r="R13" s="84"/>
      <c r="S13" s="79"/>
      <c r="T13" s="80"/>
      <c r="U13" s="81"/>
      <c r="V13" s="82"/>
      <c r="W13" s="83"/>
      <c r="X13" s="84"/>
      <c r="Y13" s="84"/>
      <c r="Z13" s="84"/>
      <c r="AA13" s="84"/>
      <c r="AB13" s="84"/>
      <c r="AC13" s="84"/>
      <c r="AD13" s="84"/>
      <c r="AE13" s="85"/>
      <c r="AF13" s="86"/>
      <c r="AG13" s="87"/>
      <c r="AH13" s="88"/>
    </row>
    <row r="14" spans="1:34" s="2" customFormat="1" x14ac:dyDescent="0.25">
      <c r="A14" s="155" t="str">
        <f t="shared" si="0"/>
        <v/>
      </c>
      <c r="B14" s="155" t="str">
        <f t="shared" si="1"/>
        <v/>
      </c>
      <c r="C14" s="157"/>
      <c r="D14" s="150"/>
      <c r="E14" s="78"/>
      <c r="F14" s="133"/>
      <c r="G14" s="38"/>
      <c r="H14" s="39"/>
      <c r="I14" s="40"/>
      <c r="J14" s="41"/>
      <c r="K14" s="42"/>
      <c r="L14" s="43"/>
      <c r="M14" s="79"/>
      <c r="N14" s="80"/>
      <c r="O14" s="81"/>
      <c r="P14" s="82"/>
      <c r="Q14" s="83"/>
      <c r="R14" s="84"/>
      <c r="S14" s="79"/>
      <c r="T14" s="80"/>
      <c r="U14" s="81"/>
      <c r="V14" s="82"/>
      <c r="W14" s="83"/>
      <c r="X14" s="84"/>
      <c r="Y14" s="84"/>
      <c r="Z14" s="84"/>
      <c r="AA14" s="84"/>
      <c r="AB14" s="84"/>
      <c r="AC14" s="84"/>
      <c r="AD14" s="84"/>
      <c r="AE14" s="85"/>
      <c r="AF14" s="86"/>
      <c r="AG14" s="87"/>
      <c r="AH14" s="88"/>
    </row>
    <row r="15" spans="1:34" s="2" customFormat="1" x14ac:dyDescent="0.25">
      <c r="A15" s="155" t="str">
        <f t="shared" si="0"/>
        <v/>
      </c>
      <c r="B15" s="155" t="str">
        <f t="shared" si="1"/>
        <v/>
      </c>
      <c r="C15" s="157"/>
      <c r="D15" s="150"/>
      <c r="E15" s="78"/>
      <c r="F15" s="133"/>
      <c r="G15" s="38"/>
      <c r="H15" s="39"/>
      <c r="I15" s="40"/>
      <c r="J15" s="41"/>
      <c r="K15" s="42"/>
      <c r="L15" s="43"/>
      <c r="M15" s="79"/>
      <c r="N15" s="80"/>
      <c r="O15" s="81"/>
      <c r="P15" s="82"/>
      <c r="Q15" s="83"/>
      <c r="R15" s="84"/>
      <c r="S15" s="79"/>
      <c r="T15" s="80"/>
      <c r="U15" s="81"/>
      <c r="V15" s="82"/>
      <c r="W15" s="83"/>
      <c r="X15" s="84"/>
      <c r="Y15" s="84"/>
      <c r="Z15" s="84"/>
      <c r="AA15" s="84"/>
      <c r="AB15" s="84"/>
      <c r="AC15" s="84"/>
      <c r="AD15" s="84"/>
      <c r="AE15" s="85"/>
      <c r="AF15" s="86"/>
      <c r="AG15" s="87"/>
      <c r="AH15" s="88"/>
    </row>
    <row r="16" spans="1:34" s="2" customFormat="1" x14ac:dyDescent="0.25">
      <c r="A16" s="155" t="str">
        <f t="shared" si="0"/>
        <v/>
      </c>
      <c r="B16" s="155" t="str">
        <f t="shared" si="1"/>
        <v/>
      </c>
      <c r="C16" s="157"/>
      <c r="D16" s="150"/>
      <c r="E16" s="78"/>
      <c r="F16" s="133"/>
      <c r="G16" s="38"/>
      <c r="H16" s="39"/>
      <c r="I16" s="40"/>
      <c r="J16" s="41"/>
      <c r="K16" s="42"/>
      <c r="L16" s="43"/>
      <c r="M16" s="79"/>
      <c r="N16" s="80"/>
      <c r="O16" s="81"/>
      <c r="P16" s="82"/>
      <c r="Q16" s="83"/>
      <c r="R16" s="84"/>
      <c r="S16" s="79"/>
      <c r="T16" s="80"/>
      <c r="U16" s="81"/>
      <c r="V16" s="82"/>
      <c r="W16" s="83"/>
      <c r="X16" s="84"/>
      <c r="Y16" s="84"/>
      <c r="Z16" s="84"/>
      <c r="AA16" s="84"/>
      <c r="AB16" s="84"/>
      <c r="AC16" s="84"/>
      <c r="AD16" s="84"/>
      <c r="AE16" s="85"/>
      <c r="AF16" s="86"/>
      <c r="AG16" s="87"/>
      <c r="AH16" s="88"/>
    </row>
    <row r="17" spans="1:34" s="2" customFormat="1" x14ac:dyDescent="0.25">
      <c r="A17" s="155" t="str">
        <f t="shared" si="0"/>
        <v/>
      </c>
      <c r="B17" s="155" t="str">
        <f t="shared" si="1"/>
        <v/>
      </c>
      <c r="C17" s="157"/>
      <c r="D17" s="150"/>
      <c r="E17" s="78"/>
      <c r="F17" s="133"/>
      <c r="G17" s="38"/>
      <c r="H17" s="39"/>
      <c r="I17" s="40"/>
      <c r="J17" s="41"/>
      <c r="K17" s="42"/>
      <c r="L17" s="43"/>
      <c r="M17" s="79"/>
      <c r="N17" s="80"/>
      <c r="O17" s="81"/>
      <c r="P17" s="82"/>
      <c r="Q17" s="83"/>
      <c r="R17" s="84"/>
      <c r="S17" s="79"/>
      <c r="T17" s="80"/>
      <c r="U17" s="81"/>
      <c r="V17" s="82"/>
      <c r="W17" s="83"/>
      <c r="X17" s="84"/>
      <c r="Y17" s="84"/>
      <c r="Z17" s="84"/>
      <c r="AA17" s="84"/>
      <c r="AB17" s="84"/>
      <c r="AC17" s="84"/>
      <c r="AD17" s="84"/>
      <c r="AE17" s="85"/>
      <c r="AF17" s="86"/>
      <c r="AG17" s="87"/>
      <c r="AH17" s="88"/>
    </row>
    <row r="18" spans="1:34" s="2" customFormat="1" x14ac:dyDescent="0.25">
      <c r="A18" s="155" t="str">
        <f t="shared" si="0"/>
        <v/>
      </c>
      <c r="B18" s="155" t="str">
        <f t="shared" si="1"/>
        <v/>
      </c>
      <c r="C18" s="157"/>
      <c r="D18" s="150"/>
      <c r="E18" s="78"/>
      <c r="F18" s="133"/>
      <c r="G18" s="38"/>
      <c r="H18" s="39"/>
      <c r="I18" s="40"/>
      <c r="J18" s="41"/>
      <c r="K18" s="42"/>
      <c r="L18" s="43"/>
      <c r="M18" s="79"/>
      <c r="N18" s="80"/>
      <c r="O18" s="81"/>
      <c r="P18" s="82"/>
      <c r="Q18" s="83"/>
      <c r="R18" s="84"/>
      <c r="S18" s="79"/>
      <c r="T18" s="80"/>
      <c r="U18" s="81"/>
      <c r="V18" s="82"/>
      <c r="W18" s="83"/>
      <c r="X18" s="84"/>
      <c r="Y18" s="84"/>
      <c r="Z18" s="84"/>
      <c r="AA18" s="84"/>
      <c r="AB18" s="84"/>
      <c r="AC18" s="84"/>
      <c r="AD18" s="84"/>
      <c r="AE18" s="85"/>
      <c r="AF18" s="86"/>
      <c r="AG18" s="87"/>
      <c r="AH18" s="88"/>
    </row>
    <row r="19" spans="1:34" s="2" customFormat="1" x14ac:dyDescent="0.25">
      <c r="A19" s="155" t="str">
        <f t="shared" si="0"/>
        <v/>
      </c>
      <c r="B19" s="155" t="str">
        <f t="shared" si="1"/>
        <v/>
      </c>
      <c r="C19" s="157"/>
      <c r="D19" s="150"/>
      <c r="E19" s="78"/>
      <c r="F19" s="133"/>
      <c r="G19" s="38"/>
      <c r="H19" s="39"/>
      <c r="I19" s="40"/>
      <c r="J19" s="41"/>
      <c r="K19" s="42"/>
      <c r="L19" s="43"/>
      <c r="M19" s="79"/>
      <c r="N19" s="80"/>
      <c r="O19" s="81"/>
      <c r="P19" s="82"/>
      <c r="Q19" s="83"/>
      <c r="R19" s="84"/>
      <c r="S19" s="79"/>
      <c r="T19" s="80"/>
      <c r="U19" s="81"/>
      <c r="V19" s="82"/>
      <c r="W19" s="83"/>
      <c r="X19" s="84"/>
      <c r="Y19" s="84"/>
      <c r="Z19" s="84"/>
      <c r="AA19" s="84"/>
      <c r="AB19" s="84"/>
      <c r="AC19" s="84"/>
      <c r="AD19" s="84"/>
      <c r="AE19" s="85"/>
      <c r="AF19" s="86"/>
      <c r="AG19" s="87"/>
      <c r="AH19" s="88"/>
    </row>
    <row r="20" spans="1:34" s="2" customFormat="1" x14ac:dyDescent="0.25">
      <c r="A20" s="155" t="str">
        <f t="shared" si="0"/>
        <v/>
      </c>
      <c r="B20" s="155" t="str">
        <f t="shared" si="1"/>
        <v/>
      </c>
      <c r="C20" s="157"/>
      <c r="D20" s="150"/>
      <c r="E20" s="78"/>
      <c r="F20" s="133"/>
      <c r="G20" s="38"/>
      <c r="H20" s="39"/>
      <c r="I20" s="40"/>
      <c r="J20" s="41"/>
      <c r="K20" s="42"/>
      <c r="L20" s="43"/>
      <c r="M20" s="79"/>
      <c r="N20" s="80"/>
      <c r="O20" s="81"/>
      <c r="P20" s="82"/>
      <c r="Q20" s="83"/>
      <c r="R20" s="84"/>
      <c r="S20" s="79"/>
      <c r="T20" s="80"/>
      <c r="U20" s="81"/>
      <c r="V20" s="82"/>
      <c r="W20" s="83"/>
      <c r="X20" s="84"/>
      <c r="Y20" s="84"/>
      <c r="Z20" s="84"/>
      <c r="AA20" s="84"/>
      <c r="AB20" s="84"/>
      <c r="AC20" s="84"/>
      <c r="AD20" s="84"/>
      <c r="AE20" s="85"/>
      <c r="AF20" s="86"/>
      <c r="AG20" s="87"/>
      <c r="AH20" s="88"/>
    </row>
    <row r="21" spans="1:34" s="2" customFormat="1" x14ac:dyDescent="0.25">
      <c r="A21" s="155" t="str">
        <f t="shared" si="0"/>
        <v/>
      </c>
      <c r="B21" s="155" t="str">
        <f t="shared" si="1"/>
        <v/>
      </c>
      <c r="C21" s="157"/>
      <c r="D21" s="150"/>
      <c r="E21" s="78"/>
      <c r="F21" s="133"/>
      <c r="G21" s="38"/>
      <c r="H21" s="39"/>
      <c r="I21" s="40"/>
      <c r="J21" s="41"/>
      <c r="K21" s="42"/>
      <c r="L21" s="43"/>
      <c r="M21" s="79"/>
      <c r="N21" s="80"/>
      <c r="O21" s="81"/>
      <c r="P21" s="82"/>
      <c r="Q21" s="83"/>
      <c r="R21" s="84"/>
      <c r="S21" s="79"/>
      <c r="T21" s="80"/>
      <c r="U21" s="81"/>
      <c r="V21" s="82"/>
      <c r="W21" s="83"/>
      <c r="X21" s="84"/>
      <c r="Y21" s="84"/>
      <c r="Z21" s="84"/>
      <c r="AA21" s="84"/>
      <c r="AB21" s="84"/>
      <c r="AC21" s="84"/>
      <c r="AD21" s="84"/>
      <c r="AE21" s="85"/>
      <c r="AF21" s="86"/>
      <c r="AG21" s="87"/>
      <c r="AH21" s="88"/>
    </row>
    <row r="22" spans="1:34" s="2" customFormat="1" x14ac:dyDescent="0.25">
      <c r="A22" s="155" t="str">
        <f t="shared" si="0"/>
        <v/>
      </c>
      <c r="B22" s="155" t="str">
        <f t="shared" si="1"/>
        <v/>
      </c>
      <c r="C22" s="157"/>
      <c r="D22" s="150"/>
      <c r="E22" s="78"/>
      <c r="F22" s="133"/>
      <c r="G22" s="38"/>
      <c r="H22" s="39"/>
      <c r="I22" s="40"/>
      <c r="J22" s="41"/>
      <c r="K22" s="42"/>
      <c r="L22" s="43"/>
      <c r="M22" s="79"/>
      <c r="N22" s="80"/>
      <c r="O22" s="81"/>
      <c r="P22" s="82"/>
      <c r="Q22" s="83"/>
      <c r="R22" s="84"/>
      <c r="S22" s="79"/>
      <c r="T22" s="80"/>
      <c r="U22" s="81"/>
      <c r="V22" s="82"/>
      <c r="W22" s="83"/>
      <c r="X22" s="84"/>
      <c r="Y22" s="84"/>
      <c r="Z22" s="84"/>
      <c r="AA22" s="84"/>
      <c r="AB22" s="84"/>
      <c r="AC22" s="84"/>
      <c r="AD22" s="84"/>
      <c r="AE22" s="85"/>
      <c r="AF22" s="86"/>
      <c r="AG22" s="87"/>
      <c r="AH22" s="88"/>
    </row>
    <row r="23" spans="1:34" s="2" customFormat="1" x14ac:dyDescent="0.25">
      <c r="A23" s="155" t="str">
        <f t="shared" si="0"/>
        <v/>
      </c>
      <c r="B23" s="155" t="str">
        <f t="shared" si="1"/>
        <v/>
      </c>
      <c r="C23" s="157"/>
      <c r="D23" s="150"/>
      <c r="E23" s="78"/>
      <c r="F23" s="133"/>
      <c r="G23" s="38"/>
      <c r="H23" s="39"/>
      <c r="I23" s="40"/>
      <c r="J23" s="41"/>
      <c r="K23" s="42"/>
      <c r="L23" s="43"/>
      <c r="M23" s="79"/>
      <c r="N23" s="80"/>
      <c r="O23" s="81"/>
      <c r="P23" s="82"/>
      <c r="Q23" s="83"/>
      <c r="R23" s="84"/>
      <c r="S23" s="79"/>
      <c r="T23" s="80"/>
      <c r="U23" s="81"/>
      <c r="V23" s="82"/>
      <c r="W23" s="83"/>
      <c r="X23" s="84"/>
      <c r="Y23" s="84"/>
      <c r="Z23" s="84"/>
      <c r="AA23" s="84"/>
      <c r="AB23" s="84"/>
      <c r="AC23" s="84"/>
      <c r="AD23" s="84"/>
      <c r="AE23" s="85"/>
      <c r="AF23" s="86"/>
      <c r="AG23" s="87"/>
      <c r="AH23" s="88"/>
    </row>
    <row r="24" spans="1:34" s="2" customFormat="1" x14ac:dyDescent="0.25">
      <c r="A24" s="155" t="str">
        <f t="shared" si="0"/>
        <v/>
      </c>
      <c r="B24" s="155" t="str">
        <f t="shared" si="1"/>
        <v/>
      </c>
      <c r="C24" s="157"/>
      <c r="D24" s="150"/>
      <c r="E24" s="78"/>
      <c r="F24" s="133"/>
      <c r="G24" s="38"/>
      <c r="H24" s="39"/>
      <c r="I24" s="40"/>
      <c r="J24" s="41"/>
      <c r="K24" s="42"/>
      <c r="L24" s="43"/>
      <c r="M24" s="79"/>
      <c r="N24" s="80"/>
      <c r="O24" s="81"/>
      <c r="P24" s="82"/>
      <c r="Q24" s="83"/>
      <c r="R24" s="84"/>
      <c r="S24" s="79"/>
      <c r="T24" s="80"/>
      <c r="U24" s="81"/>
      <c r="V24" s="82"/>
      <c r="W24" s="83"/>
      <c r="X24" s="84"/>
      <c r="Y24" s="84"/>
      <c r="Z24" s="84"/>
      <c r="AA24" s="84"/>
      <c r="AB24" s="84"/>
      <c r="AC24" s="84"/>
      <c r="AD24" s="84"/>
      <c r="AE24" s="85"/>
      <c r="AF24" s="86"/>
      <c r="AG24" s="87"/>
      <c r="AH24" s="88"/>
    </row>
    <row r="25" spans="1:34" s="2" customFormat="1" x14ac:dyDescent="0.25">
      <c r="A25" s="155" t="str">
        <f t="shared" si="0"/>
        <v/>
      </c>
      <c r="B25" s="155" t="str">
        <f t="shared" si="1"/>
        <v/>
      </c>
      <c r="C25" s="157"/>
      <c r="D25" s="150"/>
      <c r="E25" s="78"/>
      <c r="F25" s="133"/>
      <c r="G25" s="38"/>
      <c r="H25" s="39"/>
      <c r="I25" s="40"/>
      <c r="J25" s="41"/>
      <c r="K25" s="42"/>
      <c r="L25" s="43"/>
      <c r="M25" s="79"/>
      <c r="N25" s="80"/>
      <c r="O25" s="81"/>
      <c r="P25" s="82"/>
      <c r="Q25" s="83"/>
      <c r="R25" s="84"/>
      <c r="S25" s="79"/>
      <c r="T25" s="80"/>
      <c r="U25" s="81"/>
      <c r="V25" s="82"/>
      <c r="W25" s="83"/>
      <c r="X25" s="84"/>
      <c r="Y25" s="84"/>
      <c r="Z25" s="84"/>
      <c r="AA25" s="84"/>
      <c r="AB25" s="84"/>
      <c r="AC25" s="84"/>
      <c r="AD25" s="84"/>
      <c r="AE25" s="85"/>
      <c r="AF25" s="86"/>
      <c r="AG25" s="87"/>
      <c r="AH25" s="88"/>
    </row>
    <row r="26" spans="1:34" s="2" customFormat="1" x14ac:dyDescent="0.25">
      <c r="A26" s="155" t="str">
        <f t="shared" si="0"/>
        <v/>
      </c>
      <c r="B26" s="155" t="str">
        <f t="shared" si="1"/>
        <v/>
      </c>
      <c r="C26" s="157"/>
      <c r="D26" s="150"/>
      <c r="E26" s="78"/>
      <c r="F26" s="133"/>
      <c r="G26" s="38"/>
      <c r="H26" s="39"/>
      <c r="I26" s="40"/>
      <c r="J26" s="41"/>
      <c r="K26" s="42"/>
      <c r="L26" s="43"/>
      <c r="M26" s="79"/>
      <c r="N26" s="80"/>
      <c r="O26" s="81"/>
      <c r="P26" s="82"/>
      <c r="Q26" s="83"/>
      <c r="R26" s="84"/>
      <c r="S26" s="79"/>
      <c r="T26" s="80"/>
      <c r="U26" s="81"/>
      <c r="V26" s="82"/>
      <c r="W26" s="83"/>
      <c r="X26" s="84"/>
      <c r="Y26" s="84"/>
      <c r="Z26" s="84"/>
      <c r="AA26" s="84"/>
      <c r="AB26" s="84"/>
      <c r="AC26" s="84"/>
      <c r="AD26" s="84"/>
      <c r="AE26" s="85"/>
      <c r="AF26" s="86"/>
      <c r="AG26" s="87"/>
      <c r="AH26" s="88"/>
    </row>
    <row r="27" spans="1:34" s="2" customFormat="1" x14ac:dyDescent="0.25">
      <c r="A27" s="155" t="str">
        <f t="shared" si="0"/>
        <v/>
      </c>
      <c r="B27" s="155" t="str">
        <f t="shared" si="1"/>
        <v/>
      </c>
      <c r="C27" s="157"/>
      <c r="D27" s="150"/>
      <c r="E27" s="78"/>
      <c r="F27" s="133"/>
      <c r="G27" s="38"/>
      <c r="H27" s="39"/>
      <c r="I27" s="40"/>
      <c r="J27" s="41"/>
      <c r="K27" s="42"/>
      <c r="L27" s="43"/>
      <c r="M27" s="79"/>
      <c r="N27" s="80"/>
      <c r="O27" s="81"/>
      <c r="P27" s="82"/>
      <c r="Q27" s="83"/>
      <c r="R27" s="84"/>
      <c r="S27" s="79"/>
      <c r="T27" s="80"/>
      <c r="U27" s="81"/>
      <c r="V27" s="82"/>
      <c r="W27" s="83"/>
      <c r="X27" s="84"/>
      <c r="Y27" s="84"/>
      <c r="Z27" s="84"/>
      <c r="AA27" s="84"/>
      <c r="AB27" s="84"/>
      <c r="AC27" s="84"/>
      <c r="AD27" s="84"/>
      <c r="AE27" s="85"/>
      <c r="AF27" s="86"/>
      <c r="AG27" s="87"/>
      <c r="AH27" s="88"/>
    </row>
    <row r="28" spans="1:34" s="2" customFormat="1" x14ac:dyDescent="0.25">
      <c r="A28" s="155" t="str">
        <f t="shared" si="0"/>
        <v/>
      </c>
      <c r="B28" s="155" t="str">
        <f t="shared" si="1"/>
        <v/>
      </c>
      <c r="C28" s="157"/>
      <c r="D28" s="150"/>
      <c r="E28" s="78"/>
      <c r="F28" s="133"/>
      <c r="G28" s="38"/>
      <c r="H28" s="39"/>
      <c r="I28" s="40"/>
      <c r="J28" s="41"/>
      <c r="K28" s="42"/>
      <c r="L28" s="43"/>
      <c r="M28" s="79"/>
      <c r="N28" s="80"/>
      <c r="O28" s="81"/>
      <c r="P28" s="82"/>
      <c r="Q28" s="83"/>
      <c r="R28" s="84"/>
      <c r="S28" s="79"/>
      <c r="T28" s="80"/>
      <c r="U28" s="81"/>
      <c r="V28" s="82"/>
      <c r="W28" s="83"/>
      <c r="X28" s="84"/>
      <c r="Y28" s="84"/>
      <c r="Z28" s="84"/>
      <c r="AA28" s="84"/>
      <c r="AB28" s="84"/>
      <c r="AC28" s="84"/>
      <c r="AD28" s="84"/>
      <c r="AE28" s="85"/>
      <c r="AF28" s="86"/>
      <c r="AG28" s="87"/>
      <c r="AH28" s="88"/>
    </row>
    <row r="29" spans="1:34" s="2" customFormat="1" x14ac:dyDescent="0.25">
      <c r="A29" s="155" t="str">
        <f t="shared" si="0"/>
        <v/>
      </c>
      <c r="B29" s="155" t="str">
        <f t="shared" si="1"/>
        <v/>
      </c>
      <c r="C29" s="157"/>
      <c r="D29" s="150"/>
      <c r="E29" s="78"/>
      <c r="F29" s="133"/>
      <c r="G29" s="38"/>
      <c r="H29" s="39"/>
      <c r="I29" s="40"/>
      <c r="J29" s="41"/>
      <c r="K29" s="42"/>
      <c r="L29" s="43"/>
      <c r="M29" s="79"/>
      <c r="N29" s="80"/>
      <c r="O29" s="81"/>
      <c r="P29" s="82"/>
      <c r="Q29" s="83"/>
      <c r="R29" s="84"/>
      <c r="S29" s="79"/>
      <c r="T29" s="80"/>
      <c r="U29" s="81"/>
      <c r="V29" s="82"/>
      <c r="W29" s="83"/>
      <c r="X29" s="84"/>
      <c r="Y29" s="84"/>
      <c r="Z29" s="84"/>
      <c r="AA29" s="84"/>
      <c r="AB29" s="84"/>
      <c r="AC29" s="84"/>
      <c r="AD29" s="84"/>
      <c r="AE29" s="85"/>
      <c r="AF29" s="86"/>
      <c r="AG29" s="87"/>
      <c r="AH29" s="88"/>
    </row>
    <row r="30" spans="1:34" s="2" customFormat="1" x14ac:dyDescent="0.25">
      <c r="A30" s="155" t="str">
        <f t="shared" si="0"/>
        <v/>
      </c>
      <c r="B30" s="155" t="str">
        <f t="shared" si="1"/>
        <v/>
      </c>
      <c r="C30" s="157"/>
      <c r="D30" s="150"/>
      <c r="E30" s="78"/>
      <c r="F30" s="133"/>
      <c r="G30" s="38"/>
      <c r="H30" s="39"/>
      <c r="I30" s="40"/>
      <c r="J30" s="41"/>
      <c r="K30" s="42"/>
      <c r="L30" s="43"/>
      <c r="M30" s="79"/>
      <c r="N30" s="80"/>
      <c r="O30" s="81"/>
      <c r="P30" s="82"/>
      <c r="Q30" s="83"/>
      <c r="R30" s="84"/>
      <c r="S30" s="79"/>
      <c r="T30" s="80"/>
      <c r="U30" s="81"/>
      <c r="V30" s="82"/>
      <c r="W30" s="83"/>
      <c r="X30" s="84"/>
      <c r="Y30" s="84"/>
      <c r="Z30" s="84"/>
      <c r="AA30" s="84"/>
      <c r="AB30" s="84"/>
      <c r="AC30" s="84"/>
      <c r="AD30" s="84"/>
      <c r="AE30" s="85"/>
      <c r="AF30" s="86"/>
      <c r="AG30" s="87"/>
      <c r="AH30" s="88"/>
    </row>
    <row r="31" spans="1:34" s="2" customFormat="1" x14ac:dyDescent="0.25">
      <c r="A31" s="155" t="str">
        <f t="shared" si="0"/>
        <v/>
      </c>
      <c r="B31" s="155" t="str">
        <f t="shared" si="1"/>
        <v/>
      </c>
      <c r="C31" s="157"/>
      <c r="D31" s="150"/>
      <c r="E31" s="78"/>
      <c r="F31" s="133"/>
      <c r="G31" s="38"/>
      <c r="H31" s="39"/>
      <c r="I31" s="40"/>
      <c r="J31" s="41"/>
      <c r="K31" s="42"/>
      <c r="L31" s="43"/>
      <c r="M31" s="79"/>
      <c r="N31" s="80"/>
      <c r="O31" s="81"/>
      <c r="P31" s="82"/>
      <c r="Q31" s="83"/>
      <c r="R31" s="84"/>
      <c r="S31" s="79"/>
      <c r="T31" s="80"/>
      <c r="U31" s="81"/>
      <c r="V31" s="82"/>
      <c r="W31" s="83"/>
      <c r="X31" s="84"/>
      <c r="Y31" s="84"/>
      <c r="Z31" s="84"/>
      <c r="AA31" s="84"/>
      <c r="AB31" s="84"/>
      <c r="AC31" s="84"/>
      <c r="AD31" s="84"/>
      <c r="AE31" s="85"/>
      <c r="AF31" s="86"/>
      <c r="AG31" s="87"/>
      <c r="AH31" s="88"/>
    </row>
    <row r="32" spans="1:34" s="2" customFormat="1" x14ac:dyDescent="0.25">
      <c r="A32" s="155" t="str">
        <f t="shared" si="0"/>
        <v/>
      </c>
      <c r="B32" s="155" t="str">
        <f t="shared" si="1"/>
        <v/>
      </c>
      <c r="C32" s="157"/>
      <c r="D32" s="150"/>
      <c r="E32" s="78"/>
      <c r="F32" s="133"/>
      <c r="G32" s="38"/>
      <c r="H32" s="39"/>
      <c r="I32" s="40"/>
      <c r="J32" s="41"/>
      <c r="K32" s="42"/>
      <c r="L32" s="43"/>
      <c r="M32" s="79"/>
      <c r="N32" s="80"/>
      <c r="O32" s="81"/>
      <c r="P32" s="82"/>
      <c r="Q32" s="83"/>
      <c r="R32" s="84"/>
      <c r="S32" s="79"/>
      <c r="T32" s="80"/>
      <c r="U32" s="81"/>
      <c r="V32" s="82"/>
      <c r="W32" s="83"/>
      <c r="X32" s="84"/>
      <c r="Y32" s="84"/>
      <c r="Z32" s="84"/>
      <c r="AA32" s="84"/>
      <c r="AB32" s="84"/>
      <c r="AC32" s="84"/>
      <c r="AD32" s="84"/>
      <c r="AE32" s="85"/>
      <c r="AF32" s="86"/>
      <c r="AG32" s="87"/>
      <c r="AH32" s="88"/>
    </row>
    <row r="33" spans="1:34" s="2" customFormat="1" x14ac:dyDescent="0.25">
      <c r="A33" s="155" t="str">
        <f t="shared" si="0"/>
        <v/>
      </c>
      <c r="B33" s="155" t="str">
        <f t="shared" si="1"/>
        <v/>
      </c>
      <c r="C33" s="157"/>
      <c r="D33" s="150"/>
      <c r="E33" s="78"/>
      <c r="F33" s="133"/>
      <c r="G33" s="38"/>
      <c r="H33" s="39"/>
      <c r="I33" s="40"/>
      <c r="J33" s="41"/>
      <c r="K33" s="42"/>
      <c r="L33" s="43"/>
      <c r="M33" s="79"/>
      <c r="N33" s="80"/>
      <c r="O33" s="81"/>
      <c r="P33" s="82"/>
      <c r="Q33" s="83"/>
      <c r="R33" s="84"/>
      <c r="S33" s="79"/>
      <c r="T33" s="80"/>
      <c r="U33" s="81"/>
      <c r="V33" s="82"/>
      <c r="W33" s="83"/>
      <c r="X33" s="84"/>
      <c r="Y33" s="84"/>
      <c r="Z33" s="84"/>
      <c r="AA33" s="84"/>
      <c r="AB33" s="84"/>
      <c r="AC33" s="84"/>
      <c r="AD33" s="84"/>
      <c r="AE33" s="85"/>
      <c r="AF33" s="86"/>
      <c r="AG33" s="87"/>
      <c r="AH33" s="88"/>
    </row>
    <row r="34" spans="1:34" s="2" customFormat="1" x14ac:dyDescent="0.25">
      <c r="A34" s="155" t="str">
        <f t="shared" si="0"/>
        <v/>
      </c>
      <c r="B34" s="155" t="str">
        <f t="shared" si="1"/>
        <v/>
      </c>
      <c r="C34" s="157"/>
      <c r="D34" s="150"/>
      <c r="E34" s="78"/>
      <c r="F34" s="133"/>
      <c r="G34" s="38"/>
      <c r="H34" s="39"/>
      <c r="I34" s="40"/>
      <c r="J34" s="41"/>
      <c r="K34" s="42"/>
      <c r="L34" s="43"/>
      <c r="M34" s="79"/>
      <c r="N34" s="80"/>
      <c r="O34" s="81"/>
      <c r="P34" s="82"/>
      <c r="Q34" s="83"/>
      <c r="R34" s="84"/>
      <c r="S34" s="79"/>
      <c r="T34" s="80"/>
      <c r="U34" s="81"/>
      <c r="V34" s="82"/>
      <c r="W34" s="83"/>
      <c r="X34" s="84"/>
      <c r="Y34" s="84"/>
      <c r="Z34" s="84"/>
      <c r="AA34" s="84"/>
      <c r="AB34" s="84"/>
      <c r="AC34" s="84"/>
      <c r="AD34" s="84"/>
      <c r="AE34" s="85"/>
      <c r="AF34" s="86"/>
      <c r="AG34" s="87"/>
      <c r="AH34" s="88"/>
    </row>
    <row r="35" spans="1:34" s="2" customFormat="1" x14ac:dyDescent="0.25">
      <c r="A35" s="155" t="str">
        <f t="shared" si="0"/>
        <v/>
      </c>
      <c r="B35" s="155" t="str">
        <f t="shared" si="1"/>
        <v/>
      </c>
      <c r="C35" s="157"/>
      <c r="D35" s="150"/>
      <c r="E35" s="78"/>
      <c r="F35" s="133"/>
      <c r="G35" s="38"/>
      <c r="H35" s="39"/>
      <c r="I35" s="40"/>
      <c r="J35" s="41"/>
      <c r="K35" s="42"/>
      <c r="L35" s="43"/>
      <c r="M35" s="79"/>
      <c r="N35" s="80"/>
      <c r="O35" s="81"/>
      <c r="P35" s="82"/>
      <c r="Q35" s="83"/>
      <c r="R35" s="84"/>
      <c r="S35" s="79"/>
      <c r="T35" s="80"/>
      <c r="U35" s="81"/>
      <c r="V35" s="82"/>
      <c r="W35" s="83"/>
      <c r="X35" s="84"/>
      <c r="Y35" s="84"/>
      <c r="Z35" s="84"/>
      <c r="AA35" s="84"/>
      <c r="AB35" s="84"/>
      <c r="AC35" s="84"/>
      <c r="AD35" s="84"/>
      <c r="AE35" s="85"/>
      <c r="AF35" s="86"/>
      <c r="AG35" s="87"/>
      <c r="AH35" s="88"/>
    </row>
    <row r="36" spans="1:34" s="2" customFormat="1" x14ac:dyDescent="0.25">
      <c r="A36" s="155" t="str">
        <f t="shared" si="0"/>
        <v/>
      </c>
      <c r="B36" s="155" t="str">
        <f t="shared" si="1"/>
        <v/>
      </c>
      <c r="C36" s="157"/>
      <c r="D36" s="150"/>
      <c r="E36" s="78"/>
      <c r="F36" s="133"/>
      <c r="G36" s="38"/>
      <c r="H36" s="39"/>
      <c r="I36" s="40"/>
      <c r="J36" s="41"/>
      <c r="K36" s="42"/>
      <c r="L36" s="43"/>
      <c r="M36" s="79"/>
      <c r="N36" s="80"/>
      <c r="O36" s="81"/>
      <c r="P36" s="82"/>
      <c r="Q36" s="83"/>
      <c r="R36" s="84"/>
      <c r="S36" s="79"/>
      <c r="T36" s="80"/>
      <c r="U36" s="81"/>
      <c r="V36" s="82"/>
      <c r="W36" s="83"/>
      <c r="X36" s="84"/>
      <c r="Y36" s="84"/>
      <c r="Z36" s="84"/>
      <c r="AA36" s="84"/>
      <c r="AB36" s="84"/>
      <c r="AC36" s="84"/>
      <c r="AD36" s="84"/>
      <c r="AE36" s="85"/>
      <c r="AF36" s="86"/>
      <c r="AG36" s="87"/>
      <c r="AH36" s="88"/>
    </row>
    <row r="37" spans="1:34" s="2" customFormat="1" x14ac:dyDescent="0.25">
      <c r="A37" s="155" t="str">
        <f t="shared" si="0"/>
        <v/>
      </c>
      <c r="B37" s="155" t="str">
        <f t="shared" si="1"/>
        <v/>
      </c>
      <c r="C37" s="157"/>
      <c r="D37" s="150"/>
      <c r="E37" s="78"/>
      <c r="F37" s="133"/>
      <c r="G37" s="38"/>
      <c r="H37" s="39"/>
      <c r="I37" s="40"/>
      <c r="J37" s="41"/>
      <c r="K37" s="42"/>
      <c r="L37" s="43"/>
      <c r="M37" s="79"/>
      <c r="N37" s="80"/>
      <c r="O37" s="81"/>
      <c r="P37" s="82"/>
      <c r="Q37" s="83"/>
      <c r="R37" s="84"/>
      <c r="S37" s="79"/>
      <c r="T37" s="80"/>
      <c r="U37" s="81"/>
      <c r="V37" s="82"/>
      <c r="W37" s="83"/>
      <c r="X37" s="84"/>
      <c r="Y37" s="84"/>
      <c r="Z37" s="84"/>
      <c r="AA37" s="84"/>
      <c r="AB37" s="84"/>
      <c r="AC37" s="84"/>
      <c r="AD37" s="84"/>
      <c r="AE37" s="85"/>
      <c r="AF37" s="86"/>
      <c r="AG37" s="87"/>
      <c r="AH37" s="88"/>
    </row>
    <row r="38" spans="1:34" s="2" customFormat="1" x14ac:dyDescent="0.25">
      <c r="A38" s="155" t="str">
        <f t="shared" si="0"/>
        <v/>
      </c>
      <c r="B38" s="155" t="str">
        <f t="shared" si="1"/>
        <v/>
      </c>
      <c r="C38" s="157"/>
      <c r="D38" s="150"/>
      <c r="E38" s="78"/>
      <c r="F38" s="133"/>
      <c r="G38" s="38"/>
      <c r="H38" s="39"/>
      <c r="I38" s="40"/>
      <c r="J38" s="41"/>
      <c r="K38" s="42"/>
      <c r="L38" s="43"/>
      <c r="M38" s="79"/>
      <c r="N38" s="80"/>
      <c r="O38" s="81"/>
      <c r="P38" s="82"/>
      <c r="Q38" s="83"/>
      <c r="R38" s="84"/>
      <c r="S38" s="79"/>
      <c r="T38" s="80"/>
      <c r="U38" s="81"/>
      <c r="V38" s="82"/>
      <c r="W38" s="83"/>
      <c r="X38" s="84"/>
      <c r="Y38" s="84"/>
      <c r="Z38" s="84"/>
      <c r="AA38" s="84"/>
      <c r="AB38" s="84"/>
      <c r="AC38" s="84"/>
      <c r="AD38" s="84"/>
      <c r="AE38" s="85"/>
      <c r="AF38" s="86"/>
      <c r="AG38" s="87"/>
      <c r="AH38" s="88"/>
    </row>
    <row r="39" spans="1:34" s="2" customFormat="1" x14ac:dyDescent="0.25">
      <c r="A39" s="155" t="str">
        <f t="shared" si="0"/>
        <v/>
      </c>
      <c r="B39" s="155" t="str">
        <f t="shared" si="1"/>
        <v/>
      </c>
      <c r="C39" s="157"/>
      <c r="D39" s="150"/>
      <c r="E39" s="78"/>
      <c r="F39" s="133"/>
      <c r="G39" s="38"/>
      <c r="H39" s="39"/>
      <c r="I39" s="40"/>
      <c r="J39" s="41"/>
      <c r="K39" s="42"/>
      <c r="L39" s="43"/>
      <c r="M39" s="79"/>
      <c r="N39" s="80"/>
      <c r="O39" s="81"/>
      <c r="P39" s="82"/>
      <c r="Q39" s="83"/>
      <c r="R39" s="84"/>
      <c r="S39" s="79"/>
      <c r="T39" s="80"/>
      <c r="U39" s="81"/>
      <c r="V39" s="82"/>
      <c r="W39" s="83"/>
      <c r="X39" s="84"/>
      <c r="Y39" s="84"/>
      <c r="Z39" s="84"/>
      <c r="AA39" s="84"/>
      <c r="AB39" s="84"/>
      <c r="AC39" s="84"/>
      <c r="AD39" s="84"/>
      <c r="AE39" s="85"/>
      <c r="AF39" s="86"/>
      <c r="AG39" s="87"/>
      <c r="AH39" s="88"/>
    </row>
    <row r="40" spans="1:34" s="2" customFormat="1" x14ac:dyDescent="0.25">
      <c r="A40" s="155" t="str">
        <f t="shared" si="0"/>
        <v/>
      </c>
      <c r="B40" s="155" t="str">
        <f t="shared" si="1"/>
        <v/>
      </c>
      <c r="C40" s="157"/>
      <c r="D40" s="150"/>
      <c r="E40" s="78"/>
      <c r="F40" s="133"/>
      <c r="G40" s="38"/>
      <c r="H40" s="39"/>
      <c r="I40" s="40"/>
      <c r="J40" s="41"/>
      <c r="K40" s="42"/>
      <c r="L40" s="43"/>
      <c r="M40" s="79"/>
      <c r="N40" s="80"/>
      <c r="O40" s="81"/>
      <c r="P40" s="82"/>
      <c r="Q40" s="83"/>
      <c r="R40" s="84"/>
      <c r="S40" s="79"/>
      <c r="T40" s="80"/>
      <c r="U40" s="81"/>
      <c r="V40" s="82"/>
      <c r="W40" s="83"/>
      <c r="X40" s="84"/>
      <c r="Y40" s="84"/>
      <c r="Z40" s="84"/>
      <c r="AA40" s="84"/>
      <c r="AB40" s="84"/>
      <c r="AC40" s="84"/>
      <c r="AD40" s="84"/>
      <c r="AE40" s="85"/>
      <c r="AF40" s="86"/>
      <c r="AG40" s="87"/>
      <c r="AH40" s="88"/>
    </row>
    <row r="41" spans="1:34" s="2" customFormat="1" x14ac:dyDescent="0.25">
      <c r="A41" s="155" t="str">
        <f t="shared" si="0"/>
        <v/>
      </c>
      <c r="B41" s="155" t="str">
        <f t="shared" si="1"/>
        <v/>
      </c>
      <c r="C41" s="157"/>
      <c r="D41" s="150"/>
      <c r="E41" s="78"/>
      <c r="F41" s="133"/>
      <c r="G41" s="38"/>
      <c r="H41" s="39"/>
      <c r="I41" s="40"/>
      <c r="J41" s="41"/>
      <c r="K41" s="42"/>
      <c r="L41" s="43"/>
      <c r="M41" s="79"/>
      <c r="N41" s="80"/>
      <c r="O41" s="81"/>
      <c r="P41" s="82"/>
      <c r="Q41" s="83"/>
      <c r="R41" s="84"/>
      <c r="S41" s="79"/>
      <c r="T41" s="80"/>
      <c r="U41" s="81"/>
      <c r="V41" s="82"/>
      <c r="W41" s="83"/>
      <c r="X41" s="84"/>
      <c r="Y41" s="84"/>
      <c r="Z41" s="84"/>
      <c r="AA41" s="84"/>
      <c r="AB41" s="84"/>
      <c r="AC41" s="84"/>
      <c r="AD41" s="84"/>
      <c r="AE41" s="85"/>
      <c r="AF41" s="86"/>
      <c r="AG41" s="87"/>
      <c r="AH41" s="88"/>
    </row>
    <row r="42" spans="1:34" s="2" customFormat="1" x14ac:dyDescent="0.25">
      <c r="A42" s="155" t="str">
        <f t="shared" si="0"/>
        <v/>
      </c>
      <c r="B42" s="155" t="str">
        <f t="shared" si="1"/>
        <v/>
      </c>
      <c r="C42" s="157"/>
      <c r="D42" s="150"/>
      <c r="E42" s="78"/>
      <c r="F42" s="133"/>
      <c r="G42" s="38"/>
      <c r="H42" s="39"/>
      <c r="I42" s="40"/>
      <c r="J42" s="41"/>
      <c r="K42" s="42"/>
      <c r="L42" s="43"/>
      <c r="M42" s="79"/>
      <c r="N42" s="80"/>
      <c r="O42" s="81"/>
      <c r="P42" s="82"/>
      <c r="Q42" s="83"/>
      <c r="R42" s="84"/>
      <c r="S42" s="79"/>
      <c r="T42" s="80"/>
      <c r="U42" s="81"/>
      <c r="V42" s="82"/>
      <c r="W42" s="83"/>
      <c r="X42" s="84"/>
      <c r="Y42" s="84"/>
      <c r="Z42" s="84"/>
      <c r="AA42" s="84"/>
      <c r="AB42" s="84"/>
      <c r="AC42" s="84"/>
      <c r="AD42" s="84"/>
      <c r="AE42" s="85"/>
      <c r="AF42" s="86"/>
      <c r="AG42" s="87"/>
      <c r="AH42" s="88"/>
    </row>
    <row r="43" spans="1:34" s="2" customFormat="1" x14ac:dyDescent="0.25">
      <c r="A43" s="155" t="str">
        <f t="shared" si="0"/>
        <v/>
      </c>
      <c r="B43" s="155" t="str">
        <f t="shared" si="1"/>
        <v/>
      </c>
      <c r="C43" s="157"/>
      <c r="D43" s="150"/>
      <c r="E43" s="78"/>
      <c r="F43" s="133"/>
      <c r="G43" s="38"/>
      <c r="H43" s="39"/>
      <c r="I43" s="40"/>
      <c r="J43" s="41"/>
      <c r="K43" s="42"/>
      <c r="L43" s="43"/>
      <c r="M43" s="79"/>
      <c r="N43" s="80"/>
      <c r="O43" s="81"/>
      <c r="P43" s="82"/>
      <c r="Q43" s="83"/>
      <c r="R43" s="84"/>
      <c r="S43" s="79"/>
      <c r="T43" s="80"/>
      <c r="U43" s="81"/>
      <c r="V43" s="82"/>
      <c r="W43" s="83"/>
      <c r="X43" s="84"/>
      <c r="Y43" s="84"/>
      <c r="Z43" s="84"/>
      <c r="AA43" s="84"/>
      <c r="AB43" s="84"/>
      <c r="AC43" s="84"/>
      <c r="AD43" s="84"/>
      <c r="AE43" s="85"/>
      <c r="AF43" s="86"/>
      <c r="AG43" s="87"/>
      <c r="AH43" s="88"/>
    </row>
    <row r="44" spans="1:34" s="2" customFormat="1" x14ac:dyDescent="0.25">
      <c r="A44" s="155" t="str">
        <f t="shared" si="0"/>
        <v/>
      </c>
      <c r="B44" s="155" t="str">
        <f t="shared" si="1"/>
        <v/>
      </c>
      <c r="C44" s="157"/>
      <c r="D44" s="150"/>
      <c r="E44" s="78"/>
      <c r="F44" s="133"/>
      <c r="G44" s="38"/>
      <c r="H44" s="39"/>
      <c r="I44" s="40"/>
      <c r="J44" s="41"/>
      <c r="K44" s="42"/>
      <c r="L44" s="43"/>
      <c r="M44" s="79"/>
      <c r="N44" s="80"/>
      <c r="O44" s="81"/>
      <c r="P44" s="82"/>
      <c r="Q44" s="83"/>
      <c r="R44" s="84"/>
      <c r="S44" s="79"/>
      <c r="T44" s="80"/>
      <c r="U44" s="81"/>
      <c r="V44" s="82"/>
      <c r="W44" s="83"/>
      <c r="X44" s="84"/>
      <c r="Y44" s="84"/>
      <c r="Z44" s="84"/>
      <c r="AA44" s="84"/>
      <c r="AB44" s="84"/>
      <c r="AC44" s="84"/>
      <c r="AD44" s="84"/>
      <c r="AE44" s="85"/>
      <c r="AF44" s="86"/>
      <c r="AG44" s="87"/>
      <c r="AH44" s="88"/>
    </row>
    <row r="45" spans="1:34" s="2" customFormat="1" x14ac:dyDescent="0.25">
      <c r="A45" s="155" t="str">
        <f t="shared" si="0"/>
        <v/>
      </c>
      <c r="B45" s="155" t="str">
        <f t="shared" si="1"/>
        <v/>
      </c>
      <c r="C45" s="157"/>
      <c r="D45" s="150"/>
      <c r="E45" s="78"/>
      <c r="F45" s="133"/>
      <c r="G45" s="38"/>
      <c r="H45" s="39"/>
      <c r="I45" s="40"/>
      <c r="J45" s="41"/>
      <c r="K45" s="42"/>
      <c r="L45" s="43"/>
      <c r="M45" s="79"/>
      <c r="N45" s="80"/>
      <c r="O45" s="81"/>
      <c r="P45" s="82"/>
      <c r="Q45" s="83"/>
      <c r="R45" s="84"/>
      <c r="S45" s="79"/>
      <c r="T45" s="80"/>
      <c r="U45" s="81"/>
      <c r="V45" s="82"/>
      <c r="W45" s="83"/>
      <c r="X45" s="84"/>
      <c r="Y45" s="84"/>
      <c r="Z45" s="84"/>
      <c r="AA45" s="84"/>
      <c r="AB45" s="84"/>
      <c r="AC45" s="84"/>
      <c r="AD45" s="84"/>
      <c r="AE45" s="85"/>
      <c r="AF45" s="86"/>
      <c r="AG45" s="87"/>
      <c r="AH45" s="88"/>
    </row>
    <row r="46" spans="1:34" s="2" customFormat="1" x14ac:dyDescent="0.25">
      <c r="A46" s="155" t="str">
        <f t="shared" si="0"/>
        <v/>
      </c>
      <c r="B46" s="155" t="str">
        <f t="shared" si="1"/>
        <v/>
      </c>
      <c r="C46" s="157"/>
      <c r="D46" s="150"/>
      <c r="E46" s="78"/>
      <c r="F46" s="133"/>
      <c r="G46" s="38"/>
      <c r="H46" s="39"/>
      <c r="I46" s="40"/>
      <c r="J46" s="41"/>
      <c r="K46" s="42"/>
      <c r="L46" s="43"/>
      <c r="M46" s="79"/>
      <c r="N46" s="80"/>
      <c r="O46" s="81"/>
      <c r="P46" s="82"/>
      <c r="Q46" s="83"/>
      <c r="R46" s="84"/>
      <c r="S46" s="79"/>
      <c r="T46" s="80"/>
      <c r="U46" s="81"/>
      <c r="V46" s="82"/>
      <c r="W46" s="83"/>
      <c r="X46" s="84"/>
      <c r="Y46" s="84"/>
      <c r="Z46" s="84"/>
      <c r="AA46" s="84"/>
      <c r="AB46" s="84"/>
      <c r="AC46" s="84"/>
      <c r="AD46" s="84"/>
      <c r="AE46" s="85"/>
      <c r="AF46" s="86"/>
      <c r="AG46" s="87"/>
      <c r="AH46" s="88"/>
    </row>
    <row r="47" spans="1:34" s="2" customFormat="1" x14ac:dyDescent="0.25">
      <c r="A47" s="155" t="str">
        <f t="shared" si="0"/>
        <v/>
      </c>
      <c r="B47" s="155" t="str">
        <f t="shared" si="1"/>
        <v/>
      </c>
      <c r="C47" s="157"/>
      <c r="D47" s="150"/>
      <c r="E47" s="78"/>
      <c r="F47" s="133"/>
      <c r="G47" s="38"/>
      <c r="H47" s="39"/>
      <c r="I47" s="40"/>
      <c r="J47" s="41"/>
      <c r="K47" s="42"/>
      <c r="L47" s="43"/>
      <c r="M47" s="79"/>
      <c r="N47" s="80"/>
      <c r="O47" s="81"/>
      <c r="P47" s="82"/>
      <c r="Q47" s="83"/>
      <c r="R47" s="84"/>
      <c r="S47" s="79"/>
      <c r="T47" s="80"/>
      <c r="U47" s="81"/>
      <c r="V47" s="82"/>
      <c r="W47" s="83"/>
      <c r="X47" s="84"/>
      <c r="Y47" s="84"/>
      <c r="Z47" s="84"/>
      <c r="AA47" s="84"/>
      <c r="AB47" s="84"/>
      <c r="AC47" s="84"/>
      <c r="AD47" s="84"/>
      <c r="AE47" s="85"/>
      <c r="AF47" s="86"/>
      <c r="AG47" s="87"/>
      <c r="AH47" s="88"/>
    </row>
    <row r="48" spans="1:34" s="2" customFormat="1" x14ac:dyDescent="0.25">
      <c r="A48" s="155" t="str">
        <f t="shared" si="0"/>
        <v/>
      </c>
      <c r="B48" s="155" t="str">
        <f t="shared" si="1"/>
        <v/>
      </c>
      <c r="C48" s="157"/>
      <c r="D48" s="150"/>
      <c r="E48" s="78"/>
      <c r="F48" s="133"/>
      <c r="G48" s="38"/>
      <c r="H48" s="39"/>
      <c r="I48" s="40"/>
      <c r="J48" s="41"/>
      <c r="K48" s="42"/>
      <c r="L48" s="43"/>
      <c r="M48" s="79"/>
      <c r="N48" s="80"/>
      <c r="O48" s="81"/>
      <c r="P48" s="82"/>
      <c r="Q48" s="83"/>
      <c r="R48" s="84"/>
      <c r="S48" s="79"/>
      <c r="T48" s="80"/>
      <c r="U48" s="81"/>
      <c r="V48" s="82"/>
      <c r="W48" s="83"/>
      <c r="X48" s="84"/>
      <c r="Y48" s="84"/>
      <c r="Z48" s="84"/>
      <c r="AA48" s="84"/>
      <c r="AB48" s="84"/>
      <c r="AC48" s="84"/>
      <c r="AD48" s="84"/>
      <c r="AE48" s="85"/>
      <c r="AF48" s="86"/>
      <c r="AG48" s="87"/>
      <c r="AH48" s="88"/>
    </row>
    <row r="49" spans="1:34" s="2" customFormat="1" x14ac:dyDescent="0.25">
      <c r="A49" s="155" t="str">
        <f t="shared" si="0"/>
        <v/>
      </c>
      <c r="B49" s="155" t="str">
        <f t="shared" si="1"/>
        <v/>
      </c>
      <c r="C49" s="157"/>
      <c r="D49" s="150"/>
      <c r="E49" s="78"/>
      <c r="F49" s="133"/>
      <c r="G49" s="38"/>
      <c r="H49" s="39"/>
      <c r="I49" s="40"/>
      <c r="J49" s="41"/>
      <c r="K49" s="42"/>
      <c r="L49" s="43"/>
      <c r="M49" s="79"/>
      <c r="N49" s="80"/>
      <c r="O49" s="81"/>
      <c r="P49" s="82"/>
      <c r="Q49" s="83"/>
      <c r="R49" s="84"/>
      <c r="S49" s="79"/>
      <c r="T49" s="80"/>
      <c r="U49" s="81"/>
      <c r="V49" s="82"/>
      <c r="W49" s="83"/>
      <c r="X49" s="84"/>
      <c r="Y49" s="84"/>
      <c r="Z49" s="84"/>
      <c r="AA49" s="84"/>
      <c r="AB49" s="84"/>
      <c r="AC49" s="84"/>
      <c r="AD49" s="84"/>
      <c r="AE49" s="85"/>
      <c r="AF49" s="86"/>
      <c r="AG49" s="87"/>
      <c r="AH49" s="88"/>
    </row>
    <row r="50" spans="1:34" s="2" customFormat="1" x14ac:dyDescent="0.25">
      <c r="A50" s="155" t="str">
        <f t="shared" si="0"/>
        <v/>
      </c>
      <c r="B50" s="155" t="str">
        <f t="shared" si="1"/>
        <v/>
      </c>
      <c r="C50" s="157"/>
      <c r="D50" s="150"/>
      <c r="E50" s="78"/>
      <c r="F50" s="133"/>
      <c r="G50" s="38"/>
      <c r="H50" s="39"/>
      <c r="I50" s="40"/>
      <c r="J50" s="41"/>
      <c r="K50" s="42"/>
      <c r="L50" s="43"/>
      <c r="M50" s="79"/>
      <c r="N50" s="80"/>
      <c r="O50" s="81"/>
      <c r="P50" s="82"/>
      <c r="Q50" s="83"/>
      <c r="R50" s="84"/>
      <c r="S50" s="79"/>
      <c r="T50" s="80"/>
      <c r="U50" s="81"/>
      <c r="V50" s="82"/>
      <c r="W50" s="83"/>
      <c r="X50" s="84"/>
      <c r="Y50" s="84"/>
      <c r="Z50" s="84"/>
      <c r="AA50" s="84"/>
      <c r="AB50" s="84"/>
      <c r="AC50" s="84"/>
      <c r="AD50" s="84"/>
      <c r="AE50" s="85"/>
      <c r="AF50" s="86"/>
      <c r="AG50" s="87"/>
      <c r="AH50" s="88"/>
    </row>
    <row r="51" spans="1:34" s="2" customFormat="1" x14ac:dyDescent="0.25">
      <c r="A51" s="155" t="str">
        <f t="shared" si="0"/>
        <v/>
      </c>
      <c r="B51" s="155" t="str">
        <f t="shared" si="1"/>
        <v/>
      </c>
      <c r="C51" s="157"/>
      <c r="D51" s="150"/>
      <c r="E51" s="78"/>
      <c r="F51" s="133"/>
      <c r="G51" s="38"/>
      <c r="H51" s="39"/>
      <c r="I51" s="40"/>
      <c r="J51" s="41"/>
      <c r="K51" s="42"/>
      <c r="L51" s="43"/>
      <c r="M51" s="79"/>
      <c r="N51" s="80"/>
      <c r="O51" s="81"/>
      <c r="P51" s="82"/>
      <c r="Q51" s="83"/>
      <c r="R51" s="84"/>
      <c r="S51" s="79"/>
      <c r="T51" s="80"/>
      <c r="U51" s="81"/>
      <c r="V51" s="82"/>
      <c r="W51" s="83"/>
      <c r="X51" s="84"/>
      <c r="Y51" s="84"/>
      <c r="Z51" s="84"/>
      <c r="AA51" s="84"/>
      <c r="AB51" s="84"/>
      <c r="AC51" s="84"/>
      <c r="AD51" s="84"/>
      <c r="AE51" s="85"/>
      <c r="AF51" s="86"/>
      <c r="AG51" s="87"/>
      <c r="AH51" s="88"/>
    </row>
    <row r="52" spans="1:34" s="2" customFormat="1" x14ac:dyDescent="0.25">
      <c r="A52" s="155" t="str">
        <f t="shared" si="0"/>
        <v/>
      </c>
      <c r="B52" s="155" t="str">
        <f t="shared" si="1"/>
        <v/>
      </c>
      <c r="C52" s="157"/>
      <c r="D52" s="150"/>
      <c r="E52" s="78"/>
      <c r="F52" s="133"/>
      <c r="G52" s="38"/>
      <c r="H52" s="39"/>
      <c r="I52" s="40"/>
      <c r="J52" s="41"/>
      <c r="K52" s="42"/>
      <c r="L52" s="43"/>
      <c r="M52" s="79"/>
      <c r="N52" s="80"/>
      <c r="O52" s="81"/>
      <c r="P52" s="82"/>
      <c r="Q52" s="83"/>
      <c r="R52" s="84"/>
      <c r="S52" s="79"/>
      <c r="T52" s="80"/>
      <c r="U52" s="81"/>
      <c r="V52" s="82"/>
      <c r="W52" s="83"/>
      <c r="X52" s="84"/>
      <c r="Y52" s="84"/>
      <c r="Z52" s="84"/>
      <c r="AA52" s="84"/>
      <c r="AB52" s="84"/>
      <c r="AC52" s="84"/>
      <c r="AD52" s="84"/>
      <c r="AE52" s="85"/>
      <c r="AF52" s="86"/>
      <c r="AG52" s="87"/>
      <c r="AH52" s="88"/>
    </row>
    <row r="53" spans="1:34" s="2" customFormat="1" x14ac:dyDescent="0.25">
      <c r="A53" s="155" t="str">
        <f t="shared" si="0"/>
        <v/>
      </c>
      <c r="B53" s="155" t="str">
        <f t="shared" si="1"/>
        <v/>
      </c>
      <c r="C53" s="157"/>
      <c r="D53" s="150"/>
      <c r="E53" s="78"/>
      <c r="F53" s="133"/>
      <c r="G53" s="38"/>
      <c r="H53" s="39"/>
      <c r="I53" s="40"/>
      <c r="J53" s="41"/>
      <c r="K53" s="42"/>
      <c r="L53" s="43"/>
      <c r="M53" s="79"/>
      <c r="N53" s="80"/>
      <c r="O53" s="81"/>
      <c r="P53" s="82"/>
      <c r="Q53" s="83"/>
      <c r="R53" s="84"/>
      <c r="S53" s="79"/>
      <c r="T53" s="80"/>
      <c r="U53" s="81"/>
      <c r="V53" s="82"/>
      <c r="W53" s="83"/>
      <c r="X53" s="84"/>
      <c r="Y53" s="84"/>
      <c r="Z53" s="84"/>
      <c r="AA53" s="84"/>
      <c r="AB53" s="84"/>
      <c r="AC53" s="84"/>
      <c r="AD53" s="84"/>
      <c r="AE53" s="85"/>
      <c r="AF53" s="86"/>
      <c r="AG53" s="87"/>
      <c r="AH53" s="88"/>
    </row>
    <row r="54" spans="1:34" s="2" customFormat="1" x14ac:dyDescent="0.25">
      <c r="A54" s="155" t="str">
        <f t="shared" si="0"/>
        <v/>
      </c>
      <c r="B54" s="155" t="str">
        <f t="shared" si="1"/>
        <v/>
      </c>
      <c r="C54" s="157"/>
      <c r="D54" s="150"/>
      <c r="E54" s="78"/>
      <c r="F54" s="133"/>
      <c r="G54" s="38"/>
      <c r="H54" s="39"/>
      <c r="I54" s="40"/>
      <c r="J54" s="41"/>
      <c r="K54" s="42"/>
      <c r="L54" s="43"/>
      <c r="M54" s="79"/>
      <c r="N54" s="80"/>
      <c r="O54" s="81"/>
      <c r="P54" s="82"/>
      <c r="Q54" s="83"/>
      <c r="R54" s="84"/>
      <c r="S54" s="79"/>
      <c r="T54" s="80"/>
      <c r="U54" s="81"/>
      <c r="V54" s="82"/>
      <c r="W54" s="83"/>
      <c r="X54" s="84"/>
      <c r="Y54" s="84"/>
      <c r="Z54" s="84"/>
      <c r="AA54" s="84"/>
      <c r="AB54" s="84"/>
      <c r="AC54" s="84"/>
      <c r="AD54" s="84"/>
      <c r="AE54" s="85"/>
      <c r="AF54" s="86"/>
      <c r="AG54" s="87"/>
      <c r="AH54" s="88"/>
    </row>
    <row r="55" spans="1:34" s="2" customFormat="1" x14ac:dyDescent="0.25">
      <c r="A55" s="155" t="str">
        <f t="shared" si="0"/>
        <v/>
      </c>
      <c r="B55" s="155" t="str">
        <f t="shared" si="1"/>
        <v/>
      </c>
      <c r="C55" s="157"/>
      <c r="D55" s="150"/>
      <c r="E55" s="78"/>
      <c r="F55" s="133"/>
      <c r="G55" s="38"/>
      <c r="H55" s="39"/>
      <c r="I55" s="40"/>
      <c r="J55" s="41"/>
      <c r="K55" s="42"/>
      <c r="L55" s="43"/>
      <c r="M55" s="79"/>
      <c r="N55" s="80"/>
      <c r="O55" s="81"/>
      <c r="P55" s="82"/>
      <c r="Q55" s="83"/>
      <c r="R55" s="84"/>
      <c r="S55" s="79"/>
      <c r="T55" s="80"/>
      <c r="U55" s="81"/>
      <c r="V55" s="82"/>
      <c r="W55" s="83"/>
      <c r="X55" s="84"/>
      <c r="Y55" s="84"/>
      <c r="Z55" s="84"/>
      <c r="AA55" s="84"/>
      <c r="AB55" s="84"/>
      <c r="AC55" s="84"/>
      <c r="AD55" s="84"/>
      <c r="AE55" s="85"/>
      <c r="AF55" s="86"/>
      <c r="AG55" s="87"/>
      <c r="AH55" s="88"/>
    </row>
    <row r="56" spans="1:34" s="2" customFormat="1" x14ac:dyDescent="0.25">
      <c r="A56" s="155" t="str">
        <f t="shared" si="0"/>
        <v/>
      </c>
      <c r="B56" s="155" t="str">
        <f t="shared" si="1"/>
        <v/>
      </c>
      <c r="C56" s="157"/>
      <c r="D56" s="150"/>
      <c r="E56" s="78"/>
      <c r="F56" s="133"/>
      <c r="G56" s="38"/>
      <c r="H56" s="39"/>
      <c r="I56" s="40"/>
      <c r="J56" s="41"/>
      <c r="K56" s="42"/>
      <c r="L56" s="43"/>
      <c r="M56" s="79"/>
      <c r="N56" s="80"/>
      <c r="O56" s="81"/>
      <c r="P56" s="82"/>
      <c r="Q56" s="83"/>
      <c r="R56" s="84"/>
      <c r="S56" s="79"/>
      <c r="T56" s="80"/>
      <c r="U56" s="81"/>
      <c r="V56" s="82"/>
      <c r="W56" s="83"/>
      <c r="X56" s="84"/>
      <c r="Y56" s="84"/>
      <c r="Z56" s="84"/>
      <c r="AA56" s="84"/>
      <c r="AB56" s="84"/>
      <c r="AC56" s="84"/>
      <c r="AD56" s="84"/>
      <c r="AE56" s="85"/>
      <c r="AF56" s="86"/>
      <c r="AG56" s="87"/>
      <c r="AH56" s="88"/>
    </row>
    <row r="57" spans="1:34" s="2" customFormat="1" x14ac:dyDescent="0.25">
      <c r="A57" s="155" t="str">
        <f t="shared" si="0"/>
        <v/>
      </c>
      <c r="B57" s="155" t="str">
        <f t="shared" si="1"/>
        <v/>
      </c>
      <c r="C57" s="157"/>
      <c r="D57" s="150"/>
      <c r="E57" s="78"/>
      <c r="F57" s="133"/>
      <c r="G57" s="38"/>
      <c r="H57" s="39"/>
      <c r="I57" s="40"/>
      <c r="J57" s="41"/>
      <c r="K57" s="42"/>
      <c r="L57" s="43"/>
      <c r="M57" s="79"/>
      <c r="N57" s="80"/>
      <c r="O57" s="81"/>
      <c r="P57" s="82"/>
      <c r="Q57" s="83"/>
      <c r="R57" s="84"/>
      <c r="S57" s="79"/>
      <c r="T57" s="80"/>
      <c r="U57" s="81"/>
      <c r="V57" s="82"/>
      <c r="W57" s="83"/>
      <c r="X57" s="84"/>
      <c r="Y57" s="84"/>
      <c r="Z57" s="84"/>
      <c r="AA57" s="84"/>
      <c r="AB57" s="84"/>
      <c r="AC57" s="84"/>
      <c r="AD57" s="84"/>
      <c r="AE57" s="85"/>
      <c r="AF57" s="86"/>
      <c r="AG57" s="87"/>
      <c r="AH57" s="88"/>
    </row>
    <row r="58" spans="1:34" s="2" customFormat="1" x14ac:dyDescent="0.25">
      <c r="A58" s="155" t="str">
        <f t="shared" si="0"/>
        <v/>
      </c>
      <c r="B58" s="155" t="str">
        <f t="shared" si="1"/>
        <v/>
      </c>
      <c r="C58" s="157"/>
      <c r="D58" s="150"/>
      <c r="E58" s="78"/>
      <c r="F58" s="133"/>
      <c r="G58" s="38"/>
      <c r="H58" s="39"/>
      <c r="I58" s="40"/>
      <c r="J58" s="41"/>
      <c r="K58" s="42"/>
      <c r="L58" s="43"/>
      <c r="M58" s="79"/>
      <c r="N58" s="80"/>
      <c r="O58" s="81"/>
      <c r="P58" s="82"/>
      <c r="Q58" s="83"/>
      <c r="R58" s="84"/>
      <c r="S58" s="79"/>
      <c r="T58" s="80"/>
      <c r="U58" s="81"/>
      <c r="V58" s="82"/>
      <c r="W58" s="83"/>
      <c r="X58" s="84"/>
      <c r="Y58" s="84"/>
      <c r="Z58" s="84"/>
      <c r="AA58" s="84"/>
      <c r="AB58" s="84"/>
      <c r="AC58" s="84"/>
      <c r="AD58" s="84"/>
      <c r="AE58" s="85"/>
      <c r="AF58" s="86"/>
      <c r="AG58" s="87"/>
      <c r="AH58" s="88"/>
    </row>
    <row r="59" spans="1:34" s="2" customFormat="1" x14ac:dyDescent="0.25">
      <c r="A59" s="155" t="str">
        <f t="shared" si="0"/>
        <v/>
      </c>
      <c r="B59" s="155" t="str">
        <f t="shared" si="1"/>
        <v/>
      </c>
      <c r="C59" s="157"/>
      <c r="D59" s="150"/>
      <c r="E59" s="78"/>
      <c r="F59" s="133"/>
      <c r="G59" s="38"/>
      <c r="H59" s="39"/>
      <c r="I59" s="40"/>
      <c r="J59" s="41"/>
      <c r="K59" s="42"/>
      <c r="L59" s="43"/>
      <c r="M59" s="79"/>
      <c r="N59" s="80"/>
      <c r="O59" s="81"/>
      <c r="P59" s="82"/>
      <c r="Q59" s="83"/>
      <c r="R59" s="84"/>
      <c r="S59" s="79"/>
      <c r="T59" s="80"/>
      <c r="U59" s="81"/>
      <c r="V59" s="82"/>
      <c r="W59" s="83"/>
      <c r="X59" s="84"/>
      <c r="Y59" s="84"/>
      <c r="Z59" s="84"/>
      <c r="AA59" s="84"/>
      <c r="AB59" s="84"/>
      <c r="AC59" s="84"/>
      <c r="AD59" s="84"/>
      <c r="AE59" s="85"/>
      <c r="AF59" s="86"/>
      <c r="AG59" s="87"/>
      <c r="AH59" s="88"/>
    </row>
    <row r="60" spans="1:34" s="2" customFormat="1" x14ac:dyDescent="0.25">
      <c r="A60" s="155" t="str">
        <f t="shared" si="0"/>
        <v/>
      </c>
      <c r="B60" s="155" t="str">
        <f t="shared" si="1"/>
        <v/>
      </c>
      <c r="C60" s="157"/>
      <c r="D60" s="150"/>
      <c r="E60" s="78"/>
      <c r="F60" s="133"/>
      <c r="G60" s="38"/>
      <c r="H60" s="39"/>
      <c r="I60" s="40"/>
      <c r="J60" s="41"/>
      <c r="K60" s="42"/>
      <c r="L60" s="43"/>
      <c r="M60" s="79"/>
      <c r="N60" s="80"/>
      <c r="O60" s="81"/>
      <c r="P60" s="82"/>
      <c r="Q60" s="83"/>
      <c r="R60" s="84"/>
      <c r="S60" s="79"/>
      <c r="T60" s="80"/>
      <c r="U60" s="81"/>
      <c r="V60" s="82"/>
      <c r="W60" s="83"/>
      <c r="X60" s="84"/>
      <c r="Y60" s="84"/>
      <c r="Z60" s="84"/>
      <c r="AA60" s="84"/>
      <c r="AB60" s="84"/>
      <c r="AC60" s="84"/>
      <c r="AD60" s="84"/>
      <c r="AE60" s="85"/>
      <c r="AF60" s="86"/>
      <c r="AG60" s="87"/>
      <c r="AH60" s="88"/>
    </row>
    <row r="61" spans="1:34" s="2" customFormat="1" x14ac:dyDescent="0.25">
      <c r="A61" s="155" t="str">
        <f t="shared" si="0"/>
        <v/>
      </c>
      <c r="B61" s="155" t="str">
        <f t="shared" si="1"/>
        <v/>
      </c>
      <c r="C61" s="157"/>
      <c r="D61" s="150"/>
      <c r="E61" s="78"/>
      <c r="F61" s="133"/>
      <c r="G61" s="38"/>
      <c r="H61" s="39"/>
      <c r="I61" s="40"/>
      <c r="J61" s="41"/>
      <c r="K61" s="42"/>
      <c r="L61" s="43"/>
      <c r="M61" s="79"/>
      <c r="N61" s="80"/>
      <c r="O61" s="81"/>
      <c r="P61" s="82"/>
      <c r="Q61" s="83"/>
      <c r="R61" s="84"/>
      <c r="S61" s="79"/>
      <c r="T61" s="80"/>
      <c r="U61" s="81"/>
      <c r="V61" s="82"/>
      <c r="W61" s="83"/>
      <c r="X61" s="84"/>
      <c r="Y61" s="84"/>
      <c r="Z61" s="84"/>
      <c r="AA61" s="84"/>
      <c r="AB61" s="84"/>
      <c r="AC61" s="84"/>
      <c r="AD61" s="84"/>
      <c r="AE61" s="85"/>
      <c r="AF61" s="86"/>
      <c r="AG61" s="87"/>
      <c r="AH61" s="88"/>
    </row>
    <row r="62" spans="1:34" s="2" customFormat="1" x14ac:dyDescent="0.25">
      <c r="A62" s="155" t="str">
        <f t="shared" si="0"/>
        <v/>
      </c>
      <c r="B62" s="155" t="str">
        <f t="shared" si="1"/>
        <v/>
      </c>
      <c r="C62" s="157"/>
      <c r="D62" s="150"/>
      <c r="E62" s="78"/>
      <c r="F62" s="133"/>
      <c r="G62" s="38"/>
      <c r="H62" s="39"/>
      <c r="I62" s="40"/>
      <c r="J62" s="41"/>
      <c r="K62" s="42"/>
      <c r="L62" s="43"/>
      <c r="M62" s="79"/>
      <c r="N62" s="80"/>
      <c r="O62" s="81"/>
      <c r="P62" s="82"/>
      <c r="Q62" s="83"/>
      <c r="R62" s="84"/>
      <c r="S62" s="79"/>
      <c r="T62" s="80"/>
      <c r="U62" s="81"/>
      <c r="V62" s="82"/>
      <c r="W62" s="83"/>
      <c r="X62" s="84"/>
      <c r="Y62" s="84"/>
      <c r="Z62" s="84"/>
      <c r="AA62" s="84"/>
      <c r="AB62" s="84"/>
      <c r="AC62" s="84"/>
      <c r="AD62" s="84"/>
      <c r="AE62" s="85"/>
      <c r="AF62" s="86"/>
      <c r="AG62" s="87"/>
      <c r="AH62" s="88"/>
    </row>
    <row r="63" spans="1:34" s="2" customFormat="1" x14ac:dyDescent="0.25">
      <c r="A63" s="155" t="str">
        <f t="shared" si="0"/>
        <v/>
      </c>
      <c r="B63" s="155" t="str">
        <f t="shared" si="1"/>
        <v/>
      </c>
      <c r="C63" s="157"/>
      <c r="D63" s="150"/>
      <c r="E63" s="78"/>
      <c r="F63" s="133"/>
      <c r="G63" s="38"/>
      <c r="H63" s="39"/>
      <c r="I63" s="40"/>
      <c r="J63" s="41"/>
      <c r="K63" s="42"/>
      <c r="L63" s="43"/>
      <c r="M63" s="79"/>
      <c r="N63" s="80"/>
      <c r="O63" s="81"/>
      <c r="P63" s="82"/>
      <c r="Q63" s="83"/>
      <c r="R63" s="84"/>
      <c r="S63" s="79"/>
      <c r="T63" s="80"/>
      <c r="U63" s="81"/>
      <c r="V63" s="82"/>
      <c r="W63" s="83"/>
      <c r="X63" s="84"/>
      <c r="Y63" s="84"/>
      <c r="Z63" s="84"/>
      <c r="AA63" s="84"/>
      <c r="AB63" s="84"/>
      <c r="AC63" s="84"/>
      <c r="AD63" s="84"/>
      <c r="AE63" s="85"/>
      <c r="AF63" s="86"/>
      <c r="AG63" s="87"/>
      <c r="AH63" s="88"/>
    </row>
    <row r="64" spans="1:34" s="2" customFormat="1" x14ac:dyDescent="0.25">
      <c r="A64" s="155" t="str">
        <f t="shared" si="0"/>
        <v/>
      </c>
      <c r="B64" s="155" t="str">
        <f t="shared" si="1"/>
        <v/>
      </c>
      <c r="C64" s="157"/>
      <c r="D64" s="150"/>
      <c r="E64" s="78"/>
      <c r="F64" s="133"/>
      <c r="G64" s="38"/>
      <c r="H64" s="39"/>
      <c r="I64" s="40"/>
      <c r="J64" s="41"/>
      <c r="K64" s="42"/>
      <c r="L64" s="43"/>
      <c r="M64" s="79"/>
      <c r="N64" s="80"/>
      <c r="O64" s="81"/>
      <c r="P64" s="82"/>
      <c r="Q64" s="83"/>
      <c r="R64" s="84"/>
      <c r="S64" s="79"/>
      <c r="T64" s="80"/>
      <c r="U64" s="81"/>
      <c r="V64" s="82"/>
      <c r="W64" s="83"/>
      <c r="X64" s="84"/>
      <c r="Y64" s="84"/>
      <c r="Z64" s="84"/>
      <c r="AA64" s="84"/>
      <c r="AB64" s="84"/>
      <c r="AC64" s="84"/>
      <c r="AD64" s="84"/>
      <c r="AE64" s="85"/>
      <c r="AF64" s="86"/>
      <c r="AG64" s="87"/>
      <c r="AH64" s="88"/>
    </row>
    <row r="65" spans="1:34" s="2" customFormat="1" x14ac:dyDescent="0.25">
      <c r="A65" s="155" t="str">
        <f t="shared" si="0"/>
        <v/>
      </c>
      <c r="B65" s="155" t="str">
        <f t="shared" si="1"/>
        <v/>
      </c>
      <c r="C65" s="157"/>
      <c r="D65" s="150"/>
      <c r="E65" s="78"/>
      <c r="F65" s="133"/>
      <c r="G65" s="38"/>
      <c r="H65" s="39"/>
      <c r="I65" s="40"/>
      <c r="J65" s="41"/>
      <c r="K65" s="42"/>
      <c r="L65" s="43"/>
      <c r="M65" s="79"/>
      <c r="N65" s="80"/>
      <c r="O65" s="81"/>
      <c r="P65" s="82"/>
      <c r="Q65" s="83"/>
      <c r="R65" s="84"/>
      <c r="S65" s="79"/>
      <c r="T65" s="80"/>
      <c r="U65" s="81"/>
      <c r="V65" s="82"/>
      <c r="W65" s="83"/>
      <c r="X65" s="84"/>
      <c r="Y65" s="84"/>
      <c r="Z65" s="84"/>
      <c r="AA65" s="84"/>
      <c r="AB65" s="84"/>
      <c r="AC65" s="84"/>
      <c r="AD65" s="84"/>
      <c r="AE65" s="85"/>
      <c r="AF65" s="86"/>
      <c r="AG65" s="87"/>
      <c r="AH65" s="88"/>
    </row>
    <row r="66" spans="1:34" s="2" customFormat="1" x14ac:dyDescent="0.25">
      <c r="A66" s="155" t="str">
        <f t="shared" si="0"/>
        <v/>
      </c>
      <c r="B66" s="155" t="str">
        <f t="shared" si="1"/>
        <v/>
      </c>
      <c r="C66" s="157"/>
      <c r="D66" s="150"/>
      <c r="E66" s="78"/>
      <c r="F66" s="133"/>
      <c r="G66" s="38"/>
      <c r="H66" s="39"/>
      <c r="I66" s="40"/>
      <c r="J66" s="41"/>
      <c r="K66" s="42"/>
      <c r="L66" s="43"/>
      <c r="M66" s="79"/>
      <c r="N66" s="80"/>
      <c r="O66" s="81"/>
      <c r="P66" s="82"/>
      <c r="Q66" s="83"/>
      <c r="R66" s="84"/>
      <c r="S66" s="79"/>
      <c r="T66" s="80"/>
      <c r="U66" s="81"/>
      <c r="V66" s="82"/>
      <c r="W66" s="83"/>
      <c r="X66" s="84"/>
      <c r="Y66" s="84"/>
      <c r="Z66" s="84"/>
      <c r="AA66" s="84"/>
      <c r="AB66" s="84"/>
      <c r="AC66" s="84"/>
      <c r="AD66" s="84"/>
      <c r="AE66" s="85"/>
      <c r="AF66" s="86"/>
      <c r="AG66" s="87"/>
      <c r="AH66" s="88"/>
    </row>
    <row r="67" spans="1:34" s="2" customFormat="1" x14ac:dyDescent="0.25">
      <c r="A67" s="155" t="str">
        <f t="shared" si="0"/>
        <v/>
      </c>
      <c r="B67" s="155" t="str">
        <f t="shared" si="1"/>
        <v/>
      </c>
      <c r="C67" s="157"/>
      <c r="D67" s="150"/>
      <c r="E67" s="78"/>
      <c r="F67" s="133"/>
      <c r="G67" s="38"/>
      <c r="H67" s="39"/>
      <c r="I67" s="40"/>
      <c r="J67" s="41"/>
      <c r="K67" s="42"/>
      <c r="L67" s="43"/>
      <c r="M67" s="79"/>
      <c r="N67" s="80"/>
      <c r="O67" s="81"/>
      <c r="P67" s="82"/>
      <c r="Q67" s="83"/>
      <c r="R67" s="84"/>
      <c r="S67" s="79"/>
      <c r="T67" s="80"/>
      <c r="U67" s="81"/>
      <c r="V67" s="82"/>
      <c r="W67" s="83"/>
      <c r="X67" s="84"/>
      <c r="Y67" s="84"/>
      <c r="Z67" s="84"/>
      <c r="AA67" s="84"/>
      <c r="AB67" s="84"/>
      <c r="AC67" s="84"/>
      <c r="AD67" s="84"/>
      <c r="AE67" s="85"/>
      <c r="AF67" s="86"/>
      <c r="AG67" s="87"/>
      <c r="AH67" s="88"/>
    </row>
    <row r="68" spans="1:34" s="2" customFormat="1" x14ac:dyDescent="0.25">
      <c r="A68" s="155" t="str">
        <f t="shared" si="0"/>
        <v/>
      </c>
      <c r="B68" s="155" t="str">
        <f t="shared" si="1"/>
        <v/>
      </c>
      <c r="C68" s="157"/>
      <c r="D68" s="150"/>
      <c r="E68" s="78"/>
      <c r="F68" s="133"/>
      <c r="G68" s="38"/>
      <c r="H68" s="39"/>
      <c r="I68" s="40"/>
      <c r="J68" s="41"/>
      <c r="K68" s="42"/>
      <c r="L68" s="43"/>
      <c r="M68" s="79"/>
      <c r="N68" s="80"/>
      <c r="O68" s="81"/>
      <c r="P68" s="82"/>
      <c r="Q68" s="83"/>
      <c r="R68" s="84"/>
      <c r="S68" s="79"/>
      <c r="T68" s="80"/>
      <c r="U68" s="81"/>
      <c r="V68" s="82"/>
      <c r="W68" s="83"/>
      <c r="X68" s="84"/>
      <c r="Y68" s="84"/>
      <c r="Z68" s="84"/>
      <c r="AA68" s="84"/>
      <c r="AB68" s="84"/>
      <c r="AC68" s="84"/>
      <c r="AD68" s="84"/>
      <c r="AE68" s="85"/>
      <c r="AF68" s="86"/>
      <c r="AG68" s="87"/>
      <c r="AH68" s="88"/>
    </row>
    <row r="69" spans="1:34" s="2" customFormat="1" x14ac:dyDescent="0.25">
      <c r="A69" s="155" t="str">
        <f t="shared" si="0"/>
        <v/>
      </c>
      <c r="B69" s="155" t="str">
        <f t="shared" si="1"/>
        <v/>
      </c>
      <c r="C69" s="157"/>
      <c r="D69" s="150"/>
      <c r="E69" s="78"/>
      <c r="F69" s="133"/>
      <c r="G69" s="38"/>
      <c r="H69" s="39"/>
      <c r="I69" s="40"/>
      <c r="J69" s="41"/>
      <c r="K69" s="42"/>
      <c r="L69" s="43"/>
      <c r="M69" s="79"/>
      <c r="N69" s="80"/>
      <c r="O69" s="81"/>
      <c r="P69" s="82"/>
      <c r="Q69" s="83"/>
      <c r="R69" s="84"/>
      <c r="S69" s="79"/>
      <c r="T69" s="80"/>
      <c r="U69" s="81"/>
      <c r="V69" s="82"/>
      <c r="W69" s="83"/>
      <c r="X69" s="84"/>
      <c r="Y69" s="84"/>
      <c r="Z69" s="84"/>
      <c r="AA69" s="84"/>
      <c r="AB69" s="84"/>
      <c r="AC69" s="84"/>
      <c r="AD69" s="84"/>
      <c r="AE69" s="85"/>
      <c r="AF69" s="86"/>
      <c r="AG69" s="87"/>
      <c r="AH69" s="88"/>
    </row>
    <row r="70" spans="1:34" s="2" customFormat="1" x14ac:dyDescent="0.25">
      <c r="A70" s="155" t="str">
        <f t="shared" ref="A70:A133" si="2">IF(COUNTIF(S70:X70,"&gt;0")=0,"",COUNTIF(S70:X70,"&gt;0"))</f>
        <v/>
      </c>
      <c r="B70" s="155" t="str">
        <f t="shared" ref="B70:B133" si="3">IF(A70="","",COUNTA(G70:L70)-A70)</f>
        <v/>
      </c>
      <c r="C70" s="157"/>
      <c r="D70" s="150"/>
      <c r="E70" s="78"/>
      <c r="F70" s="133"/>
      <c r="G70" s="38"/>
      <c r="H70" s="39"/>
      <c r="I70" s="40"/>
      <c r="J70" s="41"/>
      <c r="K70" s="42"/>
      <c r="L70" s="43"/>
      <c r="M70" s="79"/>
      <c r="N70" s="80"/>
      <c r="O70" s="81"/>
      <c r="P70" s="82"/>
      <c r="Q70" s="83"/>
      <c r="R70" s="84"/>
      <c r="S70" s="79"/>
      <c r="T70" s="80"/>
      <c r="U70" s="81"/>
      <c r="V70" s="82"/>
      <c r="W70" s="83"/>
      <c r="X70" s="84"/>
      <c r="Y70" s="84"/>
      <c r="Z70" s="84"/>
      <c r="AA70" s="84"/>
      <c r="AB70" s="84"/>
      <c r="AC70" s="84"/>
      <c r="AD70" s="84"/>
      <c r="AE70" s="85"/>
      <c r="AF70" s="86"/>
      <c r="AG70" s="87"/>
      <c r="AH70" s="88"/>
    </row>
    <row r="71" spans="1:34" s="2" customFormat="1" x14ac:dyDescent="0.25">
      <c r="A71" s="155" t="str">
        <f t="shared" si="2"/>
        <v/>
      </c>
      <c r="B71" s="155" t="str">
        <f t="shared" si="3"/>
        <v/>
      </c>
      <c r="C71" s="157"/>
      <c r="D71" s="150"/>
      <c r="E71" s="78"/>
      <c r="F71" s="133"/>
      <c r="G71" s="38"/>
      <c r="H71" s="39"/>
      <c r="I71" s="40"/>
      <c r="J71" s="41"/>
      <c r="K71" s="42"/>
      <c r="L71" s="43"/>
      <c r="M71" s="79"/>
      <c r="N71" s="80"/>
      <c r="O71" s="81"/>
      <c r="P71" s="82"/>
      <c r="Q71" s="83"/>
      <c r="R71" s="84"/>
      <c r="S71" s="79"/>
      <c r="T71" s="80"/>
      <c r="U71" s="81"/>
      <c r="V71" s="82"/>
      <c r="W71" s="83"/>
      <c r="X71" s="84"/>
      <c r="Y71" s="84"/>
      <c r="Z71" s="84"/>
      <c r="AA71" s="84"/>
      <c r="AB71" s="84"/>
      <c r="AC71" s="84"/>
      <c r="AD71" s="84"/>
      <c r="AE71" s="85"/>
      <c r="AF71" s="86"/>
      <c r="AG71" s="87"/>
      <c r="AH71" s="88"/>
    </row>
    <row r="72" spans="1:34" s="2" customFormat="1" x14ac:dyDescent="0.25">
      <c r="A72" s="155" t="str">
        <f t="shared" si="2"/>
        <v/>
      </c>
      <c r="B72" s="155" t="str">
        <f t="shared" si="3"/>
        <v/>
      </c>
      <c r="C72" s="157"/>
      <c r="D72" s="150"/>
      <c r="E72" s="78"/>
      <c r="F72" s="133"/>
      <c r="G72" s="38"/>
      <c r="H72" s="39"/>
      <c r="I72" s="40"/>
      <c r="J72" s="41"/>
      <c r="K72" s="42"/>
      <c r="L72" s="43"/>
      <c r="M72" s="79"/>
      <c r="N72" s="80"/>
      <c r="O72" s="81"/>
      <c r="P72" s="82"/>
      <c r="Q72" s="83"/>
      <c r="R72" s="84"/>
      <c r="S72" s="79"/>
      <c r="T72" s="80"/>
      <c r="U72" s="81"/>
      <c r="V72" s="82"/>
      <c r="W72" s="83"/>
      <c r="X72" s="84"/>
      <c r="Y72" s="84"/>
      <c r="Z72" s="84"/>
      <c r="AA72" s="84"/>
      <c r="AB72" s="84"/>
      <c r="AC72" s="84"/>
      <c r="AD72" s="84"/>
      <c r="AE72" s="85"/>
      <c r="AF72" s="86"/>
      <c r="AG72" s="87"/>
      <c r="AH72" s="88"/>
    </row>
    <row r="73" spans="1:34" s="2" customFormat="1" x14ac:dyDescent="0.25">
      <c r="A73" s="155" t="str">
        <f t="shared" si="2"/>
        <v/>
      </c>
      <c r="B73" s="155" t="str">
        <f t="shared" si="3"/>
        <v/>
      </c>
      <c r="C73" s="157"/>
      <c r="D73" s="150"/>
      <c r="E73" s="78"/>
      <c r="F73" s="133"/>
      <c r="G73" s="38"/>
      <c r="H73" s="39"/>
      <c r="I73" s="40"/>
      <c r="J73" s="41"/>
      <c r="K73" s="42"/>
      <c r="L73" s="43"/>
      <c r="M73" s="79"/>
      <c r="N73" s="80"/>
      <c r="O73" s="81"/>
      <c r="P73" s="82"/>
      <c r="Q73" s="83"/>
      <c r="R73" s="84"/>
      <c r="S73" s="79"/>
      <c r="T73" s="80"/>
      <c r="U73" s="81"/>
      <c r="V73" s="82"/>
      <c r="W73" s="83"/>
      <c r="X73" s="84"/>
      <c r="Y73" s="84"/>
      <c r="Z73" s="84"/>
      <c r="AA73" s="84"/>
      <c r="AB73" s="84"/>
      <c r="AC73" s="84"/>
      <c r="AD73" s="84"/>
      <c r="AE73" s="85"/>
      <c r="AF73" s="86"/>
      <c r="AG73" s="87"/>
      <c r="AH73" s="88"/>
    </row>
    <row r="74" spans="1:34" s="2" customFormat="1" x14ac:dyDescent="0.25">
      <c r="A74" s="155" t="str">
        <f t="shared" si="2"/>
        <v/>
      </c>
      <c r="B74" s="155" t="str">
        <f t="shared" si="3"/>
        <v/>
      </c>
      <c r="C74" s="157"/>
      <c r="D74" s="150"/>
      <c r="E74" s="78"/>
      <c r="F74" s="133"/>
      <c r="G74" s="38"/>
      <c r="H74" s="39"/>
      <c r="I74" s="40"/>
      <c r="J74" s="41"/>
      <c r="K74" s="42"/>
      <c r="L74" s="43"/>
      <c r="M74" s="79"/>
      <c r="N74" s="80"/>
      <c r="O74" s="81"/>
      <c r="P74" s="82"/>
      <c r="Q74" s="83"/>
      <c r="R74" s="84"/>
      <c r="S74" s="79"/>
      <c r="T74" s="80"/>
      <c r="U74" s="81"/>
      <c r="V74" s="82"/>
      <c r="W74" s="83"/>
      <c r="X74" s="84"/>
      <c r="Y74" s="84"/>
      <c r="Z74" s="84"/>
      <c r="AA74" s="84"/>
      <c r="AB74" s="84"/>
      <c r="AC74" s="84"/>
      <c r="AD74" s="84"/>
      <c r="AE74" s="85"/>
      <c r="AF74" s="86"/>
      <c r="AG74" s="87"/>
      <c r="AH74" s="88"/>
    </row>
    <row r="75" spans="1:34" s="2" customFormat="1" x14ac:dyDescent="0.25">
      <c r="A75" s="155" t="str">
        <f t="shared" si="2"/>
        <v/>
      </c>
      <c r="B75" s="155" t="str">
        <f t="shared" si="3"/>
        <v/>
      </c>
      <c r="C75" s="157"/>
      <c r="D75" s="150"/>
      <c r="E75" s="78"/>
      <c r="F75" s="133"/>
      <c r="G75" s="38"/>
      <c r="H75" s="39"/>
      <c r="I75" s="40"/>
      <c r="J75" s="41"/>
      <c r="K75" s="42"/>
      <c r="L75" s="43"/>
      <c r="M75" s="79"/>
      <c r="N75" s="80"/>
      <c r="O75" s="81"/>
      <c r="P75" s="82"/>
      <c r="Q75" s="83"/>
      <c r="R75" s="84"/>
      <c r="S75" s="79"/>
      <c r="T75" s="80"/>
      <c r="U75" s="81"/>
      <c r="V75" s="82"/>
      <c r="W75" s="83"/>
      <c r="X75" s="84"/>
      <c r="Y75" s="84"/>
      <c r="Z75" s="84"/>
      <c r="AA75" s="84"/>
      <c r="AB75" s="84"/>
      <c r="AC75" s="84"/>
      <c r="AD75" s="84"/>
      <c r="AE75" s="85"/>
      <c r="AF75" s="86"/>
      <c r="AG75" s="87"/>
      <c r="AH75" s="88"/>
    </row>
    <row r="76" spans="1:34" s="2" customFormat="1" x14ac:dyDescent="0.25">
      <c r="A76" s="155" t="str">
        <f t="shared" si="2"/>
        <v/>
      </c>
      <c r="B76" s="155" t="str">
        <f t="shared" si="3"/>
        <v/>
      </c>
      <c r="C76" s="157"/>
      <c r="D76" s="150"/>
      <c r="E76" s="78"/>
      <c r="F76" s="133"/>
      <c r="G76" s="38"/>
      <c r="H76" s="39"/>
      <c r="I76" s="40"/>
      <c r="J76" s="41"/>
      <c r="K76" s="42"/>
      <c r="L76" s="43"/>
      <c r="M76" s="79"/>
      <c r="N76" s="80"/>
      <c r="O76" s="81"/>
      <c r="P76" s="82"/>
      <c r="Q76" s="83"/>
      <c r="R76" s="84"/>
      <c r="S76" s="79"/>
      <c r="T76" s="80"/>
      <c r="U76" s="81"/>
      <c r="V76" s="82"/>
      <c r="W76" s="83"/>
      <c r="X76" s="84"/>
      <c r="Y76" s="84"/>
      <c r="Z76" s="84"/>
      <c r="AA76" s="84"/>
      <c r="AB76" s="84"/>
      <c r="AC76" s="84"/>
      <c r="AD76" s="84"/>
      <c r="AE76" s="85"/>
      <c r="AF76" s="86"/>
      <c r="AG76" s="87"/>
      <c r="AH76" s="88"/>
    </row>
    <row r="77" spans="1:34" s="2" customFormat="1" x14ac:dyDescent="0.25">
      <c r="A77" s="155" t="str">
        <f t="shared" si="2"/>
        <v/>
      </c>
      <c r="B77" s="155" t="str">
        <f t="shared" si="3"/>
        <v/>
      </c>
      <c r="C77" s="157"/>
      <c r="D77" s="150"/>
      <c r="E77" s="78"/>
      <c r="F77" s="133"/>
      <c r="G77" s="38"/>
      <c r="H77" s="39"/>
      <c r="I77" s="40"/>
      <c r="J77" s="41"/>
      <c r="K77" s="42"/>
      <c r="L77" s="43"/>
      <c r="M77" s="79"/>
      <c r="N77" s="80"/>
      <c r="O77" s="81"/>
      <c r="P77" s="82"/>
      <c r="Q77" s="83"/>
      <c r="R77" s="84"/>
      <c r="S77" s="79"/>
      <c r="T77" s="80"/>
      <c r="U77" s="81"/>
      <c r="V77" s="82"/>
      <c r="W77" s="83"/>
      <c r="X77" s="84"/>
      <c r="Y77" s="84"/>
      <c r="Z77" s="84"/>
      <c r="AA77" s="84"/>
      <c r="AB77" s="84"/>
      <c r="AC77" s="84"/>
      <c r="AD77" s="84"/>
      <c r="AE77" s="85"/>
      <c r="AF77" s="86"/>
      <c r="AG77" s="87"/>
      <c r="AH77" s="88"/>
    </row>
    <row r="78" spans="1:34" s="2" customFormat="1" x14ac:dyDescent="0.25">
      <c r="A78" s="155" t="str">
        <f t="shared" si="2"/>
        <v/>
      </c>
      <c r="B78" s="155" t="str">
        <f t="shared" si="3"/>
        <v/>
      </c>
      <c r="C78" s="157"/>
      <c r="D78" s="150"/>
      <c r="E78" s="78"/>
      <c r="F78" s="133"/>
      <c r="G78" s="38"/>
      <c r="H78" s="39"/>
      <c r="I78" s="40"/>
      <c r="J78" s="41"/>
      <c r="K78" s="42"/>
      <c r="L78" s="43"/>
      <c r="M78" s="79"/>
      <c r="N78" s="80"/>
      <c r="O78" s="81"/>
      <c r="P78" s="82"/>
      <c r="Q78" s="83"/>
      <c r="R78" s="84"/>
      <c r="S78" s="79"/>
      <c r="T78" s="80"/>
      <c r="U78" s="81"/>
      <c r="V78" s="82"/>
      <c r="W78" s="83"/>
      <c r="X78" s="84"/>
      <c r="Y78" s="84"/>
      <c r="Z78" s="84"/>
      <c r="AA78" s="84"/>
      <c r="AB78" s="84"/>
      <c r="AC78" s="84"/>
      <c r="AD78" s="84"/>
      <c r="AE78" s="85"/>
      <c r="AF78" s="86"/>
      <c r="AG78" s="87"/>
      <c r="AH78" s="88"/>
    </row>
    <row r="79" spans="1:34" s="2" customFormat="1" x14ac:dyDescent="0.25">
      <c r="A79" s="155" t="str">
        <f t="shared" si="2"/>
        <v/>
      </c>
      <c r="B79" s="155" t="str">
        <f t="shared" si="3"/>
        <v/>
      </c>
      <c r="C79" s="157"/>
      <c r="D79" s="150"/>
      <c r="E79" s="78"/>
      <c r="F79" s="133"/>
      <c r="G79" s="38"/>
      <c r="H79" s="39"/>
      <c r="I79" s="40"/>
      <c r="J79" s="41"/>
      <c r="K79" s="42"/>
      <c r="L79" s="43"/>
      <c r="M79" s="79"/>
      <c r="N79" s="80"/>
      <c r="O79" s="81"/>
      <c r="P79" s="82"/>
      <c r="Q79" s="83"/>
      <c r="R79" s="84"/>
      <c r="S79" s="79"/>
      <c r="T79" s="80"/>
      <c r="U79" s="81"/>
      <c r="V79" s="82"/>
      <c r="W79" s="83"/>
      <c r="X79" s="84"/>
      <c r="Y79" s="84"/>
      <c r="Z79" s="84"/>
      <c r="AA79" s="84"/>
      <c r="AB79" s="84"/>
      <c r="AC79" s="84"/>
      <c r="AD79" s="84"/>
      <c r="AE79" s="85"/>
      <c r="AF79" s="86"/>
      <c r="AG79" s="87"/>
      <c r="AH79" s="88"/>
    </row>
    <row r="80" spans="1:34" s="2" customFormat="1" x14ac:dyDescent="0.25">
      <c r="A80" s="155" t="str">
        <f t="shared" si="2"/>
        <v/>
      </c>
      <c r="B80" s="155" t="str">
        <f t="shared" si="3"/>
        <v/>
      </c>
      <c r="C80" s="157"/>
      <c r="D80" s="150"/>
      <c r="E80" s="78"/>
      <c r="F80" s="133"/>
      <c r="G80" s="38"/>
      <c r="H80" s="39"/>
      <c r="I80" s="40"/>
      <c r="J80" s="41"/>
      <c r="K80" s="42"/>
      <c r="L80" s="43"/>
      <c r="M80" s="79"/>
      <c r="N80" s="80"/>
      <c r="O80" s="81"/>
      <c r="P80" s="82"/>
      <c r="Q80" s="83"/>
      <c r="R80" s="84"/>
      <c r="S80" s="79"/>
      <c r="T80" s="80"/>
      <c r="U80" s="81"/>
      <c r="V80" s="82"/>
      <c r="W80" s="83"/>
      <c r="X80" s="84"/>
      <c r="Y80" s="84"/>
      <c r="Z80" s="84"/>
      <c r="AA80" s="84"/>
      <c r="AB80" s="84"/>
      <c r="AC80" s="84"/>
      <c r="AD80" s="84"/>
      <c r="AE80" s="85"/>
      <c r="AF80" s="86"/>
      <c r="AG80" s="87"/>
      <c r="AH80" s="88"/>
    </row>
    <row r="81" spans="1:34" s="2" customFormat="1" x14ac:dyDescent="0.25">
      <c r="A81" s="155" t="str">
        <f t="shared" si="2"/>
        <v/>
      </c>
      <c r="B81" s="155" t="str">
        <f t="shared" si="3"/>
        <v/>
      </c>
      <c r="C81" s="157"/>
      <c r="D81" s="150"/>
      <c r="E81" s="78"/>
      <c r="F81" s="133"/>
      <c r="G81" s="38"/>
      <c r="H81" s="39"/>
      <c r="I81" s="40"/>
      <c r="J81" s="41"/>
      <c r="K81" s="42"/>
      <c r="L81" s="43"/>
      <c r="M81" s="79"/>
      <c r="N81" s="80"/>
      <c r="O81" s="81"/>
      <c r="P81" s="82"/>
      <c r="Q81" s="83"/>
      <c r="R81" s="84"/>
      <c r="S81" s="79"/>
      <c r="T81" s="80"/>
      <c r="U81" s="81"/>
      <c r="V81" s="82"/>
      <c r="W81" s="83"/>
      <c r="X81" s="84"/>
      <c r="Y81" s="84"/>
      <c r="Z81" s="84"/>
      <c r="AA81" s="84"/>
      <c r="AB81" s="84"/>
      <c r="AC81" s="84"/>
      <c r="AD81" s="84"/>
      <c r="AE81" s="85"/>
      <c r="AF81" s="86"/>
      <c r="AG81" s="87"/>
      <c r="AH81" s="88"/>
    </row>
    <row r="82" spans="1:34" s="2" customFormat="1" x14ac:dyDescent="0.25">
      <c r="A82" s="155" t="str">
        <f t="shared" si="2"/>
        <v/>
      </c>
      <c r="B82" s="155" t="str">
        <f t="shared" si="3"/>
        <v/>
      </c>
      <c r="C82" s="157"/>
      <c r="D82" s="150"/>
      <c r="E82" s="78"/>
      <c r="F82" s="133"/>
      <c r="G82" s="38"/>
      <c r="H82" s="39"/>
      <c r="I82" s="40"/>
      <c r="J82" s="41"/>
      <c r="K82" s="42"/>
      <c r="L82" s="43"/>
      <c r="M82" s="79"/>
      <c r="N82" s="80"/>
      <c r="O82" s="81"/>
      <c r="P82" s="82"/>
      <c r="Q82" s="83"/>
      <c r="R82" s="84"/>
      <c r="S82" s="79"/>
      <c r="T82" s="80"/>
      <c r="U82" s="81"/>
      <c r="V82" s="82"/>
      <c r="W82" s="83"/>
      <c r="X82" s="84"/>
      <c r="Y82" s="84"/>
      <c r="Z82" s="84"/>
      <c r="AA82" s="84"/>
      <c r="AB82" s="84"/>
      <c r="AC82" s="84"/>
      <c r="AD82" s="84"/>
      <c r="AE82" s="85"/>
      <c r="AF82" s="86"/>
      <c r="AG82" s="87"/>
      <c r="AH82" s="88"/>
    </row>
    <row r="83" spans="1:34" s="2" customFormat="1" x14ac:dyDescent="0.25">
      <c r="A83" s="155" t="str">
        <f t="shared" si="2"/>
        <v/>
      </c>
      <c r="B83" s="155" t="str">
        <f t="shared" si="3"/>
        <v/>
      </c>
      <c r="C83" s="157"/>
      <c r="D83" s="150"/>
      <c r="E83" s="78"/>
      <c r="F83" s="133"/>
      <c r="G83" s="38"/>
      <c r="H83" s="39"/>
      <c r="I83" s="40"/>
      <c r="J83" s="41"/>
      <c r="K83" s="42"/>
      <c r="L83" s="43"/>
      <c r="M83" s="79"/>
      <c r="N83" s="80"/>
      <c r="O83" s="81"/>
      <c r="P83" s="82"/>
      <c r="Q83" s="83"/>
      <c r="R83" s="84"/>
      <c r="S83" s="79"/>
      <c r="T83" s="80"/>
      <c r="U83" s="81"/>
      <c r="V83" s="82"/>
      <c r="W83" s="83"/>
      <c r="X83" s="84"/>
      <c r="Y83" s="84"/>
      <c r="Z83" s="84"/>
      <c r="AA83" s="84"/>
      <c r="AB83" s="84"/>
      <c r="AC83" s="84"/>
      <c r="AD83" s="84"/>
      <c r="AE83" s="85"/>
      <c r="AF83" s="86"/>
      <c r="AG83" s="87"/>
      <c r="AH83" s="88"/>
    </row>
    <row r="84" spans="1:34" s="2" customFormat="1" x14ac:dyDescent="0.25">
      <c r="A84" s="155" t="str">
        <f t="shared" si="2"/>
        <v/>
      </c>
      <c r="B84" s="155" t="str">
        <f t="shared" si="3"/>
        <v/>
      </c>
      <c r="C84" s="157"/>
      <c r="D84" s="150"/>
      <c r="E84" s="78"/>
      <c r="F84" s="133"/>
      <c r="G84" s="38"/>
      <c r="H84" s="39"/>
      <c r="I84" s="40"/>
      <c r="J84" s="41"/>
      <c r="K84" s="42"/>
      <c r="L84" s="43"/>
      <c r="M84" s="79"/>
      <c r="N84" s="80"/>
      <c r="O84" s="81"/>
      <c r="P84" s="82"/>
      <c r="Q84" s="83"/>
      <c r="R84" s="84"/>
      <c r="S84" s="79"/>
      <c r="T84" s="80"/>
      <c r="U84" s="81"/>
      <c r="V84" s="82"/>
      <c r="W84" s="83"/>
      <c r="X84" s="84"/>
      <c r="Y84" s="84"/>
      <c r="Z84" s="84"/>
      <c r="AA84" s="84"/>
      <c r="AB84" s="84"/>
      <c r="AC84" s="84"/>
      <c r="AD84" s="84"/>
      <c r="AE84" s="85"/>
      <c r="AF84" s="86"/>
      <c r="AG84" s="87"/>
      <c r="AH84" s="88"/>
    </row>
    <row r="85" spans="1:34" s="2" customFormat="1" x14ac:dyDescent="0.25">
      <c r="A85" s="155" t="str">
        <f t="shared" si="2"/>
        <v/>
      </c>
      <c r="B85" s="155" t="str">
        <f t="shared" si="3"/>
        <v/>
      </c>
      <c r="C85" s="157"/>
      <c r="D85" s="150"/>
      <c r="E85" s="78"/>
      <c r="F85" s="133"/>
      <c r="G85" s="38"/>
      <c r="H85" s="39"/>
      <c r="I85" s="40"/>
      <c r="J85" s="41"/>
      <c r="K85" s="42"/>
      <c r="L85" s="43"/>
      <c r="M85" s="79"/>
      <c r="N85" s="80"/>
      <c r="O85" s="81"/>
      <c r="P85" s="82"/>
      <c r="Q85" s="83"/>
      <c r="R85" s="84"/>
      <c r="S85" s="79"/>
      <c r="T85" s="80"/>
      <c r="U85" s="81"/>
      <c r="V85" s="82"/>
      <c r="W85" s="83"/>
      <c r="X85" s="84"/>
      <c r="Y85" s="84"/>
      <c r="Z85" s="84"/>
      <c r="AA85" s="84"/>
      <c r="AB85" s="84"/>
      <c r="AC85" s="84"/>
      <c r="AD85" s="84"/>
      <c r="AE85" s="85"/>
      <c r="AF85" s="86"/>
      <c r="AG85" s="87"/>
      <c r="AH85" s="88"/>
    </row>
    <row r="86" spans="1:34" s="2" customFormat="1" x14ac:dyDescent="0.25">
      <c r="A86" s="155" t="str">
        <f t="shared" si="2"/>
        <v/>
      </c>
      <c r="B86" s="155" t="str">
        <f t="shared" si="3"/>
        <v/>
      </c>
      <c r="C86" s="157"/>
      <c r="D86" s="150"/>
      <c r="E86" s="78"/>
      <c r="F86" s="133"/>
      <c r="G86" s="38"/>
      <c r="H86" s="39"/>
      <c r="I86" s="40"/>
      <c r="J86" s="41"/>
      <c r="K86" s="42"/>
      <c r="L86" s="43"/>
      <c r="M86" s="79"/>
      <c r="N86" s="80"/>
      <c r="O86" s="81"/>
      <c r="P86" s="82"/>
      <c r="Q86" s="83"/>
      <c r="R86" s="84"/>
      <c r="S86" s="79"/>
      <c r="T86" s="80"/>
      <c r="U86" s="81"/>
      <c r="V86" s="82"/>
      <c r="W86" s="83"/>
      <c r="X86" s="84"/>
      <c r="Y86" s="84"/>
      <c r="Z86" s="84"/>
      <c r="AA86" s="84"/>
      <c r="AB86" s="84"/>
      <c r="AC86" s="84"/>
      <c r="AD86" s="84"/>
      <c r="AE86" s="85"/>
      <c r="AF86" s="86"/>
      <c r="AG86" s="87"/>
      <c r="AH86" s="88"/>
    </row>
    <row r="87" spans="1:34" s="2" customFormat="1" x14ac:dyDescent="0.25">
      <c r="A87" s="155" t="str">
        <f t="shared" si="2"/>
        <v/>
      </c>
      <c r="B87" s="155" t="str">
        <f t="shared" si="3"/>
        <v/>
      </c>
      <c r="C87" s="157"/>
      <c r="D87" s="150"/>
      <c r="E87" s="78"/>
      <c r="F87" s="133"/>
      <c r="G87" s="38"/>
      <c r="H87" s="39"/>
      <c r="I87" s="40"/>
      <c r="J87" s="41"/>
      <c r="K87" s="42"/>
      <c r="L87" s="43"/>
      <c r="M87" s="79"/>
      <c r="N87" s="80"/>
      <c r="O87" s="81"/>
      <c r="P87" s="82"/>
      <c r="Q87" s="83"/>
      <c r="R87" s="84"/>
      <c r="S87" s="79"/>
      <c r="T87" s="80"/>
      <c r="U87" s="81"/>
      <c r="V87" s="82"/>
      <c r="W87" s="83"/>
      <c r="X87" s="84"/>
      <c r="Y87" s="84"/>
      <c r="Z87" s="84"/>
      <c r="AA87" s="84"/>
      <c r="AB87" s="84"/>
      <c r="AC87" s="84"/>
      <c r="AD87" s="84"/>
      <c r="AE87" s="85"/>
      <c r="AF87" s="86"/>
      <c r="AG87" s="87"/>
      <c r="AH87" s="88"/>
    </row>
    <row r="88" spans="1:34" s="2" customFormat="1" x14ac:dyDescent="0.25">
      <c r="A88" s="155" t="str">
        <f t="shared" si="2"/>
        <v/>
      </c>
      <c r="B88" s="155" t="str">
        <f t="shared" si="3"/>
        <v/>
      </c>
      <c r="C88" s="157"/>
      <c r="D88" s="150"/>
      <c r="E88" s="78"/>
      <c r="F88" s="133"/>
      <c r="G88" s="38"/>
      <c r="H88" s="39"/>
      <c r="I88" s="40"/>
      <c r="J88" s="41"/>
      <c r="K88" s="42"/>
      <c r="L88" s="43"/>
      <c r="M88" s="79"/>
      <c r="N88" s="80"/>
      <c r="O88" s="81"/>
      <c r="P88" s="82"/>
      <c r="Q88" s="83"/>
      <c r="R88" s="84"/>
      <c r="S88" s="79"/>
      <c r="T88" s="80"/>
      <c r="U88" s="81"/>
      <c r="V88" s="82"/>
      <c r="W88" s="83"/>
      <c r="X88" s="84"/>
      <c r="Y88" s="84"/>
      <c r="Z88" s="84"/>
      <c r="AA88" s="84"/>
      <c r="AB88" s="84"/>
      <c r="AC88" s="84"/>
      <c r="AD88" s="84"/>
      <c r="AE88" s="85"/>
      <c r="AF88" s="86"/>
      <c r="AG88" s="87"/>
      <c r="AH88" s="88"/>
    </row>
    <row r="89" spans="1:34" s="2" customFormat="1" x14ac:dyDescent="0.25">
      <c r="A89" s="155" t="str">
        <f t="shared" si="2"/>
        <v/>
      </c>
      <c r="B89" s="155" t="str">
        <f t="shared" si="3"/>
        <v/>
      </c>
      <c r="C89" s="157"/>
      <c r="D89" s="150"/>
      <c r="E89" s="78"/>
      <c r="F89" s="133"/>
      <c r="G89" s="38"/>
      <c r="H89" s="39"/>
      <c r="I89" s="40"/>
      <c r="J89" s="41"/>
      <c r="K89" s="42"/>
      <c r="L89" s="43"/>
      <c r="M89" s="79"/>
      <c r="N89" s="80"/>
      <c r="O89" s="81"/>
      <c r="P89" s="82"/>
      <c r="Q89" s="83"/>
      <c r="R89" s="84"/>
      <c r="S89" s="79"/>
      <c r="T89" s="80"/>
      <c r="U89" s="81"/>
      <c r="V89" s="82"/>
      <c r="W89" s="83"/>
      <c r="X89" s="84"/>
      <c r="Y89" s="84"/>
      <c r="Z89" s="84"/>
      <c r="AA89" s="84"/>
      <c r="AB89" s="84"/>
      <c r="AC89" s="84"/>
      <c r="AD89" s="84"/>
      <c r="AE89" s="85"/>
      <c r="AF89" s="86"/>
      <c r="AG89" s="87"/>
      <c r="AH89" s="88"/>
    </row>
    <row r="90" spans="1:34" s="2" customFormat="1" x14ac:dyDescent="0.25">
      <c r="A90" s="155" t="str">
        <f t="shared" si="2"/>
        <v/>
      </c>
      <c r="B90" s="155" t="str">
        <f t="shared" si="3"/>
        <v/>
      </c>
      <c r="C90" s="157"/>
      <c r="D90" s="150"/>
      <c r="E90" s="78"/>
      <c r="F90" s="133"/>
      <c r="G90" s="38"/>
      <c r="H90" s="39"/>
      <c r="I90" s="40"/>
      <c r="J90" s="41"/>
      <c r="K90" s="42"/>
      <c r="L90" s="43"/>
      <c r="M90" s="79"/>
      <c r="N90" s="80"/>
      <c r="O90" s="81"/>
      <c r="P90" s="82"/>
      <c r="Q90" s="83"/>
      <c r="R90" s="84"/>
      <c r="S90" s="79"/>
      <c r="T90" s="80"/>
      <c r="U90" s="81"/>
      <c r="V90" s="82"/>
      <c r="W90" s="83"/>
      <c r="X90" s="84"/>
      <c r="Y90" s="84"/>
      <c r="Z90" s="84"/>
      <c r="AA90" s="84"/>
      <c r="AB90" s="84"/>
      <c r="AC90" s="84"/>
      <c r="AD90" s="84"/>
      <c r="AE90" s="85"/>
      <c r="AF90" s="86"/>
      <c r="AG90" s="87"/>
      <c r="AH90" s="88"/>
    </row>
    <row r="91" spans="1:34" s="2" customFormat="1" x14ac:dyDescent="0.25">
      <c r="A91" s="155" t="str">
        <f t="shared" si="2"/>
        <v/>
      </c>
      <c r="B91" s="155" t="str">
        <f t="shared" si="3"/>
        <v/>
      </c>
      <c r="C91" s="157"/>
      <c r="D91" s="150"/>
      <c r="E91" s="78"/>
      <c r="F91" s="133"/>
      <c r="G91" s="38"/>
      <c r="H91" s="39"/>
      <c r="I91" s="40"/>
      <c r="J91" s="41"/>
      <c r="K91" s="42"/>
      <c r="L91" s="43"/>
      <c r="M91" s="79"/>
      <c r="N91" s="80"/>
      <c r="O91" s="81"/>
      <c r="P91" s="82"/>
      <c r="Q91" s="83"/>
      <c r="R91" s="84"/>
      <c r="S91" s="79"/>
      <c r="T91" s="80"/>
      <c r="U91" s="81"/>
      <c r="V91" s="82"/>
      <c r="W91" s="83"/>
      <c r="X91" s="84"/>
      <c r="Y91" s="84"/>
      <c r="Z91" s="84"/>
      <c r="AA91" s="84"/>
      <c r="AB91" s="84"/>
      <c r="AC91" s="84"/>
      <c r="AD91" s="84"/>
      <c r="AE91" s="85"/>
      <c r="AF91" s="86"/>
      <c r="AG91" s="87"/>
      <c r="AH91" s="88"/>
    </row>
    <row r="92" spans="1:34" s="2" customFormat="1" x14ac:dyDescent="0.25">
      <c r="A92" s="155" t="str">
        <f t="shared" si="2"/>
        <v/>
      </c>
      <c r="B92" s="155" t="str">
        <f t="shared" si="3"/>
        <v/>
      </c>
      <c r="C92" s="157"/>
      <c r="D92" s="150"/>
      <c r="E92" s="78"/>
      <c r="F92" s="133"/>
      <c r="G92" s="38"/>
      <c r="H92" s="39"/>
      <c r="I92" s="40"/>
      <c r="J92" s="41"/>
      <c r="K92" s="42"/>
      <c r="L92" s="43"/>
      <c r="M92" s="79"/>
      <c r="N92" s="80"/>
      <c r="O92" s="81"/>
      <c r="P92" s="82"/>
      <c r="Q92" s="83"/>
      <c r="R92" s="84"/>
      <c r="S92" s="79"/>
      <c r="T92" s="80"/>
      <c r="U92" s="81"/>
      <c r="V92" s="82"/>
      <c r="W92" s="83"/>
      <c r="X92" s="84"/>
      <c r="Y92" s="84"/>
      <c r="Z92" s="84"/>
      <c r="AA92" s="84"/>
      <c r="AB92" s="84"/>
      <c r="AC92" s="84"/>
      <c r="AD92" s="84"/>
      <c r="AE92" s="85"/>
      <c r="AF92" s="86"/>
      <c r="AG92" s="87"/>
      <c r="AH92" s="88"/>
    </row>
    <row r="93" spans="1:34" s="2" customFormat="1" x14ac:dyDescent="0.25">
      <c r="A93" s="155" t="str">
        <f t="shared" si="2"/>
        <v/>
      </c>
      <c r="B93" s="155" t="str">
        <f t="shared" si="3"/>
        <v/>
      </c>
      <c r="C93" s="157"/>
      <c r="D93" s="150"/>
      <c r="E93" s="78"/>
      <c r="F93" s="133"/>
      <c r="G93" s="38"/>
      <c r="H93" s="39"/>
      <c r="I93" s="40"/>
      <c r="J93" s="41"/>
      <c r="K93" s="42"/>
      <c r="L93" s="43"/>
      <c r="M93" s="79"/>
      <c r="N93" s="80"/>
      <c r="O93" s="81"/>
      <c r="P93" s="82"/>
      <c r="Q93" s="83"/>
      <c r="R93" s="84"/>
      <c r="S93" s="79"/>
      <c r="T93" s="80"/>
      <c r="U93" s="81"/>
      <c r="V93" s="82"/>
      <c r="W93" s="83"/>
      <c r="X93" s="84"/>
      <c r="Y93" s="84"/>
      <c r="Z93" s="84"/>
      <c r="AA93" s="84"/>
      <c r="AB93" s="84"/>
      <c r="AC93" s="84"/>
      <c r="AD93" s="84"/>
      <c r="AE93" s="85"/>
      <c r="AF93" s="86"/>
      <c r="AG93" s="87"/>
      <c r="AH93" s="88"/>
    </row>
    <row r="94" spans="1:34" s="2" customFormat="1" x14ac:dyDescent="0.25">
      <c r="A94" s="155" t="str">
        <f t="shared" si="2"/>
        <v/>
      </c>
      <c r="B94" s="155" t="str">
        <f t="shared" si="3"/>
        <v/>
      </c>
      <c r="C94" s="157"/>
      <c r="D94" s="150"/>
      <c r="E94" s="78"/>
      <c r="F94" s="133"/>
      <c r="G94" s="38"/>
      <c r="H94" s="39"/>
      <c r="I94" s="40"/>
      <c r="J94" s="41"/>
      <c r="K94" s="42"/>
      <c r="L94" s="43"/>
      <c r="M94" s="79"/>
      <c r="N94" s="80"/>
      <c r="O94" s="81"/>
      <c r="P94" s="82"/>
      <c r="Q94" s="83"/>
      <c r="R94" s="84"/>
      <c r="S94" s="79"/>
      <c r="T94" s="80"/>
      <c r="U94" s="81"/>
      <c r="V94" s="82"/>
      <c r="W94" s="83"/>
      <c r="X94" s="84"/>
      <c r="Y94" s="84"/>
      <c r="Z94" s="84"/>
      <c r="AA94" s="84"/>
      <c r="AB94" s="84"/>
      <c r="AC94" s="84"/>
      <c r="AD94" s="84"/>
      <c r="AE94" s="85"/>
      <c r="AF94" s="86"/>
      <c r="AG94" s="87"/>
      <c r="AH94" s="88"/>
    </row>
    <row r="95" spans="1:34" s="2" customFormat="1" x14ac:dyDescent="0.25">
      <c r="A95" s="155" t="str">
        <f t="shared" si="2"/>
        <v/>
      </c>
      <c r="B95" s="155" t="str">
        <f t="shared" si="3"/>
        <v/>
      </c>
      <c r="C95" s="157"/>
      <c r="D95" s="150"/>
      <c r="E95" s="78"/>
      <c r="F95" s="133"/>
      <c r="G95" s="38"/>
      <c r="H95" s="39"/>
      <c r="I95" s="40"/>
      <c r="J95" s="41"/>
      <c r="K95" s="42"/>
      <c r="L95" s="43"/>
      <c r="M95" s="79"/>
      <c r="N95" s="80"/>
      <c r="O95" s="81"/>
      <c r="P95" s="82"/>
      <c r="Q95" s="83"/>
      <c r="R95" s="84"/>
      <c r="S95" s="79"/>
      <c r="T95" s="80"/>
      <c r="U95" s="81"/>
      <c r="V95" s="82"/>
      <c r="W95" s="83"/>
      <c r="X95" s="84"/>
      <c r="Y95" s="84"/>
      <c r="Z95" s="84"/>
      <c r="AA95" s="84"/>
      <c r="AB95" s="84"/>
      <c r="AC95" s="84"/>
      <c r="AD95" s="84"/>
      <c r="AE95" s="85"/>
      <c r="AF95" s="86"/>
      <c r="AG95" s="87"/>
      <c r="AH95" s="88"/>
    </row>
    <row r="96" spans="1:34" s="2" customFormat="1" x14ac:dyDescent="0.25">
      <c r="A96" s="155" t="str">
        <f t="shared" si="2"/>
        <v/>
      </c>
      <c r="B96" s="155" t="str">
        <f t="shared" si="3"/>
        <v/>
      </c>
      <c r="C96" s="157"/>
      <c r="D96" s="150"/>
      <c r="E96" s="78"/>
      <c r="F96" s="133"/>
      <c r="G96" s="38"/>
      <c r="H96" s="39"/>
      <c r="I96" s="40"/>
      <c r="J96" s="41"/>
      <c r="K96" s="42"/>
      <c r="L96" s="43"/>
      <c r="M96" s="79"/>
      <c r="N96" s="80"/>
      <c r="O96" s="81"/>
      <c r="P96" s="82"/>
      <c r="Q96" s="83"/>
      <c r="R96" s="84"/>
      <c r="S96" s="79"/>
      <c r="T96" s="80"/>
      <c r="U96" s="81"/>
      <c r="V96" s="82"/>
      <c r="W96" s="83"/>
      <c r="X96" s="84"/>
      <c r="Y96" s="84"/>
      <c r="Z96" s="84"/>
      <c r="AA96" s="84"/>
      <c r="AB96" s="84"/>
      <c r="AC96" s="84"/>
      <c r="AD96" s="84"/>
      <c r="AE96" s="85"/>
      <c r="AF96" s="86"/>
      <c r="AG96" s="87"/>
      <c r="AH96" s="88"/>
    </row>
    <row r="97" spans="1:34" s="2" customFormat="1" x14ac:dyDescent="0.25">
      <c r="A97" s="155" t="str">
        <f t="shared" si="2"/>
        <v/>
      </c>
      <c r="B97" s="155" t="str">
        <f t="shared" si="3"/>
        <v/>
      </c>
      <c r="C97" s="157"/>
      <c r="D97" s="150"/>
      <c r="E97" s="78"/>
      <c r="F97" s="133"/>
      <c r="G97" s="38"/>
      <c r="H97" s="39"/>
      <c r="I97" s="40"/>
      <c r="J97" s="41"/>
      <c r="K97" s="42"/>
      <c r="L97" s="43"/>
      <c r="M97" s="79"/>
      <c r="N97" s="80"/>
      <c r="O97" s="81"/>
      <c r="P97" s="82"/>
      <c r="Q97" s="83"/>
      <c r="R97" s="84"/>
      <c r="S97" s="79"/>
      <c r="T97" s="80"/>
      <c r="U97" s="81"/>
      <c r="V97" s="82"/>
      <c r="W97" s="83"/>
      <c r="X97" s="84"/>
      <c r="Y97" s="84"/>
      <c r="Z97" s="84"/>
      <c r="AA97" s="84"/>
      <c r="AB97" s="84"/>
      <c r="AC97" s="84"/>
      <c r="AD97" s="84"/>
      <c r="AE97" s="85"/>
      <c r="AF97" s="86"/>
      <c r="AG97" s="87"/>
      <c r="AH97" s="88"/>
    </row>
    <row r="98" spans="1:34" s="2" customFormat="1" x14ac:dyDescent="0.25">
      <c r="A98" s="155" t="str">
        <f t="shared" si="2"/>
        <v/>
      </c>
      <c r="B98" s="155" t="str">
        <f t="shared" si="3"/>
        <v/>
      </c>
      <c r="C98" s="157"/>
      <c r="D98" s="150"/>
      <c r="E98" s="78"/>
      <c r="F98" s="133"/>
      <c r="G98" s="38"/>
      <c r="H98" s="39"/>
      <c r="I98" s="40"/>
      <c r="J98" s="41"/>
      <c r="K98" s="42"/>
      <c r="L98" s="43"/>
      <c r="M98" s="79"/>
      <c r="N98" s="80"/>
      <c r="O98" s="81"/>
      <c r="P98" s="82"/>
      <c r="Q98" s="83"/>
      <c r="R98" s="84"/>
      <c r="S98" s="79"/>
      <c r="T98" s="80"/>
      <c r="U98" s="81"/>
      <c r="V98" s="82"/>
      <c r="W98" s="83"/>
      <c r="X98" s="84"/>
      <c r="Y98" s="84"/>
      <c r="Z98" s="84"/>
      <c r="AA98" s="84"/>
      <c r="AB98" s="84"/>
      <c r="AC98" s="84"/>
      <c r="AD98" s="84"/>
      <c r="AE98" s="85"/>
      <c r="AF98" s="86"/>
      <c r="AG98" s="87"/>
      <c r="AH98" s="88"/>
    </row>
    <row r="99" spans="1:34" s="2" customFormat="1" x14ac:dyDescent="0.25">
      <c r="A99" s="155" t="str">
        <f t="shared" si="2"/>
        <v/>
      </c>
      <c r="B99" s="155" t="str">
        <f t="shared" si="3"/>
        <v/>
      </c>
      <c r="C99" s="157"/>
      <c r="D99" s="150"/>
      <c r="E99" s="78"/>
      <c r="F99" s="133"/>
      <c r="G99" s="38"/>
      <c r="H99" s="39"/>
      <c r="I99" s="40"/>
      <c r="J99" s="41"/>
      <c r="K99" s="42"/>
      <c r="L99" s="43"/>
      <c r="M99" s="79"/>
      <c r="N99" s="80"/>
      <c r="O99" s="81"/>
      <c r="P99" s="82"/>
      <c r="Q99" s="83"/>
      <c r="R99" s="84"/>
      <c r="S99" s="79"/>
      <c r="T99" s="80"/>
      <c r="U99" s="81"/>
      <c r="V99" s="82"/>
      <c r="W99" s="83"/>
      <c r="X99" s="84"/>
      <c r="Y99" s="84"/>
      <c r="Z99" s="84"/>
      <c r="AA99" s="84"/>
      <c r="AB99" s="84"/>
      <c r="AC99" s="84"/>
      <c r="AD99" s="84"/>
      <c r="AE99" s="85"/>
      <c r="AF99" s="86"/>
      <c r="AG99" s="87"/>
      <c r="AH99" s="88"/>
    </row>
    <row r="100" spans="1:34" s="2" customFormat="1" x14ac:dyDescent="0.25">
      <c r="A100" s="155" t="str">
        <f t="shared" si="2"/>
        <v/>
      </c>
      <c r="B100" s="155" t="str">
        <f t="shared" si="3"/>
        <v/>
      </c>
      <c r="C100" s="157"/>
      <c r="D100" s="150"/>
      <c r="E100" s="78"/>
      <c r="F100" s="133"/>
      <c r="G100" s="38"/>
      <c r="H100" s="39"/>
      <c r="I100" s="40"/>
      <c r="J100" s="41"/>
      <c r="K100" s="42"/>
      <c r="L100" s="43"/>
      <c r="M100" s="79"/>
      <c r="N100" s="80"/>
      <c r="O100" s="81"/>
      <c r="P100" s="82"/>
      <c r="Q100" s="83"/>
      <c r="R100" s="84"/>
      <c r="S100" s="79"/>
      <c r="T100" s="80"/>
      <c r="U100" s="81"/>
      <c r="V100" s="82"/>
      <c r="W100" s="83"/>
      <c r="X100" s="84"/>
      <c r="Y100" s="84"/>
      <c r="Z100" s="84"/>
      <c r="AA100" s="84"/>
      <c r="AB100" s="84"/>
      <c r="AC100" s="84"/>
      <c r="AD100" s="84"/>
      <c r="AE100" s="85"/>
      <c r="AF100" s="86"/>
      <c r="AG100" s="87"/>
      <c r="AH100" s="88"/>
    </row>
    <row r="101" spans="1:34" s="2" customFormat="1" x14ac:dyDescent="0.25">
      <c r="A101" s="155" t="str">
        <f t="shared" si="2"/>
        <v/>
      </c>
      <c r="B101" s="155" t="str">
        <f t="shared" si="3"/>
        <v/>
      </c>
      <c r="C101" s="157"/>
      <c r="D101" s="150"/>
      <c r="E101" s="78"/>
      <c r="F101" s="133"/>
      <c r="G101" s="38"/>
      <c r="H101" s="39"/>
      <c r="I101" s="40"/>
      <c r="J101" s="41"/>
      <c r="K101" s="42"/>
      <c r="L101" s="43"/>
      <c r="M101" s="79"/>
      <c r="N101" s="80"/>
      <c r="O101" s="81"/>
      <c r="P101" s="82"/>
      <c r="Q101" s="83"/>
      <c r="R101" s="84"/>
      <c r="S101" s="79"/>
      <c r="T101" s="80"/>
      <c r="U101" s="81"/>
      <c r="V101" s="82"/>
      <c r="W101" s="83"/>
      <c r="X101" s="84"/>
      <c r="Y101" s="84"/>
      <c r="Z101" s="84"/>
      <c r="AA101" s="84"/>
      <c r="AB101" s="84"/>
      <c r="AC101" s="84"/>
      <c r="AD101" s="84"/>
      <c r="AE101" s="85"/>
      <c r="AF101" s="86"/>
      <c r="AG101" s="87"/>
      <c r="AH101" s="88"/>
    </row>
    <row r="102" spans="1:34" s="2" customFormat="1" x14ac:dyDescent="0.25">
      <c r="A102" s="155" t="str">
        <f t="shared" si="2"/>
        <v/>
      </c>
      <c r="B102" s="155" t="str">
        <f t="shared" si="3"/>
        <v/>
      </c>
      <c r="C102" s="157"/>
      <c r="D102" s="150"/>
      <c r="E102" s="78"/>
      <c r="F102" s="133"/>
      <c r="G102" s="38"/>
      <c r="H102" s="39"/>
      <c r="I102" s="40"/>
      <c r="J102" s="41"/>
      <c r="K102" s="42"/>
      <c r="L102" s="43"/>
      <c r="M102" s="79"/>
      <c r="N102" s="80"/>
      <c r="O102" s="81"/>
      <c r="P102" s="82"/>
      <c r="Q102" s="83"/>
      <c r="R102" s="84"/>
      <c r="S102" s="79"/>
      <c r="T102" s="80"/>
      <c r="U102" s="81"/>
      <c r="V102" s="82"/>
      <c r="W102" s="83"/>
      <c r="X102" s="84"/>
      <c r="Y102" s="84"/>
      <c r="Z102" s="84"/>
      <c r="AA102" s="84"/>
      <c r="AB102" s="84"/>
      <c r="AC102" s="84"/>
      <c r="AD102" s="84"/>
      <c r="AE102" s="85"/>
      <c r="AF102" s="86"/>
      <c r="AG102" s="87"/>
      <c r="AH102" s="88"/>
    </row>
    <row r="103" spans="1:34" s="2" customFormat="1" x14ac:dyDescent="0.25">
      <c r="A103" s="155" t="str">
        <f t="shared" si="2"/>
        <v/>
      </c>
      <c r="B103" s="155" t="str">
        <f t="shared" si="3"/>
        <v/>
      </c>
      <c r="C103" s="157"/>
      <c r="D103" s="150"/>
      <c r="E103" s="78"/>
      <c r="F103" s="133"/>
      <c r="G103" s="38"/>
      <c r="H103" s="39"/>
      <c r="I103" s="40"/>
      <c r="J103" s="41"/>
      <c r="K103" s="42"/>
      <c r="L103" s="43"/>
      <c r="M103" s="79"/>
      <c r="N103" s="80"/>
      <c r="O103" s="81"/>
      <c r="P103" s="82"/>
      <c r="Q103" s="83"/>
      <c r="R103" s="84"/>
      <c r="S103" s="79"/>
      <c r="T103" s="80"/>
      <c r="U103" s="81"/>
      <c r="V103" s="82"/>
      <c r="W103" s="83"/>
      <c r="X103" s="84"/>
      <c r="Y103" s="84"/>
      <c r="Z103" s="84"/>
      <c r="AA103" s="84"/>
      <c r="AB103" s="84"/>
      <c r="AC103" s="84"/>
      <c r="AD103" s="84"/>
      <c r="AE103" s="85"/>
      <c r="AF103" s="86"/>
      <c r="AG103" s="87"/>
      <c r="AH103" s="88"/>
    </row>
    <row r="104" spans="1:34" s="2" customFormat="1" x14ac:dyDescent="0.25">
      <c r="A104" s="155" t="str">
        <f t="shared" si="2"/>
        <v/>
      </c>
      <c r="B104" s="155" t="str">
        <f t="shared" si="3"/>
        <v/>
      </c>
      <c r="C104" s="157"/>
      <c r="D104" s="150"/>
      <c r="E104" s="78"/>
      <c r="F104" s="133"/>
      <c r="G104" s="38"/>
      <c r="H104" s="39"/>
      <c r="I104" s="40"/>
      <c r="J104" s="41"/>
      <c r="K104" s="42"/>
      <c r="L104" s="43"/>
      <c r="M104" s="79"/>
      <c r="N104" s="80"/>
      <c r="O104" s="81"/>
      <c r="P104" s="82"/>
      <c r="Q104" s="83"/>
      <c r="R104" s="84"/>
      <c r="S104" s="79"/>
      <c r="T104" s="80"/>
      <c r="U104" s="81"/>
      <c r="V104" s="82"/>
      <c r="W104" s="83"/>
      <c r="X104" s="84"/>
      <c r="Y104" s="84"/>
      <c r="Z104" s="84"/>
      <c r="AA104" s="84"/>
      <c r="AB104" s="84"/>
      <c r="AC104" s="84"/>
      <c r="AD104" s="84"/>
      <c r="AE104" s="85"/>
      <c r="AF104" s="86"/>
      <c r="AG104" s="87"/>
      <c r="AH104" s="88"/>
    </row>
    <row r="105" spans="1:34" s="2" customFormat="1" x14ac:dyDescent="0.25">
      <c r="A105" s="155" t="str">
        <f t="shared" si="2"/>
        <v/>
      </c>
      <c r="B105" s="155" t="str">
        <f t="shared" si="3"/>
        <v/>
      </c>
      <c r="C105" s="157"/>
      <c r="D105" s="150"/>
      <c r="E105" s="78"/>
      <c r="F105" s="133"/>
      <c r="G105" s="38"/>
      <c r="H105" s="39"/>
      <c r="I105" s="40"/>
      <c r="J105" s="41"/>
      <c r="K105" s="42"/>
      <c r="L105" s="43"/>
      <c r="M105" s="79"/>
      <c r="N105" s="80"/>
      <c r="O105" s="81"/>
      <c r="P105" s="82"/>
      <c r="Q105" s="83"/>
      <c r="R105" s="84"/>
      <c r="S105" s="79"/>
      <c r="T105" s="80"/>
      <c r="U105" s="81"/>
      <c r="V105" s="82"/>
      <c r="W105" s="83"/>
      <c r="X105" s="84"/>
      <c r="Y105" s="84"/>
      <c r="Z105" s="84"/>
      <c r="AA105" s="84"/>
      <c r="AB105" s="84"/>
      <c r="AC105" s="84"/>
      <c r="AD105" s="84"/>
      <c r="AE105" s="85"/>
      <c r="AF105" s="86"/>
      <c r="AG105" s="87"/>
      <c r="AH105" s="88"/>
    </row>
    <row r="106" spans="1:34" s="2" customFormat="1" x14ac:dyDescent="0.25">
      <c r="A106" s="155" t="str">
        <f t="shared" si="2"/>
        <v/>
      </c>
      <c r="B106" s="155" t="str">
        <f t="shared" si="3"/>
        <v/>
      </c>
      <c r="C106" s="157"/>
      <c r="D106" s="150"/>
      <c r="E106" s="78"/>
      <c r="F106" s="133"/>
      <c r="G106" s="38"/>
      <c r="H106" s="39"/>
      <c r="I106" s="40"/>
      <c r="J106" s="41"/>
      <c r="K106" s="42"/>
      <c r="L106" s="43"/>
      <c r="M106" s="79"/>
      <c r="N106" s="80"/>
      <c r="O106" s="81"/>
      <c r="P106" s="82"/>
      <c r="Q106" s="83"/>
      <c r="R106" s="84"/>
      <c r="S106" s="79"/>
      <c r="T106" s="80"/>
      <c r="U106" s="81"/>
      <c r="V106" s="82"/>
      <c r="W106" s="83"/>
      <c r="X106" s="84"/>
      <c r="Y106" s="84"/>
      <c r="Z106" s="84"/>
      <c r="AA106" s="84"/>
      <c r="AB106" s="84"/>
      <c r="AC106" s="84"/>
      <c r="AD106" s="84"/>
      <c r="AE106" s="85"/>
      <c r="AF106" s="86"/>
      <c r="AG106" s="87"/>
      <c r="AH106" s="88"/>
    </row>
    <row r="107" spans="1:34" s="2" customFormat="1" x14ac:dyDescent="0.25">
      <c r="A107" s="155" t="str">
        <f t="shared" si="2"/>
        <v/>
      </c>
      <c r="B107" s="155" t="str">
        <f t="shared" si="3"/>
        <v/>
      </c>
      <c r="C107" s="157"/>
      <c r="D107" s="150"/>
      <c r="E107" s="78"/>
      <c r="F107" s="133"/>
      <c r="G107" s="38"/>
      <c r="H107" s="39"/>
      <c r="I107" s="40"/>
      <c r="J107" s="41"/>
      <c r="K107" s="42"/>
      <c r="L107" s="43"/>
      <c r="M107" s="79"/>
      <c r="N107" s="80"/>
      <c r="O107" s="81"/>
      <c r="P107" s="82"/>
      <c r="Q107" s="83"/>
      <c r="R107" s="84"/>
      <c r="S107" s="79"/>
      <c r="T107" s="80"/>
      <c r="U107" s="81"/>
      <c r="V107" s="82"/>
      <c r="W107" s="83"/>
      <c r="X107" s="84"/>
      <c r="Y107" s="84"/>
      <c r="Z107" s="84"/>
      <c r="AA107" s="84"/>
      <c r="AB107" s="84"/>
      <c r="AC107" s="84"/>
      <c r="AD107" s="84"/>
      <c r="AE107" s="85"/>
      <c r="AF107" s="86"/>
      <c r="AG107" s="87"/>
      <c r="AH107" s="88"/>
    </row>
    <row r="108" spans="1:34" s="2" customFormat="1" x14ac:dyDescent="0.25">
      <c r="A108" s="155" t="str">
        <f t="shared" si="2"/>
        <v/>
      </c>
      <c r="B108" s="155" t="str">
        <f t="shared" si="3"/>
        <v/>
      </c>
      <c r="C108" s="157"/>
      <c r="D108" s="150"/>
      <c r="E108" s="78"/>
      <c r="F108" s="133"/>
      <c r="G108" s="38"/>
      <c r="H108" s="39"/>
      <c r="I108" s="40"/>
      <c r="J108" s="41"/>
      <c r="K108" s="42"/>
      <c r="L108" s="43"/>
      <c r="M108" s="79"/>
      <c r="N108" s="80"/>
      <c r="O108" s="81"/>
      <c r="P108" s="82"/>
      <c r="Q108" s="83"/>
      <c r="R108" s="84"/>
      <c r="S108" s="79"/>
      <c r="T108" s="80"/>
      <c r="U108" s="81"/>
      <c r="V108" s="82"/>
      <c r="W108" s="83"/>
      <c r="X108" s="84"/>
      <c r="Y108" s="84"/>
      <c r="Z108" s="84"/>
      <c r="AA108" s="84"/>
      <c r="AB108" s="84"/>
      <c r="AC108" s="84"/>
      <c r="AD108" s="84"/>
      <c r="AE108" s="85"/>
      <c r="AF108" s="86"/>
      <c r="AG108" s="87"/>
      <c r="AH108" s="88"/>
    </row>
    <row r="109" spans="1:34" s="2" customFormat="1" x14ac:dyDescent="0.25">
      <c r="A109" s="155" t="str">
        <f t="shared" si="2"/>
        <v/>
      </c>
      <c r="B109" s="155" t="str">
        <f t="shared" si="3"/>
        <v/>
      </c>
      <c r="C109" s="157"/>
      <c r="D109" s="150"/>
      <c r="E109" s="78"/>
      <c r="F109" s="133"/>
      <c r="G109" s="38"/>
      <c r="H109" s="39"/>
      <c r="I109" s="40"/>
      <c r="J109" s="41"/>
      <c r="K109" s="42"/>
      <c r="L109" s="43"/>
      <c r="M109" s="79"/>
      <c r="N109" s="80"/>
      <c r="O109" s="81"/>
      <c r="P109" s="82"/>
      <c r="Q109" s="83"/>
      <c r="R109" s="84"/>
      <c r="S109" s="79"/>
      <c r="T109" s="80"/>
      <c r="U109" s="81"/>
      <c r="V109" s="82"/>
      <c r="W109" s="83"/>
      <c r="X109" s="84"/>
      <c r="Y109" s="84"/>
      <c r="Z109" s="84"/>
      <c r="AA109" s="84"/>
      <c r="AB109" s="84"/>
      <c r="AC109" s="84"/>
      <c r="AD109" s="84"/>
      <c r="AE109" s="85"/>
      <c r="AF109" s="86"/>
      <c r="AG109" s="87"/>
      <c r="AH109" s="88"/>
    </row>
    <row r="110" spans="1:34" s="2" customFormat="1" x14ac:dyDescent="0.25">
      <c r="A110" s="155" t="str">
        <f t="shared" si="2"/>
        <v/>
      </c>
      <c r="B110" s="155" t="str">
        <f t="shared" si="3"/>
        <v/>
      </c>
      <c r="C110" s="157"/>
      <c r="D110" s="150"/>
      <c r="E110" s="78"/>
      <c r="F110" s="133"/>
      <c r="G110" s="38"/>
      <c r="H110" s="39"/>
      <c r="I110" s="40"/>
      <c r="J110" s="41"/>
      <c r="K110" s="42"/>
      <c r="L110" s="43"/>
      <c r="M110" s="79"/>
      <c r="N110" s="80"/>
      <c r="O110" s="81"/>
      <c r="P110" s="82"/>
      <c r="Q110" s="83"/>
      <c r="R110" s="84"/>
      <c r="S110" s="79"/>
      <c r="T110" s="80"/>
      <c r="U110" s="81"/>
      <c r="V110" s="82"/>
      <c r="W110" s="83"/>
      <c r="X110" s="84"/>
      <c r="Y110" s="84"/>
      <c r="Z110" s="84"/>
      <c r="AA110" s="84"/>
      <c r="AB110" s="84"/>
      <c r="AC110" s="84"/>
      <c r="AD110" s="84"/>
      <c r="AE110" s="85"/>
      <c r="AF110" s="86"/>
      <c r="AG110" s="87"/>
      <c r="AH110" s="88"/>
    </row>
    <row r="111" spans="1:34" s="2" customFormat="1" x14ac:dyDescent="0.25">
      <c r="A111" s="155" t="str">
        <f t="shared" si="2"/>
        <v/>
      </c>
      <c r="B111" s="155" t="str">
        <f t="shared" si="3"/>
        <v/>
      </c>
      <c r="C111" s="157"/>
      <c r="D111" s="150"/>
      <c r="E111" s="78"/>
      <c r="F111" s="133"/>
      <c r="G111" s="38"/>
      <c r="H111" s="39"/>
      <c r="I111" s="40"/>
      <c r="J111" s="41"/>
      <c r="K111" s="42"/>
      <c r="L111" s="43"/>
      <c r="M111" s="79"/>
      <c r="N111" s="80"/>
      <c r="O111" s="81"/>
      <c r="P111" s="82"/>
      <c r="Q111" s="83"/>
      <c r="R111" s="84"/>
      <c r="S111" s="79"/>
      <c r="T111" s="80"/>
      <c r="U111" s="81"/>
      <c r="V111" s="82"/>
      <c r="W111" s="83"/>
      <c r="X111" s="84"/>
      <c r="Y111" s="84"/>
      <c r="Z111" s="84"/>
      <c r="AA111" s="84"/>
      <c r="AB111" s="84"/>
      <c r="AC111" s="84"/>
      <c r="AD111" s="84"/>
      <c r="AE111" s="85"/>
      <c r="AF111" s="86"/>
      <c r="AG111" s="87"/>
      <c r="AH111" s="88"/>
    </row>
    <row r="112" spans="1:34" s="2" customFormat="1" x14ac:dyDescent="0.25">
      <c r="A112" s="155" t="str">
        <f t="shared" si="2"/>
        <v/>
      </c>
      <c r="B112" s="155" t="str">
        <f t="shared" si="3"/>
        <v/>
      </c>
      <c r="C112" s="157"/>
      <c r="D112" s="150"/>
      <c r="E112" s="78"/>
      <c r="F112" s="133"/>
      <c r="G112" s="38"/>
      <c r="H112" s="39"/>
      <c r="I112" s="40"/>
      <c r="J112" s="41"/>
      <c r="K112" s="42"/>
      <c r="L112" s="43"/>
      <c r="M112" s="79"/>
      <c r="N112" s="80"/>
      <c r="O112" s="81"/>
      <c r="P112" s="82"/>
      <c r="Q112" s="83"/>
      <c r="R112" s="84"/>
      <c r="S112" s="79"/>
      <c r="T112" s="80"/>
      <c r="U112" s="81"/>
      <c r="V112" s="82"/>
      <c r="W112" s="83"/>
      <c r="X112" s="84"/>
      <c r="Y112" s="84"/>
      <c r="Z112" s="84"/>
      <c r="AA112" s="84"/>
      <c r="AB112" s="84"/>
      <c r="AC112" s="84"/>
      <c r="AD112" s="84"/>
      <c r="AE112" s="85"/>
      <c r="AF112" s="86"/>
      <c r="AG112" s="87"/>
      <c r="AH112" s="88"/>
    </row>
    <row r="113" spans="1:34" s="2" customFormat="1" x14ac:dyDescent="0.25">
      <c r="A113" s="155" t="str">
        <f t="shared" si="2"/>
        <v/>
      </c>
      <c r="B113" s="155" t="str">
        <f t="shared" si="3"/>
        <v/>
      </c>
      <c r="C113" s="157"/>
      <c r="D113" s="150"/>
      <c r="E113" s="78"/>
      <c r="F113" s="133"/>
      <c r="G113" s="38"/>
      <c r="H113" s="39"/>
      <c r="I113" s="40"/>
      <c r="J113" s="41"/>
      <c r="K113" s="42"/>
      <c r="L113" s="43"/>
      <c r="M113" s="79"/>
      <c r="N113" s="80"/>
      <c r="O113" s="81"/>
      <c r="P113" s="82"/>
      <c r="Q113" s="83"/>
      <c r="R113" s="84"/>
      <c r="S113" s="79"/>
      <c r="T113" s="80"/>
      <c r="U113" s="81"/>
      <c r="V113" s="82"/>
      <c r="W113" s="83"/>
      <c r="X113" s="84"/>
      <c r="Y113" s="84"/>
      <c r="Z113" s="84"/>
      <c r="AA113" s="84"/>
      <c r="AB113" s="84"/>
      <c r="AC113" s="84"/>
      <c r="AD113" s="84"/>
      <c r="AE113" s="85"/>
      <c r="AF113" s="86"/>
      <c r="AG113" s="87"/>
      <c r="AH113" s="88"/>
    </row>
    <row r="114" spans="1:34" s="2" customFormat="1" x14ac:dyDescent="0.25">
      <c r="A114" s="155" t="str">
        <f t="shared" si="2"/>
        <v/>
      </c>
      <c r="B114" s="155" t="str">
        <f t="shared" si="3"/>
        <v/>
      </c>
      <c r="C114" s="157"/>
      <c r="D114" s="150"/>
      <c r="E114" s="78"/>
      <c r="F114" s="133"/>
      <c r="G114" s="38"/>
      <c r="H114" s="39"/>
      <c r="I114" s="40"/>
      <c r="J114" s="41"/>
      <c r="K114" s="42"/>
      <c r="L114" s="43"/>
      <c r="M114" s="79"/>
      <c r="N114" s="80"/>
      <c r="O114" s="81"/>
      <c r="P114" s="82"/>
      <c r="Q114" s="83"/>
      <c r="R114" s="84"/>
      <c r="S114" s="79"/>
      <c r="T114" s="80"/>
      <c r="U114" s="81"/>
      <c r="V114" s="82"/>
      <c r="W114" s="83"/>
      <c r="X114" s="84"/>
      <c r="Y114" s="84"/>
      <c r="Z114" s="84"/>
      <c r="AA114" s="84"/>
      <c r="AB114" s="84"/>
      <c r="AC114" s="84"/>
      <c r="AD114" s="84"/>
      <c r="AE114" s="85"/>
      <c r="AF114" s="86"/>
      <c r="AG114" s="87"/>
      <c r="AH114" s="88"/>
    </row>
    <row r="115" spans="1:34" s="2" customFormat="1" x14ac:dyDescent="0.25">
      <c r="A115" s="155" t="str">
        <f t="shared" si="2"/>
        <v/>
      </c>
      <c r="B115" s="155" t="str">
        <f t="shared" si="3"/>
        <v/>
      </c>
      <c r="C115" s="157"/>
      <c r="D115" s="150"/>
      <c r="E115" s="78"/>
      <c r="F115" s="133"/>
      <c r="G115" s="38"/>
      <c r="H115" s="39"/>
      <c r="I115" s="40"/>
      <c r="J115" s="41"/>
      <c r="K115" s="42"/>
      <c r="L115" s="43"/>
      <c r="M115" s="79"/>
      <c r="N115" s="80"/>
      <c r="O115" s="81"/>
      <c r="P115" s="82"/>
      <c r="Q115" s="83"/>
      <c r="R115" s="84"/>
      <c r="S115" s="79"/>
      <c r="T115" s="80"/>
      <c r="U115" s="81"/>
      <c r="V115" s="82"/>
      <c r="W115" s="83"/>
      <c r="X115" s="84"/>
      <c r="Y115" s="84"/>
      <c r="Z115" s="84"/>
      <c r="AA115" s="84"/>
      <c r="AB115" s="84"/>
      <c r="AC115" s="84"/>
      <c r="AD115" s="84"/>
      <c r="AE115" s="85"/>
      <c r="AF115" s="86"/>
      <c r="AG115" s="87"/>
      <c r="AH115" s="88"/>
    </row>
    <row r="116" spans="1:34" s="2" customFormat="1" x14ac:dyDescent="0.25">
      <c r="A116" s="155" t="str">
        <f t="shared" si="2"/>
        <v/>
      </c>
      <c r="B116" s="155" t="str">
        <f t="shared" si="3"/>
        <v/>
      </c>
      <c r="C116" s="157"/>
      <c r="D116" s="150"/>
      <c r="E116" s="78"/>
      <c r="F116" s="133"/>
      <c r="G116" s="38"/>
      <c r="H116" s="39"/>
      <c r="I116" s="40"/>
      <c r="J116" s="41"/>
      <c r="K116" s="42"/>
      <c r="L116" s="43"/>
      <c r="M116" s="79"/>
      <c r="N116" s="80"/>
      <c r="O116" s="81"/>
      <c r="P116" s="82"/>
      <c r="Q116" s="83"/>
      <c r="R116" s="84"/>
      <c r="S116" s="79"/>
      <c r="T116" s="80"/>
      <c r="U116" s="81"/>
      <c r="V116" s="82"/>
      <c r="W116" s="83"/>
      <c r="X116" s="84"/>
      <c r="Y116" s="84"/>
      <c r="Z116" s="84"/>
      <c r="AA116" s="84"/>
      <c r="AB116" s="84"/>
      <c r="AC116" s="84"/>
      <c r="AD116" s="84"/>
      <c r="AE116" s="85"/>
      <c r="AF116" s="86"/>
      <c r="AG116" s="87"/>
      <c r="AH116" s="88"/>
    </row>
    <row r="117" spans="1:34" s="2" customFormat="1" x14ac:dyDescent="0.25">
      <c r="A117" s="155" t="str">
        <f t="shared" si="2"/>
        <v/>
      </c>
      <c r="B117" s="155" t="str">
        <f t="shared" si="3"/>
        <v/>
      </c>
      <c r="C117" s="157"/>
      <c r="D117" s="150"/>
      <c r="E117" s="78"/>
      <c r="F117" s="133"/>
      <c r="G117" s="38"/>
      <c r="H117" s="39"/>
      <c r="I117" s="40"/>
      <c r="J117" s="41"/>
      <c r="K117" s="42"/>
      <c r="L117" s="43"/>
      <c r="M117" s="79"/>
      <c r="N117" s="80"/>
      <c r="O117" s="81"/>
      <c r="P117" s="82"/>
      <c r="Q117" s="83"/>
      <c r="R117" s="84"/>
      <c r="S117" s="79"/>
      <c r="T117" s="80"/>
      <c r="U117" s="81"/>
      <c r="V117" s="82"/>
      <c r="W117" s="83"/>
      <c r="X117" s="84"/>
      <c r="Y117" s="84"/>
      <c r="Z117" s="84"/>
      <c r="AA117" s="84"/>
      <c r="AB117" s="84"/>
      <c r="AC117" s="84"/>
      <c r="AD117" s="84"/>
      <c r="AE117" s="85"/>
      <c r="AF117" s="86"/>
      <c r="AG117" s="87"/>
      <c r="AH117" s="88"/>
    </row>
    <row r="118" spans="1:34" s="2" customFormat="1" x14ac:dyDescent="0.25">
      <c r="A118" s="155" t="str">
        <f t="shared" si="2"/>
        <v/>
      </c>
      <c r="B118" s="155" t="str">
        <f t="shared" si="3"/>
        <v/>
      </c>
      <c r="C118" s="157"/>
      <c r="D118" s="150"/>
      <c r="E118" s="78"/>
      <c r="F118" s="133"/>
      <c r="G118" s="38"/>
      <c r="H118" s="39"/>
      <c r="I118" s="40"/>
      <c r="J118" s="41"/>
      <c r="K118" s="42"/>
      <c r="L118" s="43"/>
      <c r="M118" s="79"/>
      <c r="N118" s="80"/>
      <c r="O118" s="81"/>
      <c r="P118" s="82"/>
      <c r="Q118" s="83"/>
      <c r="R118" s="84"/>
      <c r="S118" s="79"/>
      <c r="T118" s="80"/>
      <c r="U118" s="81"/>
      <c r="V118" s="82"/>
      <c r="W118" s="83"/>
      <c r="X118" s="84"/>
      <c r="Y118" s="84"/>
      <c r="Z118" s="84"/>
      <c r="AA118" s="84"/>
      <c r="AB118" s="84"/>
      <c r="AC118" s="84"/>
      <c r="AD118" s="84"/>
      <c r="AE118" s="85"/>
      <c r="AF118" s="86"/>
      <c r="AG118" s="87"/>
      <c r="AH118" s="88"/>
    </row>
    <row r="119" spans="1:34" s="2" customFormat="1" x14ac:dyDescent="0.25">
      <c r="A119" s="155" t="str">
        <f t="shared" si="2"/>
        <v/>
      </c>
      <c r="B119" s="155" t="str">
        <f t="shared" si="3"/>
        <v/>
      </c>
      <c r="C119" s="157"/>
      <c r="D119" s="150"/>
      <c r="E119" s="78"/>
      <c r="F119" s="133"/>
      <c r="G119" s="38"/>
      <c r="H119" s="39"/>
      <c r="I119" s="40"/>
      <c r="J119" s="41"/>
      <c r="K119" s="42"/>
      <c r="L119" s="43"/>
      <c r="M119" s="79"/>
      <c r="N119" s="80"/>
      <c r="O119" s="81"/>
      <c r="P119" s="82"/>
      <c r="Q119" s="83"/>
      <c r="R119" s="84"/>
      <c r="S119" s="79"/>
      <c r="T119" s="80"/>
      <c r="U119" s="81"/>
      <c r="V119" s="82"/>
      <c r="W119" s="83"/>
      <c r="X119" s="84"/>
      <c r="Y119" s="84"/>
      <c r="Z119" s="84"/>
      <c r="AA119" s="84"/>
      <c r="AB119" s="84"/>
      <c r="AC119" s="84"/>
      <c r="AD119" s="84"/>
      <c r="AE119" s="85"/>
      <c r="AF119" s="86"/>
      <c r="AG119" s="87"/>
      <c r="AH119" s="88"/>
    </row>
    <row r="120" spans="1:34" s="2" customFormat="1" x14ac:dyDescent="0.25">
      <c r="A120" s="155" t="str">
        <f t="shared" si="2"/>
        <v/>
      </c>
      <c r="B120" s="155" t="str">
        <f t="shared" si="3"/>
        <v/>
      </c>
      <c r="C120" s="157"/>
      <c r="D120" s="150"/>
      <c r="E120" s="78"/>
      <c r="F120" s="133"/>
      <c r="G120" s="38"/>
      <c r="H120" s="39"/>
      <c r="I120" s="40"/>
      <c r="J120" s="41"/>
      <c r="K120" s="42"/>
      <c r="L120" s="43"/>
      <c r="M120" s="79"/>
      <c r="N120" s="80"/>
      <c r="O120" s="81"/>
      <c r="P120" s="82"/>
      <c r="Q120" s="83"/>
      <c r="R120" s="84"/>
      <c r="S120" s="79"/>
      <c r="T120" s="80"/>
      <c r="U120" s="81"/>
      <c r="V120" s="82"/>
      <c r="W120" s="83"/>
      <c r="X120" s="84"/>
      <c r="Y120" s="84"/>
      <c r="Z120" s="84"/>
      <c r="AA120" s="84"/>
      <c r="AB120" s="84"/>
      <c r="AC120" s="84"/>
      <c r="AD120" s="84"/>
      <c r="AE120" s="85"/>
      <c r="AF120" s="86"/>
      <c r="AG120" s="87"/>
      <c r="AH120" s="88"/>
    </row>
    <row r="121" spans="1:34" s="2" customFormat="1" x14ac:dyDescent="0.25">
      <c r="A121" s="155" t="str">
        <f t="shared" si="2"/>
        <v/>
      </c>
      <c r="B121" s="155" t="str">
        <f t="shared" si="3"/>
        <v/>
      </c>
      <c r="C121" s="157"/>
      <c r="D121" s="150"/>
      <c r="E121" s="78"/>
      <c r="F121" s="133"/>
      <c r="G121" s="38"/>
      <c r="H121" s="39"/>
      <c r="I121" s="40"/>
      <c r="J121" s="41"/>
      <c r="K121" s="42"/>
      <c r="L121" s="43"/>
      <c r="M121" s="79"/>
      <c r="N121" s="80"/>
      <c r="O121" s="81"/>
      <c r="P121" s="82"/>
      <c r="Q121" s="83"/>
      <c r="R121" s="84"/>
      <c r="S121" s="79"/>
      <c r="T121" s="80"/>
      <c r="U121" s="81"/>
      <c r="V121" s="82"/>
      <c r="W121" s="83"/>
      <c r="X121" s="84"/>
      <c r="Y121" s="84"/>
      <c r="Z121" s="84"/>
      <c r="AA121" s="84"/>
      <c r="AB121" s="84"/>
      <c r="AC121" s="84"/>
      <c r="AD121" s="84"/>
      <c r="AE121" s="85"/>
      <c r="AF121" s="86"/>
      <c r="AG121" s="87"/>
      <c r="AH121" s="88"/>
    </row>
    <row r="122" spans="1:34" s="2" customFormat="1" x14ac:dyDescent="0.25">
      <c r="A122" s="155" t="str">
        <f t="shared" si="2"/>
        <v/>
      </c>
      <c r="B122" s="155" t="str">
        <f t="shared" si="3"/>
        <v/>
      </c>
      <c r="C122" s="157"/>
      <c r="D122" s="150"/>
      <c r="E122" s="78"/>
      <c r="F122" s="133"/>
      <c r="G122" s="38"/>
      <c r="H122" s="39"/>
      <c r="I122" s="40"/>
      <c r="J122" s="41"/>
      <c r="K122" s="42"/>
      <c r="L122" s="43"/>
      <c r="M122" s="79"/>
      <c r="N122" s="80"/>
      <c r="O122" s="81"/>
      <c r="P122" s="82"/>
      <c r="Q122" s="83"/>
      <c r="R122" s="84"/>
      <c r="S122" s="79"/>
      <c r="T122" s="80"/>
      <c r="U122" s="81"/>
      <c r="V122" s="82"/>
      <c r="W122" s="83"/>
      <c r="X122" s="84"/>
      <c r="Y122" s="84"/>
      <c r="Z122" s="84"/>
      <c r="AA122" s="84"/>
      <c r="AB122" s="84"/>
      <c r="AC122" s="84"/>
      <c r="AD122" s="84"/>
      <c r="AE122" s="85"/>
      <c r="AF122" s="86"/>
      <c r="AG122" s="87"/>
      <c r="AH122" s="88"/>
    </row>
    <row r="123" spans="1:34" s="2" customFormat="1" x14ac:dyDescent="0.25">
      <c r="A123" s="155" t="str">
        <f t="shared" si="2"/>
        <v/>
      </c>
      <c r="B123" s="155" t="str">
        <f t="shared" si="3"/>
        <v/>
      </c>
      <c r="C123" s="157"/>
      <c r="D123" s="150"/>
      <c r="E123" s="78"/>
      <c r="F123" s="133"/>
      <c r="G123" s="38"/>
      <c r="H123" s="39"/>
      <c r="I123" s="40"/>
      <c r="J123" s="41"/>
      <c r="K123" s="42"/>
      <c r="L123" s="43"/>
      <c r="M123" s="79"/>
      <c r="N123" s="80"/>
      <c r="O123" s="81"/>
      <c r="P123" s="82"/>
      <c r="Q123" s="83"/>
      <c r="R123" s="84"/>
      <c r="S123" s="79"/>
      <c r="T123" s="80"/>
      <c r="U123" s="81"/>
      <c r="V123" s="82"/>
      <c r="W123" s="83"/>
      <c r="X123" s="84"/>
      <c r="Y123" s="84"/>
      <c r="Z123" s="84"/>
      <c r="AA123" s="84"/>
      <c r="AB123" s="84"/>
      <c r="AC123" s="84"/>
      <c r="AD123" s="84"/>
      <c r="AE123" s="85"/>
      <c r="AF123" s="86"/>
      <c r="AG123" s="87"/>
      <c r="AH123" s="88"/>
    </row>
    <row r="124" spans="1:34" s="2" customFormat="1" x14ac:dyDescent="0.25">
      <c r="A124" s="155" t="str">
        <f t="shared" si="2"/>
        <v/>
      </c>
      <c r="B124" s="155" t="str">
        <f t="shared" si="3"/>
        <v/>
      </c>
      <c r="C124" s="157"/>
      <c r="D124" s="150"/>
      <c r="E124" s="78"/>
      <c r="F124" s="133"/>
      <c r="G124" s="38"/>
      <c r="H124" s="39"/>
      <c r="I124" s="40"/>
      <c r="J124" s="41"/>
      <c r="K124" s="42"/>
      <c r="L124" s="43"/>
      <c r="M124" s="79"/>
      <c r="N124" s="80"/>
      <c r="O124" s="81"/>
      <c r="P124" s="82"/>
      <c r="Q124" s="83"/>
      <c r="R124" s="84"/>
      <c r="S124" s="79"/>
      <c r="T124" s="80"/>
      <c r="U124" s="81"/>
      <c r="V124" s="82"/>
      <c r="W124" s="83"/>
      <c r="X124" s="84"/>
      <c r="Y124" s="84"/>
      <c r="Z124" s="84"/>
      <c r="AA124" s="84"/>
      <c r="AB124" s="84"/>
      <c r="AC124" s="84"/>
      <c r="AD124" s="84"/>
      <c r="AE124" s="85"/>
      <c r="AF124" s="86"/>
      <c r="AG124" s="87"/>
      <c r="AH124" s="88"/>
    </row>
    <row r="125" spans="1:34" s="2" customFormat="1" x14ac:dyDescent="0.25">
      <c r="A125" s="155" t="str">
        <f t="shared" si="2"/>
        <v/>
      </c>
      <c r="B125" s="155" t="str">
        <f t="shared" si="3"/>
        <v/>
      </c>
      <c r="C125" s="157"/>
      <c r="D125" s="150"/>
      <c r="E125" s="78"/>
      <c r="F125" s="133"/>
      <c r="G125" s="38"/>
      <c r="H125" s="39"/>
      <c r="I125" s="40"/>
      <c r="J125" s="41"/>
      <c r="K125" s="42"/>
      <c r="L125" s="43"/>
      <c r="M125" s="79"/>
      <c r="N125" s="80"/>
      <c r="O125" s="81"/>
      <c r="P125" s="82"/>
      <c r="Q125" s="83"/>
      <c r="R125" s="84"/>
      <c r="S125" s="79"/>
      <c r="T125" s="80"/>
      <c r="U125" s="81"/>
      <c r="V125" s="82"/>
      <c r="W125" s="83"/>
      <c r="X125" s="84"/>
      <c r="Y125" s="84"/>
      <c r="Z125" s="84"/>
      <c r="AA125" s="84"/>
      <c r="AB125" s="84"/>
      <c r="AC125" s="84"/>
      <c r="AD125" s="84"/>
      <c r="AE125" s="85"/>
      <c r="AF125" s="86"/>
      <c r="AG125" s="87"/>
      <c r="AH125" s="88"/>
    </row>
    <row r="126" spans="1:34" s="2" customFormat="1" x14ac:dyDescent="0.25">
      <c r="A126" s="155" t="str">
        <f t="shared" si="2"/>
        <v/>
      </c>
      <c r="B126" s="155" t="str">
        <f t="shared" si="3"/>
        <v/>
      </c>
      <c r="C126" s="157"/>
      <c r="D126" s="150"/>
      <c r="E126" s="78"/>
      <c r="F126" s="133"/>
      <c r="G126" s="38"/>
      <c r="H126" s="39"/>
      <c r="I126" s="40"/>
      <c r="J126" s="41"/>
      <c r="K126" s="42"/>
      <c r="L126" s="43"/>
      <c r="M126" s="79"/>
      <c r="N126" s="80"/>
      <c r="O126" s="81"/>
      <c r="P126" s="82"/>
      <c r="Q126" s="83"/>
      <c r="R126" s="84"/>
      <c r="S126" s="79"/>
      <c r="T126" s="80"/>
      <c r="U126" s="81"/>
      <c r="V126" s="82"/>
      <c r="W126" s="83"/>
      <c r="X126" s="84"/>
      <c r="Y126" s="84"/>
      <c r="Z126" s="84"/>
      <c r="AA126" s="84"/>
      <c r="AB126" s="84"/>
      <c r="AC126" s="84"/>
      <c r="AD126" s="84"/>
      <c r="AE126" s="85"/>
      <c r="AF126" s="86"/>
      <c r="AG126" s="87"/>
      <c r="AH126" s="88"/>
    </row>
    <row r="127" spans="1:34" s="2" customFormat="1" x14ac:dyDescent="0.25">
      <c r="A127" s="155" t="str">
        <f t="shared" si="2"/>
        <v/>
      </c>
      <c r="B127" s="155" t="str">
        <f t="shared" si="3"/>
        <v/>
      </c>
      <c r="C127" s="157"/>
      <c r="D127" s="150"/>
      <c r="E127" s="78"/>
      <c r="F127" s="133"/>
      <c r="G127" s="38"/>
      <c r="H127" s="39"/>
      <c r="I127" s="40"/>
      <c r="J127" s="41"/>
      <c r="K127" s="42"/>
      <c r="L127" s="43"/>
      <c r="M127" s="79"/>
      <c r="N127" s="80"/>
      <c r="O127" s="81"/>
      <c r="P127" s="82"/>
      <c r="Q127" s="83"/>
      <c r="R127" s="84"/>
      <c r="S127" s="79"/>
      <c r="T127" s="80"/>
      <c r="U127" s="81"/>
      <c r="V127" s="82"/>
      <c r="W127" s="83"/>
      <c r="X127" s="84"/>
      <c r="Y127" s="84"/>
      <c r="Z127" s="84"/>
      <c r="AA127" s="84"/>
      <c r="AB127" s="84"/>
      <c r="AC127" s="84"/>
      <c r="AD127" s="84"/>
      <c r="AE127" s="85"/>
      <c r="AF127" s="86"/>
      <c r="AG127" s="87"/>
      <c r="AH127" s="88"/>
    </row>
    <row r="128" spans="1:34" s="2" customFormat="1" x14ac:dyDescent="0.25">
      <c r="A128" s="155" t="str">
        <f t="shared" si="2"/>
        <v/>
      </c>
      <c r="B128" s="155" t="str">
        <f t="shared" si="3"/>
        <v/>
      </c>
      <c r="C128" s="157"/>
      <c r="D128" s="150"/>
      <c r="E128" s="78"/>
      <c r="F128" s="133"/>
      <c r="G128" s="38"/>
      <c r="H128" s="39"/>
      <c r="I128" s="40"/>
      <c r="J128" s="41"/>
      <c r="K128" s="42"/>
      <c r="L128" s="43"/>
      <c r="M128" s="79"/>
      <c r="N128" s="80"/>
      <c r="O128" s="81"/>
      <c r="P128" s="82"/>
      <c r="Q128" s="83"/>
      <c r="R128" s="84"/>
      <c r="S128" s="79"/>
      <c r="T128" s="80"/>
      <c r="U128" s="81"/>
      <c r="V128" s="82"/>
      <c r="W128" s="83"/>
      <c r="X128" s="84"/>
      <c r="Y128" s="84"/>
      <c r="Z128" s="84"/>
      <c r="AA128" s="84"/>
      <c r="AB128" s="84"/>
      <c r="AC128" s="84"/>
      <c r="AD128" s="84"/>
      <c r="AE128" s="85"/>
      <c r="AF128" s="86"/>
      <c r="AG128" s="87"/>
      <c r="AH128" s="88"/>
    </row>
    <row r="129" spans="1:34" s="2" customFormat="1" x14ac:dyDescent="0.25">
      <c r="A129" s="155" t="str">
        <f t="shared" si="2"/>
        <v/>
      </c>
      <c r="B129" s="155" t="str">
        <f t="shared" si="3"/>
        <v/>
      </c>
      <c r="C129" s="157"/>
      <c r="D129" s="150"/>
      <c r="E129" s="78"/>
      <c r="F129" s="133"/>
      <c r="G129" s="38"/>
      <c r="H129" s="39"/>
      <c r="I129" s="40"/>
      <c r="J129" s="41"/>
      <c r="K129" s="42"/>
      <c r="L129" s="43"/>
      <c r="M129" s="79"/>
      <c r="N129" s="80"/>
      <c r="O129" s="81"/>
      <c r="P129" s="82"/>
      <c r="Q129" s="83"/>
      <c r="R129" s="84"/>
      <c r="S129" s="79"/>
      <c r="T129" s="80"/>
      <c r="U129" s="81"/>
      <c r="V129" s="82"/>
      <c r="W129" s="83"/>
      <c r="X129" s="84"/>
      <c r="Y129" s="84"/>
      <c r="Z129" s="84"/>
      <c r="AA129" s="84"/>
      <c r="AB129" s="84"/>
      <c r="AC129" s="84"/>
      <c r="AD129" s="84"/>
      <c r="AE129" s="85"/>
      <c r="AF129" s="86"/>
      <c r="AG129" s="87"/>
      <c r="AH129" s="88"/>
    </row>
    <row r="130" spans="1:34" s="2" customFormat="1" x14ac:dyDescent="0.25">
      <c r="A130" s="155" t="str">
        <f t="shared" si="2"/>
        <v/>
      </c>
      <c r="B130" s="155" t="str">
        <f t="shared" si="3"/>
        <v/>
      </c>
      <c r="C130" s="157"/>
      <c r="D130" s="150"/>
      <c r="E130" s="78"/>
      <c r="F130" s="133"/>
      <c r="G130" s="38"/>
      <c r="H130" s="39"/>
      <c r="I130" s="40"/>
      <c r="J130" s="41"/>
      <c r="K130" s="42"/>
      <c r="L130" s="43"/>
      <c r="M130" s="79"/>
      <c r="N130" s="80"/>
      <c r="O130" s="81"/>
      <c r="P130" s="82"/>
      <c r="Q130" s="83"/>
      <c r="R130" s="84"/>
      <c r="S130" s="79"/>
      <c r="T130" s="80"/>
      <c r="U130" s="81"/>
      <c r="V130" s="82"/>
      <c r="W130" s="83"/>
      <c r="X130" s="84"/>
      <c r="Y130" s="84"/>
      <c r="Z130" s="84"/>
      <c r="AA130" s="84"/>
      <c r="AB130" s="84"/>
      <c r="AC130" s="84"/>
      <c r="AD130" s="84"/>
      <c r="AE130" s="85"/>
      <c r="AF130" s="86"/>
      <c r="AG130" s="87"/>
      <c r="AH130" s="88"/>
    </row>
    <row r="131" spans="1:34" s="2" customFormat="1" x14ac:dyDescent="0.25">
      <c r="A131" s="155" t="str">
        <f t="shared" si="2"/>
        <v/>
      </c>
      <c r="B131" s="155" t="str">
        <f t="shared" si="3"/>
        <v/>
      </c>
      <c r="C131" s="157"/>
      <c r="D131" s="150"/>
      <c r="E131" s="78"/>
      <c r="F131" s="133"/>
      <c r="G131" s="38"/>
      <c r="H131" s="39"/>
      <c r="I131" s="40"/>
      <c r="J131" s="41"/>
      <c r="K131" s="42"/>
      <c r="L131" s="43"/>
      <c r="M131" s="79"/>
      <c r="N131" s="80"/>
      <c r="O131" s="81"/>
      <c r="P131" s="82"/>
      <c r="Q131" s="83"/>
      <c r="R131" s="84"/>
      <c r="S131" s="79"/>
      <c r="T131" s="80"/>
      <c r="U131" s="81"/>
      <c r="V131" s="82"/>
      <c r="W131" s="83"/>
      <c r="X131" s="84"/>
      <c r="Y131" s="84"/>
      <c r="Z131" s="84"/>
      <c r="AA131" s="84"/>
      <c r="AB131" s="84"/>
      <c r="AC131" s="84"/>
      <c r="AD131" s="84"/>
      <c r="AE131" s="85"/>
      <c r="AF131" s="86"/>
      <c r="AG131" s="87"/>
      <c r="AH131" s="88"/>
    </row>
    <row r="132" spans="1:34" s="2" customFormat="1" x14ac:dyDescent="0.25">
      <c r="A132" s="155" t="str">
        <f t="shared" si="2"/>
        <v/>
      </c>
      <c r="B132" s="155" t="str">
        <f t="shared" si="3"/>
        <v/>
      </c>
      <c r="C132" s="157"/>
      <c r="D132" s="150"/>
      <c r="E132" s="78"/>
      <c r="F132" s="133"/>
      <c r="G132" s="38"/>
      <c r="H132" s="39"/>
      <c r="I132" s="40"/>
      <c r="J132" s="41"/>
      <c r="K132" s="42"/>
      <c r="L132" s="43"/>
      <c r="M132" s="79"/>
      <c r="N132" s="80"/>
      <c r="O132" s="81"/>
      <c r="P132" s="82"/>
      <c r="Q132" s="83"/>
      <c r="R132" s="84"/>
      <c r="S132" s="79"/>
      <c r="T132" s="80"/>
      <c r="U132" s="81"/>
      <c r="V132" s="82"/>
      <c r="W132" s="83"/>
      <c r="X132" s="84"/>
      <c r="Y132" s="84"/>
      <c r="Z132" s="84"/>
      <c r="AA132" s="84"/>
      <c r="AB132" s="84"/>
      <c r="AC132" s="84"/>
      <c r="AD132" s="84"/>
      <c r="AE132" s="85"/>
      <c r="AF132" s="86"/>
      <c r="AG132" s="87"/>
      <c r="AH132" s="88"/>
    </row>
    <row r="133" spans="1:34" s="2" customFormat="1" x14ac:dyDescent="0.25">
      <c r="A133" s="155" t="str">
        <f t="shared" si="2"/>
        <v/>
      </c>
      <c r="B133" s="155" t="str">
        <f t="shared" si="3"/>
        <v/>
      </c>
      <c r="C133" s="157"/>
      <c r="D133" s="150"/>
      <c r="E133" s="78"/>
      <c r="F133" s="133"/>
      <c r="G133" s="38"/>
      <c r="H133" s="39"/>
      <c r="I133" s="40"/>
      <c r="J133" s="41"/>
      <c r="K133" s="42"/>
      <c r="L133" s="43"/>
      <c r="M133" s="79"/>
      <c r="N133" s="80"/>
      <c r="O133" s="81"/>
      <c r="P133" s="82"/>
      <c r="Q133" s="83"/>
      <c r="R133" s="84"/>
      <c r="S133" s="79"/>
      <c r="T133" s="80"/>
      <c r="U133" s="81"/>
      <c r="V133" s="82"/>
      <c r="W133" s="83"/>
      <c r="X133" s="84"/>
      <c r="Y133" s="84"/>
      <c r="Z133" s="84"/>
      <c r="AA133" s="84"/>
      <c r="AB133" s="84"/>
      <c r="AC133" s="84"/>
      <c r="AD133" s="84"/>
      <c r="AE133" s="85"/>
      <c r="AF133" s="86"/>
      <c r="AG133" s="87"/>
      <c r="AH133" s="88"/>
    </row>
    <row r="134" spans="1:34" s="2" customFormat="1" x14ac:dyDescent="0.25">
      <c r="A134" s="155" t="str">
        <f t="shared" ref="A134:A197" si="4">IF(COUNTIF(S134:X134,"&gt;0")=0,"",COUNTIF(S134:X134,"&gt;0"))</f>
        <v/>
      </c>
      <c r="B134" s="155" t="str">
        <f t="shared" ref="B134:B197" si="5">IF(A134="","",COUNTA(G134:L134)-A134)</f>
        <v/>
      </c>
      <c r="C134" s="157"/>
      <c r="D134" s="150"/>
      <c r="E134" s="78"/>
      <c r="F134" s="133"/>
      <c r="G134" s="38"/>
      <c r="H134" s="39"/>
      <c r="I134" s="40"/>
      <c r="J134" s="41"/>
      <c r="K134" s="42"/>
      <c r="L134" s="43"/>
      <c r="M134" s="79"/>
      <c r="N134" s="80"/>
      <c r="O134" s="81"/>
      <c r="P134" s="82"/>
      <c r="Q134" s="83"/>
      <c r="R134" s="84"/>
      <c r="S134" s="79"/>
      <c r="T134" s="80"/>
      <c r="U134" s="81"/>
      <c r="V134" s="82"/>
      <c r="W134" s="83"/>
      <c r="X134" s="84"/>
      <c r="Y134" s="84"/>
      <c r="Z134" s="84"/>
      <c r="AA134" s="84"/>
      <c r="AB134" s="84"/>
      <c r="AC134" s="84"/>
      <c r="AD134" s="84"/>
      <c r="AE134" s="85"/>
      <c r="AF134" s="86"/>
      <c r="AG134" s="87"/>
      <c r="AH134" s="88"/>
    </row>
    <row r="135" spans="1:34" s="2" customFormat="1" x14ac:dyDescent="0.25">
      <c r="A135" s="155" t="str">
        <f t="shared" si="4"/>
        <v/>
      </c>
      <c r="B135" s="155" t="str">
        <f t="shared" si="5"/>
        <v/>
      </c>
      <c r="C135" s="157"/>
      <c r="D135" s="150"/>
      <c r="E135" s="78"/>
      <c r="F135" s="133"/>
      <c r="G135" s="38"/>
      <c r="H135" s="39"/>
      <c r="I135" s="40"/>
      <c r="J135" s="41"/>
      <c r="K135" s="42"/>
      <c r="L135" s="43"/>
      <c r="M135" s="79"/>
      <c r="N135" s="80"/>
      <c r="O135" s="81"/>
      <c r="P135" s="82"/>
      <c r="Q135" s="83"/>
      <c r="R135" s="84"/>
      <c r="S135" s="79"/>
      <c r="T135" s="80"/>
      <c r="U135" s="81"/>
      <c r="V135" s="82"/>
      <c r="W135" s="83"/>
      <c r="X135" s="84"/>
      <c r="Y135" s="84"/>
      <c r="Z135" s="84"/>
      <c r="AA135" s="84"/>
      <c r="AB135" s="84"/>
      <c r="AC135" s="84"/>
      <c r="AD135" s="84"/>
      <c r="AE135" s="85"/>
      <c r="AF135" s="86"/>
      <c r="AG135" s="87"/>
      <c r="AH135" s="88"/>
    </row>
    <row r="136" spans="1:34" s="2" customFormat="1" x14ac:dyDescent="0.25">
      <c r="A136" s="155" t="str">
        <f t="shared" si="4"/>
        <v/>
      </c>
      <c r="B136" s="155" t="str">
        <f t="shared" si="5"/>
        <v/>
      </c>
      <c r="C136" s="157"/>
      <c r="D136" s="150"/>
      <c r="E136" s="78"/>
      <c r="F136" s="133"/>
      <c r="G136" s="38"/>
      <c r="H136" s="39"/>
      <c r="I136" s="40"/>
      <c r="J136" s="41"/>
      <c r="K136" s="42"/>
      <c r="L136" s="43"/>
      <c r="M136" s="79"/>
      <c r="N136" s="80"/>
      <c r="O136" s="81"/>
      <c r="P136" s="82"/>
      <c r="Q136" s="83"/>
      <c r="R136" s="84"/>
      <c r="S136" s="79"/>
      <c r="T136" s="80"/>
      <c r="U136" s="81"/>
      <c r="V136" s="82"/>
      <c r="W136" s="83"/>
      <c r="X136" s="84"/>
      <c r="Y136" s="84"/>
      <c r="Z136" s="84"/>
      <c r="AA136" s="84"/>
      <c r="AB136" s="84"/>
      <c r="AC136" s="84"/>
      <c r="AD136" s="84"/>
      <c r="AE136" s="85"/>
      <c r="AF136" s="86"/>
      <c r="AG136" s="87"/>
      <c r="AH136" s="88"/>
    </row>
    <row r="137" spans="1:34" s="2" customFormat="1" x14ac:dyDescent="0.25">
      <c r="A137" s="155" t="str">
        <f t="shared" si="4"/>
        <v/>
      </c>
      <c r="B137" s="155" t="str">
        <f t="shared" si="5"/>
        <v/>
      </c>
      <c r="C137" s="157"/>
      <c r="D137" s="150"/>
      <c r="E137" s="78"/>
      <c r="F137" s="133"/>
      <c r="G137" s="38"/>
      <c r="H137" s="39"/>
      <c r="I137" s="40"/>
      <c r="J137" s="41"/>
      <c r="K137" s="42"/>
      <c r="L137" s="43"/>
      <c r="M137" s="79"/>
      <c r="N137" s="80"/>
      <c r="O137" s="81"/>
      <c r="P137" s="82"/>
      <c r="Q137" s="83"/>
      <c r="R137" s="84"/>
      <c r="S137" s="79"/>
      <c r="T137" s="80"/>
      <c r="U137" s="81"/>
      <c r="V137" s="82"/>
      <c r="W137" s="83"/>
      <c r="X137" s="84"/>
      <c r="Y137" s="84"/>
      <c r="Z137" s="84"/>
      <c r="AA137" s="84"/>
      <c r="AB137" s="84"/>
      <c r="AC137" s="84"/>
      <c r="AD137" s="84"/>
      <c r="AE137" s="85"/>
      <c r="AF137" s="86"/>
      <c r="AG137" s="87"/>
      <c r="AH137" s="88"/>
    </row>
    <row r="138" spans="1:34" s="2" customFormat="1" x14ac:dyDescent="0.25">
      <c r="A138" s="155" t="str">
        <f t="shared" si="4"/>
        <v/>
      </c>
      <c r="B138" s="155" t="str">
        <f t="shared" si="5"/>
        <v/>
      </c>
      <c r="C138" s="157"/>
      <c r="D138" s="150"/>
      <c r="E138" s="78"/>
      <c r="F138" s="133"/>
      <c r="G138" s="38"/>
      <c r="H138" s="39"/>
      <c r="I138" s="40"/>
      <c r="J138" s="41"/>
      <c r="K138" s="42"/>
      <c r="L138" s="43"/>
      <c r="M138" s="79"/>
      <c r="N138" s="80"/>
      <c r="O138" s="81"/>
      <c r="P138" s="82"/>
      <c r="Q138" s="83"/>
      <c r="R138" s="84"/>
      <c r="S138" s="79"/>
      <c r="T138" s="80"/>
      <c r="U138" s="81"/>
      <c r="V138" s="82"/>
      <c r="W138" s="83"/>
      <c r="X138" s="84"/>
      <c r="Y138" s="84"/>
      <c r="Z138" s="84"/>
      <c r="AA138" s="84"/>
      <c r="AB138" s="84"/>
      <c r="AC138" s="84"/>
      <c r="AD138" s="84"/>
      <c r="AE138" s="85"/>
      <c r="AF138" s="86"/>
      <c r="AG138" s="87"/>
      <c r="AH138" s="88"/>
    </row>
    <row r="139" spans="1:34" s="2" customFormat="1" x14ac:dyDescent="0.25">
      <c r="A139" s="155" t="str">
        <f t="shared" si="4"/>
        <v/>
      </c>
      <c r="B139" s="155" t="str">
        <f t="shared" si="5"/>
        <v/>
      </c>
      <c r="C139" s="157"/>
      <c r="D139" s="150"/>
      <c r="E139" s="78"/>
      <c r="F139" s="133"/>
      <c r="G139" s="38"/>
      <c r="H139" s="39"/>
      <c r="I139" s="40"/>
      <c r="J139" s="41"/>
      <c r="K139" s="42"/>
      <c r="L139" s="43"/>
      <c r="M139" s="79"/>
      <c r="N139" s="80"/>
      <c r="O139" s="81"/>
      <c r="P139" s="82"/>
      <c r="Q139" s="83"/>
      <c r="R139" s="84"/>
      <c r="S139" s="79"/>
      <c r="T139" s="80"/>
      <c r="U139" s="81"/>
      <c r="V139" s="82"/>
      <c r="W139" s="83"/>
      <c r="X139" s="84"/>
      <c r="Y139" s="84"/>
      <c r="Z139" s="84"/>
      <c r="AA139" s="84"/>
      <c r="AB139" s="84"/>
      <c r="AC139" s="84"/>
      <c r="AD139" s="84"/>
      <c r="AE139" s="85"/>
      <c r="AF139" s="86"/>
      <c r="AG139" s="87"/>
      <c r="AH139" s="88"/>
    </row>
    <row r="140" spans="1:34" s="2" customFormat="1" x14ac:dyDescent="0.25">
      <c r="A140" s="155" t="str">
        <f t="shared" si="4"/>
        <v/>
      </c>
      <c r="B140" s="155" t="str">
        <f t="shared" si="5"/>
        <v/>
      </c>
      <c r="C140" s="157"/>
      <c r="D140" s="150"/>
      <c r="E140" s="78"/>
      <c r="F140" s="133"/>
      <c r="G140" s="38"/>
      <c r="H140" s="39"/>
      <c r="I140" s="40"/>
      <c r="J140" s="41"/>
      <c r="K140" s="42"/>
      <c r="L140" s="43"/>
      <c r="M140" s="79"/>
      <c r="N140" s="80"/>
      <c r="O140" s="81"/>
      <c r="P140" s="82"/>
      <c r="Q140" s="83"/>
      <c r="R140" s="84"/>
      <c r="S140" s="79"/>
      <c r="T140" s="80"/>
      <c r="U140" s="81"/>
      <c r="V140" s="82"/>
      <c r="W140" s="83"/>
      <c r="X140" s="84"/>
      <c r="Y140" s="84"/>
      <c r="Z140" s="84"/>
      <c r="AA140" s="84"/>
      <c r="AB140" s="84"/>
      <c r="AC140" s="84"/>
      <c r="AD140" s="84"/>
      <c r="AE140" s="85"/>
      <c r="AF140" s="86"/>
      <c r="AG140" s="87"/>
      <c r="AH140" s="88"/>
    </row>
    <row r="141" spans="1:34" s="2" customFormat="1" x14ac:dyDescent="0.25">
      <c r="A141" s="155" t="str">
        <f t="shared" si="4"/>
        <v/>
      </c>
      <c r="B141" s="155" t="str">
        <f t="shared" si="5"/>
        <v/>
      </c>
      <c r="C141" s="157"/>
      <c r="D141" s="150"/>
      <c r="E141" s="78"/>
      <c r="F141" s="133"/>
      <c r="G141" s="38"/>
      <c r="H141" s="39"/>
      <c r="I141" s="40"/>
      <c r="J141" s="41"/>
      <c r="K141" s="42"/>
      <c r="L141" s="43"/>
      <c r="M141" s="79"/>
      <c r="N141" s="80"/>
      <c r="O141" s="81"/>
      <c r="P141" s="82"/>
      <c r="Q141" s="83"/>
      <c r="R141" s="84"/>
      <c r="S141" s="79"/>
      <c r="T141" s="80"/>
      <c r="U141" s="81"/>
      <c r="V141" s="82"/>
      <c r="W141" s="83"/>
      <c r="X141" s="84"/>
      <c r="Y141" s="84"/>
      <c r="Z141" s="84"/>
      <c r="AA141" s="84"/>
      <c r="AB141" s="84"/>
      <c r="AC141" s="84"/>
      <c r="AD141" s="84"/>
      <c r="AE141" s="85"/>
      <c r="AF141" s="86"/>
      <c r="AG141" s="87"/>
      <c r="AH141" s="88"/>
    </row>
    <row r="142" spans="1:34" s="2" customFormat="1" x14ac:dyDescent="0.25">
      <c r="A142" s="155" t="str">
        <f t="shared" si="4"/>
        <v/>
      </c>
      <c r="B142" s="155" t="str">
        <f t="shared" si="5"/>
        <v/>
      </c>
      <c r="C142" s="157"/>
      <c r="D142" s="150"/>
      <c r="E142" s="78"/>
      <c r="F142" s="133"/>
      <c r="G142" s="38"/>
      <c r="H142" s="39"/>
      <c r="I142" s="40"/>
      <c r="J142" s="41"/>
      <c r="K142" s="42"/>
      <c r="L142" s="43"/>
      <c r="M142" s="79"/>
      <c r="N142" s="80"/>
      <c r="O142" s="81"/>
      <c r="P142" s="82"/>
      <c r="Q142" s="83"/>
      <c r="R142" s="84"/>
      <c r="S142" s="79"/>
      <c r="T142" s="80"/>
      <c r="U142" s="81"/>
      <c r="V142" s="82"/>
      <c r="W142" s="83"/>
      <c r="X142" s="84"/>
      <c r="Y142" s="84"/>
      <c r="Z142" s="84"/>
      <c r="AA142" s="84"/>
      <c r="AB142" s="84"/>
      <c r="AC142" s="84"/>
      <c r="AD142" s="84"/>
      <c r="AE142" s="85"/>
      <c r="AF142" s="86"/>
      <c r="AG142" s="87"/>
      <c r="AH142" s="88"/>
    </row>
    <row r="143" spans="1:34" s="2" customFormat="1" x14ac:dyDescent="0.25">
      <c r="A143" s="155" t="str">
        <f t="shared" si="4"/>
        <v/>
      </c>
      <c r="B143" s="155" t="str">
        <f t="shared" si="5"/>
        <v/>
      </c>
      <c r="C143" s="157"/>
      <c r="D143" s="150"/>
      <c r="E143" s="78"/>
      <c r="F143" s="133"/>
      <c r="G143" s="38"/>
      <c r="H143" s="39"/>
      <c r="I143" s="40"/>
      <c r="J143" s="41"/>
      <c r="K143" s="42"/>
      <c r="L143" s="43"/>
      <c r="M143" s="79"/>
      <c r="N143" s="80"/>
      <c r="O143" s="81"/>
      <c r="P143" s="82"/>
      <c r="Q143" s="83"/>
      <c r="R143" s="84"/>
      <c r="S143" s="79"/>
      <c r="T143" s="80"/>
      <c r="U143" s="81"/>
      <c r="V143" s="82"/>
      <c r="W143" s="83"/>
      <c r="X143" s="84"/>
      <c r="Y143" s="84"/>
      <c r="Z143" s="84"/>
      <c r="AA143" s="84"/>
      <c r="AB143" s="84"/>
      <c r="AC143" s="84"/>
      <c r="AD143" s="84"/>
      <c r="AE143" s="85"/>
      <c r="AF143" s="86"/>
      <c r="AG143" s="87"/>
      <c r="AH143" s="88"/>
    </row>
    <row r="144" spans="1:34" s="2" customFormat="1" x14ac:dyDescent="0.25">
      <c r="A144" s="155" t="str">
        <f t="shared" si="4"/>
        <v/>
      </c>
      <c r="B144" s="155" t="str">
        <f t="shared" si="5"/>
        <v/>
      </c>
      <c r="C144" s="157"/>
      <c r="D144" s="150"/>
      <c r="E144" s="78"/>
      <c r="F144" s="133"/>
      <c r="G144" s="38"/>
      <c r="H144" s="39"/>
      <c r="I144" s="40"/>
      <c r="J144" s="41"/>
      <c r="K144" s="42"/>
      <c r="L144" s="43"/>
      <c r="M144" s="79"/>
      <c r="N144" s="80"/>
      <c r="O144" s="81"/>
      <c r="P144" s="82"/>
      <c r="Q144" s="83"/>
      <c r="R144" s="84"/>
      <c r="S144" s="79"/>
      <c r="T144" s="80"/>
      <c r="U144" s="81"/>
      <c r="V144" s="82"/>
      <c r="W144" s="83"/>
      <c r="X144" s="84"/>
      <c r="Y144" s="84"/>
      <c r="Z144" s="84"/>
      <c r="AA144" s="84"/>
      <c r="AB144" s="84"/>
      <c r="AC144" s="84"/>
      <c r="AD144" s="84"/>
      <c r="AE144" s="85"/>
      <c r="AF144" s="86"/>
      <c r="AG144" s="87"/>
      <c r="AH144" s="88"/>
    </row>
    <row r="145" spans="1:34" s="2" customFormat="1" x14ac:dyDescent="0.25">
      <c r="A145" s="155" t="str">
        <f t="shared" si="4"/>
        <v/>
      </c>
      <c r="B145" s="155" t="str">
        <f t="shared" si="5"/>
        <v/>
      </c>
      <c r="C145" s="157"/>
      <c r="D145" s="150"/>
      <c r="E145" s="78"/>
      <c r="F145" s="133"/>
      <c r="G145" s="38"/>
      <c r="H145" s="39"/>
      <c r="I145" s="40"/>
      <c r="J145" s="41"/>
      <c r="K145" s="42"/>
      <c r="L145" s="43"/>
      <c r="M145" s="79"/>
      <c r="N145" s="80"/>
      <c r="O145" s="81"/>
      <c r="P145" s="82"/>
      <c r="Q145" s="83"/>
      <c r="R145" s="84"/>
      <c r="S145" s="79"/>
      <c r="T145" s="80"/>
      <c r="U145" s="81"/>
      <c r="V145" s="82"/>
      <c r="W145" s="83"/>
      <c r="X145" s="84"/>
      <c r="Y145" s="84"/>
      <c r="Z145" s="84"/>
      <c r="AA145" s="84"/>
      <c r="AB145" s="84"/>
      <c r="AC145" s="84"/>
      <c r="AD145" s="84"/>
      <c r="AE145" s="85"/>
      <c r="AF145" s="86"/>
      <c r="AG145" s="87"/>
      <c r="AH145" s="88"/>
    </row>
    <row r="146" spans="1:34" s="2" customFormat="1" x14ac:dyDescent="0.25">
      <c r="A146" s="155" t="str">
        <f t="shared" si="4"/>
        <v/>
      </c>
      <c r="B146" s="155" t="str">
        <f t="shared" si="5"/>
        <v/>
      </c>
      <c r="C146" s="157"/>
      <c r="D146" s="150"/>
      <c r="E146" s="78"/>
      <c r="F146" s="133"/>
      <c r="G146" s="38"/>
      <c r="H146" s="39"/>
      <c r="I146" s="40"/>
      <c r="J146" s="41"/>
      <c r="K146" s="42"/>
      <c r="L146" s="43"/>
      <c r="M146" s="79"/>
      <c r="N146" s="80"/>
      <c r="O146" s="81"/>
      <c r="P146" s="82"/>
      <c r="Q146" s="83"/>
      <c r="R146" s="84"/>
      <c r="S146" s="79"/>
      <c r="T146" s="80"/>
      <c r="U146" s="81"/>
      <c r="V146" s="82"/>
      <c r="W146" s="83"/>
      <c r="X146" s="84"/>
      <c r="Y146" s="84"/>
      <c r="Z146" s="84"/>
      <c r="AA146" s="84"/>
      <c r="AB146" s="84"/>
      <c r="AC146" s="84"/>
      <c r="AD146" s="84"/>
      <c r="AE146" s="85"/>
      <c r="AF146" s="86"/>
      <c r="AG146" s="87"/>
      <c r="AH146" s="88"/>
    </row>
    <row r="147" spans="1:34" s="2" customFormat="1" x14ac:dyDescent="0.25">
      <c r="A147" s="155" t="str">
        <f t="shared" si="4"/>
        <v/>
      </c>
      <c r="B147" s="155" t="str">
        <f t="shared" si="5"/>
        <v/>
      </c>
      <c r="C147" s="157"/>
      <c r="D147" s="150"/>
      <c r="E147" s="78"/>
      <c r="F147" s="133"/>
      <c r="G147" s="38"/>
      <c r="H147" s="39"/>
      <c r="I147" s="40"/>
      <c r="J147" s="41"/>
      <c r="K147" s="42"/>
      <c r="L147" s="43"/>
      <c r="M147" s="79"/>
      <c r="N147" s="80"/>
      <c r="O147" s="81"/>
      <c r="P147" s="82"/>
      <c r="Q147" s="83"/>
      <c r="R147" s="84"/>
      <c r="S147" s="79"/>
      <c r="T147" s="80"/>
      <c r="U147" s="81"/>
      <c r="V147" s="82"/>
      <c r="W147" s="83"/>
      <c r="X147" s="84"/>
      <c r="Y147" s="84"/>
      <c r="Z147" s="84"/>
      <c r="AA147" s="84"/>
      <c r="AB147" s="84"/>
      <c r="AC147" s="84"/>
      <c r="AD147" s="84"/>
      <c r="AE147" s="85"/>
      <c r="AF147" s="86"/>
      <c r="AG147" s="87"/>
      <c r="AH147" s="88"/>
    </row>
    <row r="148" spans="1:34" s="2" customFormat="1" x14ac:dyDescent="0.25">
      <c r="A148" s="155" t="str">
        <f t="shared" si="4"/>
        <v/>
      </c>
      <c r="B148" s="155" t="str">
        <f t="shared" si="5"/>
        <v/>
      </c>
      <c r="C148" s="157"/>
      <c r="D148" s="150"/>
      <c r="E148" s="78"/>
      <c r="F148" s="133"/>
      <c r="G148" s="38"/>
      <c r="H148" s="39"/>
      <c r="I148" s="40"/>
      <c r="J148" s="41"/>
      <c r="K148" s="42"/>
      <c r="L148" s="43"/>
      <c r="M148" s="79"/>
      <c r="N148" s="80"/>
      <c r="O148" s="81"/>
      <c r="P148" s="82"/>
      <c r="Q148" s="83"/>
      <c r="R148" s="84"/>
      <c r="S148" s="79"/>
      <c r="T148" s="80"/>
      <c r="U148" s="81"/>
      <c r="V148" s="82"/>
      <c r="W148" s="83"/>
      <c r="X148" s="84"/>
      <c r="Y148" s="84"/>
      <c r="Z148" s="84"/>
      <c r="AA148" s="84"/>
      <c r="AB148" s="84"/>
      <c r="AC148" s="84"/>
      <c r="AD148" s="84"/>
      <c r="AE148" s="85"/>
      <c r="AF148" s="86"/>
      <c r="AG148" s="87"/>
      <c r="AH148" s="88"/>
    </row>
    <row r="149" spans="1:34" s="2" customFormat="1" x14ac:dyDescent="0.25">
      <c r="A149" s="155" t="str">
        <f t="shared" si="4"/>
        <v/>
      </c>
      <c r="B149" s="155" t="str">
        <f t="shared" si="5"/>
        <v/>
      </c>
      <c r="C149" s="157"/>
      <c r="D149" s="150"/>
      <c r="E149" s="78"/>
      <c r="F149" s="133"/>
      <c r="G149" s="38"/>
      <c r="H149" s="39"/>
      <c r="I149" s="40"/>
      <c r="J149" s="41"/>
      <c r="K149" s="42"/>
      <c r="L149" s="43"/>
      <c r="M149" s="79"/>
      <c r="N149" s="80"/>
      <c r="O149" s="81"/>
      <c r="P149" s="82"/>
      <c r="Q149" s="83"/>
      <c r="R149" s="84"/>
      <c r="S149" s="79"/>
      <c r="T149" s="80"/>
      <c r="U149" s="81"/>
      <c r="V149" s="82"/>
      <c r="W149" s="83"/>
      <c r="X149" s="84"/>
      <c r="Y149" s="84"/>
      <c r="Z149" s="84"/>
      <c r="AA149" s="84"/>
      <c r="AB149" s="84"/>
      <c r="AC149" s="84"/>
      <c r="AD149" s="84"/>
      <c r="AE149" s="85"/>
      <c r="AF149" s="86"/>
      <c r="AG149" s="87"/>
      <c r="AH149" s="88"/>
    </row>
    <row r="150" spans="1:34" s="2" customFormat="1" x14ac:dyDescent="0.25">
      <c r="A150" s="155" t="str">
        <f t="shared" si="4"/>
        <v/>
      </c>
      <c r="B150" s="155" t="str">
        <f t="shared" si="5"/>
        <v/>
      </c>
      <c r="C150" s="157"/>
      <c r="D150" s="150"/>
      <c r="E150" s="78"/>
      <c r="F150" s="133"/>
      <c r="G150" s="38"/>
      <c r="H150" s="39"/>
      <c r="I150" s="40"/>
      <c r="J150" s="41"/>
      <c r="K150" s="42"/>
      <c r="L150" s="43"/>
      <c r="M150" s="79"/>
      <c r="N150" s="80"/>
      <c r="O150" s="81"/>
      <c r="P150" s="82"/>
      <c r="Q150" s="83"/>
      <c r="R150" s="84"/>
      <c r="S150" s="79"/>
      <c r="T150" s="80"/>
      <c r="U150" s="81"/>
      <c r="V150" s="82"/>
      <c r="W150" s="83"/>
      <c r="X150" s="84"/>
      <c r="Y150" s="84"/>
      <c r="Z150" s="84"/>
      <c r="AA150" s="84"/>
      <c r="AB150" s="84"/>
      <c r="AC150" s="84"/>
      <c r="AD150" s="84"/>
      <c r="AE150" s="85"/>
      <c r="AF150" s="86"/>
      <c r="AG150" s="87"/>
      <c r="AH150" s="88"/>
    </row>
    <row r="151" spans="1:34" s="2" customFormat="1" x14ac:dyDescent="0.25">
      <c r="A151" s="155" t="str">
        <f t="shared" si="4"/>
        <v/>
      </c>
      <c r="B151" s="155" t="str">
        <f t="shared" si="5"/>
        <v/>
      </c>
      <c r="C151" s="157"/>
      <c r="D151" s="150"/>
      <c r="E151" s="78"/>
      <c r="F151" s="133"/>
      <c r="G151" s="38"/>
      <c r="H151" s="39"/>
      <c r="I151" s="40"/>
      <c r="J151" s="41"/>
      <c r="K151" s="42"/>
      <c r="L151" s="43"/>
      <c r="M151" s="79"/>
      <c r="N151" s="80"/>
      <c r="O151" s="81"/>
      <c r="P151" s="82"/>
      <c r="Q151" s="83"/>
      <c r="R151" s="84"/>
      <c r="S151" s="79"/>
      <c r="T151" s="80"/>
      <c r="U151" s="81"/>
      <c r="V151" s="82"/>
      <c r="W151" s="83"/>
      <c r="X151" s="84"/>
      <c r="Y151" s="84"/>
      <c r="Z151" s="84"/>
      <c r="AA151" s="84"/>
      <c r="AB151" s="84"/>
      <c r="AC151" s="84"/>
      <c r="AD151" s="84"/>
      <c r="AE151" s="85"/>
      <c r="AF151" s="86"/>
      <c r="AG151" s="87"/>
      <c r="AH151" s="88"/>
    </row>
    <row r="152" spans="1:34" s="2" customFormat="1" x14ac:dyDescent="0.25">
      <c r="A152" s="155" t="str">
        <f t="shared" si="4"/>
        <v/>
      </c>
      <c r="B152" s="155" t="str">
        <f t="shared" si="5"/>
        <v/>
      </c>
      <c r="C152" s="157"/>
      <c r="D152" s="150"/>
      <c r="E152" s="78"/>
      <c r="F152" s="133"/>
      <c r="G152" s="38"/>
      <c r="H152" s="39"/>
      <c r="I152" s="40"/>
      <c r="J152" s="41"/>
      <c r="K152" s="42"/>
      <c r="L152" s="43"/>
      <c r="M152" s="79"/>
      <c r="N152" s="80"/>
      <c r="O152" s="81"/>
      <c r="P152" s="82"/>
      <c r="Q152" s="83"/>
      <c r="R152" s="84"/>
      <c r="S152" s="79"/>
      <c r="T152" s="80"/>
      <c r="U152" s="81"/>
      <c r="V152" s="82"/>
      <c r="W152" s="83"/>
      <c r="X152" s="84"/>
      <c r="Y152" s="84"/>
      <c r="Z152" s="84"/>
      <c r="AA152" s="84"/>
      <c r="AB152" s="84"/>
      <c r="AC152" s="84"/>
      <c r="AD152" s="84"/>
      <c r="AE152" s="85"/>
      <c r="AF152" s="86"/>
      <c r="AG152" s="87"/>
      <c r="AH152" s="88"/>
    </row>
    <row r="153" spans="1:34" s="2" customFormat="1" x14ac:dyDescent="0.25">
      <c r="A153" s="155" t="str">
        <f t="shared" si="4"/>
        <v/>
      </c>
      <c r="B153" s="155" t="str">
        <f t="shared" si="5"/>
        <v/>
      </c>
      <c r="C153" s="157"/>
      <c r="D153" s="150"/>
      <c r="E153" s="78"/>
      <c r="F153" s="133"/>
      <c r="G153" s="38"/>
      <c r="H153" s="39"/>
      <c r="I153" s="40"/>
      <c r="J153" s="41"/>
      <c r="K153" s="42"/>
      <c r="L153" s="43"/>
      <c r="M153" s="79"/>
      <c r="N153" s="80"/>
      <c r="O153" s="81"/>
      <c r="P153" s="82"/>
      <c r="Q153" s="83"/>
      <c r="R153" s="84"/>
      <c r="S153" s="79"/>
      <c r="T153" s="80"/>
      <c r="U153" s="81"/>
      <c r="V153" s="82"/>
      <c r="W153" s="83"/>
      <c r="X153" s="84"/>
      <c r="Y153" s="84"/>
      <c r="Z153" s="84"/>
      <c r="AA153" s="84"/>
      <c r="AB153" s="84"/>
      <c r="AC153" s="84"/>
      <c r="AD153" s="84"/>
      <c r="AE153" s="85"/>
      <c r="AF153" s="86"/>
      <c r="AG153" s="87"/>
      <c r="AH153" s="88"/>
    </row>
    <row r="154" spans="1:34" s="2" customFormat="1" x14ac:dyDescent="0.25">
      <c r="A154" s="155" t="str">
        <f t="shared" si="4"/>
        <v/>
      </c>
      <c r="B154" s="155" t="str">
        <f t="shared" si="5"/>
        <v/>
      </c>
      <c r="C154" s="157"/>
      <c r="D154" s="150"/>
      <c r="E154" s="78"/>
      <c r="F154" s="133"/>
      <c r="G154" s="38"/>
      <c r="H154" s="39"/>
      <c r="I154" s="40"/>
      <c r="J154" s="41"/>
      <c r="K154" s="42"/>
      <c r="L154" s="43"/>
      <c r="M154" s="79"/>
      <c r="N154" s="80"/>
      <c r="O154" s="81"/>
      <c r="P154" s="82"/>
      <c r="Q154" s="83"/>
      <c r="R154" s="84"/>
      <c r="S154" s="79"/>
      <c r="T154" s="80"/>
      <c r="U154" s="81"/>
      <c r="V154" s="82"/>
      <c r="W154" s="83"/>
      <c r="X154" s="84"/>
      <c r="Y154" s="84"/>
      <c r="Z154" s="84"/>
      <c r="AA154" s="84"/>
      <c r="AB154" s="84"/>
      <c r="AC154" s="84"/>
      <c r="AD154" s="84"/>
      <c r="AE154" s="85"/>
      <c r="AF154" s="86"/>
      <c r="AG154" s="87"/>
      <c r="AH154" s="88"/>
    </row>
    <row r="155" spans="1:34" s="2" customFormat="1" x14ac:dyDescent="0.25">
      <c r="A155" s="155" t="str">
        <f t="shared" si="4"/>
        <v/>
      </c>
      <c r="B155" s="155" t="str">
        <f t="shared" si="5"/>
        <v/>
      </c>
      <c r="C155" s="157"/>
      <c r="D155" s="150"/>
      <c r="E155" s="78"/>
      <c r="F155" s="133"/>
      <c r="G155" s="38"/>
      <c r="H155" s="39"/>
      <c r="I155" s="40"/>
      <c r="J155" s="41"/>
      <c r="K155" s="42"/>
      <c r="L155" s="43"/>
      <c r="M155" s="79"/>
      <c r="N155" s="80"/>
      <c r="O155" s="81"/>
      <c r="P155" s="82"/>
      <c r="Q155" s="83"/>
      <c r="R155" s="84"/>
      <c r="S155" s="79"/>
      <c r="T155" s="80"/>
      <c r="U155" s="81"/>
      <c r="V155" s="82"/>
      <c r="W155" s="83"/>
      <c r="X155" s="84"/>
      <c r="Y155" s="84"/>
      <c r="Z155" s="84"/>
      <c r="AA155" s="84"/>
      <c r="AB155" s="84"/>
      <c r="AC155" s="84"/>
      <c r="AD155" s="84"/>
      <c r="AE155" s="85"/>
      <c r="AF155" s="86"/>
      <c r="AG155" s="87"/>
      <c r="AH155" s="88"/>
    </row>
    <row r="156" spans="1:34" s="2" customFormat="1" x14ac:dyDescent="0.25">
      <c r="A156" s="155" t="str">
        <f t="shared" si="4"/>
        <v/>
      </c>
      <c r="B156" s="155" t="str">
        <f t="shared" si="5"/>
        <v/>
      </c>
      <c r="C156" s="157"/>
      <c r="D156" s="150"/>
      <c r="E156" s="78"/>
      <c r="F156" s="133"/>
      <c r="G156" s="38"/>
      <c r="H156" s="39"/>
      <c r="I156" s="40"/>
      <c r="J156" s="41"/>
      <c r="K156" s="42"/>
      <c r="L156" s="43"/>
      <c r="M156" s="79"/>
      <c r="N156" s="80"/>
      <c r="O156" s="81"/>
      <c r="P156" s="82"/>
      <c r="Q156" s="83"/>
      <c r="R156" s="84"/>
      <c r="S156" s="79"/>
      <c r="T156" s="80"/>
      <c r="U156" s="81"/>
      <c r="V156" s="82"/>
      <c r="W156" s="83"/>
      <c r="X156" s="84"/>
      <c r="Y156" s="84"/>
      <c r="Z156" s="84"/>
      <c r="AA156" s="84"/>
      <c r="AB156" s="84"/>
      <c r="AC156" s="84"/>
      <c r="AD156" s="84"/>
      <c r="AE156" s="85"/>
      <c r="AF156" s="86"/>
      <c r="AG156" s="87"/>
      <c r="AH156" s="88"/>
    </row>
    <row r="157" spans="1:34" s="2" customFormat="1" x14ac:dyDescent="0.25">
      <c r="A157" s="155" t="str">
        <f t="shared" si="4"/>
        <v/>
      </c>
      <c r="B157" s="155" t="str">
        <f t="shared" si="5"/>
        <v/>
      </c>
      <c r="C157" s="157"/>
      <c r="D157" s="150"/>
      <c r="E157" s="78"/>
      <c r="F157" s="133"/>
      <c r="G157" s="38"/>
      <c r="H157" s="39"/>
      <c r="I157" s="40"/>
      <c r="J157" s="41"/>
      <c r="K157" s="42"/>
      <c r="L157" s="43"/>
      <c r="M157" s="79"/>
      <c r="N157" s="80"/>
      <c r="O157" s="81"/>
      <c r="P157" s="82"/>
      <c r="Q157" s="83"/>
      <c r="R157" s="84"/>
      <c r="S157" s="79"/>
      <c r="T157" s="80"/>
      <c r="U157" s="81"/>
      <c r="V157" s="82"/>
      <c r="W157" s="83"/>
      <c r="X157" s="84"/>
      <c r="Y157" s="84"/>
      <c r="Z157" s="84"/>
      <c r="AA157" s="84"/>
      <c r="AB157" s="84"/>
      <c r="AC157" s="84"/>
      <c r="AD157" s="84"/>
      <c r="AE157" s="85"/>
      <c r="AF157" s="86"/>
      <c r="AG157" s="87"/>
      <c r="AH157" s="88"/>
    </row>
    <row r="158" spans="1:34" s="2" customFormat="1" x14ac:dyDescent="0.25">
      <c r="A158" s="155" t="str">
        <f t="shared" si="4"/>
        <v/>
      </c>
      <c r="B158" s="155" t="str">
        <f t="shared" si="5"/>
        <v/>
      </c>
      <c r="C158" s="157"/>
      <c r="D158" s="150"/>
      <c r="E158" s="78"/>
      <c r="F158" s="133"/>
      <c r="G158" s="38"/>
      <c r="H158" s="39"/>
      <c r="I158" s="40"/>
      <c r="J158" s="41"/>
      <c r="K158" s="42"/>
      <c r="L158" s="43"/>
      <c r="M158" s="79"/>
      <c r="N158" s="80"/>
      <c r="O158" s="81"/>
      <c r="P158" s="82"/>
      <c r="Q158" s="83"/>
      <c r="R158" s="84"/>
      <c r="S158" s="79"/>
      <c r="T158" s="80"/>
      <c r="U158" s="81"/>
      <c r="V158" s="82"/>
      <c r="W158" s="83"/>
      <c r="X158" s="84"/>
      <c r="Y158" s="84"/>
      <c r="Z158" s="84"/>
      <c r="AA158" s="84"/>
      <c r="AB158" s="84"/>
      <c r="AC158" s="84"/>
      <c r="AD158" s="84"/>
      <c r="AE158" s="85"/>
      <c r="AF158" s="86"/>
      <c r="AG158" s="87"/>
      <c r="AH158" s="88"/>
    </row>
    <row r="159" spans="1:34" s="2" customFormat="1" x14ac:dyDescent="0.25">
      <c r="A159" s="155" t="str">
        <f t="shared" si="4"/>
        <v/>
      </c>
      <c r="B159" s="155" t="str">
        <f t="shared" si="5"/>
        <v/>
      </c>
      <c r="C159" s="157"/>
      <c r="D159" s="150"/>
      <c r="E159" s="78"/>
      <c r="F159" s="133"/>
      <c r="G159" s="38"/>
      <c r="H159" s="39"/>
      <c r="I159" s="40"/>
      <c r="J159" s="41"/>
      <c r="K159" s="42"/>
      <c r="L159" s="43"/>
      <c r="M159" s="79"/>
      <c r="N159" s="80"/>
      <c r="O159" s="81"/>
      <c r="P159" s="82"/>
      <c r="Q159" s="83"/>
      <c r="R159" s="84"/>
      <c r="S159" s="79"/>
      <c r="T159" s="80"/>
      <c r="U159" s="81"/>
      <c r="V159" s="82"/>
      <c r="W159" s="83"/>
      <c r="X159" s="84"/>
      <c r="Y159" s="84"/>
      <c r="Z159" s="84"/>
      <c r="AA159" s="84"/>
      <c r="AB159" s="84"/>
      <c r="AC159" s="84"/>
      <c r="AD159" s="84"/>
      <c r="AE159" s="85"/>
      <c r="AF159" s="86"/>
      <c r="AG159" s="87"/>
      <c r="AH159" s="88"/>
    </row>
    <row r="160" spans="1:34" s="2" customFormat="1" x14ac:dyDescent="0.25">
      <c r="A160" s="155" t="str">
        <f t="shared" si="4"/>
        <v/>
      </c>
      <c r="B160" s="155" t="str">
        <f t="shared" si="5"/>
        <v/>
      </c>
      <c r="C160" s="157"/>
      <c r="D160" s="150"/>
      <c r="E160" s="78"/>
      <c r="F160" s="133"/>
      <c r="G160" s="38"/>
      <c r="H160" s="39"/>
      <c r="I160" s="40"/>
      <c r="J160" s="41"/>
      <c r="K160" s="42"/>
      <c r="L160" s="43"/>
      <c r="M160" s="79"/>
      <c r="N160" s="80"/>
      <c r="O160" s="81"/>
      <c r="P160" s="82"/>
      <c r="Q160" s="83"/>
      <c r="R160" s="84"/>
      <c r="S160" s="79"/>
      <c r="T160" s="80"/>
      <c r="U160" s="81"/>
      <c r="V160" s="82"/>
      <c r="W160" s="83"/>
      <c r="X160" s="84"/>
      <c r="Y160" s="84"/>
      <c r="Z160" s="84"/>
      <c r="AA160" s="84"/>
      <c r="AB160" s="84"/>
      <c r="AC160" s="84"/>
      <c r="AD160" s="84"/>
      <c r="AE160" s="85"/>
      <c r="AF160" s="86"/>
      <c r="AG160" s="87"/>
      <c r="AH160" s="88"/>
    </row>
    <row r="161" spans="1:34" s="2" customFormat="1" x14ac:dyDescent="0.25">
      <c r="A161" s="155" t="str">
        <f t="shared" si="4"/>
        <v/>
      </c>
      <c r="B161" s="155" t="str">
        <f t="shared" si="5"/>
        <v/>
      </c>
      <c r="C161" s="157"/>
      <c r="D161" s="150"/>
      <c r="E161" s="78"/>
      <c r="F161" s="133"/>
      <c r="G161" s="38"/>
      <c r="H161" s="39"/>
      <c r="I161" s="40"/>
      <c r="J161" s="41"/>
      <c r="K161" s="42"/>
      <c r="L161" s="43"/>
      <c r="M161" s="79"/>
      <c r="N161" s="80"/>
      <c r="O161" s="81"/>
      <c r="P161" s="82"/>
      <c r="Q161" s="83"/>
      <c r="R161" s="84"/>
      <c r="S161" s="79"/>
      <c r="T161" s="80"/>
      <c r="U161" s="81"/>
      <c r="V161" s="82"/>
      <c r="W161" s="83"/>
      <c r="X161" s="84"/>
      <c r="Y161" s="84"/>
      <c r="Z161" s="84"/>
      <c r="AA161" s="84"/>
      <c r="AB161" s="84"/>
      <c r="AC161" s="84"/>
      <c r="AD161" s="84"/>
      <c r="AE161" s="85"/>
      <c r="AF161" s="86"/>
      <c r="AG161" s="87"/>
      <c r="AH161" s="88"/>
    </row>
    <row r="162" spans="1:34" s="2" customFormat="1" x14ac:dyDescent="0.25">
      <c r="A162" s="155" t="str">
        <f t="shared" si="4"/>
        <v/>
      </c>
      <c r="B162" s="155" t="str">
        <f t="shared" si="5"/>
        <v/>
      </c>
      <c r="C162" s="157"/>
      <c r="D162" s="150"/>
      <c r="E162" s="78"/>
      <c r="F162" s="133"/>
      <c r="G162" s="38"/>
      <c r="H162" s="39"/>
      <c r="I162" s="40"/>
      <c r="J162" s="41"/>
      <c r="K162" s="42"/>
      <c r="L162" s="43"/>
      <c r="M162" s="79"/>
      <c r="N162" s="80"/>
      <c r="O162" s="81"/>
      <c r="P162" s="82"/>
      <c r="Q162" s="83"/>
      <c r="R162" s="84"/>
      <c r="S162" s="79"/>
      <c r="T162" s="80"/>
      <c r="U162" s="81"/>
      <c r="V162" s="82"/>
      <c r="W162" s="83"/>
      <c r="X162" s="84"/>
      <c r="Y162" s="84"/>
      <c r="Z162" s="84"/>
      <c r="AA162" s="84"/>
      <c r="AB162" s="84"/>
      <c r="AC162" s="84"/>
      <c r="AD162" s="84"/>
      <c r="AE162" s="85"/>
      <c r="AF162" s="86"/>
      <c r="AG162" s="87"/>
      <c r="AH162" s="88"/>
    </row>
    <row r="163" spans="1:34" s="2" customFormat="1" x14ac:dyDescent="0.25">
      <c r="A163" s="155" t="str">
        <f t="shared" si="4"/>
        <v/>
      </c>
      <c r="B163" s="155" t="str">
        <f t="shared" si="5"/>
        <v/>
      </c>
      <c r="C163" s="157"/>
      <c r="D163" s="150"/>
      <c r="E163" s="78"/>
      <c r="F163" s="133"/>
      <c r="G163" s="38"/>
      <c r="H163" s="39"/>
      <c r="I163" s="40"/>
      <c r="J163" s="41"/>
      <c r="K163" s="42"/>
      <c r="L163" s="43"/>
      <c r="M163" s="79"/>
      <c r="N163" s="80"/>
      <c r="O163" s="81"/>
      <c r="P163" s="82"/>
      <c r="Q163" s="83"/>
      <c r="R163" s="84"/>
      <c r="S163" s="79"/>
      <c r="T163" s="80"/>
      <c r="U163" s="81"/>
      <c r="V163" s="82"/>
      <c r="W163" s="83"/>
      <c r="X163" s="84"/>
      <c r="Y163" s="84"/>
      <c r="Z163" s="84"/>
      <c r="AA163" s="84"/>
      <c r="AB163" s="84"/>
      <c r="AC163" s="84"/>
      <c r="AD163" s="84"/>
      <c r="AE163" s="85"/>
      <c r="AF163" s="86"/>
      <c r="AG163" s="87"/>
      <c r="AH163" s="88"/>
    </row>
    <row r="164" spans="1:34" s="2" customFormat="1" x14ac:dyDescent="0.25">
      <c r="A164" s="155" t="str">
        <f t="shared" si="4"/>
        <v/>
      </c>
      <c r="B164" s="155" t="str">
        <f t="shared" si="5"/>
        <v/>
      </c>
      <c r="C164" s="157"/>
      <c r="D164" s="150"/>
      <c r="E164" s="78"/>
      <c r="F164" s="133"/>
      <c r="G164" s="38"/>
      <c r="H164" s="39"/>
      <c r="I164" s="40"/>
      <c r="J164" s="41"/>
      <c r="K164" s="42"/>
      <c r="L164" s="43"/>
      <c r="M164" s="79"/>
      <c r="N164" s="80"/>
      <c r="O164" s="81"/>
      <c r="P164" s="82"/>
      <c r="Q164" s="83"/>
      <c r="R164" s="84"/>
      <c r="S164" s="79"/>
      <c r="T164" s="80"/>
      <c r="U164" s="81"/>
      <c r="V164" s="82"/>
      <c r="W164" s="83"/>
      <c r="X164" s="84"/>
      <c r="Y164" s="84"/>
      <c r="Z164" s="84"/>
      <c r="AA164" s="84"/>
      <c r="AB164" s="84"/>
      <c r="AC164" s="84"/>
      <c r="AD164" s="84"/>
      <c r="AE164" s="85"/>
      <c r="AF164" s="86"/>
      <c r="AG164" s="87"/>
      <c r="AH164" s="88"/>
    </row>
    <row r="165" spans="1:34" s="2" customFormat="1" x14ac:dyDescent="0.25">
      <c r="A165" s="155" t="str">
        <f t="shared" si="4"/>
        <v/>
      </c>
      <c r="B165" s="155" t="str">
        <f t="shared" si="5"/>
        <v/>
      </c>
      <c r="C165" s="157"/>
      <c r="D165" s="150"/>
      <c r="E165" s="78"/>
      <c r="F165" s="133"/>
      <c r="G165" s="38"/>
      <c r="H165" s="39"/>
      <c r="I165" s="40"/>
      <c r="J165" s="41"/>
      <c r="K165" s="42"/>
      <c r="L165" s="43"/>
      <c r="M165" s="79"/>
      <c r="N165" s="80"/>
      <c r="O165" s="81"/>
      <c r="P165" s="82"/>
      <c r="Q165" s="83"/>
      <c r="R165" s="84"/>
      <c r="S165" s="79"/>
      <c r="T165" s="80"/>
      <c r="U165" s="81"/>
      <c r="V165" s="82"/>
      <c r="W165" s="83"/>
      <c r="X165" s="84"/>
      <c r="Y165" s="84"/>
      <c r="Z165" s="84"/>
      <c r="AA165" s="84"/>
      <c r="AB165" s="84"/>
      <c r="AC165" s="84"/>
      <c r="AD165" s="84"/>
      <c r="AE165" s="85"/>
      <c r="AF165" s="86"/>
      <c r="AG165" s="87"/>
      <c r="AH165" s="88"/>
    </row>
    <row r="166" spans="1:34" s="2" customFormat="1" x14ac:dyDescent="0.25">
      <c r="A166" s="155" t="str">
        <f t="shared" si="4"/>
        <v/>
      </c>
      <c r="B166" s="155" t="str">
        <f t="shared" si="5"/>
        <v/>
      </c>
      <c r="C166" s="157"/>
      <c r="D166" s="150"/>
      <c r="E166" s="78"/>
      <c r="F166" s="133"/>
      <c r="G166" s="38"/>
      <c r="H166" s="39"/>
      <c r="I166" s="40"/>
      <c r="J166" s="41"/>
      <c r="K166" s="42"/>
      <c r="L166" s="43"/>
      <c r="M166" s="79"/>
      <c r="N166" s="80"/>
      <c r="O166" s="81"/>
      <c r="P166" s="82"/>
      <c r="Q166" s="83"/>
      <c r="R166" s="84"/>
      <c r="S166" s="79"/>
      <c r="T166" s="80"/>
      <c r="U166" s="81"/>
      <c r="V166" s="82"/>
      <c r="W166" s="83"/>
      <c r="X166" s="84"/>
      <c r="Y166" s="84"/>
      <c r="Z166" s="84"/>
      <c r="AA166" s="84"/>
      <c r="AB166" s="84"/>
      <c r="AC166" s="84"/>
      <c r="AD166" s="84"/>
      <c r="AE166" s="85"/>
      <c r="AF166" s="86"/>
      <c r="AG166" s="87"/>
      <c r="AH166" s="88"/>
    </row>
    <row r="167" spans="1:34" s="2" customFormat="1" x14ac:dyDescent="0.25">
      <c r="A167" s="155" t="str">
        <f t="shared" si="4"/>
        <v/>
      </c>
      <c r="B167" s="155" t="str">
        <f t="shared" si="5"/>
        <v/>
      </c>
      <c r="C167" s="157"/>
      <c r="D167" s="150"/>
      <c r="E167" s="78"/>
      <c r="F167" s="133"/>
      <c r="G167" s="38"/>
      <c r="H167" s="39"/>
      <c r="I167" s="40"/>
      <c r="J167" s="41"/>
      <c r="K167" s="42"/>
      <c r="L167" s="43"/>
      <c r="M167" s="79"/>
      <c r="N167" s="80"/>
      <c r="O167" s="81"/>
      <c r="P167" s="82"/>
      <c r="Q167" s="83"/>
      <c r="R167" s="84"/>
      <c r="S167" s="79"/>
      <c r="T167" s="80"/>
      <c r="U167" s="81"/>
      <c r="V167" s="82"/>
      <c r="W167" s="83"/>
      <c r="X167" s="84"/>
      <c r="Y167" s="84"/>
      <c r="Z167" s="84"/>
      <c r="AA167" s="84"/>
      <c r="AB167" s="84"/>
      <c r="AC167" s="84"/>
      <c r="AD167" s="84"/>
      <c r="AE167" s="85"/>
      <c r="AF167" s="86"/>
      <c r="AG167" s="87"/>
      <c r="AH167" s="88"/>
    </row>
    <row r="168" spans="1:34" s="2" customFormat="1" x14ac:dyDescent="0.25">
      <c r="A168" s="155" t="str">
        <f t="shared" si="4"/>
        <v/>
      </c>
      <c r="B168" s="155" t="str">
        <f t="shared" si="5"/>
        <v/>
      </c>
      <c r="C168" s="157"/>
      <c r="D168" s="150"/>
      <c r="E168" s="78"/>
      <c r="F168" s="133"/>
      <c r="G168" s="38"/>
      <c r="H168" s="39"/>
      <c r="I168" s="40"/>
      <c r="J168" s="41"/>
      <c r="K168" s="42"/>
      <c r="L168" s="43"/>
      <c r="M168" s="79"/>
      <c r="N168" s="80"/>
      <c r="O168" s="81"/>
      <c r="P168" s="82"/>
      <c r="Q168" s="83"/>
      <c r="R168" s="84"/>
      <c r="S168" s="79"/>
      <c r="T168" s="80"/>
      <c r="U168" s="81"/>
      <c r="V168" s="82"/>
      <c r="W168" s="83"/>
      <c r="X168" s="84"/>
      <c r="Y168" s="84"/>
      <c r="Z168" s="84"/>
      <c r="AA168" s="84"/>
      <c r="AB168" s="84"/>
      <c r="AC168" s="84"/>
      <c r="AD168" s="84"/>
      <c r="AE168" s="85"/>
      <c r="AF168" s="86"/>
      <c r="AG168" s="87"/>
      <c r="AH168" s="88"/>
    </row>
    <row r="169" spans="1:34" s="2" customFormat="1" x14ac:dyDescent="0.25">
      <c r="A169" s="155" t="str">
        <f t="shared" si="4"/>
        <v/>
      </c>
      <c r="B169" s="155" t="str">
        <f t="shared" si="5"/>
        <v/>
      </c>
      <c r="C169" s="157"/>
      <c r="D169" s="150"/>
      <c r="E169" s="78"/>
      <c r="F169" s="133"/>
      <c r="G169" s="38"/>
      <c r="H169" s="39"/>
      <c r="I169" s="40"/>
      <c r="J169" s="41"/>
      <c r="K169" s="42"/>
      <c r="L169" s="43"/>
      <c r="M169" s="79"/>
      <c r="N169" s="80"/>
      <c r="O169" s="81"/>
      <c r="P169" s="82"/>
      <c r="Q169" s="83"/>
      <c r="R169" s="84"/>
      <c r="S169" s="79"/>
      <c r="T169" s="80"/>
      <c r="U169" s="81"/>
      <c r="V169" s="82"/>
      <c r="W169" s="83"/>
      <c r="X169" s="84"/>
      <c r="Y169" s="84"/>
      <c r="Z169" s="84"/>
      <c r="AA169" s="84"/>
      <c r="AB169" s="84"/>
      <c r="AC169" s="84"/>
      <c r="AD169" s="84"/>
      <c r="AE169" s="85"/>
      <c r="AF169" s="86"/>
      <c r="AG169" s="87"/>
      <c r="AH169" s="88"/>
    </row>
    <row r="170" spans="1:34" x14ac:dyDescent="0.25">
      <c r="A170" s="155" t="str">
        <f t="shared" si="4"/>
        <v/>
      </c>
      <c r="B170" s="155" t="str">
        <f t="shared" si="5"/>
        <v/>
      </c>
      <c r="C170" s="157"/>
      <c r="D170" s="150"/>
      <c r="E170" s="78"/>
      <c r="F170" s="133"/>
      <c r="G170" s="38"/>
      <c r="H170" s="39"/>
      <c r="I170" s="40"/>
      <c r="J170" s="41"/>
      <c r="K170" s="42"/>
      <c r="L170" s="43"/>
      <c r="M170" s="79"/>
      <c r="N170" s="80"/>
      <c r="O170" s="81"/>
      <c r="P170" s="82"/>
      <c r="Q170" s="83"/>
      <c r="R170" s="84"/>
      <c r="S170" s="79"/>
      <c r="T170" s="80"/>
      <c r="U170" s="81"/>
      <c r="V170" s="82"/>
      <c r="W170" s="83"/>
      <c r="X170" s="84"/>
      <c r="Y170" s="84"/>
      <c r="Z170" s="84"/>
      <c r="AA170" s="84"/>
      <c r="AB170" s="84"/>
      <c r="AC170" s="84"/>
      <c r="AD170" s="84"/>
      <c r="AE170" s="85"/>
      <c r="AF170" s="86"/>
      <c r="AG170" s="87"/>
      <c r="AH170" s="88"/>
    </row>
    <row r="171" spans="1:34" x14ac:dyDescent="0.25">
      <c r="A171" s="155" t="str">
        <f t="shared" si="4"/>
        <v/>
      </c>
      <c r="B171" s="155" t="str">
        <f t="shared" si="5"/>
        <v/>
      </c>
      <c r="C171" s="157"/>
      <c r="D171" s="150"/>
      <c r="E171" s="78"/>
      <c r="F171" s="133"/>
      <c r="G171" s="38"/>
      <c r="H171" s="39"/>
      <c r="I171" s="40"/>
      <c r="J171" s="41"/>
      <c r="K171" s="42"/>
      <c r="L171" s="43"/>
      <c r="M171" s="79"/>
      <c r="N171" s="80"/>
      <c r="O171" s="81"/>
      <c r="P171" s="82"/>
      <c r="Q171" s="83"/>
      <c r="R171" s="84"/>
      <c r="S171" s="79"/>
      <c r="T171" s="80"/>
      <c r="U171" s="81"/>
      <c r="V171" s="82"/>
      <c r="W171" s="83"/>
      <c r="X171" s="84"/>
      <c r="Y171" s="84"/>
      <c r="Z171" s="84"/>
      <c r="AA171" s="84"/>
      <c r="AB171" s="84"/>
      <c r="AC171" s="84"/>
      <c r="AD171" s="84"/>
      <c r="AE171" s="85"/>
      <c r="AF171" s="86"/>
      <c r="AG171" s="87"/>
      <c r="AH171" s="88"/>
    </row>
    <row r="172" spans="1:34" x14ac:dyDescent="0.25">
      <c r="A172" s="155" t="str">
        <f t="shared" si="4"/>
        <v/>
      </c>
      <c r="B172" s="155" t="str">
        <f t="shared" si="5"/>
        <v/>
      </c>
      <c r="C172" s="157"/>
      <c r="D172" s="150"/>
      <c r="E172" s="78"/>
      <c r="F172" s="133"/>
      <c r="G172" s="38"/>
      <c r="H172" s="39"/>
      <c r="I172" s="40"/>
      <c r="J172" s="41"/>
      <c r="K172" s="42"/>
      <c r="L172" s="43"/>
      <c r="M172" s="79"/>
      <c r="N172" s="80"/>
      <c r="O172" s="81"/>
      <c r="P172" s="82"/>
      <c r="Q172" s="83"/>
      <c r="R172" s="84"/>
      <c r="S172" s="79"/>
      <c r="T172" s="80"/>
      <c r="U172" s="81"/>
      <c r="V172" s="82"/>
      <c r="W172" s="83"/>
      <c r="X172" s="84"/>
      <c r="Y172" s="84"/>
      <c r="Z172" s="84"/>
      <c r="AA172" s="84"/>
      <c r="AB172" s="84"/>
      <c r="AC172" s="84"/>
      <c r="AD172" s="84"/>
      <c r="AE172" s="85"/>
      <c r="AF172" s="86"/>
      <c r="AG172" s="87"/>
      <c r="AH172" s="88"/>
    </row>
    <row r="173" spans="1:34" x14ac:dyDescent="0.25">
      <c r="A173" s="155" t="str">
        <f t="shared" si="4"/>
        <v/>
      </c>
      <c r="B173" s="155" t="str">
        <f t="shared" si="5"/>
        <v/>
      </c>
      <c r="C173" s="157"/>
      <c r="D173" s="150"/>
      <c r="E173" s="78"/>
      <c r="F173" s="133"/>
      <c r="G173" s="38"/>
      <c r="H173" s="39"/>
      <c r="I173" s="40"/>
      <c r="J173" s="41"/>
      <c r="K173" s="42"/>
      <c r="L173" s="43"/>
      <c r="M173" s="79"/>
      <c r="N173" s="80"/>
      <c r="O173" s="81"/>
      <c r="P173" s="82"/>
      <c r="Q173" s="83"/>
      <c r="R173" s="84"/>
      <c r="S173" s="79"/>
      <c r="T173" s="80"/>
      <c r="U173" s="81"/>
      <c r="V173" s="82"/>
      <c r="W173" s="83"/>
      <c r="X173" s="84"/>
      <c r="Y173" s="84"/>
      <c r="Z173" s="84"/>
      <c r="AA173" s="84"/>
      <c r="AB173" s="84"/>
      <c r="AC173" s="84"/>
      <c r="AD173" s="84"/>
      <c r="AE173" s="85"/>
      <c r="AF173" s="86"/>
      <c r="AG173" s="87"/>
      <c r="AH173" s="88"/>
    </row>
    <row r="174" spans="1:34" x14ac:dyDescent="0.25">
      <c r="A174" s="155" t="str">
        <f t="shared" si="4"/>
        <v/>
      </c>
      <c r="B174" s="155" t="str">
        <f t="shared" si="5"/>
        <v/>
      </c>
      <c r="C174" s="157"/>
      <c r="D174" s="150"/>
      <c r="E174" s="78"/>
      <c r="F174" s="133"/>
      <c r="G174" s="38"/>
      <c r="H174" s="39"/>
      <c r="I174" s="40"/>
      <c r="J174" s="41"/>
      <c r="K174" s="42"/>
      <c r="L174" s="43"/>
      <c r="M174" s="79"/>
      <c r="N174" s="80"/>
      <c r="O174" s="81"/>
      <c r="P174" s="82"/>
      <c r="Q174" s="83"/>
      <c r="R174" s="84"/>
      <c r="S174" s="79"/>
      <c r="T174" s="80"/>
      <c r="U174" s="81"/>
      <c r="V174" s="82"/>
      <c r="W174" s="83"/>
      <c r="X174" s="84"/>
      <c r="Y174" s="84"/>
      <c r="Z174" s="84"/>
      <c r="AA174" s="84"/>
      <c r="AB174" s="84"/>
      <c r="AC174" s="84"/>
      <c r="AD174" s="84"/>
      <c r="AE174" s="85"/>
      <c r="AF174" s="86"/>
      <c r="AG174" s="87"/>
      <c r="AH174" s="88"/>
    </row>
    <row r="175" spans="1:34" x14ac:dyDescent="0.25">
      <c r="A175" s="155" t="str">
        <f t="shared" si="4"/>
        <v/>
      </c>
      <c r="B175" s="155" t="str">
        <f t="shared" si="5"/>
        <v/>
      </c>
      <c r="C175" s="157"/>
      <c r="D175" s="150"/>
      <c r="E175" s="78"/>
      <c r="F175" s="133"/>
      <c r="G175" s="38"/>
      <c r="H175" s="39"/>
      <c r="I175" s="40"/>
      <c r="J175" s="41"/>
      <c r="K175" s="42"/>
      <c r="L175" s="43"/>
      <c r="M175" s="79"/>
      <c r="N175" s="80"/>
      <c r="O175" s="81"/>
      <c r="P175" s="82"/>
      <c r="Q175" s="83"/>
      <c r="R175" s="84"/>
      <c r="S175" s="79"/>
      <c r="T175" s="80"/>
      <c r="U175" s="81"/>
      <c r="V175" s="82"/>
      <c r="W175" s="83"/>
      <c r="X175" s="84"/>
      <c r="Y175" s="84"/>
      <c r="Z175" s="84"/>
      <c r="AA175" s="84"/>
      <c r="AB175" s="84"/>
      <c r="AC175" s="84"/>
      <c r="AD175" s="84"/>
      <c r="AE175" s="85"/>
      <c r="AF175" s="86"/>
      <c r="AG175" s="87"/>
      <c r="AH175" s="88"/>
    </row>
    <row r="176" spans="1:34" x14ac:dyDescent="0.25">
      <c r="A176" s="155" t="str">
        <f t="shared" si="4"/>
        <v/>
      </c>
      <c r="B176" s="155" t="str">
        <f t="shared" si="5"/>
        <v/>
      </c>
      <c r="C176" s="157"/>
      <c r="D176" s="150"/>
      <c r="E176" s="78"/>
      <c r="F176" s="133"/>
      <c r="G176" s="38"/>
      <c r="H176" s="39"/>
      <c r="I176" s="40"/>
      <c r="J176" s="41"/>
      <c r="K176" s="42"/>
      <c r="L176" s="43"/>
      <c r="M176" s="79"/>
      <c r="N176" s="80"/>
      <c r="O176" s="81"/>
      <c r="P176" s="82"/>
      <c r="Q176" s="83"/>
      <c r="R176" s="84"/>
      <c r="S176" s="79"/>
      <c r="T176" s="80"/>
      <c r="U176" s="81"/>
      <c r="V176" s="82"/>
      <c r="W176" s="83"/>
      <c r="X176" s="84"/>
      <c r="Y176" s="84"/>
      <c r="Z176" s="84"/>
      <c r="AA176" s="84"/>
      <c r="AB176" s="84"/>
      <c r="AC176" s="84"/>
      <c r="AD176" s="84"/>
      <c r="AE176" s="85"/>
      <c r="AF176" s="86"/>
      <c r="AG176" s="87"/>
      <c r="AH176" s="88"/>
    </row>
    <row r="177" spans="1:34" x14ac:dyDescent="0.25">
      <c r="A177" s="155" t="str">
        <f t="shared" si="4"/>
        <v/>
      </c>
      <c r="B177" s="155" t="str">
        <f t="shared" si="5"/>
        <v/>
      </c>
      <c r="C177" s="157"/>
      <c r="D177" s="150"/>
      <c r="E177" s="78"/>
      <c r="F177" s="133"/>
      <c r="G177" s="38"/>
      <c r="H177" s="39"/>
      <c r="I177" s="40"/>
      <c r="J177" s="41"/>
      <c r="K177" s="42"/>
      <c r="L177" s="43"/>
      <c r="M177" s="79"/>
      <c r="N177" s="80"/>
      <c r="O177" s="81"/>
      <c r="P177" s="82"/>
      <c r="Q177" s="83"/>
      <c r="R177" s="84"/>
      <c r="S177" s="79"/>
      <c r="T177" s="80"/>
      <c r="U177" s="81"/>
      <c r="V177" s="82"/>
      <c r="W177" s="83"/>
      <c r="X177" s="84"/>
      <c r="Y177" s="84"/>
      <c r="Z177" s="84"/>
      <c r="AA177" s="84"/>
      <c r="AB177" s="84"/>
      <c r="AC177" s="84"/>
      <c r="AD177" s="84"/>
      <c r="AE177" s="85"/>
      <c r="AF177" s="86"/>
      <c r="AG177" s="87"/>
      <c r="AH177" s="88"/>
    </row>
    <row r="178" spans="1:34" x14ac:dyDescent="0.25">
      <c r="A178" s="155" t="str">
        <f t="shared" si="4"/>
        <v/>
      </c>
      <c r="B178" s="155" t="str">
        <f t="shared" si="5"/>
        <v/>
      </c>
      <c r="C178" s="157"/>
      <c r="D178" s="150"/>
      <c r="E178" s="78"/>
      <c r="F178" s="133"/>
      <c r="G178" s="38"/>
      <c r="H178" s="39"/>
      <c r="I178" s="40"/>
      <c r="J178" s="41"/>
      <c r="K178" s="42"/>
      <c r="L178" s="43"/>
      <c r="M178" s="79"/>
      <c r="N178" s="80"/>
      <c r="O178" s="81"/>
      <c r="P178" s="82"/>
      <c r="Q178" s="83"/>
      <c r="R178" s="84"/>
      <c r="S178" s="79"/>
      <c r="T178" s="80"/>
      <c r="U178" s="81"/>
      <c r="V178" s="82"/>
      <c r="W178" s="83"/>
      <c r="X178" s="84"/>
      <c r="Y178" s="84"/>
      <c r="Z178" s="84"/>
      <c r="AA178" s="84"/>
      <c r="AB178" s="84"/>
      <c r="AC178" s="84"/>
      <c r="AD178" s="84"/>
      <c r="AE178" s="85"/>
      <c r="AF178" s="86"/>
      <c r="AG178" s="87"/>
      <c r="AH178" s="88"/>
    </row>
    <row r="179" spans="1:34" x14ac:dyDescent="0.25">
      <c r="A179" s="155" t="str">
        <f t="shared" si="4"/>
        <v/>
      </c>
      <c r="B179" s="155" t="str">
        <f t="shared" si="5"/>
        <v/>
      </c>
      <c r="C179" s="157"/>
      <c r="D179" s="150"/>
      <c r="E179" s="78"/>
      <c r="F179" s="133"/>
      <c r="G179" s="38"/>
      <c r="H179" s="39"/>
      <c r="I179" s="40"/>
      <c r="J179" s="41"/>
      <c r="K179" s="42"/>
      <c r="L179" s="43"/>
      <c r="M179" s="79"/>
      <c r="N179" s="80"/>
      <c r="O179" s="81"/>
      <c r="P179" s="82"/>
      <c r="Q179" s="83"/>
      <c r="R179" s="84"/>
      <c r="S179" s="79"/>
      <c r="T179" s="80"/>
      <c r="U179" s="81"/>
      <c r="V179" s="82"/>
      <c r="W179" s="83"/>
      <c r="X179" s="84"/>
      <c r="Y179" s="84"/>
      <c r="Z179" s="84"/>
      <c r="AA179" s="84"/>
      <c r="AB179" s="84"/>
      <c r="AC179" s="84"/>
      <c r="AD179" s="84"/>
      <c r="AE179" s="85"/>
      <c r="AF179" s="86"/>
      <c r="AG179" s="87"/>
      <c r="AH179" s="88"/>
    </row>
    <row r="180" spans="1:34" x14ac:dyDescent="0.25">
      <c r="A180" s="155" t="str">
        <f t="shared" si="4"/>
        <v/>
      </c>
      <c r="B180" s="155" t="str">
        <f t="shared" si="5"/>
        <v/>
      </c>
      <c r="C180" s="157"/>
      <c r="D180" s="150"/>
      <c r="E180" s="78"/>
      <c r="F180" s="133"/>
      <c r="G180" s="38"/>
      <c r="H180" s="39"/>
      <c r="I180" s="40"/>
      <c r="J180" s="41"/>
      <c r="K180" s="42"/>
      <c r="L180" s="43"/>
      <c r="M180" s="79"/>
      <c r="N180" s="80"/>
      <c r="O180" s="81"/>
      <c r="P180" s="82"/>
      <c r="Q180" s="83"/>
      <c r="R180" s="84"/>
      <c r="S180" s="79"/>
      <c r="T180" s="80"/>
      <c r="U180" s="81"/>
      <c r="V180" s="82"/>
      <c r="W180" s="83"/>
      <c r="X180" s="84"/>
      <c r="Y180" s="84"/>
      <c r="Z180" s="84"/>
      <c r="AA180" s="84"/>
      <c r="AB180" s="84"/>
      <c r="AC180" s="84"/>
      <c r="AD180" s="84"/>
      <c r="AE180" s="85"/>
      <c r="AF180" s="86"/>
      <c r="AG180" s="87"/>
      <c r="AH180" s="88"/>
    </row>
    <row r="181" spans="1:34" x14ac:dyDescent="0.25">
      <c r="A181" s="155" t="str">
        <f t="shared" si="4"/>
        <v/>
      </c>
      <c r="B181" s="155" t="str">
        <f t="shared" si="5"/>
        <v/>
      </c>
      <c r="C181" s="157"/>
      <c r="D181" s="150"/>
      <c r="E181" s="78"/>
      <c r="F181" s="133"/>
      <c r="G181" s="38"/>
      <c r="H181" s="39"/>
      <c r="I181" s="40"/>
      <c r="J181" s="41"/>
      <c r="K181" s="42"/>
      <c r="L181" s="43"/>
      <c r="M181" s="79"/>
      <c r="N181" s="80"/>
      <c r="O181" s="81"/>
      <c r="P181" s="82"/>
      <c r="Q181" s="83"/>
      <c r="R181" s="84"/>
      <c r="S181" s="79"/>
      <c r="T181" s="80"/>
      <c r="U181" s="81"/>
      <c r="V181" s="82"/>
      <c r="W181" s="83"/>
      <c r="X181" s="84"/>
      <c r="Y181" s="84"/>
      <c r="Z181" s="84"/>
      <c r="AA181" s="84"/>
      <c r="AB181" s="84"/>
      <c r="AC181" s="84"/>
      <c r="AD181" s="84"/>
      <c r="AE181" s="85"/>
      <c r="AF181" s="86"/>
      <c r="AG181" s="87"/>
      <c r="AH181" s="88"/>
    </row>
    <row r="182" spans="1:34" x14ac:dyDescent="0.25">
      <c r="A182" s="155" t="str">
        <f t="shared" si="4"/>
        <v/>
      </c>
      <c r="B182" s="155" t="str">
        <f t="shared" si="5"/>
        <v/>
      </c>
      <c r="C182" s="157"/>
      <c r="D182" s="150"/>
      <c r="E182" s="78"/>
      <c r="F182" s="133"/>
      <c r="G182" s="38"/>
      <c r="H182" s="39"/>
      <c r="I182" s="40"/>
      <c r="J182" s="41"/>
      <c r="K182" s="42"/>
      <c r="L182" s="43"/>
      <c r="M182" s="79"/>
      <c r="N182" s="80"/>
      <c r="O182" s="81"/>
      <c r="P182" s="82"/>
      <c r="Q182" s="83"/>
      <c r="R182" s="84"/>
      <c r="S182" s="79"/>
      <c r="T182" s="80"/>
      <c r="U182" s="81"/>
      <c r="V182" s="82"/>
      <c r="W182" s="83"/>
      <c r="X182" s="84"/>
      <c r="Y182" s="84"/>
      <c r="Z182" s="84"/>
      <c r="AA182" s="84"/>
      <c r="AB182" s="84"/>
      <c r="AC182" s="84"/>
      <c r="AD182" s="84"/>
      <c r="AE182" s="85"/>
      <c r="AF182" s="86"/>
      <c r="AG182" s="87"/>
      <c r="AH182" s="88"/>
    </row>
    <row r="183" spans="1:34" x14ac:dyDescent="0.25">
      <c r="A183" s="155" t="str">
        <f t="shared" si="4"/>
        <v/>
      </c>
      <c r="B183" s="155" t="str">
        <f t="shared" si="5"/>
        <v/>
      </c>
      <c r="C183" s="157"/>
      <c r="D183" s="150"/>
      <c r="E183" s="78"/>
      <c r="F183" s="133"/>
      <c r="G183" s="38"/>
      <c r="H183" s="39"/>
      <c r="I183" s="40"/>
      <c r="J183" s="41"/>
      <c r="K183" s="42"/>
      <c r="L183" s="43"/>
      <c r="M183" s="79"/>
      <c r="N183" s="80"/>
      <c r="O183" s="81"/>
      <c r="P183" s="82"/>
      <c r="Q183" s="83"/>
      <c r="R183" s="84"/>
      <c r="S183" s="79"/>
      <c r="T183" s="80"/>
      <c r="U183" s="81"/>
      <c r="V183" s="82"/>
      <c r="W183" s="83"/>
      <c r="X183" s="84"/>
      <c r="Y183" s="84"/>
      <c r="Z183" s="84"/>
      <c r="AA183" s="84"/>
      <c r="AB183" s="84"/>
      <c r="AC183" s="84"/>
      <c r="AD183" s="84"/>
      <c r="AE183" s="85"/>
      <c r="AF183" s="86"/>
      <c r="AG183" s="87"/>
      <c r="AH183" s="88"/>
    </row>
    <row r="184" spans="1:34" x14ac:dyDescent="0.25">
      <c r="A184" s="155" t="str">
        <f t="shared" si="4"/>
        <v/>
      </c>
      <c r="B184" s="155" t="str">
        <f t="shared" si="5"/>
        <v/>
      </c>
      <c r="C184" s="157"/>
      <c r="D184" s="150"/>
      <c r="E184" s="78"/>
      <c r="F184" s="133"/>
      <c r="G184" s="38"/>
      <c r="H184" s="39"/>
      <c r="I184" s="40"/>
      <c r="J184" s="41"/>
      <c r="K184" s="42"/>
      <c r="L184" s="43"/>
      <c r="M184" s="79"/>
      <c r="N184" s="80"/>
      <c r="O184" s="81"/>
      <c r="P184" s="82"/>
      <c r="Q184" s="83"/>
      <c r="R184" s="84"/>
      <c r="S184" s="79"/>
      <c r="T184" s="80"/>
      <c r="U184" s="81"/>
      <c r="V184" s="82"/>
      <c r="W184" s="83"/>
      <c r="X184" s="84"/>
      <c r="Y184" s="84"/>
      <c r="Z184" s="84"/>
      <c r="AA184" s="84"/>
      <c r="AB184" s="84"/>
      <c r="AC184" s="84"/>
      <c r="AD184" s="84"/>
      <c r="AE184" s="85"/>
      <c r="AF184" s="86"/>
      <c r="AG184" s="87"/>
      <c r="AH184" s="88"/>
    </row>
    <row r="185" spans="1:34" x14ac:dyDescent="0.25">
      <c r="A185" s="155" t="str">
        <f t="shared" si="4"/>
        <v/>
      </c>
      <c r="B185" s="155" t="str">
        <f t="shared" si="5"/>
        <v/>
      </c>
      <c r="C185" s="157"/>
      <c r="D185" s="150"/>
      <c r="E185" s="78"/>
      <c r="F185" s="133"/>
      <c r="G185" s="38"/>
      <c r="H185" s="39"/>
      <c r="I185" s="40"/>
      <c r="J185" s="41"/>
      <c r="K185" s="42"/>
      <c r="L185" s="43"/>
      <c r="M185" s="79"/>
      <c r="N185" s="80"/>
      <c r="O185" s="81"/>
      <c r="P185" s="82"/>
      <c r="Q185" s="83"/>
      <c r="R185" s="84"/>
      <c r="S185" s="79"/>
      <c r="T185" s="80"/>
      <c r="U185" s="81"/>
      <c r="V185" s="82"/>
      <c r="W185" s="83"/>
      <c r="X185" s="84"/>
      <c r="Y185" s="84"/>
      <c r="Z185" s="84"/>
      <c r="AA185" s="84"/>
      <c r="AB185" s="84"/>
      <c r="AC185" s="84"/>
      <c r="AD185" s="84"/>
      <c r="AE185" s="85"/>
      <c r="AF185" s="86"/>
      <c r="AG185" s="87"/>
      <c r="AH185" s="88"/>
    </row>
    <row r="186" spans="1:34" x14ac:dyDescent="0.25">
      <c r="A186" s="155" t="str">
        <f t="shared" si="4"/>
        <v/>
      </c>
      <c r="B186" s="155" t="str">
        <f t="shared" si="5"/>
        <v/>
      </c>
      <c r="C186" s="157"/>
      <c r="D186" s="150"/>
      <c r="E186" s="78"/>
      <c r="F186" s="133"/>
      <c r="G186" s="38"/>
      <c r="H186" s="39"/>
      <c r="I186" s="40"/>
      <c r="J186" s="41"/>
      <c r="K186" s="42"/>
      <c r="L186" s="43"/>
      <c r="M186" s="79"/>
      <c r="N186" s="80"/>
      <c r="O186" s="81"/>
      <c r="P186" s="82"/>
      <c r="Q186" s="83"/>
      <c r="R186" s="84"/>
      <c r="S186" s="79"/>
      <c r="T186" s="80"/>
      <c r="U186" s="81"/>
      <c r="V186" s="82"/>
      <c r="W186" s="83"/>
      <c r="X186" s="84"/>
      <c r="Y186" s="84"/>
      <c r="Z186" s="84"/>
      <c r="AA186" s="84"/>
      <c r="AB186" s="84"/>
      <c r="AC186" s="84"/>
      <c r="AD186" s="84"/>
      <c r="AE186" s="85"/>
      <c r="AF186" s="86"/>
      <c r="AG186" s="87"/>
      <c r="AH186" s="88"/>
    </row>
    <row r="187" spans="1:34" x14ac:dyDescent="0.25">
      <c r="A187" s="155" t="str">
        <f t="shared" si="4"/>
        <v/>
      </c>
      <c r="B187" s="155" t="str">
        <f t="shared" si="5"/>
        <v/>
      </c>
      <c r="C187" s="157"/>
      <c r="D187" s="150"/>
      <c r="E187" s="78"/>
      <c r="F187" s="133"/>
      <c r="G187" s="38"/>
      <c r="H187" s="39"/>
      <c r="I187" s="40"/>
      <c r="J187" s="41"/>
      <c r="K187" s="42"/>
      <c r="L187" s="43"/>
      <c r="M187" s="79"/>
      <c r="N187" s="80"/>
      <c r="O187" s="81"/>
      <c r="P187" s="82"/>
      <c r="Q187" s="83"/>
      <c r="R187" s="84"/>
      <c r="S187" s="79"/>
      <c r="T187" s="80"/>
      <c r="U187" s="81"/>
      <c r="V187" s="82"/>
      <c r="W187" s="83"/>
      <c r="X187" s="84"/>
      <c r="Y187" s="84"/>
      <c r="Z187" s="84"/>
      <c r="AA187" s="84"/>
      <c r="AB187" s="84"/>
      <c r="AC187" s="84"/>
      <c r="AD187" s="84"/>
      <c r="AE187" s="85"/>
      <c r="AF187" s="86"/>
      <c r="AG187" s="87"/>
      <c r="AH187" s="88"/>
    </row>
    <row r="188" spans="1:34" x14ac:dyDescent="0.25">
      <c r="A188" s="155" t="str">
        <f t="shared" si="4"/>
        <v/>
      </c>
      <c r="B188" s="155" t="str">
        <f t="shared" si="5"/>
        <v/>
      </c>
      <c r="C188" s="157"/>
      <c r="D188" s="150"/>
      <c r="E188" s="78"/>
      <c r="F188" s="133"/>
      <c r="G188" s="38"/>
      <c r="H188" s="39"/>
      <c r="I188" s="40"/>
      <c r="J188" s="41"/>
      <c r="K188" s="42"/>
      <c r="L188" s="43"/>
      <c r="M188" s="79"/>
      <c r="N188" s="80"/>
      <c r="O188" s="81"/>
      <c r="P188" s="82"/>
      <c r="Q188" s="83"/>
      <c r="R188" s="84"/>
      <c r="S188" s="79"/>
      <c r="T188" s="80"/>
      <c r="U188" s="81"/>
      <c r="V188" s="82"/>
      <c r="W188" s="83"/>
      <c r="X188" s="84"/>
      <c r="Y188" s="84"/>
      <c r="Z188" s="84"/>
      <c r="AA188" s="84"/>
      <c r="AB188" s="84"/>
      <c r="AC188" s="84"/>
      <c r="AD188" s="84"/>
      <c r="AE188" s="85"/>
      <c r="AF188" s="86"/>
      <c r="AG188" s="87"/>
      <c r="AH188" s="88"/>
    </row>
    <row r="189" spans="1:34" x14ac:dyDescent="0.25">
      <c r="A189" s="155" t="str">
        <f t="shared" si="4"/>
        <v/>
      </c>
      <c r="B189" s="155" t="str">
        <f t="shared" si="5"/>
        <v/>
      </c>
      <c r="C189" s="157"/>
      <c r="D189" s="150"/>
      <c r="E189" s="78"/>
      <c r="F189" s="133"/>
      <c r="G189" s="38"/>
      <c r="H189" s="39"/>
      <c r="I189" s="40"/>
      <c r="J189" s="41"/>
      <c r="K189" s="42"/>
      <c r="L189" s="43"/>
      <c r="M189" s="79"/>
      <c r="N189" s="80"/>
      <c r="O189" s="81"/>
      <c r="P189" s="82"/>
      <c r="Q189" s="83"/>
      <c r="R189" s="84"/>
      <c r="S189" s="79"/>
      <c r="T189" s="80"/>
      <c r="U189" s="81"/>
      <c r="V189" s="82"/>
      <c r="W189" s="83"/>
      <c r="X189" s="84"/>
      <c r="Y189" s="84"/>
      <c r="Z189" s="84"/>
      <c r="AA189" s="84"/>
      <c r="AB189" s="84"/>
      <c r="AC189" s="84"/>
      <c r="AD189" s="84"/>
      <c r="AE189" s="85"/>
      <c r="AF189" s="86"/>
      <c r="AG189" s="87"/>
      <c r="AH189" s="88"/>
    </row>
    <row r="190" spans="1:34" x14ac:dyDescent="0.25">
      <c r="A190" s="155" t="str">
        <f t="shared" si="4"/>
        <v/>
      </c>
      <c r="B190" s="155" t="str">
        <f t="shared" si="5"/>
        <v/>
      </c>
      <c r="C190" s="157"/>
      <c r="D190" s="150"/>
      <c r="E190" s="78"/>
      <c r="F190" s="133"/>
      <c r="G190" s="38"/>
      <c r="H190" s="39"/>
      <c r="I190" s="40"/>
      <c r="J190" s="41"/>
      <c r="K190" s="42"/>
      <c r="L190" s="43"/>
      <c r="M190" s="79"/>
      <c r="N190" s="80"/>
      <c r="O190" s="81"/>
      <c r="P190" s="82"/>
      <c r="Q190" s="83"/>
      <c r="R190" s="84"/>
      <c r="S190" s="79"/>
      <c r="T190" s="80"/>
      <c r="U190" s="81"/>
      <c r="V190" s="82"/>
      <c r="W190" s="83"/>
      <c r="X190" s="84"/>
      <c r="Y190" s="84"/>
      <c r="Z190" s="84"/>
      <c r="AA190" s="84"/>
      <c r="AB190" s="84"/>
      <c r="AC190" s="84"/>
      <c r="AD190" s="84"/>
      <c r="AE190" s="85"/>
      <c r="AF190" s="86"/>
      <c r="AG190" s="87"/>
      <c r="AH190" s="88"/>
    </row>
    <row r="191" spans="1:34" x14ac:dyDescent="0.25">
      <c r="A191" s="155" t="str">
        <f t="shared" si="4"/>
        <v/>
      </c>
      <c r="B191" s="155" t="str">
        <f t="shared" si="5"/>
        <v/>
      </c>
      <c r="C191" s="157"/>
      <c r="D191" s="150"/>
      <c r="E191" s="78"/>
      <c r="F191" s="133"/>
      <c r="G191" s="38"/>
      <c r="H191" s="39"/>
      <c r="I191" s="40"/>
      <c r="J191" s="41"/>
      <c r="K191" s="42"/>
      <c r="L191" s="43"/>
      <c r="M191" s="79"/>
      <c r="N191" s="80"/>
      <c r="O191" s="81"/>
      <c r="P191" s="82"/>
      <c r="Q191" s="83"/>
      <c r="R191" s="84"/>
      <c r="S191" s="79"/>
      <c r="T191" s="80"/>
      <c r="U191" s="81"/>
      <c r="V191" s="82"/>
      <c r="W191" s="83"/>
      <c r="X191" s="84"/>
      <c r="Y191" s="84"/>
      <c r="Z191" s="84"/>
      <c r="AA191" s="84"/>
      <c r="AB191" s="84"/>
      <c r="AC191" s="84"/>
      <c r="AD191" s="84"/>
      <c r="AE191" s="85"/>
      <c r="AF191" s="86"/>
      <c r="AG191" s="87"/>
      <c r="AH191" s="88"/>
    </row>
    <row r="192" spans="1:34" x14ac:dyDescent="0.25">
      <c r="A192" s="155" t="str">
        <f t="shared" si="4"/>
        <v/>
      </c>
      <c r="B192" s="155" t="str">
        <f t="shared" si="5"/>
        <v/>
      </c>
      <c r="C192" s="157"/>
      <c r="D192" s="150"/>
      <c r="E192" s="78"/>
      <c r="F192" s="133"/>
      <c r="G192" s="38"/>
      <c r="H192" s="39"/>
      <c r="I192" s="40"/>
      <c r="J192" s="41"/>
      <c r="K192" s="42"/>
      <c r="L192" s="43"/>
      <c r="M192" s="79"/>
      <c r="N192" s="80"/>
      <c r="O192" s="81"/>
      <c r="P192" s="82"/>
      <c r="Q192" s="83"/>
      <c r="R192" s="84"/>
      <c r="S192" s="79"/>
      <c r="T192" s="80"/>
      <c r="U192" s="81"/>
      <c r="V192" s="82"/>
      <c r="W192" s="83"/>
      <c r="X192" s="84"/>
      <c r="Y192" s="84"/>
      <c r="Z192" s="84"/>
      <c r="AA192" s="84"/>
      <c r="AB192" s="84"/>
      <c r="AC192" s="84"/>
      <c r="AD192" s="84"/>
      <c r="AE192" s="85"/>
      <c r="AF192" s="86"/>
      <c r="AG192" s="87"/>
      <c r="AH192" s="88"/>
    </row>
    <row r="193" spans="1:34" x14ac:dyDescent="0.25">
      <c r="A193" s="155" t="str">
        <f t="shared" si="4"/>
        <v/>
      </c>
      <c r="B193" s="155" t="str">
        <f t="shared" si="5"/>
        <v/>
      </c>
      <c r="C193" s="157"/>
      <c r="D193" s="150"/>
      <c r="E193" s="78"/>
      <c r="F193" s="133"/>
      <c r="G193" s="38"/>
      <c r="H193" s="39"/>
      <c r="I193" s="40"/>
      <c r="J193" s="41"/>
      <c r="K193" s="42"/>
      <c r="L193" s="43"/>
      <c r="M193" s="79"/>
      <c r="N193" s="80"/>
      <c r="O193" s="81"/>
      <c r="P193" s="82"/>
      <c r="Q193" s="83"/>
      <c r="R193" s="84"/>
      <c r="S193" s="79"/>
      <c r="T193" s="80"/>
      <c r="U193" s="81"/>
      <c r="V193" s="82"/>
      <c r="W193" s="83"/>
      <c r="X193" s="84"/>
      <c r="Y193" s="84"/>
      <c r="Z193" s="84"/>
      <c r="AA193" s="84"/>
      <c r="AB193" s="84"/>
      <c r="AC193" s="84"/>
      <c r="AD193" s="84"/>
      <c r="AE193" s="85"/>
      <c r="AF193" s="86"/>
      <c r="AG193" s="87"/>
      <c r="AH193" s="88"/>
    </row>
    <row r="194" spans="1:34" x14ac:dyDescent="0.25">
      <c r="A194" s="155" t="str">
        <f t="shared" si="4"/>
        <v/>
      </c>
      <c r="B194" s="155" t="str">
        <f t="shared" si="5"/>
        <v/>
      </c>
      <c r="C194" s="157"/>
      <c r="D194" s="150"/>
      <c r="E194" s="78"/>
      <c r="F194" s="133"/>
      <c r="G194" s="38"/>
      <c r="H194" s="39"/>
      <c r="I194" s="40"/>
      <c r="J194" s="41"/>
      <c r="K194" s="42"/>
      <c r="L194" s="43"/>
      <c r="M194" s="79"/>
      <c r="N194" s="80"/>
      <c r="O194" s="81"/>
      <c r="P194" s="82"/>
      <c r="Q194" s="83"/>
      <c r="R194" s="84"/>
      <c r="S194" s="79"/>
      <c r="T194" s="80"/>
      <c r="U194" s="81"/>
      <c r="V194" s="82"/>
      <c r="W194" s="83"/>
      <c r="X194" s="84"/>
      <c r="Y194" s="84"/>
      <c r="Z194" s="84"/>
      <c r="AA194" s="84"/>
      <c r="AB194" s="84"/>
      <c r="AC194" s="84"/>
      <c r="AD194" s="84"/>
      <c r="AE194" s="85"/>
      <c r="AF194" s="86"/>
      <c r="AG194" s="87"/>
      <c r="AH194" s="88"/>
    </row>
    <row r="195" spans="1:34" x14ac:dyDescent="0.25">
      <c r="A195" s="155" t="str">
        <f t="shared" si="4"/>
        <v/>
      </c>
      <c r="B195" s="155" t="str">
        <f t="shared" si="5"/>
        <v/>
      </c>
      <c r="C195" s="157"/>
      <c r="D195" s="150"/>
      <c r="E195" s="78"/>
      <c r="F195" s="133"/>
      <c r="G195" s="38"/>
      <c r="H195" s="39"/>
      <c r="I195" s="40"/>
      <c r="J195" s="41"/>
      <c r="K195" s="42"/>
      <c r="L195" s="43"/>
      <c r="M195" s="79"/>
      <c r="N195" s="80"/>
      <c r="O195" s="81"/>
      <c r="P195" s="82"/>
      <c r="Q195" s="83"/>
      <c r="R195" s="84"/>
      <c r="S195" s="79"/>
      <c r="T195" s="80"/>
      <c r="U195" s="81"/>
      <c r="V195" s="82"/>
      <c r="W195" s="83"/>
      <c r="X195" s="84"/>
      <c r="Y195" s="84"/>
      <c r="Z195" s="84"/>
      <c r="AA195" s="84"/>
      <c r="AB195" s="84"/>
      <c r="AC195" s="84"/>
      <c r="AD195" s="84"/>
      <c r="AE195" s="85"/>
      <c r="AF195" s="86"/>
      <c r="AG195" s="87"/>
      <c r="AH195" s="88"/>
    </row>
    <row r="196" spans="1:34" x14ac:dyDescent="0.25">
      <c r="A196" s="155" t="str">
        <f t="shared" si="4"/>
        <v/>
      </c>
      <c r="B196" s="155" t="str">
        <f t="shared" si="5"/>
        <v/>
      </c>
      <c r="C196" s="157"/>
      <c r="D196" s="150"/>
      <c r="E196" s="78"/>
      <c r="F196" s="133"/>
      <c r="G196" s="38"/>
      <c r="H196" s="39"/>
      <c r="I196" s="40"/>
      <c r="J196" s="41"/>
      <c r="K196" s="42"/>
      <c r="L196" s="43"/>
      <c r="M196" s="79"/>
      <c r="N196" s="80"/>
      <c r="O196" s="81"/>
      <c r="P196" s="82"/>
      <c r="Q196" s="83"/>
      <c r="R196" s="84"/>
      <c r="S196" s="79"/>
      <c r="T196" s="80"/>
      <c r="U196" s="81"/>
      <c r="V196" s="82"/>
      <c r="W196" s="83"/>
      <c r="X196" s="84"/>
      <c r="Y196" s="84"/>
      <c r="Z196" s="84"/>
      <c r="AA196" s="84"/>
      <c r="AB196" s="84"/>
      <c r="AC196" s="84"/>
      <c r="AD196" s="84"/>
      <c r="AE196" s="85"/>
      <c r="AF196" s="86"/>
      <c r="AG196" s="87"/>
      <c r="AH196" s="88"/>
    </row>
    <row r="197" spans="1:34" x14ac:dyDescent="0.25">
      <c r="A197" s="155" t="str">
        <f t="shared" si="4"/>
        <v/>
      </c>
      <c r="B197" s="155" t="str">
        <f t="shared" si="5"/>
        <v/>
      </c>
      <c r="C197" s="157"/>
      <c r="D197" s="150"/>
      <c r="E197" s="78"/>
      <c r="F197" s="133"/>
      <c r="G197" s="38"/>
      <c r="H197" s="39"/>
      <c r="I197" s="40"/>
      <c r="J197" s="41"/>
      <c r="K197" s="42"/>
      <c r="L197" s="43"/>
      <c r="M197" s="79"/>
      <c r="N197" s="80"/>
      <c r="O197" s="81"/>
      <c r="P197" s="82"/>
      <c r="Q197" s="83"/>
      <c r="R197" s="84"/>
      <c r="S197" s="79"/>
      <c r="T197" s="80"/>
      <c r="U197" s="81"/>
      <c r="V197" s="82"/>
      <c r="W197" s="83"/>
      <c r="X197" s="84"/>
      <c r="Y197" s="84"/>
      <c r="Z197" s="84"/>
      <c r="AA197" s="84"/>
      <c r="AB197" s="84"/>
      <c r="AC197" s="84"/>
      <c r="AD197" s="84"/>
      <c r="AE197" s="85"/>
      <c r="AF197" s="86"/>
      <c r="AG197" s="87"/>
      <c r="AH197" s="88"/>
    </row>
    <row r="198" spans="1:34" x14ac:dyDescent="0.25">
      <c r="A198" s="155" t="str">
        <f t="shared" ref="A198:A261" si="6">IF(COUNTIF(S198:X198,"&gt;0")=0,"",COUNTIF(S198:X198,"&gt;0"))</f>
        <v/>
      </c>
      <c r="B198" s="155" t="str">
        <f t="shared" ref="B198:B261" si="7">IF(A198="","",COUNTA(G198:L198)-A198)</f>
        <v/>
      </c>
      <c r="C198" s="157"/>
      <c r="D198" s="150"/>
      <c r="E198" s="78"/>
      <c r="F198" s="133"/>
      <c r="G198" s="38"/>
      <c r="H198" s="39"/>
      <c r="I198" s="40"/>
      <c r="J198" s="41"/>
      <c r="K198" s="42"/>
      <c r="L198" s="43"/>
      <c r="M198" s="79"/>
      <c r="N198" s="80"/>
      <c r="O198" s="81"/>
      <c r="P198" s="82"/>
      <c r="Q198" s="83"/>
      <c r="R198" s="84"/>
      <c r="S198" s="79"/>
      <c r="T198" s="80"/>
      <c r="U198" s="81"/>
      <c r="V198" s="82"/>
      <c r="W198" s="83"/>
      <c r="X198" s="84"/>
      <c r="Y198" s="84"/>
      <c r="Z198" s="84"/>
      <c r="AA198" s="84"/>
      <c r="AB198" s="84"/>
      <c r="AC198" s="84"/>
      <c r="AD198" s="84"/>
      <c r="AE198" s="85"/>
      <c r="AF198" s="86"/>
      <c r="AG198" s="87"/>
      <c r="AH198" s="88"/>
    </row>
    <row r="199" spans="1:34" x14ac:dyDescent="0.25">
      <c r="A199" s="155" t="str">
        <f t="shared" si="6"/>
        <v/>
      </c>
      <c r="B199" s="155" t="str">
        <f t="shared" si="7"/>
        <v/>
      </c>
      <c r="C199" s="157"/>
      <c r="D199" s="150"/>
      <c r="E199" s="78"/>
      <c r="F199" s="133"/>
      <c r="G199" s="38"/>
      <c r="H199" s="39"/>
      <c r="I199" s="40"/>
      <c r="J199" s="41"/>
      <c r="K199" s="42"/>
      <c r="L199" s="43"/>
      <c r="M199" s="79"/>
      <c r="N199" s="80"/>
      <c r="O199" s="81"/>
      <c r="P199" s="82"/>
      <c r="Q199" s="83"/>
      <c r="R199" s="84"/>
      <c r="S199" s="79"/>
      <c r="T199" s="80"/>
      <c r="U199" s="81"/>
      <c r="V199" s="82"/>
      <c r="W199" s="83"/>
      <c r="X199" s="84"/>
      <c r="Y199" s="84"/>
      <c r="Z199" s="84"/>
      <c r="AA199" s="84"/>
      <c r="AB199" s="84"/>
      <c r="AC199" s="84"/>
      <c r="AD199" s="84"/>
      <c r="AE199" s="85"/>
      <c r="AF199" s="86"/>
      <c r="AG199" s="87"/>
      <c r="AH199" s="88"/>
    </row>
    <row r="200" spans="1:34" x14ac:dyDescent="0.25">
      <c r="A200" s="155" t="str">
        <f t="shared" si="6"/>
        <v/>
      </c>
      <c r="B200" s="155" t="str">
        <f t="shared" si="7"/>
        <v/>
      </c>
      <c r="C200" s="157"/>
      <c r="D200" s="150"/>
      <c r="E200" s="78"/>
      <c r="F200" s="133"/>
      <c r="G200" s="38"/>
      <c r="H200" s="39"/>
      <c r="I200" s="40"/>
      <c r="J200" s="41"/>
      <c r="K200" s="42"/>
      <c r="L200" s="43"/>
      <c r="M200" s="79"/>
      <c r="N200" s="80"/>
      <c r="O200" s="81"/>
      <c r="P200" s="82"/>
      <c r="Q200" s="83"/>
      <c r="R200" s="84"/>
      <c r="S200" s="79"/>
      <c r="T200" s="80"/>
      <c r="U200" s="81"/>
      <c r="V200" s="82"/>
      <c r="W200" s="83"/>
      <c r="X200" s="84"/>
      <c r="Y200" s="84"/>
      <c r="Z200" s="84"/>
      <c r="AA200" s="84"/>
      <c r="AB200" s="84"/>
      <c r="AC200" s="84"/>
      <c r="AD200" s="84"/>
      <c r="AE200" s="85"/>
      <c r="AF200" s="86"/>
      <c r="AG200" s="87"/>
      <c r="AH200" s="88"/>
    </row>
    <row r="201" spans="1:34" x14ac:dyDescent="0.25">
      <c r="A201" s="155" t="str">
        <f t="shared" si="6"/>
        <v/>
      </c>
      <c r="B201" s="155" t="str">
        <f t="shared" si="7"/>
        <v/>
      </c>
      <c r="C201" s="157"/>
      <c r="D201" s="150"/>
      <c r="E201" s="78"/>
      <c r="F201" s="133"/>
      <c r="G201" s="38"/>
      <c r="H201" s="39"/>
      <c r="I201" s="40"/>
      <c r="J201" s="41"/>
      <c r="K201" s="42"/>
      <c r="L201" s="43"/>
      <c r="M201" s="79"/>
      <c r="N201" s="80"/>
      <c r="O201" s="81"/>
      <c r="P201" s="82"/>
      <c r="Q201" s="83"/>
      <c r="R201" s="84"/>
      <c r="S201" s="79"/>
      <c r="T201" s="80"/>
      <c r="U201" s="81"/>
      <c r="V201" s="82"/>
      <c r="W201" s="83"/>
      <c r="X201" s="84"/>
      <c r="Y201" s="84"/>
      <c r="Z201" s="84"/>
      <c r="AA201" s="84"/>
      <c r="AB201" s="84"/>
      <c r="AC201" s="84"/>
      <c r="AD201" s="84"/>
      <c r="AE201" s="85"/>
      <c r="AF201" s="86"/>
      <c r="AG201" s="87"/>
      <c r="AH201" s="88"/>
    </row>
    <row r="202" spans="1:34" x14ac:dyDescent="0.25">
      <c r="A202" s="155" t="str">
        <f t="shared" si="6"/>
        <v/>
      </c>
      <c r="B202" s="155" t="str">
        <f t="shared" si="7"/>
        <v/>
      </c>
      <c r="C202" s="157"/>
      <c r="D202" s="150"/>
      <c r="E202" s="78"/>
      <c r="F202" s="133"/>
      <c r="G202" s="38"/>
      <c r="H202" s="39"/>
      <c r="I202" s="40"/>
      <c r="J202" s="41"/>
      <c r="K202" s="42"/>
      <c r="L202" s="43"/>
      <c r="M202" s="79"/>
      <c r="N202" s="80"/>
      <c r="O202" s="81"/>
      <c r="P202" s="82"/>
      <c r="Q202" s="83"/>
      <c r="R202" s="84"/>
      <c r="S202" s="79"/>
      <c r="T202" s="80"/>
      <c r="U202" s="81"/>
      <c r="V202" s="82"/>
      <c r="W202" s="83"/>
      <c r="X202" s="84"/>
      <c r="Y202" s="84"/>
      <c r="Z202" s="84"/>
      <c r="AA202" s="84"/>
      <c r="AB202" s="84"/>
      <c r="AC202" s="84"/>
      <c r="AD202" s="84"/>
      <c r="AE202" s="85"/>
      <c r="AF202" s="86"/>
      <c r="AG202" s="87"/>
      <c r="AH202" s="88"/>
    </row>
    <row r="203" spans="1:34" x14ac:dyDescent="0.25">
      <c r="A203" s="155" t="str">
        <f t="shared" si="6"/>
        <v/>
      </c>
      <c r="B203" s="155" t="str">
        <f t="shared" si="7"/>
        <v/>
      </c>
      <c r="C203" s="157"/>
      <c r="D203" s="150"/>
      <c r="E203" s="78"/>
      <c r="F203" s="133"/>
      <c r="G203" s="38"/>
      <c r="H203" s="39"/>
      <c r="I203" s="40"/>
      <c r="J203" s="41"/>
      <c r="K203" s="42"/>
      <c r="L203" s="43"/>
      <c r="M203" s="79"/>
      <c r="N203" s="80"/>
      <c r="O203" s="81"/>
      <c r="P203" s="82"/>
      <c r="Q203" s="83"/>
      <c r="R203" s="84"/>
      <c r="S203" s="79"/>
      <c r="T203" s="80"/>
      <c r="U203" s="81"/>
      <c r="V203" s="82"/>
      <c r="W203" s="83"/>
      <c r="X203" s="84"/>
      <c r="Y203" s="84"/>
      <c r="Z203" s="84"/>
      <c r="AA203" s="84"/>
      <c r="AB203" s="84"/>
      <c r="AC203" s="84"/>
      <c r="AD203" s="84"/>
      <c r="AE203" s="85"/>
      <c r="AF203" s="86"/>
      <c r="AG203" s="87"/>
      <c r="AH203" s="88"/>
    </row>
    <row r="204" spans="1:34" x14ac:dyDescent="0.25">
      <c r="A204" s="155" t="str">
        <f t="shared" si="6"/>
        <v/>
      </c>
      <c r="B204" s="155" t="str">
        <f t="shared" si="7"/>
        <v/>
      </c>
      <c r="C204" s="157"/>
      <c r="D204" s="150"/>
      <c r="E204" s="78"/>
      <c r="F204" s="133"/>
      <c r="G204" s="38"/>
      <c r="H204" s="39"/>
      <c r="I204" s="40"/>
      <c r="J204" s="41"/>
      <c r="K204" s="42"/>
      <c r="L204" s="43"/>
      <c r="M204" s="79"/>
      <c r="N204" s="80"/>
      <c r="O204" s="81"/>
      <c r="P204" s="82"/>
      <c r="Q204" s="83"/>
      <c r="R204" s="84"/>
      <c r="S204" s="79"/>
      <c r="T204" s="80"/>
      <c r="U204" s="81"/>
      <c r="V204" s="82"/>
      <c r="W204" s="83"/>
      <c r="X204" s="84"/>
      <c r="Y204" s="84"/>
      <c r="Z204" s="84"/>
      <c r="AA204" s="84"/>
      <c r="AB204" s="84"/>
      <c r="AC204" s="84"/>
      <c r="AD204" s="84"/>
      <c r="AE204" s="85"/>
      <c r="AF204" s="86"/>
      <c r="AG204" s="87"/>
      <c r="AH204" s="88"/>
    </row>
    <row r="205" spans="1:34" x14ac:dyDescent="0.25">
      <c r="A205" s="155" t="str">
        <f t="shared" si="6"/>
        <v/>
      </c>
      <c r="B205" s="155" t="str">
        <f t="shared" si="7"/>
        <v/>
      </c>
      <c r="C205" s="157"/>
      <c r="D205" s="150"/>
      <c r="E205" s="78"/>
      <c r="F205" s="133"/>
      <c r="G205" s="38"/>
      <c r="H205" s="39"/>
      <c r="I205" s="40"/>
      <c r="J205" s="41"/>
      <c r="K205" s="42"/>
      <c r="L205" s="43"/>
      <c r="M205" s="79"/>
      <c r="N205" s="80"/>
      <c r="O205" s="81"/>
      <c r="P205" s="82"/>
      <c r="Q205" s="83"/>
      <c r="R205" s="84"/>
      <c r="S205" s="79"/>
      <c r="T205" s="80"/>
      <c r="U205" s="81"/>
      <c r="V205" s="82"/>
      <c r="W205" s="83"/>
      <c r="X205" s="84"/>
      <c r="Y205" s="84"/>
      <c r="Z205" s="84"/>
      <c r="AA205" s="84"/>
      <c r="AB205" s="84"/>
      <c r="AC205" s="84"/>
      <c r="AD205" s="84"/>
      <c r="AE205" s="85"/>
      <c r="AF205" s="86"/>
      <c r="AG205" s="87"/>
      <c r="AH205" s="88"/>
    </row>
    <row r="206" spans="1:34" x14ac:dyDescent="0.25">
      <c r="A206" s="155" t="str">
        <f t="shared" si="6"/>
        <v/>
      </c>
      <c r="B206" s="155" t="str">
        <f t="shared" si="7"/>
        <v/>
      </c>
      <c r="C206" s="157"/>
      <c r="D206" s="150"/>
      <c r="E206" s="78"/>
      <c r="F206" s="133"/>
      <c r="G206" s="38"/>
      <c r="H206" s="39"/>
      <c r="I206" s="40"/>
      <c r="J206" s="41"/>
      <c r="K206" s="42"/>
      <c r="L206" s="43"/>
      <c r="M206" s="79"/>
      <c r="N206" s="80"/>
      <c r="O206" s="81"/>
      <c r="P206" s="82"/>
      <c r="Q206" s="83"/>
      <c r="R206" s="84"/>
      <c r="S206" s="79"/>
      <c r="T206" s="80"/>
      <c r="U206" s="81"/>
      <c r="V206" s="82"/>
      <c r="W206" s="83"/>
      <c r="X206" s="84"/>
      <c r="Y206" s="84"/>
      <c r="Z206" s="84"/>
      <c r="AA206" s="84"/>
      <c r="AB206" s="84"/>
      <c r="AC206" s="84"/>
      <c r="AD206" s="84"/>
      <c r="AE206" s="85"/>
      <c r="AF206" s="86"/>
      <c r="AG206" s="87"/>
      <c r="AH206" s="88"/>
    </row>
    <row r="207" spans="1:34" x14ac:dyDescent="0.25">
      <c r="A207" s="155" t="str">
        <f t="shared" si="6"/>
        <v/>
      </c>
      <c r="B207" s="155" t="str">
        <f t="shared" si="7"/>
        <v/>
      </c>
      <c r="C207" s="157"/>
      <c r="D207" s="150"/>
      <c r="E207" s="78"/>
      <c r="F207" s="133"/>
      <c r="G207" s="38"/>
      <c r="H207" s="39"/>
      <c r="I207" s="40"/>
      <c r="J207" s="41"/>
      <c r="K207" s="42"/>
      <c r="L207" s="43"/>
      <c r="M207" s="79"/>
      <c r="N207" s="80"/>
      <c r="O207" s="81"/>
      <c r="P207" s="82"/>
      <c r="Q207" s="83"/>
      <c r="R207" s="84"/>
      <c r="S207" s="79"/>
      <c r="T207" s="80"/>
      <c r="U207" s="81"/>
      <c r="V207" s="82"/>
      <c r="W207" s="83"/>
      <c r="X207" s="84"/>
      <c r="Y207" s="84"/>
      <c r="Z207" s="84"/>
      <c r="AA207" s="84"/>
      <c r="AB207" s="84"/>
      <c r="AC207" s="84"/>
      <c r="AD207" s="84"/>
      <c r="AE207" s="85"/>
      <c r="AF207" s="86"/>
      <c r="AG207" s="87"/>
      <c r="AH207" s="88"/>
    </row>
    <row r="208" spans="1:34" x14ac:dyDescent="0.25">
      <c r="A208" s="155" t="str">
        <f t="shared" si="6"/>
        <v/>
      </c>
      <c r="B208" s="155" t="str">
        <f t="shared" si="7"/>
        <v/>
      </c>
      <c r="C208" s="157"/>
      <c r="D208" s="150"/>
      <c r="E208" s="78"/>
      <c r="F208" s="133"/>
      <c r="G208" s="38"/>
      <c r="H208" s="39"/>
      <c r="I208" s="40"/>
      <c r="J208" s="41"/>
      <c r="K208" s="42"/>
      <c r="L208" s="43"/>
      <c r="M208" s="79"/>
      <c r="N208" s="80"/>
      <c r="O208" s="81"/>
      <c r="P208" s="82"/>
      <c r="Q208" s="83"/>
      <c r="R208" s="84"/>
      <c r="S208" s="79"/>
      <c r="T208" s="80"/>
      <c r="U208" s="81"/>
      <c r="V208" s="82"/>
      <c r="W208" s="83"/>
      <c r="X208" s="84"/>
      <c r="Y208" s="84"/>
      <c r="Z208" s="84"/>
      <c r="AA208" s="84"/>
      <c r="AB208" s="84"/>
      <c r="AC208" s="84"/>
      <c r="AD208" s="84"/>
      <c r="AE208" s="85"/>
      <c r="AF208" s="86"/>
      <c r="AG208" s="87"/>
      <c r="AH208" s="88"/>
    </row>
    <row r="209" spans="1:34" x14ac:dyDescent="0.25">
      <c r="A209" s="155" t="str">
        <f t="shared" si="6"/>
        <v/>
      </c>
      <c r="B209" s="155" t="str">
        <f t="shared" si="7"/>
        <v/>
      </c>
      <c r="C209" s="157"/>
      <c r="D209" s="150"/>
      <c r="E209" s="78"/>
      <c r="F209" s="133"/>
      <c r="G209" s="38"/>
      <c r="H209" s="39"/>
      <c r="I209" s="40"/>
      <c r="J209" s="41"/>
      <c r="K209" s="42"/>
      <c r="L209" s="43"/>
      <c r="M209" s="79"/>
      <c r="N209" s="80"/>
      <c r="O209" s="81"/>
      <c r="P209" s="82"/>
      <c r="Q209" s="83"/>
      <c r="R209" s="84"/>
      <c r="S209" s="79"/>
      <c r="T209" s="80"/>
      <c r="U209" s="81"/>
      <c r="V209" s="82"/>
      <c r="W209" s="83"/>
      <c r="X209" s="84"/>
      <c r="Y209" s="84"/>
      <c r="Z209" s="84"/>
      <c r="AA209" s="84"/>
      <c r="AB209" s="84"/>
      <c r="AC209" s="84"/>
      <c r="AD209" s="84"/>
      <c r="AE209" s="85"/>
      <c r="AF209" s="86"/>
      <c r="AG209" s="87"/>
      <c r="AH209" s="88"/>
    </row>
    <row r="210" spans="1:34" x14ac:dyDescent="0.25">
      <c r="A210" s="155" t="str">
        <f t="shared" si="6"/>
        <v/>
      </c>
      <c r="B210" s="155" t="str">
        <f t="shared" si="7"/>
        <v/>
      </c>
      <c r="C210" s="157"/>
      <c r="D210" s="150"/>
      <c r="E210" s="78"/>
      <c r="F210" s="133"/>
      <c r="G210" s="38"/>
      <c r="H210" s="39"/>
      <c r="I210" s="40"/>
      <c r="J210" s="41"/>
      <c r="K210" s="42"/>
      <c r="L210" s="43"/>
      <c r="M210" s="79"/>
      <c r="N210" s="80"/>
      <c r="O210" s="81"/>
      <c r="P210" s="82"/>
      <c r="Q210" s="83"/>
      <c r="R210" s="84"/>
      <c r="S210" s="79"/>
      <c r="T210" s="80"/>
      <c r="U210" s="81"/>
      <c r="V210" s="82"/>
      <c r="W210" s="83"/>
      <c r="X210" s="84"/>
      <c r="Y210" s="84"/>
      <c r="Z210" s="84"/>
      <c r="AA210" s="84"/>
      <c r="AB210" s="84"/>
      <c r="AC210" s="84"/>
      <c r="AD210" s="84"/>
      <c r="AE210" s="85"/>
      <c r="AF210" s="86"/>
      <c r="AG210" s="87"/>
      <c r="AH210" s="88"/>
    </row>
    <row r="211" spans="1:34" x14ac:dyDescent="0.25">
      <c r="A211" s="155" t="str">
        <f t="shared" si="6"/>
        <v/>
      </c>
      <c r="B211" s="155" t="str">
        <f t="shared" si="7"/>
        <v/>
      </c>
      <c r="C211" s="157"/>
      <c r="D211" s="150"/>
      <c r="E211" s="78"/>
      <c r="F211" s="133"/>
      <c r="G211" s="38"/>
      <c r="H211" s="39"/>
      <c r="I211" s="40"/>
      <c r="J211" s="41"/>
      <c r="K211" s="42"/>
      <c r="L211" s="43"/>
      <c r="M211" s="79"/>
      <c r="N211" s="80"/>
      <c r="O211" s="81"/>
      <c r="P211" s="82"/>
      <c r="Q211" s="83"/>
      <c r="R211" s="84"/>
      <c r="S211" s="79"/>
      <c r="T211" s="80"/>
      <c r="U211" s="81"/>
      <c r="V211" s="82"/>
      <c r="W211" s="83"/>
      <c r="X211" s="84"/>
      <c r="Y211" s="84"/>
      <c r="Z211" s="84"/>
      <c r="AA211" s="84"/>
      <c r="AB211" s="84"/>
      <c r="AC211" s="84"/>
      <c r="AD211" s="84"/>
      <c r="AE211" s="85"/>
      <c r="AF211" s="86"/>
      <c r="AG211" s="87"/>
      <c r="AH211" s="88"/>
    </row>
    <row r="212" spans="1:34" x14ac:dyDescent="0.25">
      <c r="A212" s="155" t="str">
        <f t="shared" si="6"/>
        <v/>
      </c>
      <c r="B212" s="155" t="str">
        <f t="shared" si="7"/>
        <v/>
      </c>
      <c r="C212" s="157"/>
      <c r="D212" s="150"/>
      <c r="E212" s="78"/>
      <c r="F212" s="133"/>
      <c r="G212" s="38"/>
      <c r="H212" s="39"/>
      <c r="I212" s="40"/>
      <c r="J212" s="41"/>
      <c r="K212" s="42"/>
      <c r="L212" s="43"/>
      <c r="M212" s="79"/>
      <c r="N212" s="80"/>
      <c r="O212" s="81"/>
      <c r="P212" s="82"/>
      <c r="Q212" s="83"/>
      <c r="R212" s="84"/>
      <c r="S212" s="79"/>
      <c r="T212" s="80"/>
      <c r="U212" s="81"/>
      <c r="V212" s="82"/>
      <c r="W212" s="83"/>
      <c r="X212" s="84"/>
      <c r="Y212" s="84"/>
      <c r="Z212" s="84"/>
      <c r="AA212" s="84"/>
      <c r="AB212" s="84"/>
      <c r="AC212" s="84"/>
      <c r="AD212" s="84"/>
      <c r="AE212" s="85"/>
      <c r="AF212" s="86"/>
      <c r="AG212" s="87"/>
      <c r="AH212" s="88"/>
    </row>
    <row r="213" spans="1:34" x14ac:dyDescent="0.25">
      <c r="A213" s="155" t="str">
        <f t="shared" si="6"/>
        <v/>
      </c>
      <c r="B213" s="155" t="str">
        <f t="shared" si="7"/>
        <v/>
      </c>
      <c r="C213" s="157"/>
      <c r="D213" s="150"/>
      <c r="E213" s="78"/>
      <c r="F213" s="133"/>
      <c r="G213" s="38"/>
      <c r="H213" s="39"/>
      <c r="I213" s="40"/>
      <c r="J213" s="41"/>
      <c r="K213" s="42"/>
      <c r="L213" s="43"/>
      <c r="M213" s="79"/>
      <c r="N213" s="80"/>
      <c r="O213" s="81"/>
      <c r="P213" s="82"/>
      <c r="Q213" s="83"/>
      <c r="R213" s="84"/>
      <c r="S213" s="79"/>
      <c r="T213" s="80"/>
      <c r="U213" s="81"/>
      <c r="V213" s="82"/>
      <c r="W213" s="83"/>
      <c r="X213" s="84"/>
      <c r="Y213" s="84"/>
      <c r="Z213" s="84"/>
      <c r="AA213" s="84"/>
      <c r="AB213" s="84"/>
      <c r="AC213" s="84"/>
      <c r="AD213" s="84"/>
      <c r="AE213" s="85"/>
      <c r="AF213" s="86"/>
      <c r="AG213" s="87"/>
      <c r="AH213" s="88"/>
    </row>
    <row r="214" spans="1:34" x14ac:dyDescent="0.25">
      <c r="A214" s="155" t="str">
        <f t="shared" si="6"/>
        <v/>
      </c>
      <c r="B214" s="155" t="str">
        <f t="shared" si="7"/>
        <v/>
      </c>
      <c r="C214" s="157"/>
      <c r="D214" s="150"/>
      <c r="E214" s="78"/>
      <c r="F214" s="133"/>
      <c r="G214" s="38"/>
      <c r="H214" s="39"/>
      <c r="I214" s="40"/>
      <c r="J214" s="41"/>
      <c r="K214" s="42"/>
      <c r="L214" s="43"/>
      <c r="M214" s="79"/>
      <c r="N214" s="80"/>
      <c r="O214" s="81"/>
      <c r="P214" s="82"/>
      <c r="Q214" s="83"/>
      <c r="R214" s="84"/>
      <c r="S214" s="79"/>
      <c r="T214" s="80"/>
      <c r="U214" s="81"/>
      <c r="V214" s="82"/>
      <c r="W214" s="83"/>
      <c r="X214" s="84"/>
      <c r="Y214" s="84"/>
      <c r="Z214" s="84"/>
      <c r="AA214" s="84"/>
      <c r="AB214" s="84"/>
      <c r="AC214" s="84"/>
      <c r="AD214" s="84"/>
      <c r="AE214" s="85"/>
      <c r="AF214" s="86"/>
      <c r="AG214" s="87"/>
      <c r="AH214" s="88"/>
    </row>
    <row r="215" spans="1:34" x14ac:dyDescent="0.25">
      <c r="A215" s="155" t="str">
        <f t="shared" si="6"/>
        <v/>
      </c>
      <c r="B215" s="155" t="str">
        <f t="shared" si="7"/>
        <v/>
      </c>
      <c r="C215" s="157"/>
      <c r="D215" s="150"/>
      <c r="E215" s="78"/>
      <c r="F215" s="133"/>
      <c r="G215" s="38"/>
      <c r="H215" s="39"/>
      <c r="I215" s="40"/>
      <c r="J215" s="41"/>
      <c r="K215" s="42"/>
      <c r="L215" s="43"/>
      <c r="M215" s="79"/>
      <c r="N215" s="80"/>
      <c r="O215" s="81"/>
      <c r="P215" s="82"/>
      <c r="Q215" s="83"/>
      <c r="R215" s="84"/>
      <c r="S215" s="79"/>
      <c r="T215" s="80"/>
      <c r="U215" s="81"/>
      <c r="V215" s="82"/>
      <c r="W215" s="83"/>
      <c r="X215" s="84"/>
      <c r="Y215" s="84"/>
      <c r="Z215" s="84"/>
      <c r="AA215" s="84"/>
      <c r="AB215" s="84"/>
      <c r="AC215" s="84"/>
      <c r="AD215" s="84"/>
      <c r="AE215" s="85"/>
      <c r="AF215" s="86"/>
      <c r="AG215" s="87"/>
      <c r="AH215" s="88"/>
    </row>
    <row r="216" spans="1:34" x14ac:dyDescent="0.25">
      <c r="A216" s="155" t="str">
        <f t="shared" si="6"/>
        <v/>
      </c>
      <c r="B216" s="155" t="str">
        <f t="shared" si="7"/>
        <v/>
      </c>
      <c r="C216" s="157"/>
      <c r="D216" s="150"/>
      <c r="E216" s="78"/>
      <c r="F216" s="133"/>
      <c r="G216" s="38"/>
      <c r="H216" s="39"/>
      <c r="I216" s="40"/>
      <c r="J216" s="41"/>
      <c r="K216" s="42"/>
      <c r="L216" s="43"/>
      <c r="M216" s="79"/>
      <c r="N216" s="80"/>
      <c r="O216" s="81"/>
      <c r="P216" s="82"/>
      <c r="Q216" s="83"/>
      <c r="R216" s="84"/>
      <c r="S216" s="79"/>
      <c r="T216" s="80"/>
      <c r="U216" s="81"/>
      <c r="V216" s="82"/>
      <c r="W216" s="83"/>
      <c r="X216" s="84"/>
      <c r="Y216" s="84"/>
      <c r="Z216" s="84"/>
      <c r="AA216" s="84"/>
      <c r="AB216" s="84"/>
      <c r="AC216" s="84"/>
      <c r="AD216" s="84"/>
      <c r="AE216" s="85"/>
      <c r="AF216" s="86"/>
      <c r="AG216" s="87"/>
      <c r="AH216" s="88"/>
    </row>
    <row r="217" spans="1:34" x14ac:dyDescent="0.25">
      <c r="A217" s="155" t="str">
        <f t="shared" si="6"/>
        <v/>
      </c>
      <c r="B217" s="155" t="str">
        <f t="shared" si="7"/>
        <v/>
      </c>
      <c r="C217" s="157"/>
      <c r="D217" s="150"/>
      <c r="E217" s="78"/>
      <c r="F217" s="133"/>
      <c r="G217" s="38"/>
      <c r="H217" s="39"/>
      <c r="I217" s="40"/>
      <c r="J217" s="41"/>
      <c r="K217" s="42"/>
      <c r="L217" s="43"/>
      <c r="M217" s="79"/>
      <c r="N217" s="80"/>
      <c r="O217" s="81"/>
      <c r="P217" s="82"/>
      <c r="Q217" s="83"/>
      <c r="R217" s="84"/>
      <c r="S217" s="79"/>
      <c r="T217" s="80"/>
      <c r="U217" s="81"/>
      <c r="V217" s="82"/>
      <c r="W217" s="83"/>
      <c r="X217" s="84"/>
      <c r="Y217" s="84"/>
      <c r="Z217" s="84"/>
      <c r="AA217" s="84"/>
      <c r="AB217" s="84"/>
      <c r="AC217" s="84"/>
      <c r="AD217" s="84"/>
      <c r="AE217" s="85"/>
      <c r="AF217" s="86"/>
      <c r="AG217" s="87"/>
      <c r="AH217" s="88"/>
    </row>
    <row r="218" spans="1:34" x14ac:dyDescent="0.25">
      <c r="A218" s="155" t="str">
        <f t="shared" si="6"/>
        <v/>
      </c>
      <c r="B218" s="155" t="str">
        <f t="shared" si="7"/>
        <v/>
      </c>
      <c r="C218" s="157"/>
      <c r="D218" s="150"/>
      <c r="E218" s="78"/>
      <c r="F218" s="133"/>
      <c r="G218" s="38"/>
      <c r="H218" s="39"/>
      <c r="I218" s="40"/>
      <c r="J218" s="41"/>
      <c r="K218" s="42"/>
      <c r="L218" s="43"/>
      <c r="M218" s="79"/>
      <c r="N218" s="80"/>
      <c r="O218" s="81"/>
      <c r="P218" s="82"/>
      <c r="Q218" s="83"/>
      <c r="R218" s="84"/>
      <c r="S218" s="79"/>
      <c r="T218" s="80"/>
      <c r="U218" s="81"/>
      <c r="V218" s="82"/>
      <c r="W218" s="83"/>
      <c r="X218" s="84"/>
      <c r="Y218" s="84"/>
      <c r="Z218" s="84"/>
      <c r="AA218" s="84"/>
      <c r="AB218" s="84"/>
      <c r="AC218" s="84"/>
      <c r="AD218" s="84"/>
      <c r="AE218" s="85"/>
      <c r="AF218" s="86"/>
      <c r="AG218" s="87"/>
      <c r="AH218" s="88"/>
    </row>
    <row r="219" spans="1:34" x14ac:dyDescent="0.25">
      <c r="A219" s="155" t="str">
        <f t="shared" si="6"/>
        <v/>
      </c>
      <c r="B219" s="155" t="str">
        <f t="shared" si="7"/>
        <v/>
      </c>
      <c r="C219" s="157"/>
      <c r="D219" s="150"/>
      <c r="E219" s="78"/>
      <c r="F219" s="133"/>
      <c r="G219" s="38"/>
      <c r="H219" s="39"/>
      <c r="I219" s="40"/>
      <c r="J219" s="41"/>
      <c r="K219" s="42"/>
      <c r="L219" s="43"/>
      <c r="M219" s="79"/>
      <c r="N219" s="80"/>
      <c r="O219" s="81"/>
      <c r="P219" s="82"/>
      <c r="Q219" s="83"/>
      <c r="R219" s="84"/>
      <c r="S219" s="79"/>
      <c r="T219" s="80"/>
      <c r="U219" s="81"/>
      <c r="V219" s="82"/>
      <c r="W219" s="83"/>
      <c r="X219" s="84"/>
      <c r="Y219" s="84"/>
      <c r="Z219" s="84"/>
      <c r="AA219" s="84"/>
      <c r="AB219" s="84"/>
      <c r="AC219" s="84"/>
      <c r="AD219" s="84"/>
      <c r="AE219" s="85"/>
      <c r="AF219" s="86"/>
      <c r="AG219" s="87"/>
      <c r="AH219" s="88"/>
    </row>
    <row r="220" spans="1:34" x14ac:dyDescent="0.25">
      <c r="A220" s="155" t="str">
        <f t="shared" si="6"/>
        <v/>
      </c>
      <c r="B220" s="155" t="str">
        <f t="shared" si="7"/>
        <v/>
      </c>
      <c r="C220" s="157"/>
      <c r="D220" s="150"/>
      <c r="E220" s="78"/>
      <c r="F220" s="133"/>
      <c r="G220" s="38"/>
      <c r="H220" s="39"/>
      <c r="I220" s="40"/>
      <c r="J220" s="41"/>
      <c r="K220" s="42"/>
      <c r="L220" s="43"/>
      <c r="M220" s="79"/>
      <c r="N220" s="80"/>
      <c r="O220" s="81"/>
      <c r="P220" s="82"/>
      <c r="Q220" s="83"/>
      <c r="R220" s="84"/>
      <c r="S220" s="79"/>
      <c r="T220" s="80"/>
      <c r="U220" s="81"/>
      <c r="V220" s="82"/>
      <c r="W220" s="83"/>
      <c r="X220" s="84"/>
      <c r="Y220" s="84"/>
      <c r="Z220" s="84"/>
      <c r="AA220" s="84"/>
      <c r="AB220" s="84"/>
      <c r="AC220" s="84"/>
      <c r="AD220" s="84"/>
      <c r="AE220" s="85"/>
      <c r="AF220" s="86"/>
      <c r="AG220" s="87"/>
      <c r="AH220" s="88"/>
    </row>
    <row r="221" spans="1:34" x14ac:dyDescent="0.25">
      <c r="A221" s="155" t="str">
        <f t="shared" si="6"/>
        <v/>
      </c>
      <c r="B221" s="155" t="str">
        <f t="shared" si="7"/>
        <v/>
      </c>
      <c r="C221" s="157"/>
      <c r="D221" s="150"/>
      <c r="E221" s="78"/>
      <c r="F221" s="133"/>
      <c r="G221" s="38"/>
      <c r="H221" s="39"/>
      <c r="I221" s="40"/>
      <c r="J221" s="41"/>
      <c r="K221" s="42"/>
      <c r="L221" s="43"/>
      <c r="M221" s="79"/>
      <c r="N221" s="80"/>
      <c r="O221" s="81"/>
      <c r="P221" s="82"/>
      <c r="Q221" s="83"/>
      <c r="R221" s="84"/>
      <c r="S221" s="79"/>
      <c r="T221" s="80"/>
      <c r="U221" s="81"/>
      <c r="V221" s="82"/>
      <c r="W221" s="83"/>
      <c r="X221" s="84"/>
      <c r="Y221" s="84"/>
      <c r="Z221" s="84"/>
      <c r="AA221" s="84"/>
      <c r="AB221" s="84"/>
      <c r="AC221" s="84"/>
      <c r="AD221" s="84"/>
      <c r="AE221" s="85"/>
      <c r="AF221" s="86"/>
      <c r="AG221" s="87"/>
      <c r="AH221" s="88"/>
    </row>
    <row r="222" spans="1:34" x14ac:dyDescent="0.25">
      <c r="A222" s="155" t="str">
        <f t="shared" si="6"/>
        <v/>
      </c>
      <c r="B222" s="155" t="str">
        <f t="shared" si="7"/>
        <v/>
      </c>
      <c r="C222" s="157"/>
      <c r="D222" s="150"/>
      <c r="E222" s="78"/>
      <c r="F222" s="133"/>
      <c r="G222" s="38"/>
      <c r="H222" s="39"/>
      <c r="I222" s="40"/>
      <c r="J222" s="41"/>
      <c r="K222" s="42"/>
      <c r="L222" s="43"/>
      <c r="M222" s="79"/>
      <c r="N222" s="80"/>
      <c r="O222" s="81"/>
      <c r="P222" s="82"/>
      <c r="Q222" s="83"/>
      <c r="R222" s="84"/>
      <c r="S222" s="79"/>
      <c r="T222" s="80"/>
      <c r="U222" s="81"/>
      <c r="V222" s="82"/>
      <c r="W222" s="83"/>
      <c r="X222" s="84"/>
      <c r="Y222" s="84"/>
      <c r="Z222" s="84"/>
      <c r="AA222" s="84"/>
      <c r="AB222" s="84"/>
      <c r="AC222" s="84"/>
      <c r="AD222" s="84"/>
      <c r="AE222" s="85"/>
      <c r="AF222" s="86"/>
      <c r="AG222" s="87"/>
      <c r="AH222" s="88"/>
    </row>
    <row r="223" spans="1:34" x14ac:dyDescent="0.25">
      <c r="A223" s="155" t="str">
        <f t="shared" si="6"/>
        <v/>
      </c>
      <c r="B223" s="155" t="str">
        <f t="shared" si="7"/>
        <v/>
      </c>
      <c r="C223" s="157"/>
      <c r="D223" s="150"/>
      <c r="E223" s="78"/>
      <c r="F223" s="133"/>
      <c r="G223" s="38"/>
      <c r="H223" s="39"/>
      <c r="I223" s="40"/>
      <c r="J223" s="41"/>
      <c r="K223" s="42"/>
      <c r="L223" s="43"/>
      <c r="M223" s="79"/>
      <c r="N223" s="80"/>
      <c r="O223" s="81"/>
      <c r="P223" s="82"/>
      <c r="Q223" s="83"/>
      <c r="R223" s="84"/>
      <c r="S223" s="79"/>
      <c r="T223" s="80"/>
      <c r="U223" s="81"/>
      <c r="V223" s="82"/>
      <c r="W223" s="83"/>
      <c r="X223" s="84"/>
      <c r="Y223" s="84"/>
      <c r="Z223" s="84"/>
      <c r="AA223" s="84"/>
      <c r="AB223" s="84"/>
      <c r="AC223" s="84"/>
      <c r="AD223" s="84"/>
      <c r="AE223" s="85"/>
      <c r="AF223" s="86"/>
      <c r="AG223" s="87"/>
      <c r="AH223" s="88"/>
    </row>
    <row r="224" spans="1:34" x14ac:dyDescent="0.25">
      <c r="A224" s="155" t="str">
        <f t="shared" si="6"/>
        <v/>
      </c>
      <c r="B224" s="155" t="str">
        <f t="shared" si="7"/>
        <v/>
      </c>
      <c r="C224" s="157"/>
      <c r="D224" s="150"/>
      <c r="E224" s="78"/>
      <c r="F224" s="133"/>
      <c r="G224" s="38"/>
      <c r="H224" s="39"/>
      <c r="I224" s="40"/>
      <c r="J224" s="41"/>
      <c r="K224" s="42"/>
      <c r="L224" s="43"/>
      <c r="M224" s="79"/>
      <c r="N224" s="80"/>
      <c r="O224" s="81"/>
      <c r="P224" s="82"/>
      <c r="Q224" s="83"/>
      <c r="R224" s="84"/>
      <c r="S224" s="79"/>
      <c r="T224" s="80"/>
      <c r="U224" s="81"/>
      <c r="V224" s="82"/>
      <c r="W224" s="83"/>
      <c r="X224" s="84"/>
      <c r="Y224" s="84"/>
      <c r="Z224" s="84"/>
      <c r="AA224" s="84"/>
      <c r="AB224" s="84"/>
      <c r="AC224" s="84"/>
      <c r="AD224" s="84"/>
      <c r="AE224" s="85"/>
      <c r="AF224" s="86"/>
      <c r="AG224" s="87"/>
      <c r="AH224" s="88"/>
    </row>
    <row r="225" spans="1:34" x14ac:dyDescent="0.25">
      <c r="A225" s="155" t="str">
        <f t="shared" si="6"/>
        <v/>
      </c>
      <c r="B225" s="155" t="str">
        <f t="shared" si="7"/>
        <v/>
      </c>
      <c r="C225" s="157"/>
      <c r="D225" s="150"/>
      <c r="E225" s="78"/>
      <c r="F225" s="133"/>
      <c r="G225" s="38"/>
      <c r="H225" s="39"/>
      <c r="I225" s="40"/>
      <c r="J225" s="41"/>
      <c r="K225" s="42"/>
      <c r="L225" s="43"/>
      <c r="M225" s="79"/>
      <c r="N225" s="80"/>
      <c r="O225" s="81"/>
      <c r="P225" s="82"/>
      <c r="Q225" s="83"/>
      <c r="R225" s="84"/>
      <c r="S225" s="79"/>
      <c r="T225" s="80"/>
      <c r="U225" s="81"/>
      <c r="V225" s="82"/>
      <c r="W225" s="83"/>
      <c r="X225" s="84"/>
      <c r="Y225" s="84"/>
      <c r="Z225" s="84"/>
      <c r="AA225" s="84"/>
      <c r="AB225" s="84"/>
      <c r="AC225" s="84"/>
      <c r="AD225" s="84"/>
      <c r="AE225" s="85"/>
      <c r="AF225" s="86"/>
      <c r="AG225" s="87"/>
      <c r="AH225" s="88"/>
    </row>
    <row r="226" spans="1:34" x14ac:dyDescent="0.25">
      <c r="A226" s="155" t="str">
        <f t="shared" si="6"/>
        <v/>
      </c>
      <c r="B226" s="155" t="str">
        <f t="shared" si="7"/>
        <v/>
      </c>
      <c r="C226" s="157"/>
      <c r="D226" s="150"/>
      <c r="E226" s="78"/>
      <c r="F226" s="133"/>
      <c r="G226" s="38"/>
      <c r="H226" s="39"/>
      <c r="I226" s="40"/>
      <c r="J226" s="41"/>
      <c r="K226" s="42"/>
      <c r="L226" s="43"/>
      <c r="M226" s="79"/>
      <c r="N226" s="80"/>
      <c r="O226" s="81"/>
      <c r="P226" s="82"/>
      <c r="Q226" s="83"/>
      <c r="R226" s="84"/>
      <c r="S226" s="79"/>
      <c r="T226" s="80"/>
      <c r="U226" s="81"/>
      <c r="V226" s="82"/>
      <c r="W226" s="83"/>
      <c r="X226" s="84"/>
      <c r="Y226" s="84"/>
      <c r="Z226" s="84"/>
      <c r="AA226" s="84"/>
      <c r="AB226" s="84"/>
      <c r="AC226" s="84"/>
      <c r="AD226" s="84"/>
      <c r="AE226" s="85"/>
      <c r="AF226" s="86"/>
      <c r="AG226" s="87"/>
      <c r="AH226" s="88"/>
    </row>
    <row r="227" spans="1:34" x14ac:dyDescent="0.25">
      <c r="A227" s="155" t="str">
        <f t="shared" si="6"/>
        <v/>
      </c>
      <c r="B227" s="155" t="str">
        <f t="shared" si="7"/>
        <v/>
      </c>
      <c r="C227" s="157"/>
      <c r="D227" s="150"/>
      <c r="E227" s="78"/>
      <c r="F227" s="133"/>
      <c r="G227" s="38"/>
      <c r="H227" s="39"/>
      <c r="I227" s="40"/>
      <c r="J227" s="41"/>
      <c r="K227" s="42"/>
      <c r="L227" s="43"/>
      <c r="M227" s="79"/>
      <c r="N227" s="80"/>
      <c r="O227" s="81"/>
      <c r="P227" s="82"/>
      <c r="Q227" s="83"/>
      <c r="R227" s="84"/>
      <c r="S227" s="79"/>
      <c r="T227" s="80"/>
      <c r="U227" s="81"/>
      <c r="V227" s="82"/>
      <c r="W227" s="83"/>
      <c r="X227" s="84"/>
      <c r="Y227" s="84"/>
      <c r="Z227" s="84"/>
      <c r="AA227" s="84"/>
      <c r="AB227" s="84"/>
      <c r="AC227" s="84"/>
      <c r="AD227" s="84"/>
      <c r="AE227" s="85"/>
      <c r="AF227" s="86"/>
      <c r="AG227" s="87"/>
      <c r="AH227" s="88"/>
    </row>
    <row r="228" spans="1:34" x14ac:dyDescent="0.25">
      <c r="A228" s="155" t="str">
        <f t="shared" si="6"/>
        <v/>
      </c>
      <c r="B228" s="155" t="str">
        <f t="shared" si="7"/>
        <v/>
      </c>
      <c r="C228" s="157"/>
      <c r="D228" s="150"/>
      <c r="E228" s="78"/>
      <c r="F228" s="133"/>
      <c r="G228" s="38"/>
      <c r="H228" s="39"/>
      <c r="I228" s="40"/>
      <c r="J228" s="41"/>
      <c r="K228" s="42"/>
      <c r="L228" s="43"/>
      <c r="M228" s="79"/>
      <c r="N228" s="80"/>
      <c r="O228" s="81"/>
      <c r="P228" s="82"/>
      <c r="Q228" s="83"/>
      <c r="R228" s="84"/>
      <c r="S228" s="79"/>
      <c r="T228" s="80"/>
      <c r="U228" s="81"/>
      <c r="V228" s="82"/>
      <c r="W228" s="83"/>
      <c r="X228" s="84"/>
      <c r="Y228" s="84"/>
      <c r="Z228" s="84"/>
      <c r="AA228" s="84"/>
      <c r="AB228" s="84"/>
      <c r="AC228" s="84"/>
      <c r="AD228" s="84"/>
      <c r="AE228" s="85"/>
      <c r="AF228" s="86"/>
      <c r="AG228" s="87"/>
      <c r="AH228" s="88"/>
    </row>
    <row r="229" spans="1:34" x14ac:dyDescent="0.25">
      <c r="A229" s="155" t="str">
        <f t="shared" si="6"/>
        <v/>
      </c>
      <c r="B229" s="155" t="str">
        <f t="shared" si="7"/>
        <v/>
      </c>
      <c r="C229" s="157"/>
      <c r="D229" s="150"/>
      <c r="E229" s="78"/>
      <c r="F229" s="133"/>
      <c r="G229" s="38"/>
      <c r="H229" s="39"/>
      <c r="I229" s="40"/>
      <c r="J229" s="41"/>
      <c r="K229" s="42"/>
      <c r="L229" s="43"/>
      <c r="M229" s="79"/>
      <c r="N229" s="80"/>
      <c r="O229" s="81"/>
      <c r="P229" s="82"/>
      <c r="Q229" s="83"/>
      <c r="R229" s="84"/>
      <c r="S229" s="79"/>
      <c r="T229" s="80"/>
      <c r="U229" s="81"/>
      <c r="V229" s="82"/>
      <c r="W229" s="83"/>
      <c r="X229" s="84"/>
      <c r="Y229" s="84"/>
      <c r="Z229" s="84"/>
      <c r="AA229" s="84"/>
      <c r="AB229" s="84"/>
      <c r="AC229" s="84"/>
      <c r="AD229" s="84"/>
      <c r="AE229" s="85"/>
      <c r="AF229" s="86"/>
      <c r="AG229" s="87"/>
      <c r="AH229" s="88"/>
    </row>
    <row r="230" spans="1:34" x14ac:dyDescent="0.25">
      <c r="A230" s="155" t="str">
        <f t="shared" si="6"/>
        <v/>
      </c>
      <c r="B230" s="155" t="str">
        <f t="shared" si="7"/>
        <v/>
      </c>
      <c r="C230" s="157"/>
      <c r="D230" s="150"/>
      <c r="E230" s="78"/>
      <c r="F230" s="133"/>
      <c r="G230" s="38"/>
      <c r="H230" s="39"/>
      <c r="I230" s="40"/>
      <c r="J230" s="41"/>
      <c r="K230" s="42"/>
      <c r="L230" s="43"/>
      <c r="M230" s="79"/>
      <c r="N230" s="80"/>
      <c r="O230" s="81"/>
      <c r="P230" s="82"/>
      <c r="Q230" s="83"/>
      <c r="R230" s="84"/>
      <c r="S230" s="79"/>
      <c r="T230" s="80"/>
      <c r="U230" s="81"/>
      <c r="V230" s="82"/>
      <c r="W230" s="83"/>
      <c r="X230" s="84"/>
      <c r="Y230" s="84"/>
      <c r="Z230" s="84"/>
      <c r="AA230" s="84"/>
      <c r="AB230" s="84"/>
      <c r="AC230" s="84"/>
      <c r="AD230" s="84"/>
      <c r="AE230" s="85"/>
      <c r="AF230" s="86"/>
      <c r="AG230" s="87"/>
      <c r="AH230" s="88"/>
    </row>
    <row r="231" spans="1:34" x14ac:dyDescent="0.25">
      <c r="A231" s="155" t="str">
        <f t="shared" si="6"/>
        <v/>
      </c>
      <c r="B231" s="155" t="str">
        <f t="shared" si="7"/>
        <v/>
      </c>
      <c r="C231" s="157"/>
      <c r="D231" s="150"/>
      <c r="E231" s="78"/>
      <c r="F231" s="133"/>
      <c r="G231" s="38"/>
      <c r="H231" s="39"/>
      <c r="I231" s="40"/>
      <c r="J231" s="41"/>
      <c r="K231" s="42"/>
      <c r="L231" s="43"/>
      <c r="M231" s="79"/>
      <c r="N231" s="80"/>
      <c r="O231" s="81"/>
      <c r="P231" s="82"/>
      <c r="Q231" s="83"/>
      <c r="R231" s="84"/>
      <c r="S231" s="79"/>
      <c r="T231" s="80"/>
      <c r="U231" s="81"/>
      <c r="V231" s="82"/>
      <c r="W231" s="83"/>
      <c r="X231" s="84"/>
      <c r="Y231" s="84"/>
      <c r="Z231" s="84"/>
      <c r="AA231" s="84"/>
      <c r="AB231" s="84"/>
      <c r="AC231" s="84"/>
      <c r="AD231" s="84"/>
      <c r="AE231" s="85"/>
      <c r="AF231" s="86"/>
      <c r="AG231" s="87"/>
      <c r="AH231" s="88"/>
    </row>
    <row r="232" spans="1:34" x14ac:dyDescent="0.25">
      <c r="A232" s="155" t="str">
        <f t="shared" si="6"/>
        <v/>
      </c>
      <c r="B232" s="155" t="str">
        <f t="shared" si="7"/>
        <v/>
      </c>
      <c r="C232" s="157"/>
      <c r="D232" s="150"/>
      <c r="E232" s="78"/>
      <c r="F232" s="133"/>
      <c r="G232" s="38"/>
      <c r="H232" s="39"/>
      <c r="I232" s="40"/>
      <c r="J232" s="41"/>
      <c r="K232" s="42"/>
      <c r="L232" s="43"/>
      <c r="M232" s="79"/>
      <c r="N232" s="80"/>
      <c r="O232" s="81"/>
      <c r="P232" s="82"/>
      <c r="Q232" s="83"/>
      <c r="R232" s="84"/>
      <c r="S232" s="79"/>
      <c r="T232" s="80"/>
      <c r="U232" s="81"/>
      <c r="V232" s="82"/>
      <c r="W232" s="83"/>
      <c r="X232" s="84"/>
      <c r="Y232" s="84"/>
      <c r="Z232" s="84"/>
      <c r="AA232" s="84"/>
      <c r="AB232" s="84"/>
      <c r="AC232" s="84"/>
      <c r="AD232" s="84"/>
      <c r="AE232" s="85"/>
      <c r="AF232" s="86"/>
      <c r="AG232" s="87"/>
      <c r="AH232" s="88"/>
    </row>
    <row r="233" spans="1:34" x14ac:dyDescent="0.25">
      <c r="A233" s="155" t="str">
        <f t="shared" si="6"/>
        <v/>
      </c>
      <c r="B233" s="155" t="str">
        <f t="shared" si="7"/>
        <v/>
      </c>
      <c r="C233" s="157"/>
      <c r="D233" s="150"/>
      <c r="E233" s="78"/>
      <c r="F233" s="133"/>
      <c r="G233" s="38"/>
      <c r="H233" s="39"/>
      <c r="I233" s="40"/>
      <c r="J233" s="41"/>
      <c r="K233" s="42"/>
      <c r="L233" s="43"/>
      <c r="M233" s="79"/>
      <c r="N233" s="80"/>
      <c r="O233" s="81"/>
      <c r="P233" s="82"/>
      <c r="Q233" s="83"/>
      <c r="R233" s="84"/>
      <c r="S233" s="79"/>
      <c r="T233" s="80"/>
      <c r="U233" s="81"/>
      <c r="V233" s="82"/>
      <c r="W233" s="83"/>
      <c r="X233" s="84"/>
      <c r="Y233" s="84"/>
      <c r="Z233" s="84"/>
      <c r="AA233" s="84"/>
      <c r="AB233" s="84"/>
      <c r="AC233" s="84"/>
      <c r="AD233" s="84"/>
      <c r="AE233" s="85"/>
      <c r="AF233" s="86"/>
      <c r="AG233" s="87"/>
      <c r="AH233" s="88"/>
    </row>
    <row r="234" spans="1:34" x14ac:dyDescent="0.25">
      <c r="A234" s="155" t="str">
        <f t="shared" si="6"/>
        <v/>
      </c>
      <c r="B234" s="155" t="str">
        <f t="shared" si="7"/>
        <v/>
      </c>
      <c r="C234" s="157"/>
      <c r="D234" s="150"/>
      <c r="E234" s="78"/>
      <c r="F234" s="133"/>
      <c r="G234" s="38"/>
      <c r="H234" s="39"/>
      <c r="I234" s="40"/>
      <c r="J234" s="41"/>
      <c r="K234" s="42"/>
      <c r="L234" s="43"/>
      <c r="M234" s="79"/>
      <c r="N234" s="80"/>
      <c r="O234" s="81"/>
      <c r="P234" s="82"/>
      <c r="Q234" s="83"/>
      <c r="R234" s="84"/>
      <c r="S234" s="79"/>
      <c r="T234" s="80"/>
      <c r="U234" s="81"/>
      <c r="V234" s="82"/>
      <c r="W234" s="83"/>
      <c r="X234" s="84"/>
      <c r="Y234" s="84"/>
      <c r="Z234" s="84"/>
      <c r="AA234" s="84"/>
      <c r="AB234" s="84"/>
      <c r="AC234" s="84"/>
      <c r="AD234" s="84"/>
      <c r="AE234" s="85"/>
      <c r="AF234" s="86"/>
      <c r="AG234" s="87"/>
      <c r="AH234" s="88"/>
    </row>
    <row r="235" spans="1:34" x14ac:dyDescent="0.25">
      <c r="A235" s="155" t="str">
        <f t="shared" si="6"/>
        <v/>
      </c>
      <c r="B235" s="155" t="str">
        <f t="shared" si="7"/>
        <v/>
      </c>
      <c r="C235" s="157"/>
      <c r="D235" s="150"/>
      <c r="E235" s="78"/>
      <c r="F235" s="133"/>
      <c r="G235" s="38"/>
      <c r="H235" s="39"/>
      <c r="I235" s="40"/>
      <c r="J235" s="41"/>
      <c r="K235" s="42"/>
      <c r="L235" s="43"/>
      <c r="M235" s="79"/>
      <c r="N235" s="80"/>
      <c r="O235" s="81"/>
      <c r="P235" s="82"/>
      <c r="Q235" s="83"/>
      <c r="R235" s="84"/>
      <c r="S235" s="79"/>
      <c r="T235" s="80"/>
      <c r="U235" s="81"/>
      <c r="V235" s="82"/>
      <c r="W235" s="83"/>
      <c r="X235" s="84"/>
      <c r="Y235" s="84"/>
      <c r="Z235" s="84"/>
      <c r="AA235" s="84"/>
      <c r="AB235" s="84"/>
      <c r="AC235" s="84"/>
      <c r="AD235" s="84"/>
      <c r="AE235" s="85"/>
      <c r="AF235" s="86"/>
      <c r="AG235" s="87"/>
      <c r="AH235" s="88"/>
    </row>
    <row r="236" spans="1:34" x14ac:dyDescent="0.25">
      <c r="A236" s="155" t="str">
        <f t="shared" si="6"/>
        <v/>
      </c>
      <c r="B236" s="155" t="str">
        <f t="shared" si="7"/>
        <v/>
      </c>
      <c r="C236" s="157"/>
      <c r="D236" s="150"/>
      <c r="E236" s="78"/>
      <c r="F236" s="133"/>
      <c r="G236" s="38"/>
      <c r="H236" s="39"/>
      <c r="I236" s="40"/>
      <c r="J236" s="41"/>
      <c r="K236" s="42"/>
      <c r="L236" s="43"/>
      <c r="M236" s="79"/>
      <c r="N236" s="80"/>
      <c r="O236" s="81"/>
      <c r="P236" s="82"/>
      <c r="Q236" s="83"/>
      <c r="R236" s="84"/>
      <c r="S236" s="79"/>
      <c r="T236" s="80"/>
      <c r="U236" s="81"/>
      <c r="V236" s="82"/>
      <c r="W236" s="83"/>
      <c r="X236" s="84"/>
      <c r="Y236" s="84"/>
      <c r="Z236" s="84"/>
      <c r="AA236" s="84"/>
      <c r="AB236" s="84"/>
      <c r="AC236" s="84"/>
      <c r="AD236" s="84"/>
      <c r="AE236" s="85"/>
      <c r="AF236" s="86"/>
      <c r="AG236" s="87"/>
      <c r="AH236" s="88"/>
    </row>
    <row r="237" spans="1:34" x14ac:dyDescent="0.25">
      <c r="A237" s="155" t="str">
        <f t="shared" si="6"/>
        <v/>
      </c>
      <c r="B237" s="155" t="str">
        <f t="shared" si="7"/>
        <v/>
      </c>
      <c r="C237" s="157"/>
      <c r="D237" s="150"/>
      <c r="E237" s="78"/>
      <c r="F237" s="133"/>
      <c r="G237" s="38"/>
      <c r="H237" s="39"/>
      <c r="I237" s="40"/>
      <c r="J237" s="41"/>
      <c r="K237" s="42"/>
      <c r="L237" s="43"/>
      <c r="M237" s="79"/>
      <c r="N237" s="80"/>
      <c r="O237" s="81"/>
      <c r="P237" s="82"/>
      <c r="Q237" s="83"/>
      <c r="R237" s="84"/>
      <c r="S237" s="79"/>
      <c r="T237" s="80"/>
      <c r="U237" s="81"/>
      <c r="V237" s="82"/>
      <c r="W237" s="83"/>
      <c r="X237" s="84"/>
      <c r="Y237" s="84"/>
      <c r="Z237" s="84"/>
      <c r="AA237" s="84"/>
      <c r="AB237" s="84"/>
      <c r="AC237" s="84"/>
      <c r="AD237" s="84"/>
      <c r="AE237" s="85"/>
      <c r="AF237" s="86"/>
      <c r="AG237" s="87"/>
      <c r="AH237" s="88"/>
    </row>
    <row r="238" spans="1:34" x14ac:dyDescent="0.25">
      <c r="A238" s="155" t="str">
        <f t="shared" si="6"/>
        <v/>
      </c>
      <c r="B238" s="155" t="str">
        <f t="shared" si="7"/>
        <v/>
      </c>
      <c r="C238" s="157"/>
      <c r="D238" s="150"/>
      <c r="E238" s="78"/>
      <c r="F238" s="133"/>
      <c r="G238" s="38"/>
      <c r="H238" s="39"/>
      <c r="I238" s="40"/>
      <c r="J238" s="41"/>
      <c r="K238" s="42"/>
      <c r="L238" s="43"/>
      <c r="M238" s="79"/>
      <c r="N238" s="80"/>
      <c r="O238" s="81"/>
      <c r="P238" s="82"/>
      <c r="Q238" s="83"/>
      <c r="R238" s="84"/>
      <c r="S238" s="79"/>
      <c r="T238" s="80"/>
      <c r="U238" s="81"/>
      <c r="V238" s="82"/>
      <c r="W238" s="83"/>
      <c r="X238" s="84"/>
      <c r="Y238" s="84"/>
      <c r="Z238" s="84"/>
      <c r="AA238" s="84"/>
      <c r="AB238" s="84"/>
      <c r="AC238" s="84"/>
      <c r="AD238" s="84"/>
      <c r="AE238" s="85"/>
      <c r="AF238" s="86"/>
      <c r="AG238" s="87"/>
      <c r="AH238" s="88"/>
    </row>
    <row r="239" spans="1:34" x14ac:dyDescent="0.25">
      <c r="A239" s="155" t="str">
        <f t="shared" si="6"/>
        <v/>
      </c>
      <c r="B239" s="155" t="str">
        <f t="shared" si="7"/>
        <v/>
      </c>
      <c r="C239" s="157"/>
      <c r="D239" s="150"/>
      <c r="E239" s="78"/>
      <c r="F239" s="133"/>
      <c r="G239" s="38"/>
      <c r="H239" s="39"/>
      <c r="I239" s="40"/>
      <c r="J239" s="41"/>
      <c r="K239" s="42"/>
      <c r="L239" s="43"/>
      <c r="M239" s="79"/>
      <c r="N239" s="80"/>
      <c r="O239" s="81"/>
      <c r="P239" s="82"/>
      <c r="Q239" s="83"/>
      <c r="R239" s="84"/>
      <c r="S239" s="79"/>
      <c r="T239" s="80"/>
      <c r="U239" s="81"/>
      <c r="V239" s="82"/>
      <c r="W239" s="83"/>
      <c r="X239" s="84"/>
      <c r="Y239" s="84"/>
      <c r="Z239" s="84"/>
      <c r="AA239" s="84"/>
      <c r="AB239" s="84"/>
      <c r="AC239" s="84"/>
      <c r="AD239" s="84"/>
      <c r="AE239" s="85"/>
      <c r="AF239" s="86"/>
      <c r="AG239" s="87"/>
      <c r="AH239" s="88"/>
    </row>
    <row r="240" spans="1:34" x14ac:dyDescent="0.25">
      <c r="A240" s="155" t="str">
        <f t="shared" si="6"/>
        <v/>
      </c>
      <c r="B240" s="155" t="str">
        <f t="shared" si="7"/>
        <v/>
      </c>
      <c r="C240" s="157"/>
      <c r="D240" s="150"/>
      <c r="E240" s="78"/>
      <c r="F240" s="133"/>
      <c r="G240" s="38"/>
      <c r="H240" s="39"/>
      <c r="I240" s="40"/>
      <c r="J240" s="41"/>
      <c r="K240" s="42"/>
      <c r="L240" s="43"/>
      <c r="M240" s="79"/>
      <c r="N240" s="80"/>
      <c r="O240" s="81"/>
      <c r="P240" s="82"/>
      <c r="Q240" s="83"/>
      <c r="R240" s="84"/>
      <c r="S240" s="79"/>
      <c r="T240" s="80"/>
      <c r="U240" s="81"/>
      <c r="V240" s="82"/>
      <c r="W240" s="83"/>
      <c r="X240" s="84"/>
      <c r="Y240" s="84"/>
      <c r="Z240" s="84"/>
      <c r="AA240" s="84"/>
      <c r="AB240" s="84"/>
      <c r="AC240" s="84"/>
      <c r="AD240" s="84"/>
      <c r="AE240" s="85"/>
      <c r="AF240" s="86"/>
      <c r="AG240" s="87"/>
      <c r="AH240" s="88"/>
    </row>
    <row r="241" spans="1:34" x14ac:dyDescent="0.25">
      <c r="A241" s="155" t="str">
        <f t="shared" si="6"/>
        <v/>
      </c>
      <c r="B241" s="155" t="str">
        <f t="shared" si="7"/>
        <v/>
      </c>
      <c r="C241" s="157"/>
      <c r="D241" s="150"/>
      <c r="E241" s="78"/>
      <c r="F241" s="133"/>
      <c r="G241" s="38"/>
      <c r="H241" s="39"/>
      <c r="I241" s="40"/>
      <c r="J241" s="41"/>
      <c r="K241" s="42"/>
      <c r="L241" s="43"/>
      <c r="M241" s="79"/>
      <c r="N241" s="80"/>
      <c r="O241" s="81"/>
      <c r="P241" s="82"/>
      <c r="Q241" s="83"/>
      <c r="R241" s="84"/>
      <c r="S241" s="79"/>
      <c r="T241" s="80"/>
      <c r="U241" s="81"/>
      <c r="V241" s="82"/>
      <c r="W241" s="83"/>
      <c r="X241" s="84"/>
      <c r="Y241" s="84"/>
      <c r="Z241" s="84"/>
      <c r="AA241" s="84"/>
      <c r="AB241" s="84"/>
      <c r="AC241" s="84"/>
      <c r="AD241" s="84"/>
      <c r="AE241" s="85"/>
      <c r="AF241" s="86"/>
      <c r="AG241" s="87"/>
      <c r="AH241" s="88"/>
    </row>
    <row r="242" spans="1:34" x14ac:dyDescent="0.25">
      <c r="A242" s="155" t="str">
        <f t="shared" si="6"/>
        <v/>
      </c>
      <c r="B242" s="155" t="str">
        <f t="shared" si="7"/>
        <v/>
      </c>
      <c r="C242" s="157"/>
      <c r="D242" s="150"/>
      <c r="E242" s="78"/>
      <c r="F242" s="133"/>
      <c r="G242" s="38"/>
      <c r="H242" s="39"/>
      <c r="I242" s="40"/>
      <c r="J242" s="41"/>
      <c r="K242" s="42"/>
      <c r="L242" s="43"/>
      <c r="M242" s="79"/>
      <c r="N242" s="80"/>
      <c r="O242" s="81"/>
      <c r="P242" s="82"/>
      <c r="Q242" s="83"/>
      <c r="R242" s="84"/>
      <c r="S242" s="79"/>
      <c r="T242" s="80"/>
      <c r="U242" s="81"/>
      <c r="V242" s="82"/>
      <c r="W242" s="83"/>
      <c r="X242" s="84"/>
      <c r="Y242" s="84"/>
      <c r="Z242" s="84"/>
      <c r="AA242" s="84"/>
      <c r="AB242" s="84"/>
      <c r="AC242" s="84"/>
      <c r="AD242" s="84"/>
      <c r="AE242" s="85"/>
      <c r="AF242" s="86"/>
      <c r="AG242" s="87"/>
      <c r="AH242" s="88"/>
    </row>
    <row r="243" spans="1:34" x14ac:dyDescent="0.25">
      <c r="A243" s="155" t="str">
        <f t="shared" si="6"/>
        <v/>
      </c>
      <c r="B243" s="155" t="str">
        <f t="shared" si="7"/>
        <v/>
      </c>
      <c r="C243" s="157"/>
      <c r="D243" s="150"/>
      <c r="E243" s="78"/>
      <c r="F243" s="133"/>
      <c r="G243" s="38"/>
      <c r="H243" s="39"/>
      <c r="I243" s="40"/>
      <c r="J243" s="41"/>
      <c r="K243" s="42"/>
      <c r="L243" s="43"/>
      <c r="M243" s="79"/>
      <c r="N243" s="80"/>
      <c r="O243" s="81"/>
      <c r="P243" s="82"/>
      <c r="Q243" s="83"/>
      <c r="R243" s="84"/>
      <c r="S243" s="79"/>
      <c r="T243" s="80"/>
      <c r="U243" s="81"/>
      <c r="V243" s="82"/>
      <c r="W243" s="83"/>
      <c r="X243" s="84"/>
      <c r="Y243" s="84"/>
      <c r="Z243" s="84"/>
      <c r="AA243" s="84"/>
      <c r="AB243" s="84"/>
      <c r="AC243" s="84"/>
      <c r="AD243" s="84"/>
      <c r="AE243" s="85"/>
      <c r="AF243" s="86"/>
      <c r="AG243" s="87"/>
      <c r="AH243" s="88"/>
    </row>
    <row r="244" spans="1:34" x14ac:dyDescent="0.25">
      <c r="A244" s="155" t="str">
        <f t="shared" si="6"/>
        <v/>
      </c>
      <c r="B244" s="155" t="str">
        <f t="shared" si="7"/>
        <v/>
      </c>
      <c r="C244" s="157"/>
      <c r="D244" s="150"/>
      <c r="E244" s="78"/>
      <c r="F244" s="133"/>
      <c r="G244" s="38"/>
      <c r="H244" s="39"/>
      <c r="I244" s="40"/>
      <c r="J244" s="41"/>
      <c r="K244" s="42"/>
      <c r="L244" s="43"/>
      <c r="M244" s="79"/>
      <c r="N244" s="80"/>
      <c r="O244" s="81"/>
      <c r="P244" s="82"/>
      <c r="Q244" s="83"/>
      <c r="R244" s="84"/>
      <c r="S244" s="79"/>
      <c r="T244" s="80"/>
      <c r="U244" s="81"/>
      <c r="V244" s="82"/>
      <c r="W244" s="83"/>
      <c r="X244" s="84"/>
      <c r="Y244" s="84"/>
      <c r="Z244" s="84"/>
      <c r="AA244" s="84"/>
      <c r="AB244" s="84"/>
      <c r="AC244" s="84"/>
      <c r="AD244" s="84"/>
      <c r="AE244" s="85"/>
      <c r="AF244" s="86"/>
      <c r="AG244" s="87"/>
      <c r="AH244" s="88"/>
    </row>
    <row r="245" spans="1:34" x14ac:dyDescent="0.25">
      <c r="A245" s="155" t="str">
        <f t="shared" si="6"/>
        <v/>
      </c>
      <c r="B245" s="155" t="str">
        <f t="shared" si="7"/>
        <v/>
      </c>
      <c r="C245" s="157"/>
      <c r="D245" s="150"/>
      <c r="E245" s="78"/>
      <c r="F245" s="133"/>
      <c r="G245" s="38"/>
      <c r="H245" s="39"/>
      <c r="I245" s="40"/>
      <c r="J245" s="41"/>
      <c r="K245" s="42"/>
      <c r="L245" s="43"/>
      <c r="M245" s="79"/>
      <c r="N245" s="80"/>
      <c r="O245" s="81"/>
      <c r="P245" s="82"/>
      <c r="Q245" s="83"/>
      <c r="R245" s="84"/>
      <c r="S245" s="79"/>
      <c r="T245" s="80"/>
      <c r="U245" s="81"/>
      <c r="V245" s="82"/>
      <c r="W245" s="83"/>
      <c r="X245" s="84"/>
      <c r="Y245" s="84"/>
      <c r="Z245" s="84"/>
      <c r="AA245" s="84"/>
      <c r="AB245" s="84"/>
      <c r="AC245" s="84"/>
      <c r="AD245" s="84"/>
      <c r="AE245" s="85"/>
      <c r="AF245" s="86"/>
      <c r="AG245" s="87"/>
      <c r="AH245" s="88"/>
    </row>
    <row r="246" spans="1:34" x14ac:dyDescent="0.25">
      <c r="A246" s="155" t="str">
        <f t="shared" si="6"/>
        <v/>
      </c>
      <c r="B246" s="155" t="str">
        <f t="shared" si="7"/>
        <v/>
      </c>
      <c r="C246" s="157"/>
      <c r="D246" s="150"/>
      <c r="E246" s="78"/>
      <c r="F246" s="133"/>
      <c r="G246" s="38"/>
      <c r="H246" s="39"/>
      <c r="I246" s="40"/>
      <c r="J246" s="41"/>
      <c r="K246" s="42"/>
      <c r="L246" s="43"/>
      <c r="M246" s="79"/>
      <c r="N246" s="80"/>
      <c r="O246" s="81"/>
      <c r="P246" s="82"/>
      <c r="Q246" s="83"/>
      <c r="R246" s="84"/>
      <c r="S246" s="79"/>
      <c r="T246" s="80"/>
      <c r="U246" s="81"/>
      <c r="V246" s="82"/>
      <c r="W246" s="83"/>
      <c r="X246" s="84"/>
      <c r="Y246" s="84"/>
      <c r="Z246" s="84"/>
      <c r="AA246" s="84"/>
      <c r="AB246" s="84"/>
      <c r="AC246" s="84"/>
      <c r="AD246" s="84"/>
      <c r="AE246" s="85"/>
      <c r="AF246" s="86"/>
      <c r="AG246" s="87"/>
      <c r="AH246" s="88"/>
    </row>
    <row r="247" spans="1:34" x14ac:dyDescent="0.25">
      <c r="A247" s="155" t="str">
        <f t="shared" si="6"/>
        <v/>
      </c>
      <c r="B247" s="155" t="str">
        <f t="shared" si="7"/>
        <v/>
      </c>
      <c r="C247" s="157"/>
      <c r="D247" s="150"/>
      <c r="E247" s="78"/>
      <c r="F247" s="133"/>
      <c r="G247" s="38"/>
      <c r="H247" s="39"/>
      <c r="I247" s="40"/>
      <c r="J247" s="41"/>
      <c r="K247" s="42"/>
      <c r="L247" s="43"/>
      <c r="M247" s="79"/>
      <c r="N247" s="80"/>
      <c r="O247" s="81"/>
      <c r="P247" s="82"/>
      <c r="Q247" s="83"/>
      <c r="R247" s="84"/>
      <c r="S247" s="79"/>
      <c r="T247" s="80"/>
      <c r="U247" s="81"/>
      <c r="V247" s="82"/>
      <c r="W247" s="83"/>
      <c r="X247" s="84"/>
      <c r="Y247" s="84"/>
      <c r="Z247" s="84"/>
      <c r="AA247" s="84"/>
      <c r="AB247" s="84"/>
      <c r="AC247" s="84"/>
      <c r="AD247" s="84"/>
      <c r="AE247" s="85"/>
      <c r="AF247" s="86"/>
      <c r="AG247" s="87"/>
      <c r="AH247" s="88"/>
    </row>
    <row r="248" spans="1:34" x14ac:dyDescent="0.25">
      <c r="A248" s="155" t="str">
        <f t="shared" si="6"/>
        <v/>
      </c>
      <c r="B248" s="155" t="str">
        <f t="shared" si="7"/>
        <v/>
      </c>
      <c r="C248" s="157"/>
      <c r="D248" s="150"/>
      <c r="E248" s="78"/>
      <c r="F248" s="133"/>
      <c r="G248" s="38"/>
      <c r="H248" s="39"/>
      <c r="I248" s="40"/>
      <c r="J248" s="41"/>
      <c r="K248" s="42"/>
      <c r="L248" s="43"/>
      <c r="M248" s="79"/>
      <c r="N248" s="80"/>
      <c r="O248" s="81"/>
      <c r="P248" s="82"/>
      <c r="Q248" s="83"/>
      <c r="R248" s="84"/>
      <c r="S248" s="79"/>
      <c r="T248" s="80"/>
      <c r="U248" s="81"/>
      <c r="V248" s="82"/>
      <c r="W248" s="83"/>
      <c r="X248" s="84"/>
      <c r="Y248" s="84"/>
      <c r="Z248" s="84"/>
      <c r="AA248" s="84"/>
      <c r="AB248" s="84"/>
      <c r="AC248" s="84"/>
      <c r="AD248" s="84"/>
      <c r="AE248" s="85"/>
      <c r="AF248" s="86"/>
      <c r="AG248" s="87"/>
      <c r="AH248" s="88"/>
    </row>
    <row r="249" spans="1:34" x14ac:dyDescent="0.25">
      <c r="A249" s="155" t="str">
        <f t="shared" si="6"/>
        <v/>
      </c>
      <c r="B249" s="155" t="str">
        <f t="shared" si="7"/>
        <v/>
      </c>
      <c r="C249" s="157"/>
      <c r="D249" s="150"/>
      <c r="E249" s="78"/>
      <c r="F249" s="133"/>
      <c r="G249" s="38"/>
      <c r="H249" s="39"/>
      <c r="I249" s="40"/>
      <c r="J249" s="41"/>
      <c r="K249" s="42"/>
      <c r="L249" s="43"/>
      <c r="M249" s="79"/>
      <c r="N249" s="80"/>
      <c r="O249" s="81"/>
      <c r="P249" s="82"/>
      <c r="Q249" s="83"/>
      <c r="R249" s="84"/>
      <c r="S249" s="79"/>
      <c r="T249" s="80"/>
      <c r="U249" s="81"/>
      <c r="V249" s="82"/>
      <c r="W249" s="83"/>
      <c r="X249" s="84"/>
      <c r="Y249" s="84"/>
      <c r="Z249" s="84"/>
      <c r="AA249" s="84"/>
      <c r="AB249" s="84"/>
      <c r="AC249" s="84"/>
      <c r="AD249" s="84"/>
      <c r="AE249" s="85"/>
      <c r="AF249" s="86"/>
      <c r="AG249" s="87"/>
      <c r="AH249" s="88"/>
    </row>
    <row r="250" spans="1:34" x14ac:dyDescent="0.25">
      <c r="A250" s="155" t="str">
        <f t="shared" si="6"/>
        <v/>
      </c>
      <c r="B250" s="155" t="str">
        <f t="shared" si="7"/>
        <v/>
      </c>
      <c r="C250" s="157"/>
      <c r="D250" s="150"/>
      <c r="E250" s="78"/>
      <c r="F250" s="133"/>
      <c r="G250" s="38"/>
      <c r="H250" s="39"/>
      <c r="I250" s="40"/>
      <c r="J250" s="41"/>
      <c r="K250" s="42"/>
      <c r="L250" s="43"/>
      <c r="M250" s="79"/>
      <c r="N250" s="80"/>
      <c r="O250" s="81"/>
      <c r="P250" s="82"/>
      <c r="Q250" s="83"/>
      <c r="R250" s="84"/>
      <c r="S250" s="79"/>
      <c r="T250" s="80"/>
      <c r="U250" s="81"/>
      <c r="V250" s="82"/>
      <c r="W250" s="83"/>
      <c r="X250" s="84"/>
      <c r="Y250" s="84"/>
      <c r="Z250" s="84"/>
      <c r="AA250" s="84"/>
      <c r="AB250" s="84"/>
      <c r="AC250" s="84"/>
      <c r="AD250" s="84"/>
      <c r="AE250" s="85"/>
      <c r="AF250" s="86"/>
      <c r="AG250" s="87"/>
      <c r="AH250" s="88"/>
    </row>
    <row r="251" spans="1:34" x14ac:dyDescent="0.25">
      <c r="A251" s="155" t="str">
        <f t="shared" si="6"/>
        <v/>
      </c>
      <c r="B251" s="155" t="str">
        <f t="shared" si="7"/>
        <v/>
      </c>
      <c r="C251" s="157"/>
      <c r="D251" s="150"/>
      <c r="E251" s="78"/>
      <c r="F251" s="133"/>
      <c r="G251" s="38"/>
      <c r="H251" s="39"/>
      <c r="I251" s="40"/>
      <c r="J251" s="41"/>
      <c r="K251" s="42"/>
      <c r="L251" s="43"/>
      <c r="M251" s="79"/>
      <c r="N251" s="80"/>
      <c r="O251" s="81"/>
      <c r="P251" s="82"/>
      <c r="Q251" s="83"/>
      <c r="R251" s="84"/>
      <c r="S251" s="79"/>
      <c r="T251" s="80"/>
      <c r="U251" s="81"/>
      <c r="V251" s="82"/>
      <c r="W251" s="83"/>
      <c r="X251" s="84"/>
      <c r="Y251" s="84"/>
      <c r="Z251" s="84"/>
      <c r="AA251" s="84"/>
      <c r="AB251" s="84"/>
      <c r="AC251" s="84"/>
      <c r="AD251" s="84"/>
      <c r="AE251" s="85"/>
      <c r="AF251" s="86"/>
      <c r="AG251" s="87"/>
      <c r="AH251" s="88"/>
    </row>
    <row r="252" spans="1:34" x14ac:dyDescent="0.25">
      <c r="A252" s="155" t="str">
        <f t="shared" si="6"/>
        <v/>
      </c>
      <c r="B252" s="155" t="str">
        <f t="shared" si="7"/>
        <v/>
      </c>
      <c r="C252" s="157"/>
      <c r="D252" s="150"/>
      <c r="E252" s="78"/>
      <c r="F252" s="133"/>
      <c r="G252" s="38"/>
      <c r="H252" s="39"/>
      <c r="I252" s="40"/>
      <c r="J252" s="41"/>
      <c r="K252" s="42"/>
      <c r="L252" s="43"/>
      <c r="M252" s="79"/>
      <c r="N252" s="80"/>
      <c r="O252" s="81"/>
      <c r="P252" s="82"/>
      <c r="Q252" s="83"/>
      <c r="R252" s="84"/>
      <c r="S252" s="79"/>
      <c r="T252" s="80"/>
      <c r="U252" s="81"/>
      <c r="V252" s="82"/>
      <c r="W252" s="83"/>
      <c r="X252" s="84"/>
      <c r="Y252" s="84"/>
      <c r="Z252" s="84"/>
      <c r="AA252" s="84"/>
      <c r="AB252" s="84"/>
      <c r="AC252" s="84"/>
      <c r="AD252" s="84"/>
      <c r="AE252" s="85"/>
      <c r="AF252" s="86"/>
      <c r="AG252" s="87"/>
      <c r="AH252" s="88"/>
    </row>
    <row r="253" spans="1:34" x14ac:dyDescent="0.25">
      <c r="A253" s="155" t="str">
        <f t="shared" si="6"/>
        <v/>
      </c>
      <c r="B253" s="155" t="str">
        <f t="shared" si="7"/>
        <v/>
      </c>
      <c r="C253" s="157"/>
      <c r="D253" s="150"/>
      <c r="E253" s="78"/>
      <c r="F253" s="133"/>
      <c r="G253" s="38"/>
      <c r="H253" s="39"/>
      <c r="I253" s="40"/>
      <c r="J253" s="41"/>
      <c r="K253" s="42"/>
      <c r="L253" s="43"/>
      <c r="M253" s="79"/>
      <c r="N253" s="80"/>
      <c r="O253" s="81"/>
      <c r="P253" s="82"/>
      <c r="Q253" s="83"/>
      <c r="R253" s="84"/>
      <c r="S253" s="79"/>
      <c r="T253" s="80"/>
      <c r="U253" s="81"/>
      <c r="V253" s="82"/>
      <c r="W253" s="83"/>
      <c r="X253" s="84"/>
      <c r="Y253" s="84"/>
      <c r="Z253" s="84"/>
      <c r="AA253" s="84"/>
      <c r="AB253" s="84"/>
      <c r="AC253" s="84"/>
      <c r="AD253" s="84"/>
      <c r="AE253" s="85"/>
      <c r="AF253" s="86"/>
      <c r="AG253" s="87"/>
      <c r="AH253" s="88"/>
    </row>
    <row r="254" spans="1:34" x14ac:dyDescent="0.25">
      <c r="A254" s="155" t="str">
        <f t="shared" si="6"/>
        <v/>
      </c>
      <c r="B254" s="155" t="str">
        <f t="shared" si="7"/>
        <v/>
      </c>
      <c r="C254" s="157"/>
      <c r="D254" s="150"/>
      <c r="E254" s="78"/>
      <c r="F254" s="133"/>
      <c r="G254" s="38"/>
      <c r="H254" s="39"/>
      <c r="I254" s="40"/>
      <c r="J254" s="41"/>
      <c r="K254" s="42"/>
      <c r="L254" s="43"/>
      <c r="M254" s="79"/>
      <c r="N254" s="80"/>
      <c r="O254" s="81"/>
      <c r="P254" s="82"/>
      <c r="Q254" s="83"/>
      <c r="R254" s="84"/>
      <c r="S254" s="79"/>
      <c r="T254" s="80"/>
      <c r="U254" s="81"/>
      <c r="V254" s="82"/>
      <c r="W254" s="83"/>
      <c r="X254" s="84"/>
      <c r="Y254" s="84"/>
      <c r="Z254" s="84"/>
      <c r="AA254" s="84"/>
      <c r="AB254" s="84"/>
      <c r="AC254" s="84"/>
      <c r="AD254" s="84"/>
      <c r="AE254" s="85"/>
      <c r="AF254" s="86"/>
      <c r="AG254" s="87"/>
      <c r="AH254" s="88"/>
    </row>
    <row r="255" spans="1:34" x14ac:dyDescent="0.25">
      <c r="A255" s="155" t="str">
        <f t="shared" si="6"/>
        <v/>
      </c>
      <c r="B255" s="155" t="str">
        <f t="shared" si="7"/>
        <v/>
      </c>
      <c r="C255" s="157"/>
      <c r="D255" s="150"/>
      <c r="E255" s="78"/>
      <c r="F255" s="133"/>
      <c r="G255" s="38"/>
      <c r="H255" s="39"/>
      <c r="I255" s="40"/>
      <c r="J255" s="41"/>
      <c r="K255" s="42"/>
      <c r="L255" s="43"/>
      <c r="M255" s="79"/>
      <c r="N255" s="80"/>
      <c r="O255" s="81"/>
      <c r="P255" s="82"/>
      <c r="Q255" s="83"/>
      <c r="R255" s="84"/>
      <c r="S255" s="79"/>
      <c r="T255" s="80"/>
      <c r="U255" s="81"/>
      <c r="V255" s="82"/>
      <c r="W255" s="83"/>
      <c r="X255" s="84"/>
      <c r="Y255" s="84"/>
      <c r="Z255" s="84"/>
      <c r="AA255" s="84"/>
      <c r="AB255" s="84"/>
      <c r="AC255" s="84"/>
      <c r="AD255" s="84"/>
      <c r="AE255" s="85"/>
      <c r="AF255" s="86"/>
      <c r="AG255" s="87"/>
      <c r="AH255" s="88"/>
    </row>
    <row r="256" spans="1:34" x14ac:dyDescent="0.25">
      <c r="A256" s="155" t="str">
        <f t="shared" si="6"/>
        <v/>
      </c>
      <c r="B256" s="155" t="str">
        <f t="shared" si="7"/>
        <v/>
      </c>
      <c r="C256" s="157"/>
      <c r="D256" s="150"/>
      <c r="E256" s="78"/>
      <c r="F256" s="133"/>
      <c r="G256" s="38"/>
      <c r="H256" s="39"/>
      <c r="I256" s="40"/>
      <c r="J256" s="41"/>
      <c r="K256" s="42"/>
      <c r="L256" s="43"/>
      <c r="M256" s="79"/>
      <c r="N256" s="80"/>
      <c r="O256" s="81"/>
      <c r="P256" s="82"/>
      <c r="Q256" s="83"/>
      <c r="R256" s="84"/>
      <c r="S256" s="79"/>
      <c r="T256" s="80"/>
      <c r="U256" s="81"/>
      <c r="V256" s="82"/>
      <c r="W256" s="83"/>
      <c r="X256" s="84"/>
      <c r="Y256" s="84"/>
      <c r="Z256" s="84"/>
      <c r="AA256" s="84"/>
      <c r="AB256" s="84"/>
      <c r="AC256" s="84"/>
      <c r="AD256" s="84"/>
      <c r="AE256" s="85"/>
      <c r="AF256" s="86"/>
      <c r="AG256" s="87"/>
      <c r="AH256" s="88"/>
    </row>
    <row r="257" spans="1:34" x14ac:dyDescent="0.25">
      <c r="A257" s="155" t="str">
        <f t="shared" si="6"/>
        <v/>
      </c>
      <c r="B257" s="155" t="str">
        <f t="shared" si="7"/>
        <v/>
      </c>
      <c r="C257" s="157"/>
      <c r="D257" s="150"/>
      <c r="E257" s="78"/>
      <c r="F257" s="133"/>
      <c r="G257" s="38"/>
      <c r="H257" s="39"/>
      <c r="I257" s="40"/>
      <c r="J257" s="41"/>
      <c r="K257" s="42"/>
      <c r="L257" s="43"/>
      <c r="M257" s="79"/>
      <c r="N257" s="80"/>
      <c r="O257" s="81"/>
      <c r="P257" s="82"/>
      <c r="Q257" s="83"/>
      <c r="R257" s="84"/>
      <c r="S257" s="79"/>
      <c r="T257" s="80"/>
      <c r="U257" s="81"/>
      <c r="V257" s="82"/>
      <c r="W257" s="83"/>
      <c r="X257" s="84"/>
      <c r="Y257" s="84"/>
      <c r="Z257" s="84"/>
      <c r="AA257" s="84"/>
      <c r="AB257" s="84"/>
      <c r="AC257" s="84"/>
      <c r="AD257" s="84"/>
      <c r="AE257" s="85"/>
      <c r="AF257" s="86"/>
      <c r="AG257" s="87"/>
      <c r="AH257" s="88"/>
    </row>
    <row r="258" spans="1:34" x14ac:dyDescent="0.25">
      <c r="A258" s="155" t="str">
        <f t="shared" si="6"/>
        <v/>
      </c>
      <c r="B258" s="155" t="str">
        <f t="shared" si="7"/>
        <v/>
      </c>
      <c r="C258" s="157"/>
      <c r="D258" s="150"/>
      <c r="E258" s="78"/>
      <c r="F258" s="133"/>
      <c r="G258" s="38"/>
      <c r="H258" s="39"/>
      <c r="I258" s="40"/>
      <c r="J258" s="41"/>
      <c r="K258" s="42"/>
      <c r="L258" s="43"/>
      <c r="M258" s="79"/>
      <c r="N258" s="80"/>
      <c r="O258" s="81"/>
      <c r="P258" s="82"/>
      <c r="Q258" s="83"/>
      <c r="R258" s="84"/>
      <c r="S258" s="79"/>
      <c r="T258" s="80"/>
      <c r="U258" s="81"/>
      <c r="V258" s="82"/>
      <c r="W258" s="83"/>
      <c r="X258" s="84"/>
      <c r="Y258" s="84"/>
      <c r="Z258" s="84"/>
      <c r="AA258" s="84"/>
      <c r="AB258" s="84"/>
      <c r="AC258" s="84"/>
      <c r="AD258" s="84"/>
      <c r="AE258" s="85"/>
      <c r="AF258" s="86"/>
      <c r="AG258" s="87"/>
      <c r="AH258" s="88"/>
    </row>
    <row r="259" spans="1:34" x14ac:dyDescent="0.25">
      <c r="A259" s="155" t="str">
        <f t="shared" si="6"/>
        <v/>
      </c>
      <c r="B259" s="155" t="str">
        <f t="shared" si="7"/>
        <v/>
      </c>
      <c r="C259" s="157"/>
      <c r="D259" s="150"/>
      <c r="E259" s="78"/>
      <c r="F259" s="133"/>
      <c r="G259" s="38"/>
      <c r="H259" s="39"/>
      <c r="I259" s="40"/>
      <c r="J259" s="41"/>
      <c r="K259" s="42"/>
      <c r="L259" s="43"/>
      <c r="M259" s="79"/>
      <c r="N259" s="80"/>
      <c r="O259" s="81"/>
      <c r="P259" s="82"/>
      <c r="Q259" s="83"/>
      <c r="R259" s="84"/>
      <c r="S259" s="79"/>
      <c r="T259" s="80"/>
      <c r="U259" s="81"/>
      <c r="V259" s="82"/>
      <c r="W259" s="83"/>
      <c r="X259" s="84"/>
      <c r="Y259" s="84"/>
      <c r="Z259" s="84"/>
      <c r="AA259" s="84"/>
      <c r="AB259" s="84"/>
      <c r="AC259" s="84"/>
      <c r="AD259" s="84"/>
      <c r="AE259" s="85"/>
      <c r="AF259" s="86"/>
      <c r="AG259" s="87"/>
      <c r="AH259" s="88"/>
    </row>
    <row r="260" spans="1:34" x14ac:dyDescent="0.25">
      <c r="A260" s="155" t="str">
        <f t="shared" si="6"/>
        <v/>
      </c>
      <c r="B260" s="155" t="str">
        <f t="shared" si="7"/>
        <v/>
      </c>
      <c r="C260" s="157"/>
      <c r="D260" s="150"/>
      <c r="E260" s="78"/>
      <c r="F260" s="133"/>
      <c r="G260" s="38"/>
      <c r="H260" s="39"/>
      <c r="I260" s="40"/>
      <c r="J260" s="41"/>
      <c r="K260" s="42"/>
      <c r="L260" s="43"/>
      <c r="M260" s="79"/>
      <c r="N260" s="80"/>
      <c r="O260" s="81"/>
      <c r="P260" s="82"/>
      <c r="Q260" s="83"/>
      <c r="R260" s="84"/>
      <c r="S260" s="79"/>
      <c r="T260" s="80"/>
      <c r="U260" s="81"/>
      <c r="V260" s="82"/>
      <c r="W260" s="83"/>
      <c r="X260" s="84"/>
      <c r="Y260" s="84"/>
      <c r="Z260" s="84"/>
      <c r="AA260" s="84"/>
      <c r="AB260" s="84"/>
      <c r="AC260" s="84"/>
      <c r="AD260" s="84"/>
      <c r="AE260" s="85"/>
      <c r="AF260" s="86"/>
      <c r="AG260" s="87"/>
      <c r="AH260" s="88"/>
    </row>
    <row r="261" spans="1:34" x14ac:dyDescent="0.25">
      <c r="A261" s="155" t="str">
        <f t="shared" si="6"/>
        <v/>
      </c>
      <c r="B261" s="155" t="str">
        <f t="shared" si="7"/>
        <v/>
      </c>
      <c r="C261" s="157"/>
      <c r="D261" s="150"/>
      <c r="E261" s="78"/>
      <c r="F261" s="133"/>
      <c r="G261" s="38"/>
      <c r="H261" s="39"/>
      <c r="I261" s="40"/>
      <c r="J261" s="41"/>
      <c r="K261" s="42"/>
      <c r="L261" s="43"/>
      <c r="M261" s="79"/>
      <c r="N261" s="80"/>
      <c r="O261" s="81"/>
      <c r="P261" s="82"/>
      <c r="Q261" s="83"/>
      <c r="R261" s="84"/>
      <c r="S261" s="79"/>
      <c r="T261" s="80"/>
      <c r="U261" s="81"/>
      <c r="V261" s="82"/>
      <c r="W261" s="83"/>
      <c r="X261" s="84"/>
      <c r="Y261" s="84"/>
      <c r="Z261" s="84"/>
      <c r="AA261" s="84"/>
      <c r="AB261" s="84"/>
      <c r="AC261" s="84"/>
      <c r="AD261" s="84"/>
      <c r="AE261" s="85"/>
      <c r="AF261" s="86"/>
      <c r="AG261" s="87"/>
      <c r="AH261" s="88"/>
    </row>
    <row r="262" spans="1:34" x14ac:dyDescent="0.25">
      <c r="A262" s="155" t="str">
        <f t="shared" ref="A262:A325" si="8">IF(COUNTIF(S262:X262,"&gt;0")=0,"",COUNTIF(S262:X262,"&gt;0"))</f>
        <v/>
      </c>
      <c r="B262" s="155" t="str">
        <f t="shared" ref="B262:B325" si="9">IF(A262="","",COUNTA(G262:L262)-A262)</f>
        <v/>
      </c>
      <c r="C262" s="157"/>
      <c r="D262" s="150"/>
      <c r="E262" s="78"/>
      <c r="F262" s="133"/>
      <c r="G262" s="38"/>
      <c r="H262" s="39"/>
      <c r="I262" s="40"/>
      <c r="J262" s="41"/>
      <c r="K262" s="42"/>
      <c r="L262" s="43"/>
      <c r="M262" s="79"/>
      <c r="N262" s="80"/>
      <c r="O262" s="81"/>
      <c r="P262" s="82"/>
      <c r="Q262" s="83"/>
      <c r="R262" s="84"/>
      <c r="S262" s="79"/>
      <c r="T262" s="80"/>
      <c r="U262" s="81"/>
      <c r="V262" s="82"/>
      <c r="W262" s="83"/>
      <c r="X262" s="84"/>
      <c r="Y262" s="84"/>
      <c r="Z262" s="84"/>
      <c r="AA262" s="84"/>
      <c r="AB262" s="84"/>
      <c r="AC262" s="84"/>
      <c r="AD262" s="84"/>
      <c r="AE262" s="85"/>
      <c r="AF262" s="86"/>
      <c r="AG262" s="87"/>
      <c r="AH262" s="88"/>
    </row>
    <row r="263" spans="1:34" x14ac:dyDescent="0.25">
      <c r="A263" s="155" t="str">
        <f t="shared" si="8"/>
        <v/>
      </c>
      <c r="B263" s="155" t="str">
        <f t="shared" si="9"/>
        <v/>
      </c>
      <c r="C263" s="157"/>
      <c r="D263" s="150"/>
      <c r="E263" s="78"/>
      <c r="F263" s="133"/>
      <c r="G263" s="38"/>
      <c r="H263" s="39"/>
      <c r="I263" s="40"/>
      <c r="J263" s="41"/>
      <c r="K263" s="42"/>
      <c r="L263" s="43"/>
      <c r="M263" s="79"/>
      <c r="N263" s="80"/>
      <c r="O263" s="81"/>
      <c r="P263" s="82"/>
      <c r="Q263" s="83"/>
      <c r="R263" s="84"/>
      <c r="S263" s="79"/>
      <c r="T263" s="80"/>
      <c r="U263" s="81"/>
      <c r="V263" s="82"/>
      <c r="W263" s="83"/>
      <c r="X263" s="84"/>
      <c r="Y263" s="84"/>
      <c r="Z263" s="84"/>
      <c r="AA263" s="84"/>
      <c r="AB263" s="84"/>
      <c r="AC263" s="84"/>
      <c r="AD263" s="84"/>
      <c r="AE263" s="85"/>
      <c r="AF263" s="86"/>
      <c r="AG263" s="87"/>
      <c r="AH263" s="88"/>
    </row>
    <row r="264" spans="1:34" x14ac:dyDescent="0.25">
      <c r="A264" s="155" t="str">
        <f t="shared" si="8"/>
        <v/>
      </c>
      <c r="B264" s="155" t="str">
        <f t="shared" si="9"/>
        <v/>
      </c>
      <c r="C264" s="157"/>
      <c r="D264" s="150"/>
      <c r="E264" s="78"/>
      <c r="F264" s="133"/>
      <c r="G264" s="38"/>
      <c r="H264" s="39"/>
      <c r="I264" s="40"/>
      <c r="J264" s="41"/>
      <c r="K264" s="42"/>
      <c r="L264" s="43"/>
      <c r="M264" s="79"/>
      <c r="N264" s="80"/>
      <c r="O264" s="81"/>
      <c r="P264" s="82"/>
      <c r="Q264" s="83"/>
      <c r="R264" s="84"/>
      <c r="S264" s="79"/>
      <c r="T264" s="80"/>
      <c r="U264" s="81"/>
      <c r="V264" s="82"/>
      <c r="W264" s="83"/>
      <c r="X264" s="84"/>
      <c r="Y264" s="84"/>
      <c r="Z264" s="84"/>
      <c r="AA264" s="84"/>
      <c r="AB264" s="84"/>
      <c r="AC264" s="84"/>
      <c r="AD264" s="84"/>
      <c r="AE264" s="85"/>
      <c r="AF264" s="86"/>
      <c r="AG264" s="87"/>
      <c r="AH264" s="88"/>
    </row>
    <row r="265" spans="1:34" x14ac:dyDescent="0.25">
      <c r="A265" s="155" t="str">
        <f t="shared" si="8"/>
        <v/>
      </c>
      <c r="B265" s="155" t="str">
        <f t="shared" si="9"/>
        <v/>
      </c>
      <c r="C265" s="157"/>
      <c r="D265" s="150"/>
      <c r="E265" s="78"/>
      <c r="F265" s="133"/>
      <c r="G265" s="38"/>
      <c r="H265" s="39"/>
      <c r="I265" s="40"/>
      <c r="J265" s="41"/>
      <c r="K265" s="42"/>
      <c r="L265" s="43"/>
      <c r="M265" s="79"/>
      <c r="N265" s="80"/>
      <c r="O265" s="81"/>
      <c r="P265" s="82"/>
      <c r="Q265" s="83"/>
      <c r="R265" s="84"/>
      <c r="S265" s="79"/>
      <c r="T265" s="80"/>
      <c r="U265" s="81"/>
      <c r="V265" s="82"/>
      <c r="W265" s="83"/>
      <c r="X265" s="84"/>
      <c r="Y265" s="84"/>
      <c r="Z265" s="84"/>
      <c r="AA265" s="84"/>
      <c r="AB265" s="84"/>
      <c r="AC265" s="84"/>
      <c r="AD265" s="84"/>
      <c r="AE265" s="85"/>
      <c r="AF265" s="86"/>
      <c r="AG265" s="87"/>
      <c r="AH265" s="88"/>
    </row>
    <row r="266" spans="1:34" x14ac:dyDescent="0.25">
      <c r="A266" s="155" t="str">
        <f t="shared" si="8"/>
        <v/>
      </c>
      <c r="B266" s="155" t="str">
        <f t="shared" si="9"/>
        <v/>
      </c>
      <c r="C266" s="157"/>
      <c r="D266" s="150"/>
      <c r="E266" s="78"/>
      <c r="F266" s="133"/>
      <c r="G266" s="38"/>
      <c r="H266" s="39"/>
      <c r="I266" s="40"/>
      <c r="J266" s="41"/>
      <c r="K266" s="42"/>
      <c r="L266" s="43"/>
      <c r="M266" s="79"/>
      <c r="N266" s="80"/>
      <c r="O266" s="81"/>
      <c r="P266" s="82"/>
      <c r="Q266" s="83"/>
      <c r="R266" s="84"/>
      <c r="S266" s="79"/>
      <c r="T266" s="80"/>
      <c r="U266" s="81"/>
      <c r="V266" s="82"/>
      <c r="W266" s="83"/>
      <c r="X266" s="84"/>
      <c r="Y266" s="84"/>
      <c r="Z266" s="84"/>
      <c r="AA266" s="84"/>
      <c r="AB266" s="84"/>
      <c r="AC266" s="84"/>
      <c r="AD266" s="84"/>
      <c r="AE266" s="85"/>
      <c r="AF266" s="86"/>
      <c r="AG266" s="87"/>
      <c r="AH266" s="88"/>
    </row>
    <row r="267" spans="1:34" x14ac:dyDescent="0.25">
      <c r="A267" s="155" t="str">
        <f t="shared" si="8"/>
        <v/>
      </c>
      <c r="B267" s="155" t="str">
        <f t="shared" si="9"/>
        <v/>
      </c>
      <c r="C267" s="157"/>
      <c r="D267" s="150"/>
      <c r="E267" s="78"/>
      <c r="F267" s="133"/>
      <c r="G267" s="38"/>
      <c r="H267" s="39"/>
      <c r="I267" s="40"/>
      <c r="J267" s="41"/>
      <c r="K267" s="42"/>
      <c r="L267" s="43"/>
      <c r="M267" s="79"/>
      <c r="N267" s="80"/>
      <c r="O267" s="81"/>
      <c r="P267" s="82"/>
      <c r="Q267" s="83"/>
      <c r="R267" s="84"/>
      <c r="S267" s="79"/>
      <c r="T267" s="80"/>
      <c r="U267" s="81"/>
      <c r="V267" s="82"/>
      <c r="W267" s="83"/>
      <c r="X267" s="84"/>
      <c r="Y267" s="84"/>
      <c r="Z267" s="84"/>
      <c r="AA267" s="84"/>
      <c r="AB267" s="84"/>
      <c r="AC267" s="84"/>
      <c r="AD267" s="84"/>
      <c r="AE267" s="85"/>
      <c r="AF267" s="86"/>
      <c r="AG267" s="87"/>
      <c r="AH267" s="88"/>
    </row>
    <row r="268" spans="1:34" x14ac:dyDescent="0.25">
      <c r="A268" s="155" t="str">
        <f t="shared" si="8"/>
        <v/>
      </c>
      <c r="B268" s="155" t="str">
        <f t="shared" si="9"/>
        <v/>
      </c>
      <c r="C268" s="157"/>
      <c r="D268" s="150"/>
      <c r="E268" s="78"/>
      <c r="F268" s="133"/>
      <c r="G268" s="38"/>
      <c r="H268" s="39"/>
      <c r="I268" s="40"/>
      <c r="J268" s="41"/>
      <c r="K268" s="42"/>
      <c r="L268" s="43"/>
      <c r="M268" s="79"/>
      <c r="N268" s="80"/>
      <c r="O268" s="81"/>
      <c r="P268" s="82"/>
      <c r="Q268" s="83"/>
      <c r="R268" s="84"/>
      <c r="S268" s="79"/>
      <c r="T268" s="80"/>
      <c r="U268" s="81"/>
      <c r="V268" s="82"/>
      <c r="W268" s="83"/>
      <c r="X268" s="84"/>
      <c r="Y268" s="84"/>
      <c r="Z268" s="84"/>
      <c r="AA268" s="84"/>
      <c r="AB268" s="84"/>
      <c r="AC268" s="84"/>
      <c r="AD268" s="84"/>
      <c r="AE268" s="85"/>
      <c r="AF268" s="86"/>
      <c r="AG268" s="87"/>
      <c r="AH268" s="88"/>
    </row>
    <row r="269" spans="1:34" x14ac:dyDescent="0.25">
      <c r="A269" s="155" t="str">
        <f t="shared" si="8"/>
        <v/>
      </c>
      <c r="B269" s="155" t="str">
        <f t="shared" si="9"/>
        <v/>
      </c>
      <c r="C269" s="157"/>
      <c r="D269" s="150"/>
      <c r="E269" s="78"/>
      <c r="F269" s="133"/>
      <c r="G269" s="38"/>
      <c r="H269" s="39"/>
      <c r="I269" s="40"/>
      <c r="J269" s="41"/>
      <c r="K269" s="42"/>
      <c r="L269" s="43"/>
      <c r="M269" s="79"/>
      <c r="N269" s="80"/>
      <c r="O269" s="81"/>
      <c r="P269" s="82"/>
      <c r="Q269" s="83"/>
      <c r="R269" s="84"/>
      <c r="S269" s="79"/>
      <c r="T269" s="80"/>
      <c r="U269" s="81"/>
      <c r="V269" s="82"/>
      <c r="W269" s="83"/>
      <c r="X269" s="84"/>
      <c r="Y269" s="84"/>
      <c r="Z269" s="84"/>
      <c r="AA269" s="84"/>
      <c r="AB269" s="84"/>
      <c r="AC269" s="84"/>
      <c r="AD269" s="84"/>
      <c r="AE269" s="85"/>
      <c r="AF269" s="86"/>
      <c r="AG269" s="87"/>
      <c r="AH269" s="88"/>
    </row>
    <row r="270" spans="1:34" x14ac:dyDescent="0.25">
      <c r="A270" s="155" t="str">
        <f t="shared" si="8"/>
        <v/>
      </c>
      <c r="B270" s="155" t="str">
        <f t="shared" si="9"/>
        <v/>
      </c>
      <c r="C270" s="157"/>
      <c r="D270" s="150"/>
      <c r="E270" s="78"/>
      <c r="F270" s="133"/>
      <c r="G270" s="38"/>
      <c r="H270" s="39"/>
      <c r="I270" s="40"/>
      <c r="J270" s="41"/>
      <c r="K270" s="42"/>
      <c r="L270" s="43"/>
      <c r="M270" s="79"/>
      <c r="N270" s="80"/>
      <c r="O270" s="81"/>
      <c r="P270" s="82"/>
      <c r="Q270" s="83"/>
      <c r="R270" s="84"/>
      <c r="S270" s="79"/>
      <c r="T270" s="80"/>
      <c r="U270" s="81"/>
      <c r="V270" s="82"/>
      <c r="W270" s="83"/>
      <c r="X270" s="84"/>
      <c r="Y270" s="84"/>
      <c r="Z270" s="84"/>
      <c r="AA270" s="84"/>
      <c r="AB270" s="84"/>
      <c r="AC270" s="84"/>
      <c r="AD270" s="84"/>
      <c r="AE270" s="85"/>
      <c r="AF270" s="86"/>
      <c r="AG270" s="87"/>
      <c r="AH270" s="88"/>
    </row>
    <row r="271" spans="1:34" x14ac:dyDescent="0.25">
      <c r="A271" s="155" t="str">
        <f t="shared" si="8"/>
        <v/>
      </c>
      <c r="B271" s="155" t="str">
        <f t="shared" si="9"/>
        <v/>
      </c>
      <c r="C271" s="157"/>
      <c r="D271" s="150"/>
      <c r="E271" s="78"/>
      <c r="F271" s="133"/>
      <c r="G271" s="38"/>
      <c r="H271" s="39"/>
      <c r="I271" s="40"/>
      <c r="J271" s="41"/>
      <c r="K271" s="42"/>
      <c r="L271" s="43"/>
      <c r="M271" s="79"/>
      <c r="N271" s="80"/>
      <c r="O271" s="81"/>
      <c r="P271" s="82"/>
      <c r="Q271" s="83"/>
      <c r="R271" s="84"/>
      <c r="S271" s="79"/>
      <c r="T271" s="80"/>
      <c r="U271" s="81"/>
      <c r="V271" s="82"/>
      <c r="W271" s="83"/>
      <c r="X271" s="84"/>
      <c r="Y271" s="84"/>
      <c r="Z271" s="84"/>
      <c r="AA271" s="84"/>
      <c r="AB271" s="84"/>
      <c r="AC271" s="84"/>
      <c r="AD271" s="84"/>
      <c r="AE271" s="85"/>
      <c r="AF271" s="86"/>
      <c r="AG271" s="87"/>
      <c r="AH271" s="88"/>
    </row>
    <row r="272" spans="1:34" x14ac:dyDescent="0.25">
      <c r="A272" s="155" t="str">
        <f t="shared" si="8"/>
        <v/>
      </c>
      <c r="B272" s="155" t="str">
        <f t="shared" si="9"/>
        <v/>
      </c>
      <c r="C272" s="157"/>
      <c r="D272" s="150"/>
      <c r="E272" s="78"/>
      <c r="F272" s="133"/>
      <c r="G272" s="38"/>
      <c r="H272" s="39"/>
      <c r="I272" s="40"/>
      <c r="J272" s="41"/>
      <c r="K272" s="42"/>
      <c r="L272" s="43"/>
      <c r="M272" s="79"/>
      <c r="N272" s="80"/>
      <c r="O272" s="81"/>
      <c r="P272" s="82"/>
      <c r="Q272" s="83"/>
      <c r="R272" s="84"/>
      <c r="S272" s="79"/>
      <c r="T272" s="80"/>
      <c r="U272" s="81"/>
      <c r="V272" s="82"/>
      <c r="W272" s="83"/>
      <c r="X272" s="84"/>
      <c r="Y272" s="84"/>
      <c r="Z272" s="84"/>
      <c r="AA272" s="84"/>
      <c r="AB272" s="84"/>
      <c r="AC272" s="84"/>
      <c r="AD272" s="84"/>
      <c r="AE272" s="85"/>
      <c r="AF272" s="86"/>
      <c r="AG272" s="87"/>
      <c r="AH272" s="88"/>
    </row>
    <row r="273" spans="1:34" x14ac:dyDescent="0.25">
      <c r="A273" s="155" t="str">
        <f t="shared" si="8"/>
        <v/>
      </c>
      <c r="B273" s="155" t="str">
        <f t="shared" si="9"/>
        <v/>
      </c>
      <c r="C273" s="157"/>
      <c r="D273" s="150"/>
      <c r="E273" s="78"/>
      <c r="F273" s="133"/>
      <c r="G273" s="38"/>
      <c r="H273" s="39"/>
      <c r="I273" s="40"/>
      <c r="J273" s="41"/>
      <c r="K273" s="42"/>
      <c r="L273" s="43"/>
      <c r="M273" s="79"/>
      <c r="N273" s="80"/>
      <c r="O273" s="81"/>
      <c r="P273" s="82"/>
      <c r="Q273" s="83"/>
      <c r="R273" s="84"/>
      <c r="S273" s="79"/>
      <c r="T273" s="80"/>
      <c r="U273" s="81"/>
      <c r="V273" s="82"/>
      <c r="W273" s="83"/>
      <c r="X273" s="84"/>
      <c r="Y273" s="84"/>
      <c r="Z273" s="84"/>
      <c r="AA273" s="84"/>
      <c r="AB273" s="84"/>
      <c r="AC273" s="84"/>
      <c r="AD273" s="84"/>
      <c r="AE273" s="85"/>
      <c r="AF273" s="86"/>
      <c r="AG273" s="87"/>
      <c r="AH273" s="88"/>
    </row>
    <row r="274" spans="1:34" x14ac:dyDescent="0.25">
      <c r="A274" s="155" t="str">
        <f t="shared" si="8"/>
        <v/>
      </c>
      <c r="B274" s="155" t="str">
        <f t="shared" si="9"/>
        <v/>
      </c>
      <c r="C274" s="157"/>
      <c r="D274" s="150"/>
      <c r="E274" s="78"/>
      <c r="F274" s="133"/>
      <c r="G274" s="38"/>
      <c r="H274" s="39"/>
      <c r="I274" s="40"/>
      <c r="J274" s="41"/>
      <c r="K274" s="42"/>
      <c r="L274" s="43"/>
      <c r="M274" s="79"/>
      <c r="N274" s="80"/>
      <c r="O274" s="81"/>
      <c r="P274" s="82"/>
      <c r="Q274" s="83"/>
      <c r="R274" s="84"/>
      <c r="S274" s="79"/>
      <c r="T274" s="80"/>
      <c r="U274" s="81"/>
      <c r="V274" s="82"/>
      <c r="W274" s="83"/>
      <c r="X274" s="84"/>
      <c r="Y274" s="84"/>
      <c r="Z274" s="84"/>
      <c r="AA274" s="84"/>
      <c r="AB274" s="84"/>
      <c r="AC274" s="84"/>
      <c r="AD274" s="84"/>
      <c r="AE274" s="85"/>
      <c r="AF274" s="86"/>
      <c r="AG274" s="87"/>
      <c r="AH274" s="88"/>
    </row>
    <row r="275" spans="1:34" x14ac:dyDescent="0.25">
      <c r="A275" s="155" t="str">
        <f t="shared" si="8"/>
        <v/>
      </c>
      <c r="B275" s="155" t="str">
        <f t="shared" si="9"/>
        <v/>
      </c>
      <c r="C275" s="157"/>
      <c r="D275" s="150"/>
      <c r="E275" s="78"/>
      <c r="F275" s="133"/>
      <c r="G275" s="38"/>
      <c r="H275" s="39"/>
      <c r="I275" s="40"/>
      <c r="J275" s="41"/>
      <c r="K275" s="42"/>
      <c r="L275" s="43"/>
      <c r="M275" s="79"/>
      <c r="N275" s="80"/>
      <c r="O275" s="81"/>
      <c r="P275" s="82"/>
      <c r="Q275" s="83"/>
      <c r="R275" s="84"/>
      <c r="S275" s="79"/>
      <c r="T275" s="80"/>
      <c r="U275" s="81"/>
      <c r="V275" s="82"/>
      <c r="W275" s="83"/>
      <c r="X275" s="84"/>
      <c r="Y275" s="84"/>
      <c r="Z275" s="84"/>
      <c r="AA275" s="84"/>
      <c r="AB275" s="84"/>
      <c r="AC275" s="84"/>
      <c r="AD275" s="84"/>
      <c r="AE275" s="85"/>
      <c r="AF275" s="86"/>
      <c r="AG275" s="87"/>
      <c r="AH275" s="88"/>
    </row>
    <row r="276" spans="1:34" x14ac:dyDescent="0.25">
      <c r="A276" s="155" t="str">
        <f t="shared" si="8"/>
        <v/>
      </c>
      <c r="B276" s="155" t="str">
        <f t="shared" si="9"/>
        <v/>
      </c>
      <c r="C276" s="157"/>
      <c r="D276" s="150"/>
      <c r="E276" s="78"/>
      <c r="F276" s="133"/>
      <c r="G276" s="38"/>
      <c r="H276" s="39"/>
      <c r="I276" s="40"/>
      <c r="J276" s="41"/>
      <c r="K276" s="42"/>
      <c r="L276" s="43"/>
      <c r="M276" s="79"/>
      <c r="N276" s="80"/>
      <c r="O276" s="81"/>
      <c r="P276" s="82"/>
      <c r="Q276" s="83"/>
      <c r="R276" s="84"/>
      <c r="S276" s="79"/>
      <c r="T276" s="80"/>
      <c r="U276" s="81"/>
      <c r="V276" s="82"/>
      <c r="W276" s="83"/>
      <c r="X276" s="84"/>
      <c r="Y276" s="84"/>
      <c r="Z276" s="84"/>
      <c r="AA276" s="84"/>
      <c r="AB276" s="84"/>
      <c r="AC276" s="84"/>
      <c r="AD276" s="84"/>
      <c r="AE276" s="85"/>
      <c r="AF276" s="86"/>
      <c r="AG276" s="87"/>
      <c r="AH276" s="88"/>
    </row>
    <row r="277" spans="1:34" x14ac:dyDescent="0.25">
      <c r="A277" s="155" t="str">
        <f t="shared" si="8"/>
        <v/>
      </c>
      <c r="B277" s="155" t="str">
        <f t="shared" si="9"/>
        <v/>
      </c>
      <c r="C277" s="157"/>
      <c r="D277" s="150"/>
      <c r="E277" s="78"/>
      <c r="F277" s="133"/>
      <c r="G277" s="38"/>
      <c r="H277" s="39"/>
      <c r="I277" s="40"/>
      <c r="J277" s="41"/>
      <c r="K277" s="42"/>
      <c r="L277" s="43"/>
      <c r="M277" s="79"/>
      <c r="N277" s="80"/>
      <c r="O277" s="81"/>
      <c r="P277" s="82"/>
      <c r="Q277" s="83"/>
      <c r="R277" s="84"/>
      <c r="S277" s="79"/>
      <c r="T277" s="80"/>
      <c r="U277" s="81"/>
      <c r="V277" s="82"/>
      <c r="W277" s="83"/>
      <c r="X277" s="84"/>
      <c r="Y277" s="84"/>
      <c r="Z277" s="84"/>
      <c r="AA277" s="84"/>
      <c r="AB277" s="84"/>
      <c r="AC277" s="84"/>
      <c r="AD277" s="84"/>
      <c r="AE277" s="85"/>
      <c r="AF277" s="86"/>
      <c r="AG277" s="87"/>
      <c r="AH277" s="88"/>
    </row>
    <row r="278" spans="1:34" x14ac:dyDescent="0.25">
      <c r="A278" s="155" t="str">
        <f t="shared" si="8"/>
        <v/>
      </c>
      <c r="B278" s="155" t="str">
        <f t="shared" si="9"/>
        <v/>
      </c>
      <c r="C278" s="157"/>
      <c r="D278" s="150"/>
      <c r="E278" s="78"/>
      <c r="F278" s="133"/>
      <c r="G278" s="38"/>
      <c r="H278" s="39"/>
      <c r="I278" s="40"/>
      <c r="J278" s="41"/>
      <c r="K278" s="42"/>
      <c r="L278" s="43"/>
      <c r="M278" s="79"/>
      <c r="N278" s="80"/>
      <c r="O278" s="81"/>
      <c r="P278" s="82"/>
      <c r="Q278" s="83"/>
      <c r="R278" s="84"/>
      <c r="S278" s="79"/>
      <c r="T278" s="80"/>
      <c r="U278" s="81"/>
      <c r="V278" s="82"/>
      <c r="W278" s="83"/>
      <c r="X278" s="84"/>
      <c r="Y278" s="84"/>
      <c r="Z278" s="84"/>
      <c r="AA278" s="84"/>
      <c r="AB278" s="84"/>
      <c r="AC278" s="84"/>
      <c r="AD278" s="84"/>
      <c r="AE278" s="85"/>
      <c r="AF278" s="86"/>
      <c r="AG278" s="87"/>
      <c r="AH278" s="88"/>
    </row>
    <row r="279" spans="1:34" x14ac:dyDescent="0.25">
      <c r="A279" s="155" t="str">
        <f t="shared" si="8"/>
        <v/>
      </c>
      <c r="B279" s="155" t="str">
        <f t="shared" si="9"/>
        <v/>
      </c>
      <c r="C279" s="157"/>
      <c r="D279" s="150"/>
      <c r="E279" s="78"/>
      <c r="F279" s="133"/>
      <c r="G279" s="38"/>
      <c r="H279" s="39"/>
      <c r="I279" s="40"/>
      <c r="J279" s="41"/>
      <c r="K279" s="42"/>
      <c r="L279" s="43"/>
      <c r="M279" s="79"/>
      <c r="N279" s="80"/>
      <c r="O279" s="81"/>
      <c r="P279" s="82"/>
      <c r="Q279" s="83"/>
      <c r="R279" s="84"/>
      <c r="S279" s="79"/>
      <c r="T279" s="80"/>
      <c r="U279" s="81"/>
      <c r="V279" s="82"/>
      <c r="W279" s="83"/>
      <c r="X279" s="84"/>
      <c r="Y279" s="84"/>
      <c r="Z279" s="84"/>
      <c r="AA279" s="84"/>
      <c r="AB279" s="84"/>
      <c r="AC279" s="84"/>
      <c r="AD279" s="84"/>
      <c r="AE279" s="85"/>
      <c r="AF279" s="86"/>
      <c r="AG279" s="87"/>
      <c r="AH279" s="88"/>
    </row>
    <row r="280" spans="1:34" x14ac:dyDescent="0.25">
      <c r="A280" s="155" t="str">
        <f t="shared" si="8"/>
        <v/>
      </c>
      <c r="B280" s="155" t="str">
        <f t="shared" si="9"/>
        <v/>
      </c>
      <c r="C280" s="157"/>
      <c r="D280" s="150"/>
      <c r="E280" s="78"/>
      <c r="F280" s="133"/>
      <c r="G280" s="38"/>
      <c r="H280" s="39"/>
      <c r="I280" s="40"/>
      <c r="J280" s="41"/>
      <c r="K280" s="42"/>
      <c r="L280" s="43"/>
      <c r="M280" s="79"/>
      <c r="N280" s="80"/>
      <c r="O280" s="81"/>
      <c r="P280" s="82"/>
      <c r="Q280" s="83"/>
      <c r="R280" s="84"/>
      <c r="S280" s="79"/>
      <c r="T280" s="80"/>
      <c r="U280" s="81"/>
      <c r="V280" s="82"/>
      <c r="W280" s="83"/>
      <c r="X280" s="84"/>
      <c r="Y280" s="84"/>
      <c r="Z280" s="84"/>
      <c r="AA280" s="84"/>
      <c r="AB280" s="84"/>
      <c r="AC280" s="84"/>
      <c r="AD280" s="84"/>
      <c r="AE280" s="85"/>
      <c r="AF280" s="86"/>
      <c r="AG280" s="87"/>
      <c r="AH280" s="88"/>
    </row>
    <row r="281" spans="1:34" x14ac:dyDescent="0.25">
      <c r="A281" s="155" t="str">
        <f t="shared" si="8"/>
        <v/>
      </c>
      <c r="B281" s="155" t="str">
        <f t="shared" si="9"/>
        <v/>
      </c>
      <c r="C281" s="157"/>
      <c r="D281" s="150"/>
      <c r="E281" s="78"/>
      <c r="F281" s="133"/>
      <c r="G281" s="38"/>
      <c r="H281" s="39"/>
      <c r="I281" s="40"/>
      <c r="J281" s="41"/>
      <c r="K281" s="42"/>
      <c r="L281" s="43"/>
      <c r="M281" s="79"/>
      <c r="N281" s="80"/>
      <c r="O281" s="81"/>
      <c r="P281" s="82"/>
      <c r="Q281" s="83"/>
      <c r="R281" s="84"/>
      <c r="S281" s="79"/>
      <c r="T281" s="80"/>
      <c r="U281" s="81"/>
      <c r="V281" s="82"/>
      <c r="W281" s="83"/>
      <c r="X281" s="84"/>
      <c r="Y281" s="84"/>
      <c r="Z281" s="84"/>
      <c r="AA281" s="84"/>
      <c r="AB281" s="84"/>
      <c r="AC281" s="84"/>
      <c r="AD281" s="84"/>
      <c r="AE281" s="85"/>
      <c r="AF281" s="86"/>
      <c r="AG281" s="87"/>
      <c r="AH281" s="88"/>
    </row>
    <row r="282" spans="1:34" x14ac:dyDescent="0.25">
      <c r="A282" s="155" t="str">
        <f t="shared" si="8"/>
        <v/>
      </c>
      <c r="B282" s="155" t="str">
        <f t="shared" si="9"/>
        <v/>
      </c>
      <c r="C282" s="157"/>
      <c r="D282" s="150"/>
      <c r="E282" s="78"/>
      <c r="F282" s="133"/>
      <c r="G282" s="38"/>
      <c r="H282" s="39"/>
      <c r="I282" s="40"/>
      <c r="J282" s="41"/>
      <c r="K282" s="42"/>
      <c r="L282" s="43"/>
      <c r="M282" s="79"/>
      <c r="N282" s="80"/>
      <c r="O282" s="81"/>
      <c r="P282" s="82"/>
      <c r="Q282" s="83"/>
      <c r="R282" s="84"/>
      <c r="S282" s="79"/>
      <c r="T282" s="80"/>
      <c r="U282" s="81"/>
      <c r="V282" s="82"/>
      <c r="W282" s="83"/>
      <c r="X282" s="84"/>
      <c r="Y282" s="84"/>
      <c r="Z282" s="84"/>
      <c r="AA282" s="84"/>
      <c r="AB282" s="84"/>
      <c r="AC282" s="84"/>
      <c r="AD282" s="84"/>
      <c r="AE282" s="85"/>
      <c r="AF282" s="86"/>
      <c r="AG282" s="87"/>
      <c r="AH282" s="88"/>
    </row>
    <row r="283" spans="1:34" x14ac:dyDescent="0.25">
      <c r="A283" s="155" t="str">
        <f t="shared" si="8"/>
        <v/>
      </c>
      <c r="B283" s="155" t="str">
        <f t="shared" si="9"/>
        <v/>
      </c>
      <c r="C283" s="157"/>
      <c r="D283" s="150"/>
      <c r="E283" s="78"/>
      <c r="F283" s="133"/>
      <c r="G283" s="38"/>
      <c r="H283" s="39"/>
      <c r="I283" s="40"/>
      <c r="J283" s="41"/>
      <c r="K283" s="42"/>
      <c r="L283" s="43"/>
      <c r="M283" s="79"/>
      <c r="N283" s="80"/>
      <c r="O283" s="81"/>
      <c r="P283" s="82"/>
      <c r="Q283" s="83"/>
      <c r="R283" s="84"/>
      <c r="S283" s="79"/>
      <c r="T283" s="80"/>
      <c r="U283" s="81"/>
      <c r="V283" s="82"/>
      <c r="W283" s="83"/>
      <c r="X283" s="84"/>
      <c r="Y283" s="84"/>
      <c r="Z283" s="84"/>
      <c r="AA283" s="84"/>
      <c r="AB283" s="84"/>
      <c r="AC283" s="84"/>
      <c r="AD283" s="84"/>
      <c r="AE283" s="85"/>
      <c r="AF283" s="86"/>
      <c r="AG283" s="87"/>
      <c r="AH283" s="88"/>
    </row>
    <row r="284" spans="1:34" x14ac:dyDescent="0.25">
      <c r="A284" s="155" t="str">
        <f t="shared" si="8"/>
        <v/>
      </c>
      <c r="B284" s="155" t="str">
        <f t="shared" si="9"/>
        <v/>
      </c>
      <c r="C284" s="157"/>
      <c r="D284" s="150"/>
      <c r="E284" s="78"/>
      <c r="F284" s="133"/>
      <c r="G284" s="38"/>
      <c r="H284" s="39"/>
      <c r="I284" s="40"/>
      <c r="J284" s="41"/>
      <c r="K284" s="42"/>
      <c r="L284" s="43"/>
      <c r="M284" s="79"/>
      <c r="N284" s="80"/>
      <c r="O284" s="81"/>
      <c r="P284" s="82"/>
      <c r="Q284" s="83"/>
      <c r="R284" s="84"/>
      <c r="S284" s="79"/>
      <c r="T284" s="80"/>
      <c r="U284" s="81"/>
      <c r="V284" s="82"/>
      <c r="W284" s="83"/>
      <c r="X284" s="84"/>
      <c r="Y284" s="84"/>
      <c r="Z284" s="84"/>
      <c r="AA284" s="84"/>
      <c r="AB284" s="84"/>
      <c r="AC284" s="84"/>
      <c r="AD284" s="84"/>
      <c r="AE284" s="85"/>
      <c r="AF284" s="86"/>
      <c r="AG284" s="87"/>
      <c r="AH284" s="88"/>
    </row>
    <row r="285" spans="1:34" x14ac:dyDescent="0.25">
      <c r="A285" s="155" t="str">
        <f t="shared" si="8"/>
        <v/>
      </c>
      <c r="B285" s="155" t="str">
        <f t="shared" si="9"/>
        <v/>
      </c>
      <c r="C285" s="157"/>
      <c r="D285" s="150"/>
      <c r="E285" s="78"/>
      <c r="F285" s="133"/>
      <c r="G285" s="38"/>
      <c r="H285" s="39"/>
      <c r="I285" s="40"/>
      <c r="J285" s="41"/>
      <c r="K285" s="42"/>
      <c r="L285" s="43"/>
      <c r="M285" s="79"/>
      <c r="N285" s="80"/>
      <c r="O285" s="81"/>
      <c r="P285" s="82"/>
      <c r="Q285" s="83"/>
      <c r="R285" s="84"/>
      <c r="S285" s="79"/>
      <c r="T285" s="80"/>
      <c r="U285" s="81"/>
      <c r="V285" s="82"/>
      <c r="W285" s="83"/>
      <c r="X285" s="84"/>
      <c r="Y285" s="84"/>
      <c r="Z285" s="84"/>
      <c r="AA285" s="84"/>
      <c r="AB285" s="84"/>
      <c r="AC285" s="84"/>
      <c r="AD285" s="84"/>
      <c r="AE285" s="85"/>
      <c r="AF285" s="86"/>
      <c r="AG285" s="87"/>
      <c r="AH285" s="88"/>
    </row>
    <row r="286" spans="1:34" x14ac:dyDescent="0.25">
      <c r="A286" s="155" t="str">
        <f t="shared" si="8"/>
        <v/>
      </c>
      <c r="B286" s="155" t="str">
        <f t="shared" si="9"/>
        <v/>
      </c>
      <c r="C286" s="157"/>
      <c r="D286" s="150"/>
      <c r="E286" s="78"/>
      <c r="F286" s="133"/>
      <c r="G286" s="38"/>
      <c r="H286" s="39"/>
      <c r="I286" s="40"/>
      <c r="J286" s="41"/>
      <c r="K286" s="42"/>
      <c r="L286" s="43"/>
      <c r="M286" s="79"/>
      <c r="N286" s="80"/>
      <c r="O286" s="81"/>
      <c r="P286" s="82"/>
      <c r="Q286" s="83"/>
      <c r="R286" s="84"/>
      <c r="S286" s="79"/>
      <c r="T286" s="80"/>
      <c r="U286" s="81"/>
      <c r="V286" s="82"/>
      <c r="W286" s="83"/>
      <c r="X286" s="84"/>
      <c r="Y286" s="84"/>
      <c r="Z286" s="84"/>
      <c r="AA286" s="84"/>
      <c r="AB286" s="84"/>
      <c r="AC286" s="84"/>
      <c r="AD286" s="84"/>
      <c r="AE286" s="85"/>
      <c r="AF286" s="86"/>
      <c r="AG286" s="87"/>
      <c r="AH286" s="88"/>
    </row>
    <row r="287" spans="1:34" x14ac:dyDescent="0.25">
      <c r="A287" s="155" t="str">
        <f t="shared" si="8"/>
        <v/>
      </c>
      <c r="B287" s="155" t="str">
        <f t="shared" si="9"/>
        <v/>
      </c>
      <c r="C287" s="157"/>
      <c r="D287" s="150"/>
      <c r="E287" s="78"/>
      <c r="F287" s="133"/>
      <c r="G287" s="38"/>
      <c r="H287" s="39"/>
      <c r="I287" s="40"/>
      <c r="J287" s="41"/>
      <c r="K287" s="42"/>
      <c r="L287" s="43"/>
      <c r="M287" s="79"/>
      <c r="N287" s="80"/>
      <c r="O287" s="81"/>
      <c r="P287" s="82"/>
      <c r="Q287" s="83"/>
      <c r="R287" s="84"/>
      <c r="S287" s="79"/>
      <c r="T287" s="80"/>
      <c r="U287" s="81"/>
      <c r="V287" s="82"/>
      <c r="W287" s="83"/>
      <c r="X287" s="84"/>
      <c r="Y287" s="84"/>
      <c r="Z287" s="84"/>
      <c r="AA287" s="84"/>
      <c r="AB287" s="84"/>
      <c r="AC287" s="84"/>
      <c r="AD287" s="84"/>
      <c r="AE287" s="85"/>
      <c r="AF287" s="86"/>
      <c r="AG287" s="87"/>
      <c r="AH287" s="88"/>
    </row>
    <row r="288" spans="1:34" x14ac:dyDescent="0.25">
      <c r="A288" s="155" t="str">
        <f t="shared" si="8"/>
        <v/>
      </c>
      <c r="B288" s="155" t="str">
        <f t="shared" si="9"/>
        <v/>
      </c>
      <c r="C288" s="157"/>
      <c r="D288" s="150"/>
      <c r="E288" s="78"/>
      <c r="F288" s="133"/>
      <c r="G288" s="38"/>
      <c r="H288" s="39"/>
      <c r="I288" s="40"/>
      <c r="J288" s="41"/>
      <c r="K288" s="42"/>
      <c r="L288" s="43"/>
      <c r="M288" s="79"/>
      <c r="N288" s="80"/>
      <c r="O288" s="81"/>
      <c r="P288" s="82"/>
      <c r="Q288" s="83"/>
      <c r="R288" s="84"/>
      <c r="S288" s="79"/>
      <c r="T288" s="80"/>
      <c r="U288" s="81"/>
      <c r="V288" s="82"/>
      <c r="W288" s="83"/>
      <c r="X288" s="84"/>
      <c r="Y288" s="84"/>
      <c r="Z288" s="84"/>
      <c r="AA288" s="84"/>
      <c r="AB288" s="84"/>
      <c r="AC288" s="84"/>
      <c r="AD288" s="84"/>
      <c r="AE288" s="85"/>
      <c r="AF288" s="86"/>
      <c r="AG288" s="87"/>
      <c r="AH288" s="88"/>
    </row>
    <row r="289" spans="1:34" x14ac:dyDescent="0.25">
      <c r="A289" s="155" t="str">
        <f t="shared" si="8"/>
        <v/>
      </c>
      <c r="B289" s="155" t="str">
        <f t="shared" si="9"/>
        <v/>
      </c>
      <c r="C289" s="157"/>
      <c r="D289" s="150"/>
      <c r="E289" s="78"/>
      <c r="F289" s="133"/>
      <c r="G289" s="38"/>
      <c r="H289" s="39"/>
      <c r="I289" s="40"/>
      <c r="J289" s="41"/>
      <c r="K289" s="42"/>
      <c r="L289" s="43"/>
      <c r="M289" s="79"/>
      <c r="N289" s="80"/>
      <c r="O289" s="81"/>
      <c r="P289" s="82"/>
      <c r="Q289" s="83"/>
      <c r="R289" s="84"/>
      <c r="S289" s="79"/>
      <c r="T289" s="80"/>
      <c r="U289" s="81"/>
      <c r="V289" s="82"/>
      <c r="W289" s="83"/>
      <c r="X289" s="84"/>
      <c r="Y289" s="84"/>
      <c r="Z289" s="84"/>
      <c r="AA289" s="84"/>
      <c r="AB289" s="84"/>
      <c r="AC289" s="84"/>
      <c r="AD289" s="84"/>
      <c r="AE289" s="85"/>
      <c r="AF289" s="86"/>
      <c r="AG289" s="87"/>
      <c r="AH289" s="88"/>
    </row>
    <row r="290" spans="1:34" x14ac:dyDescent="0.25">
      <c r="A290" s="155" t="str">
        <f t="shared" si="8"/>
        <v/>
      </c>
      <c r="B290" s="155" t="str">
        <f t="shared" si="9"/>
        <v/>
      </c>
      <c r="C290" s="157"/>
      <c r="D290" s="150"/>
      <c r="E290" s="78"/>
      <c r="F290" s="133"/>
      <c r="G290" s="38"/>
      <c r="H290" s="39"/>
      <c r="I290" s="40"/>
      <c r="J290" s="41"/>
      <c r="K290" s="42"/>
      <c r="L290" s="43"/>
      <c r="M290" s="79"/>
      <c r="N290" s="80"/>
      <c r="O290" s="81"/>
      <c r="P290" s="82"/>
      <c r="Q290" s="83"/>
      <c r="R290" s="84"/>
      <c r="S290" s="79"/>
      <c r="T290" s="80"/>
      <c r="U290" s="81"/>
      <c r="V290" s="82"/>
      <c r="W290" s="83"/>
      <c r="X290" s="84"/>
      <c r="Y290" s="84"/>
      <c r="Z290" s="84"/>
      <c r="AA290" s="84"/>
      <c r="AB290" s="84"/>
      <c r="AC290" s="84"/>
      <c r="AD290" s="84"/>
      <c r="AE290" s="85"/>
      <c r="AF290" s="86"/>
      <c r="AG290" s="87"/>
      <c r="AH290" s="88"/>
    </row>
    <row r="291" spans="1:34" x14ac:dyDescent="0.25">
      <c r="A291" s="155" t="str">
        <f t="shared" si="8"/>
        <v/>
      </c>
      <c r="B291" s="155" t="str">
        <f t="shared" si="9"/>
        <v/>
      </c>
      <c r="C291" s="157"/>
      <c r="D291" s="150"/>
      <c r="E291" s="78"/>
      <c r="F291" s="133"/>
      <c r="G291" s="38"/>
      <c r="H291" s="39"/>
      <c r="I291" s="40"/>
      <c r="J291" s="41"/>
      <c r="K291" s="42"/>
      <c r="L291" s="43"/>
      <c r="M291" s="79"/>
      <c r="N291" s="80"/>
      <c r="O291" s="81"/>
      <c r="P291" s="82"/>
      <c r="Q291" s="83"/>
      <c r="R291" s="84"/>
      <c r="S291" s="79"/>
      <c r="T291" s="80"/>
      <c r="U291" s="81"/>
      <c r="V291" s="82"/>
      <c r="W291" s="83"/>
      <c r="X291" s="84"/>
      <c r="Y291" s="84"/>
      <c r="Z291" s="84"/>
      <c r="AA291" s="84"/>
      <c r="AB291" s="84"/>
      <c r="AC291" s="84"/>
      <c r="AD291" s="84"/>
      <c r="AE291" s="85"/>
      <c r="AF291" s="86"/>
      <c r="AG291" s="87"/>
      <c r="AH291" s="88"/>
    </row>
    <row r="292" spans="1:34" x14ac:dyDescent="0.25">
      <c r="A292" s="155" t="str">
        <f t="shared" si="8"/>
        <v/>
      </c>
      <c r="B292" s="155" t="str">
        <f t="shared" si="9"/>
        <v/>
      </c>
      <c r="C292" s="157"/>
      <c r="D292" s="150"/>
      <c r="E292" s="78"/>
      <c r="F292" s="133"/>
      <c r="G292" s="38"/>
      <c r="H292" s="39"/>
      <c r="I292" s="40"/>
      <c r="J292" s="41"/>
      <c r="K292" s="42"/>
      <c r="L292" s="43"/>
      <c r="M292" s="79"/>
      <c r="N292" s="80"/>
      <c r="O292" s="81"/>
      <c r="P292" s="82"/>
      <c r="Q292" s="83"/>
      <c r="R292" s="84"/>
      <c r="S292" s="79"/>
      <c r="T292" s="80"/>
      <c r="U292" s="81"/>
      <c r="V292" s="82"/>
      <c r="W292" s="83"/>
      <c r="X292" s="84"/>
      <c r="Y292" s="84"/>
      <c r="Z292" s="84"/>
      <c r="AA292" s="84"/>
      <c r="AB292" s="84"/>
      <c r="AC292" s="84"/>
      <c r="AD292" s="84"/>
      <c r="AE292" s="85"/>
      <c r="AF292" s="86"/>
      <c r="AG292" s="87"/>
      <c r="AH292" s="88"/>
    </row>
    <row r="293" spans="1:34" x14ac:dyDescent="0.25">
      <c r="A293" s="155" t="str">
        <f t="shared" si="8"/>
        <v/>
      </c>
      <c r="B293" s="155" t="str">
        <f t="shared" si="9"/>
        <v/>
      </c>
      <c r="C293" s="157"/>
      <c r="D293" s="150"/>
      <c r="E293" s="78"/>
      <c r="F293" s="133"/>
      <c r="G293" s="38"/>
      <c r="H293" s="39"/>
      <c r="I293" s="40"/>
      <c r="J293" s="41"/>
      <c r="K293" s="42"/>
      <c r="L293" s="43"/>
      <c r="M293" s="79"/>
      <c r="N293" s="80"/>
      <c r="O293" s="81"/>
      <c r="P293" s="82"/>
      <c r="Q293" s="83"/>
      <c r="R293" s="84"/>
      <c r="S293" s="79"/>
      <c r="T293" s="80"/>
      <c r="U293" s="81"/>
      <c r="V293" s="82"/>
      <c r="W293" s="83"/>
      <c r="X293" s="84"/>
      <c r="Y293" s="84"/>
      <c r="Z293" s="84"/>
      <c r="AA293" s="84"/>
      <c r="AB293" s="84"/>
      <c r="AC293" s="84"/>
      <c r="AD293" s="84"/>
      <c r="AE293" s="85"/>
      <c r="AF293" s="86"/>
      <c r="AG293" s="87"/>
      <c r="AH293" s="88"/>
    </row>
    <row r="294" spans="1:34" x14ac:dyDescent="0.25">
      <c r="A294" s="155" t="str">
        <f t="shared" si="8"/>
        <v/>
      </c>
      <c r="B294" s="155" t="str">
        <f t="shared" si="9"/>
        <v/>
      </c>
      <c r="C294" s="157"/>
      <c r="D294" s="150"/>
      <c r="E294" s="78"/>
      <c r="F294" s="133"/>
      <c r="G294" s="38"/>
      <c r="H294" s="39"/>
      <c r="I294" s="40"/>
      <c r="J294" s="41"/>
      <c r="K294" s="42"/>
      <c r="L294" s="43"/>
      <c r="M294" s="79"/>
      <c r="N294" s="80"/>
      <c r="O294" s="81"/>
      <c r="P294" s="82"/>
      <c r="Q294" s="83"/>
      <c r="R294" s="84"/>
      <c r="S294" s="79"/>
      <c r="T294" s="80"/>
      <c r="U294" s="81"/>
      <c r="V294" s="82"/>
      <c r="W294" s="83"/>
      <c r="X294" s="84"/>
      <c r="Y294" s="84"/>
      <c r="Z294" s="84"/>
      <c r="AA294" s="84"/>
      <c r="AB294" s="84"/>
      <c r="AC294" s="84"/>
      <c r="AD294" s="84"/>
      <c r="AE294" s="85"/>
      <c r="AF294" s="86"/>
      <c r="AG294" s="87"/>
      <c r="AH294" s="88"/>
    </row>
    <row r="295" spans="1:34" x14ac:dyDescent="0.25">
      <c r="A295" s="155" t="str">
        <f t="shared" si="8"/>
        <v/>
      </c>
      <c r="B295" s="155" t="str">
        <f t="shared" si="9"/>
        <v/>
      </c>
      <c r="C295" s="157"/>
      <c r="D295" s="150"/>
      <c r="E295" s="78"/>
      <c r="F295" s="133"/>
      <c r="G295" s="38"/>
      <c r="H295" s="39"/>
      <c r="I295" s="40"/>
      <c r="J295" s="41"/>
      <c r="K295" s="42"/>
      <c r="L295" s="43"/>
      <c r="M295" s="79"/>
      <c r="N295" s="80"/>
      <c r="O295" s="81"/>
      <c r="P295" s="82"/>
      <c r="Q295" s="83"/>
      <c r="R295" s="84"/>
      <c r="S295" s="79"/>
      <c r="T295" s="80"/>
      <c r="U295" s="81"/>
      <c r="V295" s="82"/>
      <c r="W295" s="83"/>
      <c r="X295" s="84"/>
      <c r="Y295" s="84"/>
      <c r="Z295" s="84"/>
      <c r="AA295" s="84"/>
      <c r="AB295" s="84"/>
      <c r="AC295" s="84"/>
      <c r="AD295" s="84"/>
      <c r="AE295" s="85"/>
      <c r="AF295" s="86"/>
      <c r="AG295" s="87"/>
      <c r="AH295" s="88"/>
    </row>
    <row r="296" spans="1:34" x14ac:dyDescent="0.25">
      <c r="A296" s="155" t="str">
        <f t="shared" si="8"/>
        <v/>
      </c>
      <c r="B296" s="155" t="str">
        <f t="shared" si="9"/>
        <v/>
      </c>
      <c r="C296" s="157"/>
      <c r="D296" s="150"/>
      <c r="E296" s="78"/>
      <c r="F296" s="133"/>
      <c r="G296" s="38"/>
      <c r="H296" s="39"/>
      <c r="I296" s="40"/>
      <c r="J296" s="41"/>
      <c r="K296" s="42"/>
      <c r="L296" s="43"/>
      <c r="M296" s="79"/>
      <c r="N296" s="80"/>
      <c r="O296" s="81"/>
      <c r="P296" s="82"/>
      <c r="Q296" s="83"/>
      <c r="R296" s="84"/>
      <c r="S296" s="79"/>
      <c r="T296" s="80"/>
      <c r="U296" s="81"/>
      <c r="V296" s="82"/>
      <c r="W296" s="83"/>
      <c r="X296" s="84"/>
      <c r="Y296" s="84"/>
      <c r="Z296" s="84"/>
      <c r="AA296" s="84"/>
      <c r="AB296" s="84"/>
      <c r="AC296" s="84"/>
      <c r="AD296" s="84"/>
      <c r="AE296" s="85"/>
      <c r="AF296" s="86"/>
      <c r="AG296" s="87"/>
      <c r="AH296" s="88"/>
    </row>
    <row r="297" spans="1:34" x14ac:dyDescent="0.25">
      <c r="A297" s="155" t="str">
        <f t="shared" si="8"/>
        <v/>
      </c>
      <c r="B297" s="155" t="str">
        <f t="shared" si="9"/>
        <v/>
      </c>
      <c r="C297" s="157"/>
      <c r="D297" s="150"/>
      <c r="E297" s="78"/>
      <c r="F297" s="133"/>
      <c r="G297" s="38"/>
      <c r="H297" s="39"/>
      <c r="I297" s="40"/>
      <c r="J297" s="41"/>
      <c r="K297" s="42"/>
      <c r="L297" s="43"/>
      <c r="M297" s="79"/>
      <c r="N297" s="80"/>
      <c r="O297" s="81"/>
      <c r="P297" s="82"/>
      <c r="Q297" s="83"/>
      <c r="R297" s="84"/>
      <c r="S297" s="79"/>
      <c r="T297" s="80"/>
      <c r="U297" s="81"/>
      <c r="V297" s="82"/>
      <c r="W297" s="83"/>
      <c r="X297" s="84"/>
      <c r="Y297" s="84"/>
      <c r="Z297" s="84"/>
      <c r="AA297" s="84"/>
      <c r="AB297" s="84"/>
      <c r="AC297" s="84"/>
      <c r="AD297" s="84"/>
      <c r="AE297" s="85"/>
      <c r="AF297" s="86"/>
      <c r="AG297" s="87"/>
      <c r="AH297" s="88"/>
    </row>
    <row r="298" spans="1:34" x14ac:dyDescent="0.25">
      <c r="A298" s="155" t="str">
        <f t="shared" si="8"/>
        <v/>
      </c>
      <c r="B298" s="155" t="str">
        <f t="shared" si="9"/>
        <v/>
      </c>
      <c r="C298" s="157"/>
      <c r="D298" s="150"/>
      <c r="E298" s="78"/>
      <c r="F298" s="133"/>
      <c r="G298" s="38"/>
      <c r="H298" s="39"/>
      <c r="I298" s="40"/>
      <c r="J298" s="41"/>
      <c r="K298" s="42"/>
      <c r="L298" s="43"/>
      <c r="M298" s="79"/>
      <c r="N298" s="80"/>
      <c r="O298" s="81"/>
      <c r="P298" s="82"/>
      <c r="Q298" s="83"/>
      <c r="R298" s="84"/>
      <c r="S298" s="79"/>
      <c r="T298" s="80"/>
      <c r="U298" s="81"/>
      <c r="V298" s="82"/>
      <c r="W298" s="83"/>
      <c r="X298" s="84"/>
      <c r="Y298" s="84"/>
      <c r="Z298" s="84"/>
      <c r="AA298" s="84"/>
      <c r="AB298" s="84"/>
      <c r="AC298" s="84"/>
      <c r="AD298" s="84"/>
      <c r="AE298" s="85"/>
      <c r="AF298" s="86"/>
      <c r="AG298" s="87"/>
      <c r="AH298" s="88"/>
    </row>
    <row r="299" spans="1:34" x14ac:dyDescent="0.25">
      <c r="A299" s="155" t="str">
        <f t="shared" si="8"/>
        <v/>
      </c>
      <c r="B299" s="155" t="str">
        <f t="shared" si="9"/>
        <v/>
      </c>
      <c r="C299" s="157"/>
      <c r="D299" s="150"/>
      <c r="E299" s="78"/>
      <c r="F299" s="133"/>
      <c r="G299" s="38"/>
      <c r="H299" s="39"/>
      <c r="I299" s="40"/>
      <c r="J299" s="41"/>
      <c r="K299" s="42"/>
      <c r="L299" s="43"/>
      <c r="M299" s="79"/>
      <c r="N299" s="80"/>
      <c r="O299" s="81"/>
      <c r="P299" s="82"/>
      <c r="Q299" s="83"/>
      <c r="R299" s="84"/>
      <c r="S299" s="79"/>
      <c r="T299" s="80"/>
      <c r="U299" s="81"/>
      <c r="V299" s="82"/>
      <c r="W299" s="83"/>
      <c r="X299" s="84"/>
      <c r="Y299" s="84"/>
      <c r="Z299" s="84"/>
      <c r="AA299" s="84"/>
      <c r="AB299" s="84"/>
      <c r="AC299" s="84"/>
      <c r="AD299" s="84"/>
      <c r="AE299" s="85"/>
      <c r="AF299" s="86"/>
      <c r="AG299" s="87"/>
      <c r="AH299" s="88"/>
    </row>
    <row r="300" spans="1:34" x14ac:dyDescent="0.25">
      <c r="A300" s="155" t="str">
        <f t="shared" si="8"/>
        <v/>
      </c>
      <c r="B300" s="155" t="str">
        <f t="shared" si="9"/>
        <v/>
      </c>
      <c r="C300" s="157"/>
      <c r="D300" s="150"/>
      <c r="E300" s="78"/>
      <c r="F300" s="133"/>
      <c r="G300" s="38"/>
      <c r="H300" s="39"/>
      <c r="I300" s="40"/>
      <c r="J300" s="41"/>
      <c r="K300" s="42"/>
      <c r="L300" s="43"/>
      <c r="M300" s="79"/>
      <c r="N300" s="80"/>
      <c r="O300" s="81"/>
      <c r="P300" s="82"/>
      <c r="Q300" s="83"/>
      <c r="R300" s="84"/>
      <c r="S300" s="79"/>
      <c r="T300" s="80"/>
      <c r="U300" s="81"/>
      <c r="V300" s="82"/>
      <c r="W300" s="83"/>
      <c r="X300" s="84"/>
      <c r="Y300" s="84"/>
      <c r="Z300" s="84"/>
      <c r="AA300" s="84"/>
      <c r="AB300" s="84"/>
      <c r="AC300" s="84"/>
      <c r="AD300" s="84"/>
      <c r="AE300" s="85"/>
      <c r="AF300" s="86"/>
      <c r="AG300" s="87"/>
      <c r="AH300" s="88"/>
    </row>
    <row r="301" spans="1:34" x14ac:dyDescent="0.25">
      <c r="A301" s="155" t="str">
        <f t="shared" si="8"/>
        <v/>
      </c>
      <c r="B301" s="155" t="str">
        <f t="shared" si="9"/>
        <v/>
      </c>
      <c r="C301" s="157"/>
      <c r="D301" s="150"/>
      <c r="E301" s="78"/>
      <c r="F301" s="133"/>
      <c r="G301" s="38"/>
      <c r="H301" s="39"/>
      <c r="I301" s="40"/>
      <c r="J301" s="41"/>
      <c r="K301" s="42"/>
      <c r="L301" s="43"/>
      <c r="M301" s="79"/>
      <c r="N301" s="80"/>
      <c r="O301" s="81"/>
      <c r="P301" s="82"/>
      <c r="Q301" s="83"/>
      <c r="R301" s="84"/>
      <c r="S301" s="79"/>
      <c r="T301" s="80"/>
      <c r="U301" s="81"/>
      <c r="V301" s="82"/>
      <c r="W301" s="83"/>
      <c r="X301" s="84"/>
      <c r="Y301" s="84"/>
      <c r="Z301" s="84"/>
      <c r="AA301" s="84"/>
      <c r="AB301" s="84"/>
      <c r="AC301" s="84"/>
      <c r="AD301" s="84"/>
      <c r="AE301" s="85"/>
      <c r="AF301" s="86"/>
      <c r="AG301" s="87"/>
      <c r="AH301" s="88"/>
    </row>
    <row r="302" spans="1:34" x14ac:dyDescent="0.25">
      <c r="A302" s="155" t="str">
        <f t="shared" si="8"/>
        <v/>
      </c>
      <c r="B302" s="155" t="str">
        <f t="shared" si="9"/>
        <v/>
      </c>
      <c r="C302" s="157"/>
      <c r="D302" s="150"/>
      <c r="E302" s="78"/>
      <c r="F302" s="133"/>
      <c r="G302" s="38"/>
      <c r="H302" s="39"/>
      <c r="I302" s="40"/>
      <c r="J302" s="41"/>
      <c r="K302" s="42"/>
      <c r="L302" s="43"/>
      <c r="M302" s="79"/>
      <c r="N302" s="80"/>
      <c r="O302" s="81"/>
      <c r="P302" s="82"/>
      <c r="Q302" s="83"/>
      <c r="R302" s="84"/>
      <c r="S302" s="79"/>
      <c r="T302" s="80"/>
      <c r="U302" s="81"/>
      <c r="V302" s="82"/>
      <c r="W302" s="83"/>
      <c r="X302" s="84"/>
      <c r="Y302" s="84"/>
      <c r="Z302" s="84"/>
      <c r="AA302" s="84"/>
      <c r="AB302" s="84"/>
      <c r="AC302" s="84"/>
      <c r="AD302" s="84"/>
      <c r="AE302" s="85"/>
      <c r="AF302" s="86"/>
      <c r="AG302" s="87"/>
      <c r="AH302" s="88"/>
    </row>
    <row r="303" spans="1:34" x14ac:dyDescent="0.25">
      <c r="A303" s="155" t="str">
        <f t="shared" si="8"/>
        <v/>
      </c>
      <c r="B303" s="155" t="str">
        <f t="shared" si="9"/>
        <v/>
      </c>
      <c r="C303" s="157"/>
      <c r="D303" s="150"/>
      <c r="E303" s="78"/>
      <c r="F303" s="133"/>
      <c r="G303" s="38"/>
      <c r="H303" s="39"/>
      <c r="I303" s="40"/>
      <c r="J303" s="41"/>
      <c r="K303" s="42"/>
      <c r="L303" s="43"/>
      <c r="M303" s="79"/>
      <c r="N303" s="80"/>
      <c r="O303" s="81"/>
      <c r="P303" s="82"/>
      <c r="Q303" s="83"/>
      <c r="R303" s="84"/>
      <c r="S303" s="79"/>
      <c r="T303" s="80"/>
      <c r="U303" s="81"/>
      <c r="V303" s="82"/>
      <c r="W303" s="83"/>
      <c r="X303" s="84"/>
      <c r="Y303" s="84"/>
      <c r="Z303" s="84"/>
      <c r="AA303" s="84"/>
      <c r="AB303" s="84"/>
      <c r="AC303" s="84"/>
      <c r="AD303" s="84"/>
      <c r="AE303" s="85"/>
      <c r="AF303" s="86"/>
      <c r="AG303" s="87"/>
      <c r="AH303" s="88"/>
    </row>
    <row r="304" spans="1:34" x14ac:dyDescent="0.25">
      <c r="A304" s="155" t="str">
        <f t="shared" si="8"/>
        <v/>
      </c>
      <c r="B304" s="155" t="str">
        <f t="shared" si="9"/>
        <v/>
      </c>
      <c r="C304" s="157"/>
      <c r="D304" s="150"/>
      <c r="E304" s="78"/>
      <c r="F304" s="133"/>
      <c r="G304" s="38"/>
      <c r="H304" s="39"/>
      <c r="I304" s="40"/>
      <c r="J304" s="41"/>
      <c r="K304" s="42"/>
      <c r="L304" s="43"/>
      <c r="M304" s="79"/>
      <c r="N304" s="80"/>
      <c r="O304" s="81"/>
      <c r="P304" s="82"/>
      <c r="Q304" s="83"/>
      <c r="R304" s="84"/>
      <c r="S304" s="79"/>
      <c r="T304" s="80"/>
      <c r="U304" s="81"/>
      <c r="V304" s="82"/>
      <c r="W304" s="83"/>
      <c r="X304" s="84"/>
      <c r="Y304" s="84"/>
      <c r="Z304" s="84"/>
      <c r="AA304" s="84"/>
      <c r="AB304" s="84"/>
      <c r="AC304" s="84"/>
      <c r="AD304" s="84"/>
      <c r="AE304" s="85"/>
      <c r="AF304" s="86"/>
      <c r="AG304" s="87"/>
      <c r="AH304" s="88"/>
    </row>
    <row r="305" spans="1:34" x14ac:dyDescent="0.25">
      <c r="A305" s="155" t="str">
        <f t="shared" si="8"/>
        <v/>
      </c>
      <c r="B305" s="155" t="str">
        <f t="shared" si="9"/>
        <v/>
      </c>
      <c r="C305" s="157"/>
      <c r="D305" s="150"/>
      <c r="E305" s="78"/>
      <c r="F305" s="133"/>
      <c r="G305" s="38"/>
      <c r="H305" s="39"/>
      <c r="I305" s="40"/>
      <c r="J305" s="41"/>
      <c r="K305" s="42"/>
      <c r="L305" s="43"/>
      <c r="M305" s="79"/>
      <c r="N305" s="80"/>
      <c r="O305" s="81"/>
      <c r="P305" s="82"/>
      <c r="Q305" s="83"/>
      <c r="R305" s="84"/>
      <c r="S305" s="79"/>
      <c r="T305" s="80"/>
      <c r="U305" s="81"/>
      <c r="V305" s="82"/>
      <c r="W305" s="83"/>
      <c r="X305" s="84"/>
      <c r="Y305" s="84"/>
      <c r="Z305" s="84"/>
      <c r="AA305" s="84"/>
      <c r="AB305" s="84"/>
      <c r="AC305" s="84"/>
      <c r="AD305" s="84"/>
      <c r="AE305" s="85"/>
      <c r="AF305" s="86"/>
      <c r="AG305" s="87"/>
      <c r="AH305" s="88"/>
    </row>
    <row r="306" spans="1:34" x14ac:dyDescent="0.25">
      <c r="A306" s="155" t="str">
        <f t="shared" si="8"/>
        <v/>
      </c>
      <c r="B306" s="155" t="str">
        <f t="shared" si="9"/>
        <v/>
      </c>
      <c r="C306" s="157"/>
      <c r="D306" s="150"/>
      <c r="E306" s="78"/>
      <c r="F306" s="133"/>
      <c r="G306" s="38"/>
      <c r="H306" s="39"/>
      <c r="I306" s="40"/>
      <c r="J306" s="41"/>
      <c r="K306" s="42"/>
      <c r="L306" s="43"/>
      <c r="M306" s="79"/>
      <c r="N306" s="80"/>
      <c r="O306" s="81"/>
      <c r="P306" s="82"/>
      <c r="Q306" s="83"/>
      <c r="R306" s="84"/>
      <c r="S306" s="79"/>
      <c r="T306" s="80"/>
      <c r="U306" s="81"/>
      <c r="V306" s="82"/>
      <c r="W306" s="83"/>
      <c r="X306" s="84"/>
      <c r="Y306" s="84"/>
      <c r="Z306" s="84"/>
      <c r="AA306" s="84"/>
      <c r="AB306" s="84"/>
      <c r="AC306" s="84"/>
      <c r="AD306" s="84"/>
      <c r="AE306" s="85"/>
      <c r="AF306" s="86"/>
      <c r="AG306" s="87"/>
      <c r="AH306" s="88"/>
    </row>
    <row r="307" spans="1:34" x14ac:dyDescent="0.25">
      <c r="A307" s="155" t="str">
        <f t="shared" si="8"/>
        <v/>
      </c>
      <c r="B307" s="155" t="str">
        <f t="shared" si="9"/>
        <v/>
      </c>
      <c r="C307" s="157"/>
      <c r="D307" s="150"/>
      <c r="E307" s="78"/>
      <c r="F307" s="133"/>
      <c r="G307" s="38"/>
      <c r="H307" s="39"/>
      <c r="I307" s="40"/>
      <c r="J307" s="41"/>
      <c r="K307" s="42"/>
      <c r="L307" s="43"/>
      <c r="M307" s="79"/>
      <c r="N307" s="80"/>
      <c r="O307" s="81"/>
      <c r="P307" s="82"/>
      <c r="Q307" s="83"/>
      <c r="R307" s="84"/>
      <c r="S307" s="79"/>
      <c r="T307" s="80"/>
      <c r="U307" s="81"/>
      <c r="V307" s="82"/>
      <c r="W307" s="83"/>
      <c r="X307" s="84"/>
      <c r="Y307" s="84"/>
      <c r="Z307" s="84"/>
      <c r="AA307" s="84"/>
      <c r="AB307" s="84"/>
      <c r="AC307" s="84"/>
      <c r="AD307" s="84"/>
      <c r="AE307" s="85"/>
      <c r="AF307" s="86"/>
      <c r="AG307" s="87"/>
      <c r="AH307" s="88"/>
    </row>
    <row r="308" spans="1:34" x14ac:dyDescent="0.25">
      <c r="A308" s="155" t="str">
        <f t="shared" si="8"/>
        <v/>
      </c>
      <c r="B308" s="155" t="str">
        <f t="shared" si="9"/>
        <v/>
      </c>
      <c r="C308" s="157"/>
      <c r="D308" s="150"/>
      <c r="E308" s="78"/>
      <c r="F308" s="133"/>
      <c r="G308" s="38"/>
      <c r="H308" s="39"/>
      <c r="I308" s="40"/>
      <c r="J308" s="41"/>
      <c r="K308" s="42"/>
      <c r="L308" s="43"/>
      <c r="M308" s="79"/>
      <c r="N308" s="80"/>
      <c r="O308" s="81"/>
      <c r="P308" s="82"/>
      <c r="Q308" s="83"/>
      <c r="R308" s="84"/>
      <c r="S308" s="79"/>
      <c r="T308" s="80"/>
      <c r="U308" s="81"/>
      <c r="V308" s="82"/>
      <c r="W308" s="83"/>
      <c r="X308" s="84"/>
      <c r="Y308" s="84"/>
      <c r="Z308" s="84"/>
      <c r="AA308" s="84"/>
      <c r="AB308" s="84"/>
      <c r="AC308" s="84"/>
      <c r="AD308" s="84"/>
      <c r="AE308" s="85"/>
      <c r="AF308" s="86"/>
      <c r="AG308" s="87"/>
      <c r="AH308" s="88"/>
    </row>
    <row r="309" spans="1:34" x14ac:dyDescent="0.25">
      <c r="A309" s="155" t="str">
        <f t="shared" si="8"/>
        <v/>
      </c>
      <c r="B309" s="155" t="str">
        <f t="shared" si="9"/>
        <v/>
      </c>
      <c r="C309" s="157"/>
      <c r="D309" s="150"/>
      <c r="E309" s="78"/>
      <c r="F309" s="133"/>
      <c r="G309" s="38"/>
      <c r="H309" s="39"/>
      <c r="I309" s="40"/>
      <c r="J309" s="41"/>
      <c r="K309" s="42"/>
      <c r="L309" s="43"/>
      <c r="M309" s="79"/>
      <c r="N309" s="80"/>
      <c r="O309" s="81"/>
      <c r="P309" s="82"/>
      <c r="Q309" s="83"/>
      <c r="R309" s="84"/>
      <c r="S309" s="79"/>
      <c r="T309" s="80"/>
      <c r="U309" s="81"/>
      <c r="V309" s="82"/>
      <c r="W309" s="83"/>
      <c r="X309" s="84"/>
      <c r="Y309" s="84"/>
      <c r="Z309" s="84"/>
      <c r="AA309" s="84"/>
      <c r="AB309" s="84"/>
      <c r="AC309" s="84"/>
      <c r="AD309" s="84"/>
      <c r="AE309" s="85"/>
      <c r="AF309" s="86"/>
      <c r="AG309" s="87"/>
      <c r="AH309" s="88"/>
    </row>
    <row r="310" spans="1:34" x14ac:dyDescent="0.25">
      <c r="A310" s="155" t="str">
        <f t="shared" si="8"/>
        <v/>
      </c>
      <c r="B310" s="155" t="str">
        <f t="shared" si="9"/>
        <v/>
      </c>
      <c r="C310" s="157"/>
      <c r="D310" s="150"/>
      <c r="E310" s="78"/>
      <c r="F310" s="133"/>
      <c r="G310" s="38"/>
      <c r="H310" s="39"/>
      <c r="I310" s="40"/>
      <c r="J310" s="41"/>
      <c r="K310" s="42"/>
      <c r="L310" s="43"/>
      <c r="M310" s="79"/>
      <c r="N310" s="80"/>
      <c r="O310" s="81"/>
      <c r="P310" s="82"/>
      <c r="Q310" s="83"/>
      <c r="R310" s="84"/>
      <c r="S310" s="79"/>
      <c r="T310" s="80"/>
      <c r="U310" s="81"/>
      <c r="V310" s="82"/>
      <c r="W310" s="83"/>
      <c r="X310" s="84"/>
      <c r="Y310" s="84"/>
      <c r="Z310" s="84"/>
      <c r="AA310" s="84"/>
      <c r="AB310" s="84"/>
      <c r="AC310" s="84"/>
      <c r="AD310" s="84"/>
      <c r="AE310" s="85"/>
      <c r="AF310" s="86"/>
      <c r="AG310" s="87"/>
      <c r="AH310" s="88"/>
    </row>
    <row r="311" spans="1:34" x14ac:dyDescent="0.25">
      <c r="A311" s="155" t="str">
        <f t="shared" si="8"/>
        <v/>
      </c>
      <c r="B311" s="155" t="str">
        <f t="shared" si="9"/>
        <v/>
      </c>
      <c r="C311" s="157"/>
      <c r="D311" s="150"/>
      <c r="E311" s="78"/>
      <c r="F311" s="133"/>
      <c r="G311" s="38"/>
      <c r="H311" s="39"/>
      <c r="I311" s="40"/>
      <c r="J311" s="41"/>
      <c r="K311" s="42"/>
      <c r="L311" s="43"/>
      <c r="M311" s="79"/>
      <c r="N311" s="80"/>
      <c r="O311" s="81"/>
      <c r="P311" s="82"/>
      <c r="Q311" s="83"/>
      <c r="R311" s="84"/>
      <c r="S311" s="79"/>
      <c r="T311" s="80"/>
      <c r="U311" s="81"/>
      <c r="V311" s="82"/>
      <c r="W311" s="83"/>
      <c r="X311" s="84"/>
      <c r="Y311" s="84"/>
      <c r="Z311" s="84"/>
      <c r="AA311" s="84"/>
      <c r="AB311" s="84"/>
      <c r="AC311" s="84"/>
      <c r="AD311" s="84"/>
      <c r="AE311" s="85"/>
      <c r="AF311" s="86"/>
      <c r="AG311" s="87"/>
      <c r="AH311" s="88"/>
    </row>
    <row r="312" spans="1:34" x14ac:dyDescent="0.25">
      <c r="A312" s="155" t="str">
        <f t="shared" si="8"/>
        <v/>
      </c>
      <c r="B312" s="155" t="str">
        <f t="shared" si="9"/>
        <v/>
      </c>
      <c r="C312" s="157"/>
      <c r="D312" s="150"/>
      <c r="E312" s="78"/>
      <c r="F312" s="133"/>
      <c r="G312" s="38"/>
      <c r="H312" s="39"/>
      <c r="I312" s="40"/>
      <c r="J312" s="41"/>
      <c r="K312" s="42"/>
      <c r="L312" s="43"/>
      <c r="M312" s="79"/>
      <c r="N312" s="80"/>
      <c r="O312" s="81"/>
      <c r="P312" s="82"/>
      <c r="Q312" s="83"/>
      <c r="R312" s="84"/>
      <c r="S312" s="79"/>
      <c r="T312" s="80"/>
      <c r="U312" s="81"/>
      <c r="V312" s="82"/>
      <c r="W312" s="83"/>
      <c r="X312" s="84"/>
      <c r="Y312" s="84"/>
      <c r="Z312" s="84"/>
      <c r="AA312" s="84"/>
      <c r="AB312" s="84"/>
      <c r="AC312" s="84"/>
      <c r="AD312" s="84"/>
      <c r="AE312" s="85"/>
      <c r="AF312" s="86"/>
      <c r="AG312" s="87"/>
      <c r="AH312" s="88"/>
    </row>
    <row r="313" spans="1:34" x14ac:dyDescent="0.25">
      <c r="A313" s="155" t="str">
        <f t="shared" si="8"/>
        <v/>
      </c>
      <c r="B313" s="155" t="str">
        <f t="shared" si="9"/>
        <v/>
      </c>
      <c r="C313" s="157"/>
      <c r="D313" s="150"/>
      <c r="E313" s="78"/>
      <c r="F313" s="133"/>
      <c r="G313" s="38"/>
      <c r="H313" s="39"/>
      <c r="I313" s="40"/>
      <c r="J313" s="41"/>
      <c r="K313" s="42"/>
      <c r="L313" s="43"/>
      <c r="M313" s="79"/>
      <c r="N313" s="80"/>
      <c r="O313" s="81"/>
      <c r="P313" s="82"/>
      <c r="Q313" s="83"/>
      <c r="R313" s="84"/>
      <c r="S313" s="79"/>
      <c r="T313" s="80"/>
      <c r="U313" s="81"/>
      <c r="V313" s="82"/>
      <c r="W313" s="83"/>
      <c r="X313" s="84"/>
      <c r="Y313" s="84"/>
      <c r="Z313" s="84"/>
      <c r="AA313" s="84"/>
      <c r="AB313" s="84"/>
      <c r="AC313" s="84"/>
      <c r="AD313" s="84"/>
      <c r="AE313" s="85"/>
      <c r="AF313" s="86"/>
      <c r="AG313" s="87"/>
      <c r="AH313" s="88"/>
    </row>
    <row r="314" spans="1:34" x14ac:dyDescent="0.25">
      <c r="A314" s="155" t="str">
        <f t="shared" si="8"/>
        <v/>
      </c>
      <c r="B314" s="155" t="str">
        <f t="shared" si="9"/>
        <v/>
      </c>
      <c r="C314" s="157"/>
      <c r="D314" s="150"/>
      <c r="E314" s="78"/>
      <c r="F314" s="133"/>
      <c r="G314" s="38"/>
      <c r="H314" s="39"/>
      <c r="I314" s="40"/>
      <c r="J314" s="41"/>
      <c r="K314" s="42"/>
      <c r="L314" s="43"/>
      <c r="M314" s="79"/>
      <c r="N314" s="80"/>
      <c r="O314" s="81"/>
      <c r="P314" s="82"/>
      <c r="Q314" s="83"/>
      <c r="R314" s="84"/>
      <c r="S314" s="79"/>
      <c r="T314" s="80"/>
      <c r="U314" s="81"/>
      <c r="V314" s="82"/>
      <c r="W314" s="83"/>
      <c r="X314" s="84"/>
      <c r="Y314" s="84"/>
      <c r="Z314" s="84"/>
      <c r="AA314" s="84"/>
      <c r="AB314" s="84"/>
      <c r="AC314" s="84"/>
      <c r="AD314" s="84"/>
      <c r="AE314" s="85"/>
      <c r="AF314" s="86"/>
      <c r="AG314" s="87"/>
      <c r="AH314" s="88"/>
    </row>
    <row r="315" spans="1:34" x14ac:dyDescent="0.25">
      <c r="A315" s="155" t="str">
        <f t="shared" si="8"/>
        <v/>
      </c>
      <c r="B315" s="155" t="str">
        <f t="shared" si="9"/>
        <v/>
      </c>
      <c r="C315" s="157"/>
      <c r="D315" s="150"/>
      <c r="E315" s="78"/>
      <c r="F315" s="133"/>
      <c r="G315" s="38"/>
      <c r="H315" s="39"/>
      <c r="I315" s="40"/>
      <c r="J315" s="41"/>
      <c r="K315" s="42"/>
      <c r="L315" s="43"/>
      <c r="M315" s="79"/>
      <c r="N315" s="80"/>
      <c r="O315" s="81"/>
      <c r="P315" s="82"/>
      <c r="Q315" s="83"/>
      <c r="R315" s="84"/>
      <c r="S315" s="79"/>
      <c r="T315" s="80"/>
      <c r="U315" s="81"/>
      <c r="V315" s="82"/>
      <c r="W315" s="83"/>
      <c r="X315" s="84"/>
      <c r="Y315" s="84"/>
      <c r="Z315" s="84"/>
      <c r="AA315" s="84"/>
      <c r="AB315" s="84"/>
      <c r="AC315" s="84"/>
      <c r="AD315" s="84"/>
      <c r="AE315" s="85"/>
      <c r="AF315" s="86"/>
      <c r="AG315" s="87"/>
      <c r="AH315" s="88"/>
    </row>
    <row r="316" spans="1:34" x14ac:dyDescent="0.25">
      <c r="A316" s="155" t="str">
        <f t="shared" si="8"/>
        <v/>
      </c>
      <c r="B316" s="155" t="str">
        <f t="shared" si="9"/>
        <v/>
      </c>
      <c r="C316" s="157"/>
      <c r="D316" s="150"/>
      <c r="E316" s="78"/>
      <c r="F316" s="133"/>
      <c r="G316" s="38"/>
      <c r="H316" s="39"/>
      <c r="I316" s="40"/>
      <c r="J316" s="41"/>
      <c r="K316" s="42"/>
      <c r="L316" s="43"/>
      <c r="M316" s="79"/>
      <c r="N316" s="80"/>
      <c r="O316" s="81"/>
      <c r="P316" s="82"/>
      <c r="Q316" s="83"/>
      <c r="R316" s="84"/>
      <c r="S316" s="79"/>
      <c r="T316" s="80"/>
      <c r="U316" s="81"/>
      <c r="V316" s="82"/>
      <c r="W316" s="83"/>
      <c r="X316" s="84"/>
      <c r="Y316" s="84"/>
      <c r="Z316" s="84"/>
      <c r="AA316" s="84"/>
      <c r="AB316" s="84"/>
      <c r="AC316" s="84"/>
      <c r="AD316" s="84"/>
      <c r="AE316" s="85"/>
      <c r="AF316" s="86"/>
      <c r="AG316" s="87"/>
      <c r="AH316" s="88"/>
    </row>
    <row r="317" spans="1:34" x14ac:dyDescent="0.25">
      <c r="A317" s="155" t="str">
        <f t="shared" si="8"/>
        <v/>
      </c>
      <c r="B317" s="155" t="str">
        <f t="shared" si="9"/>
        <v/>
      </c>
      <c r="C317" s="157"/>
      <c r="D317" s="150"/>
      <c r="E317" s="78"/>
      <c r="F317" s="133"/>
      <c r="G317" s="38"/>
      <c r="H317" s="39"/>
      <c r="I317" s="40"/>
      <c r="J317" s="41"/>
      <c r="K317" s="42"/>
      <c r="L317" s="43"/>
      <c r="M317" s="79"/>
      <c r="N317" s="80"/>
      <c r="O317" s="81"/>
      <c r="P317" s="82"/>
      <c r="Q317" s="83"/>
      <c r="R317" s="84"/>
      <c r="S317" s="79"/>
      <c r="T317" s="80"/>
      <c r="U317" s="81"/>
      <c r="V317" s="82"/>
      <c r="W317" s="83"/>
      <c r="X317" s="84"/>
      <c r="Y317" s="84"/>
      <c r="Z317" s="84"/>
      <c r="AA317" s="84"/>
      <c r="AB317" s="84"/>
      <c r="AC317" s="84"/>
      <c r="AD317" s="84"/>
      <c r="AE317" s="85"/>
      <c r="AF317" s="86"/>
      <c r="AG317" s="87"/>
      <c r="AH317" s="88"/>
    </row>
    <row r="318" spans="1:34" x14ac:dyDescent="0.25">
      <c r="A318" s="155" t="str">
        <f t="shared" si="8"/>
        <v/>
      </c>
      <c r="B318" s="155" t="str">
        <f t="shared" si="9"/>
        <v/>
      </c>
      <c r="C318" s="157"/>
      <c r="D318" s="150"/>
      <c r="E318" s="78"/>
      <c r="F318" s="133"/>
      <c r="G318" s="38"/>
      <c r="H318" s="39"/>
      <c r="I318" s="40"/>
      <c r="J318" s="41"/>
      <c r="K318" s="42"/>
      <c r="L318" s="43"/>
      <c r="M318" s="79"/>
      <c r="N318" s="80"/>
      <c r="O318" s="81"/>
      <c r="P318" s="82"/>
      <c r="Q318" s="83"/>
      <c r="R318" s="84"/>
      <c r="S318" s="79"/>
      <c r="T318" s="80"/>
      <c r="U318" s="81"/>
      <c r="V318" s="82"/>
      <c r="W318" s="83"/>
      <c r="X318" s="84"/>
      <c r="Y318" s="84"/>
      <c r="Z318" s="84"/>
      <c r="AA318" s="84"/>
      <c r="AB318" s="84"/>
      <c r="AC318" s="84"/>
      <c r="AD318" s="84"/>
      <c r="AE318" s="85"/>
      <c r="AF318" s="86"/>
      <c r="AG318" s="87"/>
      <c r="AH318" s="88"/>
    </row>
    <row r="319" spans="1:34" x14ac:dyDescent="0.25">
      <c r="A319" s="155" t="str">
        <f t="shared" si="8"/>
        <v/>
      </c>
      <c r="B319" s="155" t="str">
        <f t="shared" si="9"/>
        <v/>
      </c>
      <c r="C319" s="157"/>
      <c r="D319" s="150"/>
      <c r="E319" s="78"/>
      <c r="F319" s="133"/>
      <c r="G319" s="38"/>
      <c r="H319" s="39"/>
      <c r="I319" s="40"/>
      <c r="J319" s="41"/>
      <c r="K319" s="42"/>
      <c r="L319" s="43"/>
      <c r="M319" s="79"/>
      <c r="N319" s="80"/>
      <c r="O319" s="81"/>
      <c r="P319" s="82"/>
      <c r="Q319" s="83"/>
      <c r="R319" s="84"/>
      <c r="S319" s="79"/>
      <c r="T319" s="80"/>
      <c r="U319" s="81"/>
      <c r="V319" s="82"/>
      <c r="W319" s="83"/>
      <c r="X319" s="84"/>
      <c r="Y319" s="84"/>
      <c r="Z319" s="84"/>
      <c r="AA319" s="84"/>
      <c r="AB319" s="84"/>
      <c r="AC319" s="84"/>
      <c r="AD319" s="84"/>
      <c r="AE319" s="85"/>
      <c r="AF319" s="86"/>
      <c r="AG319" s="87"/>
      <c r="AH319" s="88"/>
    </row>
    <row r="320" spans="1:34" x14ac:dyDescent="0.25">
      <c r="A320" s="155" t="str">
        <f t="shared" si="8"/>
        <v/>
      </c>
      <c r="B320" s="155" t="str">
        <f t="shared" si="9"/>
        <v/>
      </c>
      <c r="C320" s="157"/>
      <c r="D320" s="150"/>
      <c r="E320" s="78"/>
      <c r="F320" s="133"/>
      <c r="G320" s="38"/>
      <c r="H320" s="39"/>
      <c r="I320" s="40"/>
      <c r="J320" s="41"/>
      <c r="K320" s="42"/>
      <c r="L320" s="43"/>
      <c r="M320" s="79"/>
      <c r="N320" s="80"/>
      <c r="O320" s="81"/>
      <c r="P320" s="82"/>
      <c r="Q320" s="83"/>
      <c r="R320" s="84"/>
      <c r="S320" s="79"/>
      <c r="T320" s="80"/>
      <c r="U320" s="81"/>
      <c r="V320" s="82"/>
      <c r="W320" s="83"/>
      <c r="X320" s="84"/>
      <c r="Y320" s="84"/>
      <c r="Z320" s="84"/>
      <c r="AA320" s="84"/>
      <c r="AB320" s="84"/>
      <c r="AC320" s="84"/>
      <c r="AD320" s="84"/>
      <c r="AE320" s="85"/>
      <c r="AF320" s="86"/>
      <c r="AG320" s="87"/>
      <c r="AH320" s="88"/>
    </row>
    <row r="321" spans="1:34" x14ac:dyDescent="0.25">
      <c r="A321" s="155" t="str">
        <f t="shared" si="8"/>
        <v/>
      </c>
      <c r="B321" s="155" t="str">
        <f t="shared" si="9"/>
        <v/>
      </c>
      <c r="C321" s="157"/>
      <c r="D321" s="150"/>
      <c r="E321" s="78"/>
      <c r="F321" s="133"/>
      <c r="G321" s="38"/>
      <c r="H321" s="39"/>
      <c r="I321" s="40"/>
      <c r="J321" s="41"/>
      <c r="K321" s="42"/>
      <c r="L321" s="43"/>
      <c r="M321" s="79"/>
      <c r="N321" s="80"/>
      <c r="O321" s="81"/>
      <c r="P321" s="82"/>
      <c r="Q321" s="83"/>
      <c r="R321" s="84"/>
      <c r="S321" s="79"/>
      <c r="T321" s="80"/>
      <c r="U321" s="81"/>
      <c r="V321" s="82"/>
      <c r="W321" s="83"/>
      <c r="X321" s="84"/>
      <c r="Y321" s="84"/>
      <c r="Z321" s="84"/>
      <c r="AA321" s="84"/>
      <c r="AB321" s="84"/>
      <c r="AC321" s="84"/>
      <c r="AD321" s="84"/>
      <c r="AE321" s="85"/>
      <c r="AF321" s="86"/>
      <c r="AG321" s="87"/>
      <c r="AH321" s="88"/>
    </row>
    <row r="322" spans="1:34" x14ac:dyDescent="0.25">
      <c r="A322" s="155" t="str">
        <f t="shared" si="8"/>
        <v/>
      </c>
      <c r="B322" s="155" t="str">
        <f t="shared" si="9"/>
        <v/>
      </c>
      <c r="C322" s="157"/>
      <c r="D322" s="150"/>
      <c r="E322" s="78"/>
      <c r="F322" s="133"/>
      <c r="G322" s="38"/>
      <c r="H322" s="39"/>
      <c r="I322" s="40"/>
      <c r="J322" s="41"/>
      <c r="K322" s="42"/>
      <c r="L322" s="43"/>
      <c r="M322" s="79"/>
      <c r="N322" s="80"/>
      <c r="O322" s="81"/>
      <c r="P322" s="82"/>
      <c r="Q322" s="83"/>
      <c r="R322" s="84"/>
      <c r="S322" s="79"/>
      <c r="T322" s="80"/>
      <c r="U322" s="81"/>
      <c r="V322" s="82"/>
      <c r="W322" s="83"/>
      <c r="X322" s="84"/>
      <c r="Y322" s="84"/>
      <c r="Z322" s="84"/>
      <c r="AA322" s="84"/>
      <c r="AB322" s="84"/>
      <c r="AC322" s="84"/>
      <c r="AD322" s="84"/>
      <c r="AE322" s="85"/>
      <c r="AF322" s="86"/>
      <c r="AG322" s="87"/>
      <c r="AH322" s="88"/>
    </row>
    <row r="323" spans="1:34" x14ac:dyDescent="0.25">
      <c r="A323" s="155" t="str">
        <f t="shared" si="8"/>
        <v/>
      </c>
      <c r="B323" s="155" t="str">
        <f t="shared" si="9"/>
        <v/>
      </c>
      <c r="C323" s="157"/>
      <c r="D323" s="150"/>
      <c r="E323" s="78"/>
      <c r="F323" s="133"/>
      <c r="G323" s="38"/>
      <c r="H323" s="39"/>
      <c r="I323" s="40"/>
      <c r="J323" s="41"/>
      <c r="K323" s="42"/>
      <c r="L323" s="43"/>
      <c r="M323" s="79"/>
      <c r="N323" s="80"/>
      <c r="O323" s="81"/>
      <c r="P323" s="82"/>
      <c r="Q323" s="83"/>
      <c r="R323" s="84"/>
      <c r="S323" s="79"/>
      <c r="T323" s="80"/>
      <c r="U323" s="81"/>
      <c r="V323" s="82"/>
      <c r="W323" s="83"/>
      <c r="X323" s="84"/>
      <c r="Y323" s="84"/>
      <c r="Z323" s="84"/>
      <c r="AA323" s="84"/>
      <c r="AB323" s="84"/>
      <c r="AC323" s="84"/>
      <c r="AD323" s="84"/>
      <c r="AE323" s="85"/>
      <c r="AF323" s="86"/>
      <c r="AG323" s="87"/>
      <c r="AH323" s="88"/>
    </row>
    <row r="324" spans="1:34" x14ac:dyDescent="0.25">
      <c r="A324" s="155" t="str">
        <f t="shared" si="8"/>
        <v/>
      </c>
      <c r="B324" s="155" t="str">
        <f t="shared" si="9"/>
        <v/>
      </c>
      <c r="C324" s="157"/>
      <c r="D324" s="150"/>
      <c r="E324" s="78"/>
      <c r="F324" s="133"/>
      <c r="G324" s="38"/>
      <c r="H324" s="39"/>
      <c r="I324" s="40"/>
      <c r="J324" s="41"/>
      <c r="K324" s="42"/>
      <c r="L324" s="43"/>
      <c r="M324" s="79"/>
      <c r="N324" s="80"/>
      <c r="O324" s="81"/>
      <c r="P324" s="82"/>
      <c r="Q324" s="83"/>
      <c r="R324" s="84"/>
      <c r="S324" s="79"/>
      <c r="T324" s="80"/>
      <c r="U324" s="81"/>
      <c r="V324" s="82"/>
      <c r="W324" s="83"/>
      <c r="X324" s="84"/>
      <c r="Y324" s="84"/>
      <c r="Z324" s="84"/>
      <c r="AA324" s="84"/>
      <c r="AB324" s="84"/>
      <c r="AC324" s="84"/>
      <c r="AD324" s="84"/>
      <c r="AE324" s="85"/>
      <c r="AF324" s="86"/>
      <c r="AG324" s="87"/>
      <c r="AH324" s="88"/>
    </row>
    <row r="325" spans="1:34" x14ac:dyDescent="0.25">
      <c r="A325" s="155" t="str">
        <f t="shared" si="8"/>
        <v/>
      </c>
      <c r="B325" s="155" t="str">
        <f t="shared" si="9"/>
        <v/>
      </c>
      <c r="C325" s="157"/>
      <c r="D325" s="150"/>
      <c r="E325" s="78"/>
      <c r="F325" s="133"/>
      <c r="G325" s="38"/>
      <c r="H325" s="39"/>
      <c r="I325" s="40"/>
      <c r="J325" s="41"/>
      <c r="K325" s="42"/>
      <c r="L325" s="43"/>
      <c r="M325" s="79"/>
      <c r="N325" s="80"/>
      <c r="O325" s="81"/>
      <c r="P325" s="82"/>
      <c r="Q325" s="83"/>
      <c r="R325" s="84"/>
      <c r="S325" s="79"/>
      <c r="T325" s="80"/>
      <c r="U325" s="81"/>
      <c r="V325" s="82"/>
      <c r="W325" s="83"/>
      <c r="X325" s="84"/>
      <c r="Y325" s="84"/>
      <c r="Z325" s="84"/>
      <c r="AA325" s="84"/>
      <c r="AB325" s="84"/>
      <c r="AC325" s="84"/>
      <c r="AD325" s="84"/>
      <c r="AE325" s="85"/>
      <c r="AF325" s="86"/>
      <c r="AG325" s="87"/>
      <c r="AH325" s="88"/>
    </row>
    <row r="326" spans="1:34" x14ac:dyDescent="0.25">
      <c r="A326" s="155" t="str">
        <f t="shared" ref="A326:A389" si="10">IF(COUNTIF(S326:X326,"&gt;0")=0,"",COUNTIF(S326:X326,"&gt;0"))</f>
        <v/>
      </c>
      <c r="B326" s="155" t="str">
        <f t="shared" ref="B326:B389" si="11">IF(A326="","",COUNTA(G326:L326)-A326)</f>
        <v/>
      </c>
      <c r="C326" s="157"/>
      <c r="D326" s="150"/>
      <c r="E326" s="78"/>
      <c r="F326" s="133"/>
      <c r="G326" s="38"/>
      <c r="H326" s="39"/>
      <c r="I326" s="40"/>
      <c r="J326" s="41"/>
      <c r="K326" s="42"/>
      <c r="L326" s="43"/>
      <c r="M326" s="79"/>
      <c r="N326" s="80"/>
      <c r="O326" s="81"/>
      <c r="P326" s="82"/>
      <c r="Q326" s="83"/>
      <c r="R326" s="84"/>
      <c r="S326" s="79"/>
      <c r="T326" s="80"/>
      <c r="U326" s="81"/>
      <c r="V326" s="82"/>
      <c r="W326" s="83"/>
      <c r="X326" s="84"/>
      <c r="Y326" s="84"/>
      <c r="Z326" s="84"/>
      <c r="AA326" s="84"/>
      <c r="AB326" s="84"/>
      <c r="AC326" s="84"/>
      <c r="AD326" s="84"/>
      <c r="AE326" s="85"/>
      <c r="AF326" s="86"/>
      <c r="AG326" s="87"/>
      <c r="AH326" s="88"/>
    </row>
    <row r="327" spans="1:34" x14ac:dyDescent="0.25">
      <c r="A327" s="155" t="str">
        <f t="shared" si="10"/>
        <v/>
      </c>
      <c r="B327" s="155" t="str">
        <f t="shared" si="11"/>
        <v/>
      </c>
      <c r="C327" s="157"/>
      <c r="D327" s="150"/>
      <c r="E327" s="78"/>
      <c r="F327" s="133"/>
      <c r="G327" s="38"/>
      <c r="H327" s="39"/>
      <c r="I327" s="40"/>
      <c r="J327" s="41"/>
      <c r="K327" s="42"/>
      <c r="L327" s="43"/>
      <c r="M327" s="79"/>
      <c r="N327" s="80"/>
      <c r="O327" s="81"/>
      <c r="P327" s="82"/>
      <c r="Q327" s="83"/>
      <c r="R327" s="84"/>
      <c r="S327" s="79"/>
      <c r="T327" s="80"/>
      <c r="U327" s="81"/>
      <c r="V327" s="82"/>
      <c r="W327" s="83"/>
      <c r="X327" s="84"/>
      <c r="Y327" s="84"/>
      <c r="Z327" s="84"/>
      <c r="AA327" s="84"/>
      <c r="AB327" s="84"/>
      <c r="AC327" s="84"/>
      <c r="AD327" s="84"/>
      <c r="AE327" s="85"/>
      <c r="AF327" s="86"/>
      <c r="AG327" s="87"/>
      <c r="AH327" s="88"/>
    </row>
    <row r="328" spans="1:34" x14ac:dyDescent="0.25">
      <c r="A328" s="155" t="str">
        <f t="shared" si="10"/>
        <v/>
      </c>
      <c r="B328" s="155" t="str">
        <f t="shared" si="11"/>
        <v/>
      </c>
      <c r="C328" s="157"/>
      <c r="D328" s="150"/>
      <c r="E328" s="78"/>
      <c r="F328" s="133"/>
      <c r="G328" s="38"/>
      <c r="H328" s="39"/>
      <c r="I328" s="40"/>
      <c r="J328" s="41"/>
      <c r="K328" s="42"/>
      <c r="L328" s="43"/>
      <c r="M328" s="79"/>
      <c r="N328" s="80"/>
      <c r="O328" s="81"/>
      <c r="P328" s="82"/>
      <c r="Q328" s="83"/>
      <c r="R328" s="84"/>
      <c r="S328" s="79"/>
      <c r="T328" s="80"/>
      <c r="U328" s="81"/>
      <c r="V328" s="82"/>
      <c r="W328" s="83"/>
      <c r="X328" s="84"/>
      <c r="Y328" s="84"/>
      <c r="Z328" s="84"/>
      <c r="AA328" s="84"/>
      <c r="AB328" s="84"/>
      <c r="AC328" s="84"/>
      <c r="AD328" s="84"/>
      <c r="AE328" s="85"/>
      <c r="AF328" s="86"/>
      <c r="AG328" s="87"/>
      <c r="AH328" s="88"/>
    </row>
    <row r="329" spans="1:34" x14ac:dyDescent="0.25">
      <c r="A329" s="155" t="str">
        <f t="shared" si="10"/>
        <v/>
      </c>
      <c r="B329" s="155" t="str">
        <f t="shared" si="11"/>
        <v/>
      </c>
      <c r="C329" s="157"/>
      <c r="D329" s="150"/>
      <c r="E329" s="78"/>
      <c r="F329" s="133"/>
      <c r="G329" s="38"/>
      <c r="H329" s="39"/>
      <c r="I329" s="40"/>
      <c r="J329" s="41"/>
      <c r="K329" s="42"/>
      <c r="L329" s="43"/>
      <c r="M329" s="79"/>
      <c r="N329" s="80"/>
      <c r="O329" s="81"/>
      <c r="P329" s="82"/>
      <c r="Q329" s="83"/>
      <c r="R329" s="84"/>
      <c r="S329" s="79"/>
      <c r="T329" s="80"/>
      <c r="U329" s="81"/>
      <c r="V329" s="82"/>
      <c r="W329" s="83"/>
      <c r="X329" s="84"/>
      <c r="Y329" s="84"/>
      <c r="Z329" s="84"/>
      <c r="AA329" s="84"/>
      <c r="AB329" s="84"/>
      <c r="AC329" s="84"/>
      <c r="AD329" s="84"/>
      <c r="AE329" s="85"/>
      <c r="AF329" s="86"/>
      <c r="AG329" s="87"/>
      <c r="AH329" s="88"/>
    </row>
    <row r="330" spans="1:34" x14ac:dyDescent="0.25">
      <c r="A330" s="155" t="str">
        <f t="shared" si="10"/>
        <v/>
      </c>
      <c r="B330" s="155" t="str">
        <f t="shared" si="11"/>
        <v/>
      </c>
      <c r="C330" s="157"/>
      <c r="D330" s="150"/>
      <c r="E330" s="78"/>
      <c r="F330" s="133"/>
      <c r="G330" s="38"/>
      <c r="H330" s="39"/>
      <c r="I330" s="40"/>
      <c r="J330" s="41"/>
      <c r="K330" s="42"/>
      <c r="L330" s="43"/>
      <c r="M330" s="79"/>
      <c r="N330" s="80"/>
      <c r="O330" s="81"/>
      <c r="P330" s="82"/>
      <c r="Q330" s="83"/>
      <c r="R330" s="84"/>
      <c r="S330" s="79"/>
      <c r="T330" s="80"/>
      <c r="U330" s="81"/>
      <c r="V330" s="82"/>
      <c r="W330" s="83"/>
      <c r="X330" s="84"/>
      <c r="Y330" s="84"/>
      <c r="Z330" s="84"/>
      <c r="AA330" s="84"/>
      <c r="AB330" s="84"/>
      <c r="AC330" s="84"/>
      <c r="AD330" s="84"/>
      <c r="AE330" s="85"/>
      <c r="AF330" s="86"/>
      <c r="AG330" s="87"/>
      <c r="AH330" s="88"/>
    </row>
    <row r="331" spans="1:34" x14ac:dyDescent="0.25">
      <c r="A331" s="155" t="str">
        <f t="shared" si="10"/>
        <v/>
      </c>
      <c r="B331" s="155" t="str">
        <f t="shared" si="11"/>
        <v/>
      </c>
      <c r="C331" s="157"/>
      <c r="D331" s="150"/>
      <c r="E331" s="78"/>
      <c r="F331" s="133"/>
      <c r="G331" s="38"/>
      <c r="H331" s="39"/>
      <c r="I331" s="40"/>
      <c r="J331" s="41"/>
      <c r="K331" s="42"/>
      <c r="L331" s="43"/>
      <c r="M331" s="79"/>
      <c r="N331" s="80"/>
      <c r="O331" s="81"/>
      <c r="P331" s="82"/>
      <c r="Q331" s="83"/>
      <c r="R331" s="84"/>
      <c r="S331" s="79"/>
      <c r="T331" s="80"/>
      <c r="U331" s="81"/>
      <c r="V331" s="82"/>
      <c r="W331" s="83"/>
      <c r="X331" s="84"/>
      <c r="Y331" s="84"/>
      <c r="Z331" s="84"/>
      <c r="AA331" s="84"/>
      <c r="AB331" s="84"/>
      <c r="AC331" s="84"/>
      <c r="AD331" s="84"/>
      <c r="AE331" s="85"/>
      <c r="AF331" s="86"/>
      <c r="AG331" s="87"/>
      <c r="AH331" s="88"/>
    </row>
    <row r="332" spans="1:34" x14ac:dyDescent="0.25">
      <c r="A332" s="155" t="str">
        <f t="shared" si="10"/>
        <v/>
      </c>
      <c r="B332" s="155" t="str">
        <f t="shared" si="11"/>
        <v/>
      </c>
      <c r="C332" s="157"/>
      <c r="D332" s="150"/>
      <c r="E332" s="78"/>
      <c r="F332" s="133"/>
      <c r="G332" s="38"/>
      <c r="H332" s="39"/>
      <c r="I332" s="40"/>
      <c r="J332" s="41"/>
      <c r="K332" s="42"/>
      <c r="L332" s="43"/>
      <c r="M332" s="79"/>
      <c r="N332" s="80"/>
      <c r="O332" s="81"/>
      <c r="P332" s="82"/>
      <c r="Q332" s="83"/>
      <c r="R332" s="84"/>
      <c r="S332" s="79"/>
      <c r="T332" s="80"/>
      <c r="U332" s="81"/>
      <c r="V332" s="82"/>
      <c r="W332" s="83"/>
      <c r="X332" s="84"/>
      <c r="Y332" s="84"/>
      <c r="Z332" s="84"/>
      <c r="AA332" s="84"/>
      <c r="AB332" s="84"/>
      <c r="AC332" s="84"/>
      <c r="AD332" s="84"/>
      <c r="AE332" s="85"/>
      <c r="AF332" s="86"/>
      <c r="AG332" s="87"/>
      <c r="AH332" s="88"/>
    </row>
    <row r="333" spans="1:34" x14ac:dyDescent="0.25">
      <c r="A333" s="155" t="str">
        <f t="shared" si="10"/>
        <v/>
      </c>
      <c r="B333" s="155" t="str">
        <f t="shared" si="11"/>
        <v/>
      </c>
      <c r="C333" s="157"/>
      <c r="D333" s="150"/>
      <c r="E333" s="78"/>
      <c r="F333" s="133"/>
      <c r="G333" s="38"/>
      <c r="H333" s="39"/>
      <c r="I333" s="40"/>
      <c r="J333" s="41"/>
      <c r="K333" s="42"/>
      <c r="L333" s="43"/>
      <c r="M333" s="79"/>
      <c r="N333" s="80"/>
      <c r="O333" s="81"/>
      <c r="P333" s="82"/>
      <c r="Q333" s="83"/>
      <c r="R333" s="84"/>
      <c r="S333" s="79"/>
      <c r="T333" s="80"/>
      <c r="U333" s="81"/>
      <c r="V333" s="82"/>
      <c r="W333" s="83"/>
      <c r="X333" s="84"/>
      <c r="Y333" s="84"/>
      <c r="Z333" s="84"/>
      <c r="AA333" s="84"/>
      <c r="AB333" s="84"/>
      <c r="AC333" s="84"/>
      <c r="AD333" s="84"/>
      <c r="AE333" s="85"/>
      <c r="AF333" s="86"/>
      <c r="AG333" s="87"/>
      <c r="AH333" s="88"/>
    </row>
    <row r="334" spans="1:34" x14ac:dyDescent="0.25">
      <c r="A334" s="155" t="str">
        <f t="shared" si="10"/>
        <v/>
      </c>
      <c r="B334" s="155" t="str">
        <f t="shared" si="11"/>
        <v/>
      </c>
      <c r="C334" s="157"/>
      <c r="D334" s="150"/>
      <c r="E334" s="78"/>
      <c r="F334" s="133"/>
      <c r="G334" s="38"/>
      <c r="H334" s="39"/>
      <c r="I334" s="40"/>
      <c r="J334" s="41"/>
      <c r="K334" s="42"/>
      <c r="L334" s="43"/>
      <c r="M334" s="79"/>
      <c r="N334" s="80"/>
      <c r="O334" s="81"/>
      <c r="P334" s="82"/>
      <c r="Q334" s="83"/>
      <c r="R334" s="84"/>
      <c r="S334" s="79"/>
      <c r="T334" s="80"/>
      <c r="U334" s="81"/>
      <c r="V334" s="82"/>
      <c r="W334" s="83"/>
      <c r="X334" s="84"/>
      <c r="Y334" s="84"/>
      <c r="Z334" s="84"/>
      <c r="AA334" s="84"/>
      <c r="AB334" s="84"/>
      <c r="AC334" s="84"/>
      <c r="AD334" s="84"/>
      <c r="AE334" s="85"/>
      <c r="AF334" s="86"/>
      <c r="AG334" s="87"/>
      <c r="AH334" s="88"/>
    </row>
    <row r="335" spans="1:34" x14ac:dyDescent="0.25">
      <c r="A335" s="155" t="str">
        <f t="shared" si="10"/>
        <v/>
      </c>
      <c r="B335" s="155" t="str">
        <f t="shared" si="11"/>
        <v/>
      </c>
      <c r="C335" s="157"/>
      <c r="D335" s="150"/>
      <c r="E335" s="78"/>
      <c r="F335" s="133"/>
      <c r="G335" s="38"/>
      <c r="H335" s="39"/>
      <c r="I335" s="40"/>
      <c r="J335" s="41"/>
      <c r="K335" s="42"/>
      <c r="L335" s="43"/>
      <c r="M335" s="79"/>
      <c r="N335" s="80"/>
      <c r="O335" s="81"/>
      <c r="P335" s="82"/>
      <c r="Q335" s="83"/>
      <c r="R335" s="84"/>
      <c r="S335" s="79"/>
      <c r="T335" s="80"/>
      <c r="U335" s="81"/>
      <c r="V335" s="82"/>
      <c r="W335" s="83"/>
      <c r="X335" s="84"/>
      <c r="Y335" s="84"/>
      <c r="Z335" s="84"/>
      <c r="AA335" s="84"/>
      <c r="AB335" s="84"/>
      <c r="AC335" s="84"/>
      <c r="AD335" s="84"/>
      <c r="AE335" s="85"/>
      <c r="AF335" s="86"/>
      <c r="AG335" s="87"/>
      <c r="AH335" s="88"/>
    </row>
    <row r="336" spans="1:34" x14ac:dyDescent="0.25">
      <c r="A336" s="155" t="str">
        <f t="shared" si="10"/>
        <v/>
      </c>
      <c r="B336" s="155" t="str">
        <f t="shared" si="11"/>
        <v/>
      </c>
      <c r="C336" s="157"/>
      <c r="D336" s="150"/>
      <c r="E336" s="78"/>
      <c r="F336" s="133"/>
      <c r="G336" s="38"/>
      <c r="H336" s="39"/>
      <c r="I336" s="40"/>
      <c r="J336" s="41"/>
      <c r="K336" s="42"/>
      <c r="L336" s="43"/>
      <c r="M336" s="79"/>
      <c r="N336" s="80"/>
      <c r="O336" s="81"/>
      <c r="P336" s="82"/>
      <c r="Q336" s="83"/>
      <c r="R336" s="84"/>
      <c r="S336" s="79"/>
      <c r="T336" s="80"/>
      <c r="U336" s="81"/>
      <c r="V336" s="82"/>
      <c r="W336" s="83"/>
      <c r="X336" s="84"/>
      <c r="Y336" s="84"/>
      <c r="Z336" s="84"/>
      <c r="AA336" s="84"/>
      <c r="AB336" s="84"/>
      <c r="AC336" s="84"/>
      <c r="AD336" s="84"/>
      <c r="AE336" s="85"/>
      <c r="AF336" s="86"/>
      <c r="AG336" s="87"/>
      <c r="AH336" s="88"/>
    </row>
    <row r="337" spans="1:34" x14ac:dyDescent="0.25">
      <c r="A337" s="155" t="str">
        <f t="shared" si="10"/>
        <v/>
      </c>
      <c r="B337" s="155" t="str">
        <f t="shared" si="11"/>
        <v/>
      </c>
      <c r="C337" s="157"/>
      <c r="D337" s="150"/>
      <c r="E337" s="78"/>
      <c r="F337" s="133"/>
      <c r="G337" s="38"/>
      <c r="H337" s="39"/>
      <c r="I337" s="40"/>
      <c r="J337" s="41"/>
      <c r="K337" s="42"/>
      <c r="L337" s="43"/>
      <c r="M337" s="79"/>
      <c r="N337" s="80"/>
      <c r="O337" s="81"/>
      <c r="P337" s="82"/>
      <c r="Q337" s="83"/>
      <c r="R337" s="84"/>
      <c r="S337" s="79"/>
      <c r="T337" s="80"/>
      <c r="U337" s="81"/>
      <c r="V337" s="82"/>
      <c r="W337" s="83"/>
      <c r="X337" s="84"/>
      <c r="Y337" s="84"/>
      <c r="Z337" s="84"/>
      <c r="AA337" s="84"/>
      <c r="AB337" s="84"/>
      <c r="AC337" s="84"/>
      <c r="AD337" s="84"/>
      <c r="AE337" s="85"/>
      <c r="AF337" s="86"/>
      <c r="AG337" s="87"/>
      <c r="AH337" s="88"/>
    </row>
    <row r="338" spans="1:34" x14ac:dyDescent="0.25">
      <c r="A338" s="155" t="str">
        <f t="shared" si="10"/>
        <v/>
      </c>
      <c r="B338" s="155" t="str">
        <f t="shared" si="11"/>
        <v/>
      </c>
      <c r="C338" s="157"/>
      <c r="D338" s="150"/>
      <c r="E338" s="78"/>
      <c r="F338" s="133"/>
      <c r="G338" s="38"/>
      <c r="H338" s="39"/>
      <c r="I338" s="40"/>
      <c r="J338" s="41"/>
      <c r="K338" s="42"/>
      <c r="L338" s="43"/>
      <c r="M338" s="79"/>
      <c r="N338" s="80"/>
      <c r="O338" s="81"/>
      <c r="P338" s="82"/>
      <c r="Q338" s="83"/>
      <c r="R338" s="84"/>
      <c r="S338" s="79"/>
      <c r="T338" s="80"/>
      <c r="U338" s="81"/>
      <c r="V338" s="82"/>
      <c r="W338" s="83"/>
      <c r="X338" s="84"/>
      <c r="Y338" s="84"/>
      <c r="Z338" s="84"/>
      <c r="AA338" s="84"/>
      <c r="AB338" s="84"/>
      <c r="AC338" s="84"/>
      <c r="AD338" s="84"/>
      <c r="AE338" s="85"/>
      <c r="AF338" s="86"/>
      <c r="AG338" s="87"/>
      <c r="AH338" s="88"/>
    </row>
    <row r="339" spans="1:34" x14ac:dyDescent="0.25">
      <c r="A339" s="155" t="str">
        <f t="shared" si="10"/>
        <v/>
      </c>
      <c r="B339" s="155" t="str">
        <f t="shared" si="11"/>
        <v/>
      </c>
      <c r="C339" s="157"/>
      <c r="D339" s="150"/>
      <c r="E339" s="78"/>
      <c r="F339" s="133"/>
      <c r="G339" s="38"/>
      <c r="H339" s="39"/>
      <c r="I339" s="40"/>
      <c r="J339" s="41"/>
      <c r="K339" s="42"/>
      <c r="L339" s="43"/>
      <c r="M339" s="79"/>
      <c r="N339" s="80"/>
      <c r="O339" s="81"/>
      <c r="P339" s="82"/>
      <c r="Q339" s="83"/>
      <c r="R339" s="84"/>
      <c r="S339" s="79"/>
      <c r="T339" s="80"/>
      <c r="U339" s="81"/>
      <c r="V339" s="82"/>
      <c r="W339" s="83"/>
      <c r="X339" s="84"/>
      <c r="Y339" s="84"/>
      <c r="Z339" s="84"/>
      <c r="AA339" s="84"/>
      <c r="AB339" s="84"/>
      <c r="AC339" s="84"/>
      <c r="AD339" s="84"/>
      <c r="AE339" s="85"/>
      <c r="AF339" s="86"/>
      <c r="AG339" s="87"/>
      <c r="AH339" s="88"/>
    </row>
    <row r="340" spans="1:34" x14ac:dyDescent="0.25">
      <c r="A340" s="155" t="str">
        <f t="shared" si="10"/>
        <v/>
      </c>
      <c r="B340" s="155" t="str">
        <f t="shared" si="11"/>
        <v/>
      </c>
      <c r="C340" s="157"/>
      <c r="D340" s="150"/>
      <c r="E340" s="78"/>
      <c r="F340" s="133"/>
      <c r="G340" s="38"/>
      <c r="H340" s="39"/>
      <c r="I340" s="40"/>
      <c r="J340" s="41"/>
      <c r="K340" s="42"/>
      <c r="L340" s="43"/>
      <c r="M340" s="79"/>
      <c r="N340" s="80"/>
      <c r="O340" s="81"/>
      <c r="P340" s="82"/>
      <c r="Q340" s="83"/>
      <c r="R340" s="84"/>
      <c r="S340" s="79"/>
      <c r="T340" s="80"/>
      <c r="U340" s="81"/>
      <c r="V340" s="82"/>
      <c r="W340" s="83"/>
      <c r="X340" s="84"/>
      <c r="Y340" s="84"/>
      <c r="Z340" s="84"/>
      <c r="AA340" s="84"/>
      <c r="AB340" s="84"/>
      <c r="AC340" s="84"/>
      <c r="AD340" s="84"/>
      <c r="AE340" s="85"/>
      <c r="AF340" s="86"/>
      <c r="AG340" s="87"/>
      <c r="AH340" s="88"/>
    </row>
    <row r="341" spans="1:34" x14ac:dyDescent="0.25">
      <c r="A341" s="155" t="str">
        <f t="shared" si="10"/>
        <v/>
      </c>
      <c r="B341" s="155" t="str">
        <f t="shared" si="11"/>
        <v/>
      </c>
      <c r="C341" s="157"/>
      <c r="D341" s="150"/>
      <c r="E341" s="78"/>
      <c r="F341" s="133"/>
      <c r="G341" s="38"/>
      <c r="H341" s="39"/>
      <c r="I341" s="40"/>
      <c r="J341" s="41"/>
      <c r="K341" s="42"/>
      <c r="L341" s="43"/>
      <c r="M341" s="79"/>
      <c r="N341" s="80"/>
      <c r="O341" s="81"/>
      <c r="P341" s="82"/>
      <c r="Q341" s="83"/>
      <c r="R341" s="84"/>
      <c r="S341" s="79"/>
      <c r="T341" s="80"/>
      <c r="U341" s="81"/>
      <c r="V341" s="82"/>
      <c r="W341" s="83"/>
      <c r="X341" s="84"/>
      <c r="Y341" s="84"/>
      <c r="Z341" s="84"/>
      <c r="AA341" s="84"/>
      <c r="AB341" s="84"/>
      <c r="AC341" s="84"/>
      <c r="AD341" s="84"/>
      <c r="AE341" s="85"/>
      <c r="AF341" s="86"/>
      <c r="AG341" s="87"/>
      <c r="AH341" s="88"/>
    </row>
    <row r="342" spans="1:34" x14ac:dyDescent="0.25">
      <c r="A342" s="155" t="str">
        <f t="shared" si="10"/>
        <v/>
      </c>
      <c r="B342" s="155" t="str">
        <f t="shared" si="11"/>
        <v/>
      </c>
      <c r="C342" s="157"/>
      <c r="D342" s="150"/>
      <c r="E342" s="78"/>
      <c r="F342" s="133"/>
      <c r="G342" s="38"/>
      <c r="H342" s="39"/>
      <c r="I342" s="40"/>
      <c r="J342" s="41"/>
      <c r="K342" s="42"/>
      <c r="L342" s="43"/>
      <c r="M342" s="79"/>
      <c r="N342" s="80"/>
      <c r="O342" s="81"/>
      <c r="P342" s="82"/>
      <c r="Q342" s="83"/>
      <c r="R342" s="84"/>
      <c r="S342" s="79"/>
      <c r="T342" s="80"/>
      <c r="U342" s="81"/>
      <c r="V342" s="82"/>
      <c r="W342" s="83"/>
      <c r="X342" s="84"/>
      <c r="Y342" s="84"/>
      <c r="Z342" s="84"/>
      <c r="AA342" s="84"/>
      <c r="AB342" s="84"/>
      <c r="AC342" s="84"/>
      <c r="AD342" s="84"/>
      <c r="AE342" s="85"/>
      <c r="AF342" s="86"/>
      <c r="AG342" s="87"/>
      <c r="AH342" s="88"/>
    </row>
    <row r="343" spans="1:34" x14ac:dyDescent="0.25">
      <c r="A343" s="155" t="str">
        <f t="shared" si="10"/>
        <v/>
      </c>
      <c r="B343" s="155" t="str">
        <f t="shared" si="11"/>
        <v/>
      </c>
      <c r="C343" s="157"/>
      <c r="D343" s="150"/>
      <c r="E343" s="78"/>
      <c r="F343" s="133"/>
      <c r="G343" s="38"/>
      <c r="H343" s="39"/>
      <c r="I343" s="40"/>
      <c r="J343" s="41"/>
      <c r="K343" s="42"/>
      <c r="L343" s="43"/>
      <c r="M343" s="79"/>
      <c r="N343" s="80"/>
      <c r="O343" s="81"/>
      <c r="P343" s="82"/>
      <c r="Q343" s="83"/>
      <c r="R343" s="84"/>
      <c r="S343" s="79"/>
      <c r="T343" s="80"/>
      <c r="U343" s="81"/>
      <c r="V343" s="82"/>
      <c r="W343" s="83"/>
      <c r="X343" s="84"/>
      <c r="Y343" s="84"/>
      <c r="Z343" s="84"/>
      <c r="AA343" s="84"/>
      <c r="AB343" s="84"/>
      <c r="AC343" s="84"/>
      <c r="AD343" s="84"/>
      <c r="AE343" s="85"/>
      <c r="AF343" s="86"/>
      <c r="AG343" s="87"/>
      <c r="AH343" s="88"/>
    </row>
    <row r="344" spans="1:34" x14ac:dyDescent="0.25">
      <c r="A344" s="155" t="str">
        <f t="shared" si="10"/>
        <v/>
      </c>
      <c r="B344" s="155" t="str">
        <f t="shared" si="11"/>
        <v/>
      </c>
      <c r="C344" s="157"/>
      <c r="D344" s="150"/>
      <c r="E344" s="78"/>
      <c r="F344" s="133"/>
      <c r="G344" s="38"/>
      <c r="H344" s="39"/>
      <c r="I344" s="40"/>
      <c r="J344" s="41"/>
      <c r="K344" s="42"/>
      <c r="L344" s="43"/>
      <c r="M344" s="79"/>
      <c r="N344" s="80"/>
      <c r="O344" s="81"/>
      <c r="P344" s="82"/>
      <c r="Q344" s="83"/>
      <c r="R344" s="84"/>
      <c r="S344" s="79"/>
      <c r="T344" s="80"/>
      <c r="U344" s="81"/>
      <c r="V344" s="82"/>
      <c r="W344" s="83"/>
      <c r="X344" s="84"/>
      <c r="Y344" s="84"/>
      <c r="Z344" s="84"/>
      <c r="AA344" s="84"/>
      <c r="AB344" s="84"/>
      <c r="AC344" s="84"/>
      <c r="AD344" s="84"/>
      <c r="AE344" s="85"/>
      <c r="AF344" s="86"/>
      <c r="AG344" s="87"/>
      <c r="AH344" s="88"/>
    </row>
    <row r="345" spans="1:34" x14ac:dyDescent="0.25">
      <c r="A345" s="155" t="str">
        <f t="shared" si="10"/>
        <v/>
      </c>
      <c r="B345" s="155" t="str">
        <f t="shared" si="11"/>
        <v/>
      </c>
      <c r="C345" s="157"/>
      <c r="D345" s="150"/>
      <c r="E345" s="78"/>
      <c r="F345" s="133"/>
      <c r="G345" s="38"/>
      <c r="H345" s="39"/>
      <c r="I345" s="40"/>
      <c r="J345" s="41"/>
      <c r="K345" s="42"/>
      <c r="L345" s="43"/>
      <c r="M345" s="79"/>
      <c r="N345" s="80"/>
      <c r="O345" s="81"/>
      <c r="P345" s="82"/>
      <c r="Q345" s="83"/>
      <c r="R345" s="84"/>
      <c r="S345" s="79"/>
      <c r="T345" s="80"/>
      <c r="U345" s="81"/>
      <c r="V345" s="82"/>
      <c r="W345" s="83"/>
      <c r="X345" s="84"/>
      <c r="Y345" s="84"/>
      <c r="Z345" s="84"/>
      <c r="AA345" s="84"/>
      <c r="AB345" s="84"/>
      <c r="AC345" s="84"/>
      <c r="AD345" s="84"/>
      <c r="AE345" s="85"/>
      <c r="AF345" s="86"/>
      <c r="AG345" s="87"/>
      <c r="AH345" s="88"/>
    </row>
    <row r="346" spans="1:34" x14ac:dyDescent="0.25">
      <c r="A346" s="155" t="str">
        <f t="shared" si="10"/>
        <v/>
      </c>
      <c r="B346" s="155" t="str">
        <f t="shared" si="11"/>
        <v/>
      </c>
      <c r="C346" s="157"/>
      <c r="D346" s="150"/>
      <c r="E346" s="78"/>
      <c r="F346" s="133"/>
      <c r="G346" s="38"/>
      <c r="H346" s="39"/>
      <c r="I346" s="40"/>
      <c r="J346" s="41"/>
      <c r="K346" s="42"/>
      <c r="L346" s="43"/>
      <c r="M346" s="79"/>
      <c r="N346" s="80"/>
      <c r="O346" s="81"/>
      <c r="P346" s="82"/>
      <c r="Q346" s="83"/>
      <c r="R346" s="84"/>
      <c r="S346" s="79"/>
      <c r="T346" s="80"/>
      <c r="U346" s="81"/>
      <c r="V346" s="82"/>
      <c r="W346" s="83"/>
      <c r="X346" s="84"/>
      <c r="Y346" s="84"/>
      <c r="Z346" s="84"/>
      <c r="AA346" s="84"/>
      <c r="AB346" s="84"/>
      <c r="AC346" s="84"/>
      <c r="AD346" s="84"/>
      <c r="AE346" s="85"/>
      <c r="AF346" s="86"/>
      <c r="AG346" s="87"/>
      <c r="AH346" s="88"/>
    </row>
    <row r="347" spans="1:34" x14ac:dyDescent="0.25">
      <c r="A347" s="155" t="str">
        <f t="shared" si="10"/>
        <v/>
      </c>
      <c r="B347" s="155" t="str">
        <f t="shared" si="11"/>
        <v/>
      </c>
      <c r="C347" s="157"/>
      <c r="D347" s="150"/>
      <c r="E347" s="78"/>
      <c r="F347" s="133"/>
      <c r="G347" s="38"/>
      <c r="H347" s="39"/>
      <c r="I347" s="40"/>
      <c r="J347" s="41"/>
      <c r="K347" s="42"/>
      <c r="L347" s="43"/>
      <c r="M347" s="79"/>
      <c r="N347" s="80"/>
      <c r="O347" s="81"/>
      <c r="P347" s="82"/>
      <c r="Q347" s="83"/>
      <c r="R347" s="84"/>
      <c r="S347" s="79"/>
      <c r="T347" s="80"/>
      <c r="U347" s="81"/>
      <c r="V347" s="82"/>
      <c r="W347" s="83"/>
      <c r="X347" s="84"/>
      <c r="Y347" s="84"/>
      <c r="Z347" s="84"/>
      <c r="AA347" s="84"/>
      <c r="AB347" s="84"/>
      <c r="AC347" s="84"/>
      <c r="AD347" s="84"/>
      <c r="AE347" s="85"/>
      <c r="AF347" s="86"/>
      <c r="AG347" s="87"/>
      <c r="AH347" s="88"/>
    </row>
    <row r="348" spans="1:34" x14ac:dyDescent="0.25">
      <c r="A348" s="155" t="str">
        <f t="shared" si="10"/>
        <v/>
      </c>
      <c r="B348" s="155" t="str">
        <f t="shared" si="11"/>
        <v/>
      </c>
      <c r="C348" s="157"/>
      <c r="D348" s="150"/>
      <c r="E348" s="78"/>
      <c r="F348" s="133"/>
      <c r="G348" s="38"/>
      <c r="H348" s="39"/>
      <c r="I348" s="40"/>
      <c r="J348" s="41"/>
      <c r="K348" s="42"/>
      <c r="L348" s="43"/>
      <c r="M348" s="79"/>
      <c r="N348" s="80"/>
      <c r="O348" s="81"/>
      <c r="P348" s="82"/>
      <c r="Q348" s="83"/>
      <c r="R348" s="84"/>
      <c r="S348" s="79"/>
      <c r="T348" s="80"/>
      <c r="U348" s="81"/>
      <c r="V348" s="82"/>
      <c r="W348" s="83"/>
      <c r="X348" s="84"/>
      <c r="Y348" s="84"/>
      <c r="Z348" s="84"/>
      <c r="AA348" s="84"/>
      <c r="AB348" s="84"/>
      <c r="AC348" s="84"/>
      <c r="AD348" s="84"/>
      <c r="AE348" s="85"/>
      <c r="AF348" s="86"/>
      <c r="AG348" s="87"/>
      <c r="AH348" s="88"/>
    </row>
    <row r="349" spans="1:34" x14ac:dyDescent="0.25">
      <c r="A349" s="155" t="str">
        <f t="shared" si="10"/>
        <v/>
      </c>
      <c r="B349" s="155" t="str">
        <f t="shared" si="11"/>
        <v/>
      </c>
      <c r="C349" s="157"/>
      <c r="D349" s="150"/>
      <c r="E349" s="78"/>
      <c r="F349" s="133"/>
      <c r="G349" s="38"/>
      <c r="H349" s="39"/>
      <c r="I349" s="40"/>
      <c r="J349" s="41"/>
      <c r="K349" s="42"/>
      <c r="L349" s="43"/>
      <c r="M349" s="79"/>
      <c r="N349" s="80"/>
      <c r="O349" s="81"/>
      <c r="P349" s="82"/>
      <c r="Q349" s="83"/>
      <c r="R349" s="84"/>
      <c r="S349" s="79"/>
      <c r="T349" s="80"/>
      <c r="U349" s="81"/>
      <c r="V349" s="82"/>
      <c r="W349" s="83"/>
      <c r="X349" s="84"/>
      <c r="Y349" s="84"/>
      <c r="Z349" s="84"/>
      <c r="AA349" s="84"/>
      <c r="AB349" s="84"/>
      <c r="AC349" s="84"/>
      <c r="AD349" s="84"/>
      <c r="AE349" s="85"/>
      <c r="AF349" s="86"/>
      <c r="AG349" s="87"/>
      <c r="AH349" s="88"/>
    </row>
    <row r="350" spans="1:34" x14ac:dyDescent="0.25">
      <c r="A350" s="155" t="str">
        <f t="shared" si="10"/>
        <v/>
      </c>
      <c r="B350" s="155" t="str">
        <f t="shared" si="11"/>
        <v/>
      </c>
      <c r="C350" s="157"/>
      <c r="D350" s="150"/>
      <c r="E350" s="78"/>
      <c r="F350" s="133"/>
      <c r="G350" s="38"/>
      <c r="H350" s="39"/>
      <c r="I350" s="40"/>
      <c r="J350" s="41"/>
      <c r="K350" s="42"/>
      <c r="L350" s="43"/>
      <c r="M350" s="79"/>
      <c r="N350" s="80"/>
      <c r="O350" s="81"/>
      <c r="P350" s="82"/>
      <c r="Q350" s="83"/>
      <c r="R350" s="84"/>
      <c r="S350" s="79"/>
      <c r="T350" s="80"/>
      <c r="U350" s="81"/>
      <c r="V350" s="82"/>
      <c r="W350" s="83"/>
      <c r="X350" s="84"/>
      <c r="Y350" s="84"/>
      <c r="Z350" s="84"/>
      <c r="AA350" s="84"/>
      <c r="AB350" s="84"/>
      <c r="AC350" s="84"/>
      <c r="AD350" s="84"/>
      <c r="AE350" s="85"/>
      <c r="AF350" s="86"/>
      <c r="AG350" s="87"/>
      <c r="AH350" s="88"/>
    </row>
    <row r="351" spans="1:34" x14ac:dyDescent="0.25">
      <c r="A351" s="155" t="str">
        <f t="shared" si="10"/>
        <v/>
      </c>
      <c r="B351" s="155" t="str">
        <f t="shared" si="11"/>
        <v/>
      </c>
      <c r="C351" s="157"/>
      <c r="D351" s="150"/>
      <c r="E351" s="78"/>
      <c r="F351" s="133"/>
      <c r="G351" s="38"/>
      <c r="H351" s="39"/>
      <c r="I351" s="40"/>
      <c r="J351" s="41"/>
      <c r="K351" s="42"/>
      <c r="L351" s="43"/>
      <c r="M351" s="79"/>
      <c r="N351" s="80"/>
      <c r="O351" s="81"/>
      <c r="P351" s="82"/>
      <c r="Q351" s="83"/>
      <c r="R351" s="84"/>
      <c r="S351" s="79"/>
      <c r="T351" s="80"/>
      <c r="U351" s="81"/>
      <c r="V351" s="82"/>
      <c r="W351" s="83"/>
      <c r="X351" s="84"/>
      <c r="Y351" s="84"/>
      <c r="Z351" s="84"/>
      <c r="AA351" s="84"/>
      <c r="AB351" s="84"/>
      <c r="AC351" s="84"/>
      <c r="AD351" s="84"/>
      <c r="AE351" s="85"/>
      <c r="AF351" s="86"/>
      <c r="AG351" s="87"/>
      <c r="AH351" s="88"/>
    </row>
    <row r="352" spans="1:34" x14ac:dyDescent="0.25">
      <c r="A352" s="155" t="str">
        <f t="shared" si="10"/>
        <v/>
      </c>
      <c r="B352" s="155" t="str">
        <f t="shared" si="11"/>
        <v/>
      </c>
      <c r="C352" s="157"/>
      <c r="D352" s="150"/>
      <c r="E352" s="78"/>
      <c r="F352" s="133"/>
      <c r="G352" s="38"/>
      <c r="H352" s="39"/>
      <c r="I352" s="40"/>
      <c r="J352" s="41"/>
      <c r="K352" s="42"/>
      <c r="L352" s="43"/>
      <c r="M352" s="79"/>
      <c r="N352" s="80"/>
      <c r="O352" s="81"/>
      <c r="P352" s="82"/>
      <c r="Q352" s="83"/>
      <c r="R352" s="84"/>
      <c r="S352" s="79"/>
      <c r="T352" s="80"/>
      <c r="U352" s="81"/>
      <c r="V352" s="82"/>
      <c r="W352" s="83"/>
      <c r="X352" s="84"/>
      <c r="Y352" s="84"/>
      <c r="Z352" s="84"/>
      <c r="AA352" s="84"/>
      <c r="AB352" s="84"/>
      <c r="AC352" s="84"/>
      <c r="AD352" s="84"/>
      <c r="AE352" s="85"/>
      <c r="AF352" s="86"/>
      <c r="AG352" s="87"/>
      <c r="AH352" s="88"/>
    </row>
    <row r="353" spans="1:34" x14ac:dyDescent="0.25">
      <c r="A353" s="155" t="str">
        <f t="shared" si="10"/>
        <v/>
      </c>
      <c r="B353" s="155" t="str">
        <f t="shared" si="11"/>
        <v/>
      </c>
      <c r="C353" s="157"/>
      <c r="D353" s="150"/>
      <c r="E353" s="78"/>
      <c r="F353" s="133"/>
      <c r="G353" s="38"/>
      <c r="H353" s="39"/>
      <c r="I353" s="40"/>
      <c r="J353" s="41"/>
      <c r="K353" s="42"/>
      <c r="L353" s="43"/>
      <c r="M353" s="79"/>
      <c r="N353" s="80"/>
      <c r="O353" s="81"/>
      <c r="P353" s="82"/>
      <c r="Q353" s="83"/>
      <c r="R353" s="84"/>
      <c r="S353" s="79"/>
      <c r="T353" s="80"/>
      <c r="U353" s="81"/>
      <c r="V353" s="82"/>
      <c r="W353" s="83"/>
      <c r="X353" s="84"/>
      <c r="Y353" s="84"/>
      <c r="Z353" s="84"/>
      <c r="AA353" s="84"/>
      <c r="AB353" s="84"/>
      <c r="AC353" s="84"/>
      <c r="AD353" s="84"/>
      <c r="AE353" s="85"/>
      <c r="AF353" s="86"/>
      <c r="AG353" s="87"/>
      <c r="AH353" s="88"/>
    </row>
    <row r="354" spans="1:34" x14ac:dyDescent="0.25">
      <c r="A354" s="155" t="str">
        <f t="shared" si="10"/>
        <v/>
      </c>
      <c r="B354" s="155" t="str">
        <f t="shared" si="11"/>
        <v/>
      </c>
      <c r="C354" s="157"/>
      <c r="D354" s="150"/>
      <c r="E354" s="78"/>
      <c r="F354" s="133"/>
      <c r="G354" s="38"/>
      <c r="H354" s="39"/>
      <c r="I354" s="40"/>
      <c r="J354" s="41"/>
      <c r="K354" s="42"/>
      <c r="L354" s="43"/>
      <c r="M354" s="79"/>
      <c r="N354" s="80"/>
      <c r="O354" s="81"/>
      <c r="P354" s="82"/>
      <c r="Q354" s="83"/>
      <c r="R354" s="84"/>
      <c r="S354" s="79"/>
      <c r="T354" s="80"/>
      <c r="U354" s="81"/>
      <c r="V354" s="82"/>
      <c r="W354" s="83"/>
      <c r="X354" s="84"/>
      <c r="Y354" s="84"/>
      <c r="Z354" s="84"/>
      <c r="AA354" s="84"/>
      <c r="AB354" s="84"/>
      <c r="AC354" s="84"/>
      <c r="AD354" s="84"/>
      <c r="AE354" s="85"/>
      <c r="AF354" s="86"/>
      <c r="AG354" s="87"/>
      <c r="AH354" s="88"/>
    </row>
    <row r="355" spans="1:34" x14ac:dyDescent="0.25">
      <c r="A355" s="155" t="str">
        <f t="shared" si="10"/>
        <v/>
      </c>
      <c r="B355" s="155" t="str">
        <f t="shared" si="11"/>
        <v/>
      </c>
      <c r="C355" s="157"/>
      <c r="D355" s="150"/>
      <c r="E355" s="78"/>
      <c r="F355" s="133"/>
      <c r="G355" s="38"/>
      <c r="H355" s="39"/>
      <c r="I355" s="40"/>
      <c r="J355" s="41"/>
      <c r="K355" s="42"/>
      <c r="L355" s="43"/>
      <c r="M355" s="79"/>
      <c r="N355" s="80"/>
      <c r="O355" s="81"/>
      <c r="P355" s="82"/>
      <c r="Q355" s="83"/>
      <c r="R355" s="84"/>
      <c r="S355" s="79"/>
      <c r="T355" s="80"/>
      <c r="U355" s="81"/>
      <c r="V355" s="82"/>
      <c r="W355" s="83"/>
      <c r="X355" s="84"/>
      <c r="Y355" s="84"/>
      <c r="Z355" s="84"/>
      <c r="AA355" s="84"/>
      <c r="AB355" s="84"/>
      <c r="AC355" s="84"/>
      <c r="AD355" s="84"/>
      <c r="AE355" s="85"/>
      <c r="AF355" s="86"/>
      <c r="AG355" s="87"/>
      <c r="AH355" s="88"/>
    </row>
    <row r="356" spans="1:34" x14ac:dyDescent="0.25">
      <c r="A356" s="155" t="str">
        <f t="shared" si="10"/>
        <v/>
      </c>
      <c r="B356" s="155" t="str">
        <f t="shared" si="11"/>
        <v/>
      </c>
      <c r="C356" s="157"/>
      <c r="D356" s="150"/>
      <c r="E356" s="78"/>
      <c r="F356" s="133"/>
      <c r="G356" s="38"/>
      <c r="H356" s="39"/>
      <c r="I356" s="40"/>
      <c r="J356" s="41"/>
      <c r="K356" s="42"/>
      <c r="L356" s="43"/>
      <c r="M356" s="79"/>
      <c r="N356" s="80"/>
      <c r="O356" s="81"/>
      <c r="P356" s="82"/>
      <c r="Q356" s="83"/>
      <c r="R356" s="84"/>
      <c r="S356" s="79"/>
      <c r="T356" s="80"/>
      <c r="U356" s="81"/>
      <c r="V356" s="82"/>
      <c r="W356" s="83"/>
      <c r="X356" s="84"/>
      <c r="Y356" s="84"/>
      <c r="Z356" s="84"/>
      <c r="AA356" s="84"/>
      <c r="AB356" s="84"/>
      <c r="AC356" s="84"/>
      <c r="AD356" s="84"/>
      <c r="AE356" s="85"/>
      <c r="AF356" s="86"/>
      <c r="AG356" s="87"/>
      <c r="AH356" s="88"/>
    </row>
    <row r="357" spans="1:34" x14ac:dyDescent="0.25">
      <c r="A357" s="155" t="str">
        <f t="shared" si="10"/>
        <v/>
      </c>
      <c r="B357" s="155" t="str">
        <f t="shared" si="11"/>
        <v/>
      </c>
      <c r="C357" s="157"/>
      <c r="D357" s="150"/>
      <c r="E357" s="78"/>
      <c r="F357" s="133"/>
      <c r="G357" s="38"/>
      <c r="H357" s="39"/>
      <c r="I357" s="40"/>
      <c r="J357" s="41"/>
      <c r="K357" s="42"/>
      <c r="L357" s="43"/>
      <c r="M357" s="79"/>
      <c r="N357" s="80"/>
      <c r="O357" s="81"/>
      <c r="P357" s="82"/>
      <c r="Q357" s="83"/>
      <c r="R357" s="84"/>
      <c r="S357" s="79"/>
      <c r="T357" s="80"/>
      <c r="U357" s="81"/>
      <c r="V357" s="82"/>
      <c r="W357" s="83"/>
      <c r="X357" s="84"/>
      <c r="Y357" s="84"/>
      <c r="Z357" s="84"/>
      <c r="AA357" s="84"/>
      <c r="AB357" s="84"/>
      <c r="AC357" s="84"/>
      <c r="AD357" s="84"/>
      <c r="AE357" s="85"/>
      <c r="AF357" s="86"/>
      <c r="AG357" s="87"/>
      <c r="AH357" s="88"/>
    </row>
    <row r="358" spans="1:34" x14ac:dyDescent="0.25">
      <c r="A358" s="155" t="str">
        <f t="shared" si="10"/>
        <v/>
      </c>
      <c r="B358" s="155" t="str">
        <f t="shared" si="11"/>
        <v/>
      </c>
      <c r="C358" s="157"/>
      <c r="D358" s="150"/>
      <c r="E358" s="78"/>
      <c r="F358" s="133"/>
      <c r="G358" s="38"/>
      <c r="H358" s="39"/>
      <c r="I358" s="40"/>
      <c r="J358" s="41"/>
      <c r="K358" s="42"/>
      <c r="L358" s="43"/>
      <c r="M358" s="79"/>
      <c r="N358" s="80"/>
      <c r="O358" s="81"/>
      <c r="P358" s="82"/>
      <c r="Q358" s="83"/>
      <c r="R358" s="84"/>
      <c r="S358" s="79"/>
      <c r="T358" s="80"/>
      <c r="U358" s="81"/>
      <c r="V358" s="82"/>
      <c r="W358" s="83"/>
      <c r="X358" s="84"/>
      <c r="Y358" s="84"/>
      <c r="Z358" s="84"/>
      <c r="AA358" s="84"/>
      <c r="AB358" s="84"/>
      <c r="AC358" s="84"/>
      <c r="AD358" s="84"/>
      <c r="AE358" s="85"/>
      <c r="AF358" s="86"/>
      <c r="AG358" s="87"/>
      <c r="AH358" s="88"/>
    </row>
    <row r="359" spans="1:34" x14ac:dyDescent="0.25">
      <c r="A359" s="155" t="str">
        <f t="shared" si="10"/>
        <v/>
      </c>
      <c r="B359" s="155" t="str">
        <f t="shared" si="11"/>
        <v/>
      </c>
      <c r="C359" s="157"/>
      <c r="D359" s="150"/>
      <c r="E359" s="78"/>
      <c r="F359" s="133"/>
      <c r="G359" s="38"/>
      <c r="H359" s="39"/>
      <c r="I359" s="40"/>
      <c r="J359" s="41"/>
      <c r="K359" s="42"/>
      <c r="L359" s="43"/>
      <c r="M359" s="79"/>
      <c r="N359" s="80"/>
      <c r="O359" s="81"/>
      <c r="P359" s="82"/>
      <c r="Q359" s="83"/>
      <c r="R359" s="84"/>
      <c r="S359" s="79"/>
      <c r="T359" s="80"/>
      <c r="U359" s="81"/>
      <c r="V359" s="82"/>
      <c r="W359" s="83"/>
      <c r="X359" s="84"/>
      <c r="Y359" s="84"/>
      <c r="Z359" s="84"/>
      <c r="AA359" s="84"/>
      <c r="AB359" s="84"/>
      <c r="AC359" s="84"/>
      <c r="AD359" s="84"/>
      <c r="AE359" s="85"/>
      <c r="AF359" s="86"/>
      <c r="AG359" s="87"/>
      <c r="AH359" s="88"/>
    </row>
    <row r="360" spans="1:34" x14ac:dyDescent="0.25">
      <c r="A360" s="155" t="str">
        <f t="shared" si="10"/>
        <v/>
      </c>
      <c r="B360" s="155" t="str">
        <f t="shared" si="11"/>
        <v/>
      </c>
      <c r="C360" s="157"/>
      <c r="D360" s="150"/>
      <c r="E360" s="78"/>
      <c r="F360" s="133"/>
      <c r="G360" s="38"/>
      <c r="H360" s="39"/>
      <c r="I360" s="40"/>
      <c r="J360" s="41"/>
      <c r="K360" s="42"/>
      <c r="L360" s="43"/>
      <c r="M360" s="79"/>
      <c r="N360" s="80"/>
      <c r="O360" s="81"/>
      <c r="P360" s="82"/>
      <c r="Q360" s="83"/>
      <c r="R360" s="84"/>
      <c r="S360" s="79"/>
      <c r="T360" s="80"/>
      <c r="U360" s="81"/>
      <c r="V360" s="82"/>
      <c r="W360" s="83"/>
      <c r="X360" s="84"/>
      <c r="Y360" s="84"/>
      <c r="Z360" s="84"/>
      <c r="AA360" s="84"/>
      <c r="AB360" s="84"/>
      <c r="AC360" s="84"/>
      <c r="AD360" s="84"/>
      <c r="AE360" s="85"/>
      <c r="AF360" s="86"/>
      <c r="AG360" s="87"/>
      <c r="AH360" s="88"/>
    </row>
    <row r="361" spans="1:34" x14ac:dyDescent="0.25">
      <c r="A361" s="155" t="str">
        <f t="shared" si="10"/>
        <v/>
      </c>
      <c r="B361" s="155" t="str">
        <f t="shared" si="11"/>
        <v/>
      </c>
      <c r="C361" s="157"/>
      <c r="D361" s="150"/>
      <c r="E361" s="78"/>
      <c r="F361" s="133"/>
      <c r="G361" s="38"/>
      <c r="H361" s="39"/>
      <c r="I361" s="40"/>
      <c r="J361" s="41"/>
      <c r="K361" s="42"/>
      <c r="L361" s="43"/>
      <c r="M361" s="79"/>
      <c r="N361" s="80"/>
      <c r="O361" s="81"/>
      <c r="P361" s="82"/>
      <c r="Q361" s="83"/>
      <c r="R361" s="84"/>
      <c r="S361" s="79"/>
      <c r="T361" s="80"/>
      <c r="U361" s="81"/>
      <c r="V361" s="82"/>
      <c r="W361" s="83"/>
      <c r="X361" s="84"/>
      <c r="Y361" s="84"/>
      <c r="Z361" s="84"/>
      <c r="AA361" s="84"/>
      <c r="AB361" s="84"/>
      <c r="AC361" s="84"/>
      <c r="AD361" s="84"/>
      <c r="AE361" s="85"/>
      <c r="AF361" s="86"/>
      <c r="AG361" s="87"/>
      <c r="AH361" s="88"/>
    </row>
    <row r="362" spans="1:34" x14ac:dyDescent="0.25">
      <c r="A362" s="155" t="str">
        <f t="shared" si="10"/>
        <v/>
      </c>
      <c r="B362" s="155" t="str">
        <f t="shared" si="11"/>
        <v/>
      </c>
      <c r="C362" s="157"/>
      <c r="D362" s="150"/>
      <c r="E362" s="78"/>
      <c r="F362" s="133"/>
      <c r="G362" s="38"/>
      <c r="H362" s="39"/>
      <c r="I362" s="40"/>
      <c r="J362" s="41"/>
      <c r="K362" s="42"/>
      <c r="L362" s="43"/>
      <c r="M362" s="79"/>
      <c r="N362" s="80"/>
      <c r="O362" s="81"/>
      <c r="P362" s="82"/>
      <c r="Q362" s="83"/>
      <c r="R362" s="84"/>
      <c r="S362" s="79"/>
      <c r="T362" s="80"/>
      <c r="U362" s="81"/>
      <c r="V362" s="82"/>
      <c r="W362" s="83"/>
      <c r="X362" s="84"/>
      <c r="Y362" s="84"/>
      <c r="Z362" s="84"/>
      <c r="AA362" s="84"/>
      <c r="AB362" s="84"/>
      <c r="AC362" s="84"/>
      <c r="AD362" s="84"/>
      <c r="AE362" s="85"/>
      <c r="AF362" s="86"/>
      <c r="AG362" s="87"/>
      <c r="AH362" s="88"/>
    </row>
    <row r="363" spans="1:34" x14ac:dyDescent="0.25">
      <c r="A363" s="155" t="str">
        <f t="shared" si="10"/>
        <v/>
      </c>
      <c r="B363" s="155" t="str">
        <f t="shared" si="11"/>
        <v/>
      </c>
      <c r="C363" s="157"/>
      <c r="D363" s="150"/>
      <c r="E363" s="78"/>
      <c r="F363" s="133"/>
      <c r="G363" s="38"/>
      <c r="H363" s="39"/>
      <c r="I363" s="40"/>
      <c r="J363" s="41"/>
      <c r="K363" s="42"/>
      <c r="L363" s="43"/>
      <c r="M363" s="79"/>
      <c r="N363" s="80"/>
      <c r="O363" s="81"/>
      <c r="P363" s="82"/>
      <c r="Q363" s="83"/>
      <c r="R363" s="84"/>
      <c r="S363" s="79"/>
      <c r="T363" s="80"/>
      <c r="U363" s="81"/>
      <c r="V363" s="82"/>
      <c r="W363" s="83"/>
      <c r="X363" s="84"/>
      <c r="Y363" s="84"/>
      <c r="Z363" s="84"/>
      <c r="AA363" s="84"/>
      <c r="AB363" s="84"/>
      <c r="AC363" s="84"/>
      <c r="AD363" s="84"/>
      <c r="AE363" s="85"/>
      <c r="AF363" s="86"/>
      <c r="AG363" s="87"/>
      <c r="AH363" s="88"/>
    </row>
    <row r="364" spans="1:34" x14ac:dyDescent="0.25">
      <c r="A364" s="155" t="str">
        <f t="shared" si="10"/>
        <v/>
      </c>
      <c r="B364" s="155" t="str">
        <f t="shared" si="11"/>
        <v/>
      </c>
      <c r="C364" s="157"/>
      <c r="D364" s="150"/>
      <c r="E364" s="78"/>
      <c r="F364" s="133"/>
      <c r="G364" s="38"/>
      <c r="H364" s="39"/>
      <c r="I364" s="40"/>
      <c r="J364" s="41"/>
      <c r="K364" s="42"/>
      <c r="L364" s="43"/>
      <c r="M364" s="79"/>
      <c r="N364" s="80"/>
      <c r="O364" s="81"/>
      <c r="P364" s="82"/>
      <c r="Q364" s="83"/>
      <c r="R364" s="84"/>
      <c r="S364" s="79"/>
      <c r="T364" s="80"/>
      <c r="U364" s="81"/>
      <c r="V364" s="82"/>
      <c r="W364" s="83"/>
      <c r="X364" s="84"/>
      <c r="Y364" s="84"/>
      <c r="Z364" s="84"/>
      <c r="AA364" s="84"/>
      <c r="AB364" s="84"/>
      <c r="AC364" s="84"/>
      <c r="AD364" s="84"/>
      <c r="AE364" s="85"/>
      <c r="AF364" s="86"/>
      <c r="AG364" s="87"/>
      <c r="AH364" s="88"/>
    </row>
    <row r="365" spans="1:34" x14ac:dyDescent="0.25">
      <c r="A365" s="155" t="str">
        <f t="shared" si="10"/>
        <v/>
      </c>
      <c r="B365" s="155" t="str">
        <f t="shared" si="11"/>
        <v/>
      </c>
      <c r="C365" s="157"/>
      <c r="D365" s="150"/>
      <c r="E365" s="78"/>
      <c r="F365" s="133"/>
      <c r="G365" s="38"/>
      <c r="H365" s="39"/>
      <c r="I365" s="40"/>
      <c r="J365" s="41"/>
      <c r="K365" s="42"/>
      <c r="L365" s="43"/>
      <c r="M365" s="79"/>
      <c r="N365" s="80"/>
      <c r="O365" s="81"/>
      <c r="P365" s="82"/>
      <c r="Q365" s="83"/>
      <c r="R365" s="84"/>
      <c r="S365" s="79"/>
      <c r="T365" s="80"/>
      <c r="U365" s="81"/>
      <c r="V365" s="82"/>
      <c r="W365" s="83"/>
      <c r="X365" s="84"/>
      <c r="Y365" s="84"/>
      <c r="Z365" s="84"/>
      <c r="AA365" s="84"/>
      <c r="AB365" s="84"/>
      <c r="AC365" s="84"/>
      <c r="AD365" s="84"/>
      <c r="AE365" s="85"/>
      <c r="AF365" s="86"/>
      <c r="AG365" s="87"/>
      <c r="AH365" s="88"/>
    </row>
    <row r="366" spans="1:34" x14ac:dyDescent="0.25">
      <c r="A366" s="155" t="str">
        <f t="shared" si="10"/>
        <v/>
      </c>
      <c r="B366" s="155" t="str">
        <f t="shared" si="11"/>
        <v/>
      </c>
      <c r="C366" s="157"/>
      <c r="D366" s="150"/>
      <c r="E366" s="78"/>
      <c r="F366" s="133"/>
      <c r="G366" s="38"/>
      <c r="H366" s="39"/>
      <c r="I366" s="40"/>
      <c r="J366" s="41"/>
      <c r="K366" s="42"/>
      <c r="L366" s="43"/>
      <c r="M366" s="79"/>
      <c r="N366" s="80"/>
      <c r="O366" s="81"/>
      <c r="P366" s="82"/>
      <c r="Q366" s="83"/>
      <c r="R366" s="84"/>
      <c r="S366" s="79"/>
      <c r="T366" s="80"/>
      <c r="U366" s="81"/>
      <c r="V366" s="82"/>
      <c r="W366" s="83"/>
      <c r="X366" s="84"/>
      <c r="Y366" s="84"/>
      <c r="Z366" s="84"/>
      <c r="AA366" s="84"/>
      <c r="AB366" s="84"/>
      <c r="AC366" s="84"/>
      <c r="AD366" s="84"/>
      <c r="AE366" s="85"/>
      <c r="AF366" s="86"/>
      <c r="AG366" s="87"/>
      <c r="AH366" s="88"/>
    </row>
    <row r="367" spans="1:34" x14ac:dyDescent="0.25">
      <c r="A367" s="155" t="str">
        <f t="shared" si="10"/>
        <v/>
      </c>
      <c r="B367" s="155" t="str">
        <f t="shared" si="11"/>
        <v/>
      </c>
      <c r="C367" s="157"/>
      <c r="D367" s="150"/>
      <c r="E367" s="78"/>
      <c r="F367" s="133"/>
      <c r="G367" s="38"/>
      <c r="H367" s="39"/>
      <c r="I367" s="40"/>
      <c r="J367" s="41"/>
      <c r="K367" s="42"/>
      <c r="L367" s="43"/>
      <c r="M367" s="79"/>
      <c r="N367" s="80"/>
      <c r="O367" s="81"/>
      <c r="P367" s="82"/>
      <c r="Q367" s="83"/>
      <c r="R367" s="84"/>
      <c r="S367" s="79"/>
      <c r="T367" s="80"/>
      <c r="U367" s="81"/>
      <c r="V367" s="82"/>
      <c r="W367" s="83"/>
      <c r="X367" s="84"/>
      <c r="Y367" s="84"/>
      <c r="Z367" s="84"/>
      <c r="AA367" s="84"/>
      <c r="AB367" s="84"/>
      <c r="AC367" s="84"/>
      <c r="AD367" s="84"/>
      <c r="AE367" s="85"/>
      <c r="AF367" s="86"/>
      <c r="AG367" s="87"/>
      <c r="AH367" s="88"/>
    </row>
    <row r="368" spans="1:34" x14ac:dyDescent="0.25">
      <c r="A368" s="155" t="str">
        <f t="shared" si="10"/>
        <v/>
      </c>
      <c r="B368" s="155" t="str">
        <f t="shared" si="11"/>
        <v/>
      </c>
      <c r="C368" s="157"/>
      <c r="D368" s="150"/>
      <c r="E368" s="78"/>
      <c r="F368" s="133"/>
      <c r="G368" s="38"/>
      <c r="H368" s="39"/>
      <c r="I368" s="40"/>
      <c r="J368" s="41"/>
      <c r="K368" s="42"/>
      <c r="L368" s="43"/>
      <c r="M368" s="79"/>
      <c r="N368" s="80"/>
      <c r="O368" s="81"/>
      <c r="P368" s="82"/>
      <c r="Q368" s="83"/>
      <c r="R368" s="84"/>
      <c r="S368" s="79"/>
      <c r="T368" s="80"/>
      <c r="U368" s="81"/>
      <c r="V368" s="82"/>
      <c r="W368" s="83"/>
      <c r="X368" s="84"/>
      <c r="Y368" s="84"/>
      <c r="Z368" s="84"/>
      <c r="AA368" s="84"/>
      <c r="AB368" s="84"/>
      <c r="AC368" s="84"/>
      <c r="AD368" s="84"/>
      <c r="AE368" s="85"/>
      <c r="AF368" s="86"/>
      <c r="AG368" s="87"/>
      <c r="AH368" s="88"/>
    </row>
    <row r="369" spans="1:34" x14ac:dyDescent="0.25">
      <c r="A369" s="155" t="str">
        <f t="shared" si="10"/>
        <v/>
      </c>
      <c r="B369" s="155" t="str">
        <f t="shared" si="11"/>
        <v/>
      </c>
      <c r="C369" s="157"/>
      <c r="D369" s="150"/>
      <c r="E369" s="78"/>
      <c r="F369" s="133"/>
      <c r="G369" s="38"/>
      <c r="H369" s="39"/>
      <c r="I369" s="40"/>
      <c r="J369" s="41"/>
      <c r="K369" s="42"/>
      <c r="L369" s="43"/>
      <c r="M369" s="79"/>
      <c r="N369" s="80"/>
      <c r="O369" s="81"/>
      <c r="P369" s="82"/>
      <c r="Q369" s="83"/>
      <c r="R369" s="84"/>
      <c r="S369" s="79"/>
      <c r="T369" s="80"/>
      <c r="U369" s="81"/>
      <c r="V369" s="82"/>
      <c r="W369" s="83"/>
      <c r="X369" s="84"/>
      <c r="Y369" s="84"/>
      <c r="Z369" s="84"/>
      <c r="AA369" s="84"/>
      <c r="AB369" s="84"/>
      <c r="AC369" s="84"/>
      <c r="AD369" s="84"/>
      <c r="AE369" s="85"/>
      <c r="AF369" s="86"/>
      <c r="AG369" s="87"/>
      <c r="AH369" s="88"/>
    </row>
    <row r="370" spans="1:34" x14ac:dyDescent="0.25">
      <c r="A370" s="155" t="str">
        <f t="shared" si="10"/>
        <v/>
      </c>
      <c r="B370" s="155" t="str">
        <f t="shared" si="11"/>
        <v/>
      </c>
      <c r="C370" s="157"/>
      <c r="D370" s="150"/>
      <c r="E370" s="78"/>
      <c r="F370" s="133"/>
      <c r="G370" s="38"/>
      <c r="H370" s="39"/>
      <c r="I370" s="40"/>
      <c r="J370" s="41"/>
      <c r="K370" s="42"/>
      <c r="L370" s="43"/>
      <c r="M370" s="79"/>
      <c r="N370" s="80"/>
      <c r="O370" s="81"/>
      <c r="P370" s="82"/>
      <c r="Q370" s="83"/>
      <c r="R370" s="84"/>
      <c r="S370" s="79"/>
      <c r="T370" s="80"/>
      <c r="U370" s="81"/>
      <c r="V370" s="82"/>
      <c r="W370" s="83"/>
      <c r="X370" s="84"/>
      <c r="Y370" s="84"/>
      <c r="Z370" s="84"/>
      <c r="AA370" s="84"/>
      <c r="AB370" s="84"/>
      <c r="AC370" s="84"/>
      <c r="AD370" s="84"/>
      <c r="AE370" s="85"/>
      <c r="AF370" s="86"/>
      <c r="AG370" s="87"/>
      <c r="AH370" s="88"/>
    </row>
    <row r="371" spans="1:34" x14ac:dyDescent="0.25">
      <c r="A371" s="155" t="str">
        <f t="shared" si="10"/>
        <v/>
      </c>
      <c r="B371" s="155" t="str">
        <f t="shared" si="11"/>
        <v/>
      </c>
      <c r="C371" s="157"/>
      <c r="D371" s="150"/>
      <c r="E371" s="78"/>
      <c r="F371" s="133"/>
      <c r="G371" s="38"/>
      <c r="H371" s="39"/>
      <c r="I371" s="40"/>
      <c r="J371" s="41"/>
      <c r="K371" s="42"/>
      <c r="L371" s="43"/>
      <c r="M371" s="79"/>
      <c r="N371" s="80"/>
      <c r="O371" s="81"/>
      <c r="P371" s="82"/>
      <c r="Q371" s="83"/>
      <c r="R371" s="84"/>
      <c r="S371" s="79"/>
      <c r="T371" s="80"/>
      <c r="U371" s="81"/>
      <c r="V371" s="82"/>
      <c r="W371" s="83"/>
      <c r="X371" s="84"/>
      <c r="Y371" s="84"/>
      <c r="Z371" s="84"/>
      <c r="AA371" s="84"/>
      <c r="AB371" s="84"/>
      <c r="AC371" s="84"/>
      <c r="AD371" s="84"/>
      <c r="AE371" s="85"/>
      <c r="AF371" s="86"/>
      <c r="AG371" s="87"/>
      <c r="AH371" s="88"/>
    </row>
    <row r="372" spans="1:34" x14ac:dyDescent="0.25">
      <c r="A372" s="155" t="str">
        <f t="shared" si="10"/>
        <v/>
      </c>
      <c r="B372" s="155" t="str">
        <f t="shared" si="11"/>
        <v/>
      </c>
      <c r="C372" s="157"/>
      <c r="D372" s="150"/>
      <c r="E372" s="78"/>
      <c r="F372" s="133"/>
      <c r="G372" s="38"/>
      <c r="H372" s="39"/>
      <c r="I372" s="40"/>
      <c r="J372" s="41"/>
      <c r="K372" s="42"/>
      <c r="L372" s="43"/>
      <c r="M372" s="79"/>
      <c r="N372" s="80"/>
      <c r="O372" s="81"/>
      <c r="P372" s="82"/>
      <c r="Q372" s="83"/>
      <c r="R372" s="84"/>
      <c r="S372" s="79"/>
      <c r="T372" s="80"/>
      <c r="U372" s="81"/>
      <c r="V372" s="82"/>
      <c r="W372" s="83"/>
      <c r="X372" s="84"/>
      <c r="Y372" s="84"/>
      <c r="Z372" s="84"/>
      <c r="AA372" s="84"/>
      <c r="AB372" s="84"/>
      <c r="AC372" s="84"/>
      <c r="AD372" s="84"/>
      <c r="AE372" s="85"/>
      <c r="AF372" s="86"/>
      <c r="AG372" s="87"/>
      <c r="AH372" s="88"/>
    </row>
    <row r="373" spans="1:34" x14ac:dyDescent="0.25">
      <c r="A373" s="155" t="str">
        <f t="shared" si="10"/>
        <v/>
      </c>
      <c r="B373" s="155" t="str">
        <f t="shared" si="11"/>
        <v/>
      </c>
      <c r="C373" s="157"/>
      <c r="D373" s="150"/>
      <c r="E373" s="78"/>
      <c r="F373" s="133"/>
      <c r="G373" s="38"/>
      <c r="H373" s="39"/>
      <c r="I373" s="40"/>
      <c r="J373" s="41"/>
      <c r="K373" s="42"/>
      <c r="L373" s="43"/>
      <c r="M373" s="79"/>
      <c r="N373" s="80"/>
      <c r="O373" s="81"/>
      <c r="P373" s="82"/>
      <c r="Q373" s="83"/>
      <c r="R373" s="84"/>
      <c r="S373" s="79"/>
      <c r="T373" s="80"/>
      <c r="U373" s="81"/>
      <c r="V373" s="82"/>
      <c r="W373" s="83"/>
      <c r="X373" s="84"/>
      <c r="Y373" s="84"/>
      <c r="Z373" s="84"/>
      <c r="AA373" s="84"/>
      <c r="AB373" s="84"/>
      <c r="AC373" s="84"/>
      <c r="AD373" s="84"/>
      <c r="AE373" s="85"/>
      <c r="AF373" s="86"/>
      <c r="AG373" s="87"/>
      <c r="AH373" s="88"/>
    </row>
    <row r="374" spans="1:34" x14ac:dyDescent="0.25">
      <c r="A374" s="155" t="str">
        <f t="shared" si="10"/>
        <v/>
      </c>
      <c r="B374" s="155" t="str">
        <f t="shared" si="11"/>
        <v/>
      </c>
      <c r="C374" s="157"/>
      <c r="D374" s="150"/>
      <c r="E374" s="78"/>
      <c r="F374" s="133"/>
      <c r="G374" s="38"/>
      <c r="H374" s="39"/>
      <c r="I374" s="40"/>
      <c r="J374" s="41"/>
      <c r="K374" s="42"/>
      <c r="L374" s="43"/>
      <c r="M374" s="79"/>
      <c r="N374" s="80"/>
      <c r="O374" s="81"/>
      <c r="P374" s="82"/>
      <c r="Q374" s="83"/>
      <c r="R374" s="84"/>
      <c r="S374" s="79"/>
      <c r="T374" s="80"/>
      <c r="U374" s="81"/>
      <c r="V374" s="82"/>
      <c r="W374" s="83"/>
      <c r="X374" s="84"/>
      <c r="Y374" s="84"/>
      <c r="Z374" s="84"/>
      <c r="AA374" s="84"/>
      <c r="AB374" s="84"/>
      <c r="AC374" s="84"/>
      <c r="AD374" s="84"/>
      <c r="AE374" s="85"/>
      <c r="AF374" s="86"/>
      <c r="AG374" s="87"/>
      <c r="AH374" s="88"/>
    </row>
    <row r="375" spans="1:34" x14ac:dyDescent="0.25">
      <c r="A375" s="155" t="str">
        <f t="shared" si="10"/>
        <v/>
      </c>
      <c r="B375" s="155" t="str">
        <f t="shared" si="11"/>
        <v/>
      </c>
      <c r="C375" s="157"/>
      <c r="D375" s="150"/>
      <c r="E375" s="78"/>
      <c r="F375" s="133"/>
      <c r="G375" s="38"/>
      <c r="H375" s="39"/>
      <c r="I375" s="40"/>
      <c r="J375" s="41"/>
      <c r="K375" s="42"/>
      <c r="L375" s="43"/>
      <c r="M375" s="79"/>
      <c r="N375" s="80"/>
      <c r="O375" s="81"/>
      <c r="P375" s="82"/>
      <c r="Q375" s="83"/>
      <c r="R375" s="84"/>
      <c r="S375" s="79"/>
      <c r="T375" s="80"/>
      <c r="U375" s="81"/>
      <c r="V375" s="82"/>
      <c r="W375" s="83"/>
      <c r="X375" s="84"/>
      <c r="Y375" s="84"/>
      <c r="Z375" s="84"/>
      <c r="AA375" s="84"/>
      <c r="AB375" s="84"/>
      <c r="AC375" s="84"/>
      <c r="AD375" s="84"/>
      <c r="AE375" s="85"/>
      <c r="AF375" s="86"/>
      <c r="AG375" s="87"/>
      <c r="AH375" s="88"/>
    </row>
    <row r="376" spans="1:34" x14ac:dyDescent="0.25">
      <c r="A376" s="155" t="str">
        <f t="shared" si="10"/>
        <v/>
      </c>
      <c r="B376" s="155" t="str">
        <f t="shared" si="11"/>
        <v/>
      </c>
      <c r="C376" s="157"/>
      <c r="D376" s="150"/>
      <c r="E376" s="78"/>
      <c r="F376" s="133"/>
      <c r="G376" s="38"/>
      <c r="H376" s="39"/>
      <c r="I376" s="40"/>
      <c r="J376" s="41"/>
      <c r="K376" s="42"/>
      <c r="L376" s="43"/>
      <c r="M376" s="79"/>
      <c r="N376" s="80"/>
      <c r="O376" s="81"/>
      <c r="P376" s="82"/>
      <c r="Q376" s="83"/>
      <c r="R376" s="84"/>
      <c r="S376" s="79"/>
      <c r="T376" s="80"/>
      <c r="U376" s="81"/>
      <c r="V376" s="82"/>
      <c r="W376" s="83"/>
      <c r="X376" s="84"/>
      <c r="Y376" s="84"/>
      <c r="Z376" s="84"/>
      <c r="AA376" s="84"/>
      <c r="AB376" s="84"/>
      <c r="AC376" s="84"/>
      <c r="AD376" s="84"/>
      <c r="AE376" s="85"/>
      <c r="AF376" s="86"/>
      <c r="AG376" s="87"/>
      <c r="AH376" s="88"/>
    </row>
    <row r="377" spans="1:34" x14ac:dyDescent="0.25">
      <c r="A377" s="155" t="str">
        <f t="shared" si="10"/>
        <v/>
      </c>
      <c r="B377" s="155" t="str">
        <f t="shared" si="11"/>
        <v/>
      </c>
      <c r="C377" s="157"/>
      <c r="D377" s="150"/>
      <c r="E377" s="78"/>
      <c r="F377" s="133"/>
      <c r="G377" s="38"/>
      <c r="H377" s="39"/>
      <c r="I377" s="40"/>
      <c r="J377" s="41"/>
      <c r="K377" s="42"/>
      <c r="L377" s="43"/>
      <c r="M377" s="79"/>
      <c r="N377" s="80"/>
      <c r="O377" s="81"/>
      <c r="P377" s="82"/>
      <c r="Q377" s="83"/>
      <c r="R377" s="84"/>
      <c r="S377" s="79"/>
      <c r="T377" s="80"/>
      <c r="U377" s="81"/>
      <c r="V377" s="82"/>
      <c r="W377" s="83"/>
      <c r="X377" s="84"/>
      <c r="Y377" s="84"/>
      <c r="Z377" s="84"/>
      <c r="AA377" s="84"/>
      <c r="AB377" s="84"/>
      <c r="AC377" s="84"/>
      <c r="AD377" s="84"/>
      <c r="AE377" s="85"/>
      <c r="AF377" s="86"/>
      <c r="AG377" s="87"/>
      <c r="AH377" s="88"/>
    </row>
    <row r="378" spans="1:34" x14ac:dyDescent="0.25">
      <c r="A378" s="155" t="str">
        <f t="shared" si="10"/>
        <v/>
      </c>
      <c r="B378" s="155" t="str">
        <f t="shared" si="11"/>
        <v/>
      </c>
      <c r="C378" s="157"/>
      <c r="D378" s="150"/>
      <c r="E378" s="78"/>
      <c r="F378" s="133"/>
      <c r="G378" s="38"/>
      <c r="H378" s="39"/>
      <c r="I378" s="40"/>
      <c r="J378" s="41"/>
      <c r="K378" s="42"/>
      <c r="L378" s="43"/>
      <c r="M378" s="79"/>
      <c r="N378" s="80"/>
      <c r="O378" s="81"/>
      <c r="P378" s="82"/>
      <c r="Q378" s="83"/>
      <c r="R378" s="84"/>
      <c r="S378" s="79"/>
      <c r="T378" s="80"/>
      <c r="U378" s="81"/>
      <c r="V378" s="82"/>
      <c r="W378" s="83"/>
      <c r="X378" s="84"/>
      <c r="Y378" s="84"/>
      <c r="Z378" s="84"/>
      <c r="AA378" s="84"/>
      <c r="AB378" s="84"/>
      <c r="AC378" s="84"/>
      <c r="AD378" s="84"/>
      <c r="AE378" s="85"/>
      <c r="AF378" s="86"/>
      <c r="AG378" s="87"/>
      <c r="AH378" s="88"/>
    </row>
    <row r="379" spans="1:34" x14ac:dyDescent="0.25">
      <c r="A379" s="155" t="str">
        <f t="shared" si="10"/>
        <v/>
      </c>
      <c r="B379" s="155" t="str">
        <f t="shared" si="11"/>
        <v/>
      </c>
      <c r="C379" s="157"/>
      <c r="D379" s="150"/>
      <c r="E379" s="78"/>
      <c r="F379" s="133"/>
      <c r="G379" s="38"/>
      <c r="H379" s="39"/>
      <c r="I379" s="40"/>
      <c r="J379" s="41"/>
      <c r="K379" s="42"/>
      <c r="L379" s="43"/>
      <c r="M379" s="79"/>
      <c r="N379" s="80"/>
      <c r="O379" s="81"/>
      <c r="P379" s="82"/>
      <c r="Q379" s="83"/>
      <c r="R379" s="84"/>
      <c r="S379" s="79"/>
      <c r="T379" s="80"/>
      <c r="U379" s="81"/>
      <c r="V379" s="82"/>
      <c r="W379" s="83"/>
      <c r="X379" s="84"/>
      <c r="Y379" s="84"/>
      <c r="Z379" s="84"/>
      <c r="AA379" s="84"/>
      <c r="AB379" s="84"/>
      <c r="AC379" s="84"/>
      <c r="AD379" s="84"/>
      <c r="AE379" s="85"/>
      <c r="AF379" s="86"/>
      <c r="AG379" s="87"/>
      <c r="AH379" s="88"/>
    </row>
    <row r="380" spans="1:34" x14ac:dyDescent="0.25">
      <c r="A380" s="155" t="str">
        <f t="shared" si="10"/>
        <v/>
      </c>
      <c r="B380" s="155" t="str">
        <f t="shared" si="11"/>
        <v/>
      </c>
      <c r="C380" s="157"/>
      <c r="D380" s="150"/>
      <c r="E380" s="78"/>
      <c r="F380" s="133"/>
      <c r="G380" s="38"/>
      <c r="H380" s="39"/>
      <c r="I380" s="40"/>
      <c r="J380" s="41"/>
      <c r="K380" s="42"/>
      <c r="L380" s="43"/>
      <c r="M380" s="79"/>
      <c r="N380" s="80"/>
      <c r="O380" s="81"/>
      <c r="P380" s="82"/>
      <c r="Q380" s="83"/>
      <c r="R380" s="84"/>
      <c r="S380" s="79"/>
      <c r="T380" s="80"/>
      <c r="U380" s="81"/>
      <c r="V380" s="82"/>
      <c r="W380" s="83"/>
      <c r="X380" s="84"/>
      <c r="Y380" s="84"/>
      <c r="Z380" s="84"/>
      <c r="AA380" s="84"/>
      <c r="AB380" s="84"/>
      <c r="AC380" s="84"/>
      <c r="AD380" s="84"/>
      <c r="AE380" s="85"/>
      <c r="AF380" s="86"/>
      <c r="AG380" s="87"/>
      <c r="AH380" s="88"/>
    </row>
    <row r="381" spans="1:34" x14ac:dyDescent="0.25">
      <c r="A381" s="155" t="str">
        <f t="shared" si="10"/>
        <v/>
      </c>
      <c r="B381" s="155" t="str">
        <f t="shared" si="11"/>
        <v/>
      </c>
      <c r="C381" s="157"/>
      <c r="D381" s="150"/>
      <c r="E381" s="78"/>
      <c r="F381" s="133"/>
      <c r="G381" s="38"/>
      <c r="H381" s="39"/>
      <c r="I381" s="40"/>
      <c r="J381" s="41"/>
      <c r="K381" s="42"/>
      <c r="L381" s="43"/>
      <c r="M381" s="79"/>
      <c r="N381" s="80"/>
      <c r="O381" s="81"/>
      <c r="P381" s="82"/>
      <c r="Q381" s="83"/>
      <c r="R381" s="84"/>
      <c r="S381" s="79"/>
      <c r="T381" s="80"/>
      <c r="U381" s="81"/>
      <c r="V381" s="82"/>
      <c r="W381" s="83"/>
      <c r="X381" s="84"/>
      <c r="Y381" s="84"/>
      <c r="Z381" s="84"/>
      <c r="AA381" s="84"/>
      <c r="AB381" s="84"/>
      <c r="AC381" s="84"/>
      <c r="AD381" s="84"/>
      <c r="AE381" s="85"/>
      <c r="AF381" s="86"/>
      <c r="AG381" s="87"/>
      <c r="AH381" s="88"/>
    </row>
    <row r="382" spans="1:34" x14ac:dyDescent="0.25">
      <c r="A382" s="155" t="str">
        <f t="shared" si="10"/>
        <v/>
      </c>
      <c r="B382" s="155" t="str">
        <f t="shared" si="11"/>
        <v/>
      </c>
      <c r="C382" s="157"/>
      <c r="D382" s="150"/>
      <c r="E382" s="78"/>
      <c r="F382" s="133"/>
      <c r="G382" s="38"/>
      <c r="H382" s="39"/>
      <c r="I382" s="40"/>
      <c r="J382" s="41"/>
      <c r="K382" s="42"/>
      <c r="L382" s="43"/>
      <c r="M382" s="79"/>
      <c r="N382" s="80"/>
      <c r="O382" s="81"/>
      <c r="P382" s="82"/>
      <c r="Q382" s="83"/>
      <c r="R382" s="84"/>
      <c r="S382" s="79"/>
      <c r="T382" s="80"/>
      <c r="U382" s="81"/>
      <c r="V382" s="82"/>
      <c r="W382" s="83"/>
      <c r="X382" s="84"/>
      <c r="Y382" s="84"/>
      <c r="Z382" s="84"/>
      <c r="AA382" s="84"/>
      <c r="AB382" s="84"/>
      <c r="AC382" s="84"/>
      <c r="AD382" s="84"/>
      <c r="AE382" s="85"/>
      <c r="AF382" s="86"/>
      <c r="AG382" s="87"/>
      <c r="AH382" s="88"/>
    </row>
    <row r="383" spans="1:34" x14ac:dyDescent="0.25">
      <c r="A383" s="155" t="str">
        <f t="shared" si="10"/>
        <v/>
      </c>
      <c r="B383" s="155" t="str">
        <f t="shared" si="11"/>
        <v/>
      </c>
      <c r="C383" s="157"/>
      <c r="D383" s="150"/>
      <c r="E383" s="78"/>
      <c r="F383" s="133"/>
      <c r="G383" s="38"/>
      <c r="H383" s="39"/>
      <c r="I383" s="40"/>
      <c r="J383" s="41"/>
      <c r="K383" s="42"/>
      <c r="L383" s="43"/>
      <c r="M383" s="79"/>
      <c r="N383" s="80"/>
      <c r="O383" s="81"/>
      <c r="P383" s="82"/>
      <c r="Q383" s="83"/>
      <c r="R383" s="84"/>
      <c r="S383" s="79"/>
      <c r="T383" s="80"/>
      <c r="U383" s="81"/>
      <c r="V383" s="82"/>
      <c r="W383" s="83"/>
      <c r="X383" s="84"/>
      <c r="Y383" s="84"/>
      <c r="Z383" s="84"/>
      <c r="AA383" s="84"/>
      <c r="AB383" s="84"/>
      <c r="AC383" s="84"/>
      <c r="AD383" s="84"/>
      <c r="AE383" s="85"/>
      <c r="AF383" s="86"/>
      <c r="AG383" s="87"/>
      <c r="AH383" s="88"/>
    </row>
    <row r="384" spans="1:34" x14ac:dyDescent="0.25">
      <c r="A384" s="155" t="str">
        <f t="shared" si="10"/>
        <v/>
      </c>
      <c r="B384" s="155" t="str">
        <f t="shared" si="11"/>
        <v/>
      </c>
      <c r="C384" s="157"/>
      <c r="D384" s="150"/>
      <c r="E384" s="78"/>
      <c r="F384" s="133"/>
      <c r="G384" s="38"/>
      <c r="H384" s="39"/>
      <c r="I384" s="40"/>
      <c r="J384" s="41"/>
      <c r="K384" s="42"/>
      <c r="L384" s="43"/>
      <c r="M384" s="79"/>
      <c r="N384" s="80"/>
      <c r="O384" s="81"/>
      <c r="P384" s="82"/>
      <c r="Q384" s="83"/>
      <c r="R384" s="84"/>
      <c r="S384" s="79"/>
      <c r="T384" s="80"/>
      <c r="U384" s="81"/>
      <c r="V384" s="82"/>
      <c r="W384" s="83"/>
      <c r="X384" s="84"/>
      <c r="Y384" s="84"/>
      <c r="Z384" s="84"/>
      <c r="AA384" s="84"/>
      <c r="AB384" s="84"/>
      <c r="AC384" s="84"/>
      <c r="AD384" s="84"/>
      <c r="AE384" s="85"/>
      <c r="AF384" s="86"/>
      <c r="AG384" s="87"/>
      <c r="AH384" s="88"/>
    </row>
    <row r="385" spans="1:34" x14ac:dyDescent="0.25">
      <c r="A385" s="155" t="str">
        <f t="shared" si="10"/>
        <v/>
      </c>
      <c r="B385" s="155" t="str">
        <f t="shared" si="11"/>
        <v/>
      </c>
      <c r="C385" s="157"/>
      <c r="D385" s="150"/>
      <c r="E385" s="78"/>
      <c r="F385" s="133"/>
      <c r="G385" s="38"/>
      <c r="H385" s="39"/>
      <c r="I385" s="40"/>
      <c r="J385" s="41"/>
      <c r="K385" s="42"/>
      <c r="L385" s="43"/>
      <c r="M385" s="79"/>
      <c r="N385" s="80"/>
      <c r="O385" s="81"/>
      <c r="P385" s="82"/>
      <c r="Q385" s="83"/>
      <c r="R385" s="84"/>
      <c r="S385" s="79"/>
      <c r="T385" s="80"/>
      <c r="U385" s="81"/>
      <c r="V385" s="82"/>
      <c r="W385" s="83"/>
      <c r="X385" s="84"/>
      <c r="Y385" s="84"/>
      <c r="Z385" s="84"/>
      <c r="AA385" s="84"/>
      <c r="AB385" s="84"/>
      <c r="AC385" s="84"/>
      <c r="AD385" s="84"/>
      <c r="AE385" s="85"/>
      <c r="AF385" s="86"/>
      <c r="AG385" s="87"/>
      <c r="AH385" s="88"/>
    </row>
    <row r="386" spans="1:34" x14ac:dyDescent="0.25">
      <c r="A386" s="155" t="str">
        <f t="shared" si="10"/>
        <v/>
      </c>
      <c r="B386" s="155" t="str">
        <f t="shared" si="11"/>
        <v/>
      </c>
      <c r="C386" s="157"/>
      <c r="D386" s="150"/>
      <c r="E386" s="78"/>
      <c r="F386" s="133"/>
      <c r="G386" s="38"/>
      <c r="H386" s="39"/>
      <c r="I386" s="40"/>
      <c r="J386" s="41"/>
      <c r="K386" s="42"/>
      <c r="L386" s="43"/>
      <c r="M386" s="79"/>
      <c r="N386" s="80"/>
      <c r="O386" s="81"/>
      <c r="P386" s="82"/>
      <c r="Q386" s="83"/>
      <c r="R386" s="84"/>
      <c r="S386" s="79"/>
      <c r="T386" s="80"/>
      <c r="U386" s="81"/>
      <c r="V386" s="82"/>
      <c r="W386" s="83"/>
      <c r="X386" s="84"/>
      <c r="Y386" s="84"/>
      <c r="Z386" s="84"/>
      <c r="AA386" s="84"/>
      <c r="AB386" s="84"/>
      <c r="AC386" s="84"/>
      <c r="AD386" s="84"/>
      <c r="AE386" s="85"/>
      <c r="AF386" s="86"/>
      <c r="AG386" s="87"/>
      <c r="AH386" s="88"/>
    </row>
    <row r="387" spans="1:34" x14ac:dyDescent="0.25">
      <c r="A387" s="155" t="str">
        <f t="shared" si="10"/>
        <v/>
      </c>
      <c r="B387" s="155" t="str">
        <f t="shared" si="11"/>
        <v/>
      </c>
      <c r="C387" s="157"/>
      <c r="D387" s="150"/>
      <c r="E387" s="78"/>
      <c r="F387" s="133"/>
      <c r="G387" s="38"/>
      <c r="H387" s="39"/>
      <c r="I387" s="40"/>
      <c r="J387" s="41"/>
      <c r="K387" s="42"/>
      <c r="L387" s="43"/>
      <c r="M387" s="79"/>
      <c r="N387" s="80"/>
      <c r="O387" s="81"/>
      <c r="P387" s="82"/>
      <c r="Q387" s="83"/>
      <c r="R387" s="84"/>
      <c r="S387" s="79"/>
      <c r="T387" s="80"/>
      <c r="U387" s="81"/>
      <c r="V387" s="82"/>
      <c r="W387" s="83"/>
      <c r="X387" s="84"/>
      <c r="Y387" s="84"/>
      <c r="Z387" s="84"/>
      <c r="AA387" s="84"/>
      <c r="AB387" s="84"/>
      <c r="AC387" s="84"/>
      <c r="AD387" s="84"/>
      <c r="AE387" s="85"/>
      <c r="AF387" s="86"/>
      <c r="AG387" s="87"/>
      <c r="AH387" s="88"/>
    </row>
    <row r="388" spans="1:34" x14ac:dyDescent="0.25">
      <c r="A388" s="155" t="str">
        <f t="shared" si="10"/>
        <v/>
      </c>
      <c r="B388" s="155" t="str">
        <f t="shared" si="11"/>
        <v/>
      </c>
      <c r="C388" s="157"/>
      <c r="D388" s="150"/>
      <c r="E388" s="78"/>
      <c r="F388" s="133"/>
      <c r="G388" s="38"/>
      <c r="H388" s="39"/>
      <c r="I388" s="40"/>
      <c r="J388" s="41"/>
      <c r="K388" s="42"/>
      <c r="L388" s="43"/>
      <c r="M388" s="79"/>
      <c r="N388" s="80"/>
      <c r="O388" s="81"/>
      <c r="P388" s="82"/>
      <c r="Q388" s="83"/>
      <c r="R388" s="84"/>
      <c r="S388" s="79"/>
      <c r="T388" s="80"/>
      <c r="U388" s="81"/>
      <c r="V388" s="82"/>
      <c r="W388" s="83"/>
      <c r="X388" s="84"/>
      <c r="Y388" s="84"/>
      <c r="Z388" s="84"/>
      <c r="AA388" s="84"/>
      <c r="AB388" s="84"/>
      <c r="AC388" s="84"/>
      <c r="AD388" s="84"/>
      <c r="AE388" s="85"/>
      <c r="AF388" s="86"/>
      <c r="AG388" s="87"/>
      <c r="AH388" s="88"/>
    </row>
    <row r="389" spans="1:34" x14ac:dyDescent="0.25">
      <c r="A389" s="155" t="str">
        <f t="shared" si="10"/>
        <v/>
      </c>
      <c r="B389" s="155" t="str">
        <f t="shared" si="11"/>
        <v/>
      </c>
      <c r="C389" s="157"/>
      <c r="D389" s="150"/>
      <c r="E389" s="78"/>
      <c r="F389" s="133"/>
      <c r="G389" s="38"/>
      <c r="H389" s="39"/>
      <c r="I389" s="40"/>
      <c r="J389" s="41"/>
      <c r="K389" s="42"/>
      <c r="L389" s="43"/>
      <c r="M389" s="79"/>
      <c r="N389" s="80"/>
      <c r="O389" s="81"/>
      <c r="P389" s="82"/>
      <c r="Q389" s="83"/>
      <c r="R389" s="84"/>
      <c r="S389" s="79"/>
      <c r="T389" s="80"/>
      <c r="U389" s="81"/>
      <c r="V389" s="82"/>
      <c r="W389" s="83"/>
      <c r="X389" s="84"/>
      <c r="Y389" s="84"/>
      <c r="Z389" s="84"/>
      <c r="AA389" s="84"/>
      <c r="AB389" s="84"/>
      <c r="AC389" s="84"/>
      <c r="AD389" s="84"/>
      <c r="AE389" s="85"/>
      <c r="AF389" s="86"/>
      <c r="AG389" s="87"/>
      <c r="AH389" s="88"/>
    </row>
    <row r="390" spans="1:34" x14ac:dyDescent="0.25">
      <c r="A390" s="155" t="str">
        <f t="shared" ref="A390:A453" si="12">IF(COUNTIF(S390:X390,"&gt;0")=0,"",COUNTIF(S390:X390,"&gt;0"))</f>
        <v/>
      </c>
      <c r="B390" s="155" t="str">
        <f t="shared" ref="B390:B453" si="13">IF(A390="","",COUNTA(G390:L390)-A390)</f>
        <v/>
      </c>
      <c r="C390" s="157"/>
      <c r="D390" s="150"/>
      <c r="E390" s="78"/>
      <c r="F390" s="133"/>
      <c r="G390" s="38"/>
      <c r="H390" s="39"/>
      <c r="I390" s="40"/>
      <c r="J390" s="41"/>
      <c r="K390" s="42"/>
      <c r="L390" s="43"/>
      <c r="M390" s="79"/>
      <c r="N390" s="80"/>
      <c r="O390" s="81"/>
      <c r="P390" s="82"/>
      <c r="Q390" s="83"/>
      <c r="R390" s="84"/>
      <c r="S390" s="79"/>
      <c r="T390" s="80"/>
      <c r="U390" s="81"/>
      <c r="V390" s="82"/>
      <c r="W390" s="83"/>
      <c r="X390" s="84"/>
      <c r="Y390" s="84"/>
      <c r="Z390" s="84"/>
      <c r="AA390" s="84"/>
      <c r="AB390" s="84"/>
      <c r="AC390" s="84"/>
      <c r="AD390" s="84"/>
      <c r="AE390" s="85"/>
      <c r="AF390" s="86"/>
      <c r="AG390" s="87"/>
      <c r="AH390" s="88"/>
    </row>
    <row r="391" spans="1:34" x14ac:dyDescent="0.25">
      <c r="A391" s="155" t="str">
        <f t="shared" si="12"/>
        <v/>
      </c>
      <c r="B391" s="155" t="str">
        <f t="shared" si="13"/>
        <v/>
      </c>
      <c r="C391" s="157"/>
      <c r="D391" s="150"/>
      <c r="E391" s="78"/>
      <c r="F391" s="133"/>
      <c r="G391" s="38"/>
      <c r="H391" s="39"/>
      <c r="I391" s="40"/>
      <c r="J391" s="41"/>
      <c r="K391" s="42"/>
      <c r="L391" s="43"/>
      <c r="M391" s="79"/>
      <c r="N391" s="80"/>
      <c r="O391" s="81"/>
      <c r="P391" s="82"/>
      <c r="Q391" s="83"/>
      <c r="R391" s="84"/>
      <c r="S391" s="79"/>
      <c r="T391" s="80"/>
      <c r="U391" s="81"/>
      <c r="V391" s="82"/>
      <c r="W391" s="83"/>
      <c r="X391" s="84"/>
      <c r="Y391" s="84"/>
      <c r="Z391" s="84"/>
      <c r="AA391" s="84"/>
      <c r="AB391" s="84"/>
      <c r="AC391" s="84"/>
      <c r="AD391" s="84"/>
      <c r="AE391" s="85"/>
      <c r="AF391" s="86"/>
      <c r="AG391" s="87"/>
      <c r="AH391" s="88"/>
    </row>
    <row r="392" spans="1:34" x14ac:dyDescent="0.25">
      <c r="A392" s="155" t="str">
        <f t="shared" si="12"/>
        <v/>
      </c>
      <c r="B392" s="155" t="str">
        <f t="shared" si="13"/>
        <v/>
      </c>
      <c r="C392" s="157"/>
      <c r="D392" s="150"/>
      <c r="E392" s="78"/>
      <c r="F392" s="133"/>
      <c r="G392" s="38"/>
      <c r="H392" s="39"/>
      <c r="I392" s="40"/>
      <c r="J392" s="41"/>
      <c r="K392" s="42"/>
      <c r="L392" s="43"/>
      <c r="M392" s="79"/>
      <c r="N392" s="80"/>
      <c r="O392" s="81"/>
      <c r="P392" s="82"/>
      <c r="Q392" s="83"/>
      <c r="R392" s="84"/>
      <c r="S392" s="79"/>
      <c r="T392" s="80"/>
      <c r="U392" s="81"/>
      <c r="V392" s="82"/>
      <c r="W392" s="83"/>
      <c r="X392" s="84"/>
      <c r="Y392" s="84"/>
      <c r="Z392" s="84"/>
      <c r="AA392" s="84"/>
      <c r="AB392" s="84"/>
      <c r="AC392" s="84"/>
      <c r="AD392" s="84"/>
      <c r="AE392" s="85"/>
      <c r="AF392" s="86"/>
      <c r="AG392" s="87"/>
      <c r="AH392" s="88"/>
    </row>
    <row r="393" spans="1:34" x14ac:dyDescent="0.25">
      <c r="A393" s="155" t="str">
        <f t="shared" si="12"/>
        <v/>
      </c>
      <c r="B393" s="155" t="str">
        <f t="shared" si="13"/>
        <v/>
      </c>
      <c r="C393" s="157"/>
      <c r="D393" s="150"/>
      <c r="E393" s="78"/>
      <c r="F393" s="133"/>
      <c r="G393" s="38"/>
      <c r="H393" s="39"/>
      <c r="I393" s="40"/>
      <c r="J393" s="41"/>
      <c r="K393" s="42"/>
      <c r="L393" s="43"/>
      <c r="M393" s="79"/>
      <c r="N393" s="80"/>
      <c r="O393" s="81"/>
      <c r="P393" s="82"/>
      <c r="Q393" s="83"/>
      <c r="R393" s="84"/>
      <c r="S393" s="79"/>
      <c r="T393" s="80"/>
      <c r="U393" s="81"/>
      <c r="V393" s="82"/>
      <c r="W393" s="83"/>
      <c r="X393" s="84"/>
      <c r="Y393" s="84"/>
      <c r="Z393" s="84"/>
      <c r="AA393" s="84"/>
      <c r="AB393" s="84"/>
      <c r="AC393" s="84"/>
      <c r="AD393" s="84"/>
      <c r="AE393" s="85"/>
      <c r="AF393" s="86"/>
      <c r="AG393" s="87"/>
      <c r="AH393" s="88"/>
    </row>
    <row r="394" spans="1:34" x14ac:dyDescent="0.25">
      <c r="A394" s="155" t="str">
        <f t="shared" si="12"/>
        <v/>
      </c>
      <c r="B394" s="155" t="str">
        <f t="shared" si="13"/>
        <v/>
      </c>
      <c r="C394" s="157"/>
      <c r="D394" s="150"/>
      <c r="E394" s="78"/>
      <c r="F394" s="133"/>
      <c r="G394" s="38"/>
      <c r="H394" s="39"/>
      <c r="I394" s="40"/>
      <c r="J394" s="41"/>
      <c r="K394" s="42"/>
      <c r="L394" s="43"/>
      <c r="M394" s="79"/>
      <c r="N394" s="80"/>
      <c r="O394" s="81"/>
      <c r="P394" s="82"/>
      <c r="Q394" s="83"/>
      <c r="R394" s="84"/>
      <c r="S394" s="79"/>
      <c r="T394" s="80"/>
      <c r="U394" s="81"/>
      <c r="V394" s="82"/>
      <c r="W394" s="83"/>
      <c r="X394" s="84"/>
      <c r="Y394" s="84"/>
      <c r="Z394" s="84"/>
      <c r="AA394" s="84"/>
      <c r="AB394" s="84"/>
      <c r="AC394" s="84"/>
      <c r="AD394" s="84"/>
      <c r="AE394" s="85"/>
      <c r="AF394" s="86"/>
      <c r="AG394" s="87"/>
      <c r="AH394" s="88"/>
    </row>
    <row r="395" spans="1:34" x14ac:dyDescent="0.25">
      <c r="A395" s="155" t="str">
        <f t="shared" si="12"/>
        <v/>
      </c>
      <c r="B395" s="155" t="str">
        <f t="shared" si="13"/>
        <v/>
      </c>
      <c r="C395" s="157"/>
      <c r="D395" s="150"/>
      <c r="E395" s="78"/>
      <c r="F395" s="133"/>
      <c r="G395" s="38"/>
      <c r="H395" s="39"/>
      <c r="I395" s="40"/>
      <c r="J395" s="41"/>
      <c r="K395" s="42"/>
      <c r="L395" s="43"/>
      <c r="M395" s="79"/>
      <c r="N395" s="80"/>
      <c r="O395" s="81"/>
      <c r="P395" s="82"/>
      <c r="Q395" s="83"/>
      <c r="R395" s="84"/>
      <c r="S395" s="79"/>
      <c r="T395" s="80"/>
      <c r="U395" s="81"/>
      <c r="V395" s="82"/>
      <c r="W395" s="83"/>
      <c r="X395" s="84"/>
      <c r="Y395" s="84"/>
      <c r="Z395" s="84"/>
      <c r="AA395" s="84"/>
      <c r="AB395" s="84"/>
      <c r="AC395" s="84"/>
      <c r="AD395" s="84"/>
      <c r="AE395" s="85"/>
      <c r="AF395" s="86"/>
      <c r="AG395" s="87"/>
      <c r="AH395" s="88"/>
    </row>
    <row r="396" spans="1:34" x14ac:dyDescent="0.25">
      <c r="A396" s="155" t="str">
        <f t="shared" si="12"/>
        <v/>
      </c>
      <c r="B396" s="155" t="str">
        <f t="shared" si="13"/>
        <v/>
      </c>
      <c r="C396" s="157"/>
      <c r="D396" s="150"/>
      <c r="E396" s="78"/>
      <c r="F396" s="133"/>
      <c r="G396" s="38"/>
      <c r="H396" s="39"/>
      <c r="I396" s="40"/>
      <c r="J396" s="41"/>
      <c r="K396" s="42"/>
      <c r="L396" s="43"/>
      <c r="M396" s="79"/>
      <c r="N396" s="80"/>
      <c r="O396" s="81"/>
      <c r="P396" s="82"/>
      <c r="Q396" s="83"/>
      <c r="R396" s="84"/>
      <c r="S396" s="79"/>
      <c r="T396" s="80"/>
      <c r="U396" s="81"/>
      <c r="V396" s="82"/>
      <c r="W396" s="83"/>
      <c r="X396" s="84"/>
      <c r="Y396" s="84"/>
      <c r="Z396" s="84"/>
      <c r="AA396" s="84"/>
      <c r="AB396" s="84"/>
      <c r="AC396" s="84"/>
      <c r="AD396" s="84"/>
      <c r="AE396" s="85"/>
      <c r="AF396" s="86"/>
      <c r="AG396" s="87"/>
      <c r="AH396" s="88"/>
    </row>
    <row r="397" spans="1:34" x14ac:dyDescent="0.25">
      <c r="A397" s="155" t="str">
        <f t="shared" si="12"/>
        <v/>
      </c>
      <c r="B397" s="155" t="str">
        <f t="shared" si="13"/>
        <v/>
      </c>
      <c r="C397" s="157"/>
      <c r="D397" s="150"/>
      <c r="E397" s="78"/>
      <c r="F397" s="133"/>
      <c r="G397" s="38"/>
      <c r="H397" s="39"/>
      <c r="I397" s="40"/>
      <c r="J397" s="41"/>
      <c r="K397" s="42"/>
      <c r="L397" s="43"/>
      <c r="M397" s="79"/>
      <c r="N397" s="80"/>
      <c r="O397" s="81"/>
      <c r="P397" s="82"/>
      <c r="Q397" s="83"/>
      <c r="R397" s="84"/>
      <c r="S397" s="79"/>
      <c r="T397" s="80"/>
      <c r="U397" s="81"/>
      <c r="V397" s="82"/>
      <c r="W397" s="83"/>
      <c r="X397" s="84"/>
      <c r="Y397" s="84"/>
      <c r="Z397" s="84"/>
      <c r="AA397" s="84"/>
      <c r="AB397" s="84"/>
      <c r="AC397" s="84"/>
      <c r="AD397" s="84"/>
      <c r="AE397" s="85"/>
      <c r="AF397" s="86"/>
      <c r="AG397" s="87"/>
      <c r="AH397" s="88"/>
    </row>
    <row r="398" spans="1:34" x14ac:dyDescent="0.25">
      <c r="A398" s="155" t="str">
        <f t="shared" si="12"/>
        <v/>
      </c>
      <c r="B398" s="155" t="str">
        <f t="shared" si="13"/>
        <v/>
      </c>
      <c r="C398" s="157"/>
      <c r="D398" s="150"/>
      <c r="E398" s="78"/>
      <c r="F398" s="133"/>
      <c r="G398" s="38"/>
      <c r="H398" s="39"/>
      <c r="I398" s="40"/>
      <c r="J398" s="41"/>
      <c r="K398" s="42"/>
      <c r="L398" s="43"/>
      <c r="M398" s="79"/>
      <c r="N398" s="80"/>
      <c r="O398" s="81"/>
      <c r="P398" s="82"/>
      <c r="Q398" s="83"/>
      <c r="R398" s="84"/>
      <c r="S398" s="79"/>
      <c r="T398" s="80"/>
      <c r="U398" s="81"/>
      <c r="V398" s="82"/>
      <c r="W398" s="83"/>
      <c r="X398" s="84"/>
      <c r="Y398" s="84"/>
      <c r="Z398" s="84"/>
      <c r="AA398" s="84"/>
      <c r="AB398" s="84"/>
      <c r="AC398" s="84"/>
      <c r="AD398" s="84"/>
      <c r="AE398" s="85"/>
      <c r="AF398" s="86"/>
      <c r="AG398" s="87"/>
      <c r="AH398" s="88"/>
    </row>
    <row r="399" spans="1:34" x14ac:dyDescent="0.25">
      <c r="A399" s="155" t="str">
        <f t="shared" si="12"/>
        <v/>
      </c>
      <c r="B399" s="155" t="str">
        <f t="shared" si="13"/>
        <v/>
      </c>
      <c r="C399" s="157"/>
      <c r="D399" s="150"/>
      <c r="E399" s="78"/>
      <c r="F399" s="133"/>
      <c r="G399" s="38"/>
      <c r="H399" s="39"/>
      <c r="I399" s="40"/>
      <c r="J399" s="41"/>
      <c r="K399" s="42"/>
      <c r="L399" s="43"/>
      <c r="M399" s="79"/>
      <c r="N399" s="80"/>
      <c r="O399" s="81"/>
      <c r="P399" s="82"/>
      <c r="Q399" s="83"/>
      <c r="R399" s="84"/>
      <c r="S399" s="79"/>
      <c r="T399" s="80"/>
      <c r="U399" s="81"/>
      <c r="V399" s="82"/>
      <c r="W399" s="83"/>
      <c r="X399" s="84"/>
      <c r="Y399" s="84"/>
      <c r="Z399" s="84"/>
      <c r="AA399" s="84"/>
      <c r="AB399" s="84"/>
      <c r="AC399" s="84"/>
      <c r="AD399" s="84"/>
      <c r="AE399" s="85"/>
      <c r="AF399" s="86"/>
      <c r="AG399" s="87"/>
      <c r="AH399" s="88"/>
    </row>
    <row r="400" spans="1:34" x14ac:dyDescent="0.25">
      <c r="A400" s="155" t="str">
        <f t="shared" si="12"/>
        <v/>
      </c>
      <c r="B400" s="155" t="str">
        <f t="shared" si="13"/>
        <v/>
      </c>
      <c r="C400" s="157"/>
      <c r="D400" s="150"/>
      <c r="E400" s="78"/>
      <c r="F400" s="133"/>
      <c r="G400" s="38"/>
      <c r="H400" s="39"/>
      <c r="I400" s="40"/>
      <c r="J400" s="41"/>
      <c r="K400" s="42"/>
      <c r="L400" s="43"/>
      <c r="M400" s="79"/>
      <c r="N400" s="80"/>
      <c r="O400" s="81"/>
      <c r="P400" s="82"/>
      <c r="Q400" s="83"/>
      <c r="R400" s="84"/>
      <c r="S400" s="79"/>
      <c r="T400" s="80"/>
      <c r="U400" s="81"/>
      <c r="V400" s="82"/>
      <c r="W400" s="83"/>
      <c r="X400" s="84"/>
      <c r="Y400" s="84"/>
      <c r="Z400" s="84"/>
      <c r="AA400" s="84"/>
      <c r="AB400" s="84"/>
      <c r="AC400" s="84"/>
      <c r="AD400" s="84"/>
      <c r="AE400" s="85"/>
      <c r="AF400" s="86"/>
      <c r="AG400" s="87"/>
      <c r="AH400" s="88"/>
    </row>
    <row r="401" spans="1:34" x14ac:dyDescent="0.25">
      <c r="A401" s="155" t="str">
        <f t="shared" si="12"/>
        <v/>
      </c>
      <c r="B401" s="155" t="str">
        <f t="shared" si="13"/>
        <v/>
      </c>
      <c r="C401" s="157"/>
      <c r="D401" s="150"/>
      <c r="E401" s="78"/>
      <c r="F401" s="133"/>
      <c r="G401" s="38"/>
      <c r="H401" s="39"/>
      <c r="I401" s="40"/>
      <c r="J401" s="41"/>
      <c r="K401" s="42"/>
      <c r="L401" s="43"/>
      <c r="M401" s="79"/>
      <c r="N401" s="80"/>
      <c r="O401" s="81"/>
      <c r="P401" s="82"/>
      <c r="Q401" s="83"/>
      <c r="R401" s="84"/>
      <c r="S401" s="79"/>
      <c r="T401" s="80"/>
      <c r="U401" s="81"/>
      <c r="V401" s="82"/>
      <c r="W401" s="83"/>
      <c r="X401" s="84"/>
      <c r="Y401" s="84"/>
      <c r="Z401" s="84"/>
      <c r="AA401" s="84"/>
      <c r="AB401" s="84"/>
      <c r="AC401" s="84"/>
      <c r="AD401" s="84"/>
      <c r="AE401" s="85"/>
      <c r="AF401" s="86"/>
      <c r="AG401" s="87"/>
      <c r="AH401" s="88"/>
    </row>
    <row r="402" spans="1:34" x14ac:dyDescent="0.25">
      <c r="A402" s="155" t="str">
        <f t="shared" si="12"/>
        <v/>
      </c>
      <c r="B402" s="155" t="str">
        <f t="shared" si="13"/>
        <v/>
      </c>
      <c r="C402" s="157"/>
      <c r="D402" s="150"/>
      <c r="E402" s="78"/>
      <c r="F402" s="133"/>
      <c r="G402" s="38"/>
      <c r="H402" s="39"/>
      <c r="I402" s="40"/>
      <c r="J402" s="41"/>
      <c r="K402" s="42"/>
      <c r="L402" s="43"/>
      <c r="M402" s="79"/>
      <c r="N402" s="80"/>
      <c r="O402" s="81"/>
      <c r="P402" s="82"/>
      <c r="Q402" s="83"/>
      <c r="R402" s="84"/>
      <c r="S402" s="79"/>
      <c r="T402" s="80"/>
      <c r="U402" s="81"/>
      <c r="V402" s="82"/>
      <c r="W402" s="83"/>
      <c r="X402" s="84"/>
      <c r="Y402" s="84"/>
      <c r="Z402" s="84"/>
      <c r="AA402" s="84"/>
      <c r="AB402" s="84"/>
      <c r="AC402" s="84"/>
      <c r="AD402" s="84"/>
      <c r="AE402" s="85"/>
      <c r="AF402" s="86"/>
      <c r="AG402" s="87"/>
      <c r="AH402" s="88"/>
    </row>
    <row r="403" spans="1:34" x14ac:dyDescent="0.25">
      <c r="A403" s="155" t="str">
        <f t="shared" si="12"/>
        <v/>
      </c>
      <c r="B403" s="155" t="str">
        <f t="shared" si="13"/>
        <v/>
      </c>
      <c r="C403" s="157"/>
      <c r="D403" s="150"/>
      <c r="E403" s="78"/>
      <c r="F403" s="133"/>
      <c r="G403" s="38"/>
      <c r="H403" s="39"/>
      <c r="I403" s="40"/>
      <c r="J403" s="41"/>
      <c r="K403" s="42"/>
      <c r="L403" s="43"/>
      <c r="M403" s="79"/>
      <c r="N403" s="80"/>
      <c r="O403" s="81"/>
      <c r="P403" s="82"/>
      <c r="Q403" s="83"/>
      <c r="R403" s="84"/>
      <c r="S403" s="79"/>
      <c r="T403" s="80"/>
      <c r="U403" s="81"/>
      <c r="V403" s="82"/>
      <c r="W403" s="83"/>
      <c r="X403" s="84"/>
      <c r="Y403" s="84"/>
      <c r="Z403" s="84"/>
      <c r="AA403" s="84"/>
      <c r="AB403" s="84"/>
      <c r="AC403" s="84"/>
      <c r="AD403" s="84"/>
      <c r="AE403" s="85"/>
      <c r="AF403" s="86"/>
      <c r="AG403" s="87"/>
      <c r="AH403" s="88"/>
    </row>
    <row r="404" spans="1:34" x14ac:dyDescent="0.25">
      <c r="A404" s="155" t="str">
        <f t="shared" si="12"/>
        <v/>
      </c>
      <c r="B404" s="155" t="str">
        <f t="shared" si="13"/>
        <v/>
      </c>
      <c r="C404" s="157"/>
      <c r="D404" s="150"/>
      <c r="E404" s="78"/>
      <c r="F404" s="133"/>
      <c r="G404" s="38"/>
      <c r="H404" s="39"/>
      <c r="I404" s="40"/>
      <c r="J404" s="41"/>
      <c r="K404" s="42"/>
      <c r="L404" s="43"/>
      <c r="M404" s="79"/>
      <c r="N404" s="80"/>
      <c r="O404" s="81"/>
      <c r="P404" s="82"/>
      <c r="Q404" s="83"/>
      <c r="R404" s="84"/>
      <c r="S404" s="79"/>
      <c r="T404" s="80"/>
      <c r="U404" s="81"/>
      <c r="V404" s="82"/>
      <c r="W404" s="83"/>
      <c r="X404" s="84"/>
      <c r="Y404" s="84"/>
      <c r="Z404" s="84"/>
      <c r="AA404" s="84"/>
      <c r="AB404" s="84"/>
      <c r="AC404" s="84"/>
      <c r="AD404" s="84"/>
      <c r="AE404" s="85"/>
      <c r="AF404" s="86"/>
      <c r="AG404" s="87"/>
      <c r="AH404" s="88"/>
    </row>
    <row r="405" spans="1:34" x14ac:dyDescent="0.25">
      <c r="A405" s="155" t="str">
        <f t="shared" si="12"/>
        <v/>
      </c>
      <c r="B405" s="155" t="str">
        <f t="shared" si="13"/>
        <v/>
      </c>
      <c r="C405" s="157"/>
      <c r="D405" s="150"/>
      <c r="E405" s="78"/>
      <c r="F405" s="133"/>
      <c r="G405" s="38"/>
      <c r="H405" s="39"/>
      <c r="I405" s="40"/>
      <c r="J405" s="41"/>
      <c r="K405" s="42"/>
      <c r="L405" s="43"/>
      <c r="M405" s="79"/>
      <c r="N405" s="80"/>
      <c r="O405" s="81"/>
      <c r="P405" s="82"/>
      <c r="Q405" s="83"/>
      <c r="R405" s="84"/>
      <c r="S405" s="79"/>
      <c r="T405" s="80"/>
      <c r="U405" s="81"/>
      <c r="V405" s="82"/>
      <c r="W405" s="83"/>
      <c r="X405" s="84"/>
      <c r="Y405" s="84"/>
      <c r="Z405" s="84"/>
      <c r="AA405" s="84"/>
      <c r="AB405" s="84"/>
      <c r="AC405" s="84"/>
      <c r="AD405" s="84"/>
      <c r="AE405" s="85"/>
      <c r="AF405" s="86"/>
      <c r="AG405" s="87"/>
      <c r="AH405" s="88"/>
    </row>
    <row r="406" spans="1:34" x14ac:dyDescent="0.25">
      <c r="A406" s="155" t="str">
        <f t="shared" si="12"/>
        <v/>
      </c>
      <c r="B406" s="155" t="str">
        <f t="shared" si="13"/>
        <v/>
      </c>
      <c r="C406" s="157"/>
      <c r="D406" s="150"/>
      <c r="E406" s="78"/>
      <c r="F406" s="133"/>
      <c r="G406" s="38"/>
      <c r="H406" s="39"/>
      <c r="I406" s="40"/>
      <c r="J406" s="41"/>
      <c r="K406" s="42"/>
      <c r="L406" s="43"/>
      <c r="M406" s="79"/>
      <c r="N406" s="80"/>
      <c r="O406" s="81"/>
      <c r="P406" s="82"/>
      <c r="Q406" s="83"/>
      <c r="R406" s="84"/>
      <c r="S406" s="79"/>
      <c r="T406" s="80"/>
      <c r="U406" s="81"/>
      <c r="V406" s="82"/>
      <c r="W406" s="83"/>
      <c r="X406" s="84"/>
      <c r="Y406" s="84"/>
      <c r="Z406" s="84"/>
      <c r="AA406" s="84"/>
      <c r="AB406" s="84"/>
      <c r="AC406" s="84"/>
      <c r="AD406" s="84"/>
      <c r="AE406" s="85"/>
      <c r="AF406" s="86"/>
      <c r="AG406" s="87"/>
      <c r="AH406" s="88"/>
    </row>
    <row r="407" spans="1:34" x14ac:dyDescent="0.25">
      <c r="A407" s="155" t="str">
        <f t="shared" si="12"/>
        <v/>
      </c>
      <c r="B407" s="155" t="str">
        <f t="shared" si="13"/>
        <v/>
      </c>
      <c r="C407" s="157"/>
      <c r="D407" s="150"/>
      <c r="E407" s="78"/>
      <c r="F407" s="133"/>
      <c r="G407" s="38"/>
      <c r="H407" s="39"/>
      <c r="I407" s="40"/>
      <c r="J407" s="41"/>
      <c r="K407" s="42"/>
      <c r="L407" s="43"/>
      <c r="M407" s="79"/>
      <c r="N407" s="80"/>
      <c r="O407" s="81"/>
      <c r="P407" s="82"/>
      <c r="Q407" s="83"/>
      <c r="R407" s="84"/>
      <c r="S407" s="79"/>
      <c r="T407" s="80"/>
      <c r="U407" s="81"/>
      <c r="V407" s="82"/>
      <c r="W407" s="83"/>
      <c r="X407" s="84"/>
      <c r="Y407" s="84"/>
      <c r="Z407" s="84"/>
      <c r="AA407" s="84"/>
      <c r="AB407" s="84"/>
      <c r="AC407" s="84"/>
      <c r="AD407" s="84"/>
      <c r="AE407" s="85"/>
      <c r="AF407" s="86"/>
      <c r="AG407" s="87"/>
      <c r="AH407" s="88"/>
    </row>
    <row r="408" spans="1:34" x14ac:dyDescent="0.25">
      <c r="A408" s="155" t="str">
        <f t="shared" si="12"/>
        <v/>
      </c>
      <c r="B408" s="155" t="str">
        <f t="shared" si="13"/>
        <v/>
      </c>
      <c r="C408" s="157"/>
      <c r="D408" s="150"/>
      <c r="E408" s="78"/>
      <c r="F408" s="133"/>
      <c r="G408" s="38"/>
      <c r="H408" s="39"/>
      <c r="I408" s="40"/>
      <c r="J408" s="41"/>
      <c r="K408" s="42"/>
      <c r="L408" s="43"/>
      <c r="M408" s="79"/>
      <c r="N408" s="80"/>
      <c r="O408" s="81"/>
      <c r="P408" s="82"/>
      <c r="Q408" s="83"/>
      <c r="R408" s="84"/>
      <c r="S408" s="79"/>
      <c r="T408" s="80"/>
      <c r="U408" s="81"/>
      <c r="V408" s="82"/>
      <c r="W408" s="83"/>
      <c r="X408" s="84"/>
      <c r="Y408" s="84"/>
      <c r="Z408" s="84"/>
      <c r="AA408" s="84"/>
      <c r="AB408" s="84"/>
      <c r="AC408" s="84"/>
      <c r="AD408" s="84"/>
      <c r="AE408" s="85"/>
      <c r="AF408" s="86"/>
      <c r="AG408" s="87"/>
      <c r="AH408" s="88"/>
    </row>
    <row r="409" spans="1:34" x14ac:dyDescent="0.25">
      <c r="A409" s="155" t="str">
        <f t="shared" si="12"/>
        <v/>
      </c>
      <c r="B409" s="155" t="str">
        <f t="shared" si="13"/>
        <v/>
      </c>
      <c r="C409" s="157"/>
      <c r="D409" s="150"/>
      <c r="E409" s="78"/>
      <c r="F409" s="133"/>
      <c r="G409" s="38"/>
      <c r="H409" s="39"/>
      <c r="I409" s="40"/>
      <c r="J409" s="41"/>
      <c r="K409" s="42"/>
      <c r="L409" s="43"/>
      <c r="M409" s="79"/>
      <c r="N409" s="80"/>
      <c r="O409" s="81"/>
      <c r="P409" s="82"/>
      <c r="Q409" s="83"/>
      <c r="R409" s="84"/>
      <c r="S409" s="79"/>
      <c r="T409" s="80"/>
      <c r="U409" s="81"/>
      <c r="V409" s="82"/>
      <c r="W409" s="83"/>
      <c r="X409" s="84"/>
      <c r="Y409" s="84"/>
      <c r="Z409" s="84"/>
      <c r="AA409" s="84"/>
      <c r="AB409" s="84"/>
      <c r="AC409" s="84"/>
      <c r="AD409" s="84"/>
      <c r="AE409" s="85"/>
      <c r="AF409" s="86"/>
      <c r="AG409" s="87"/>
      <c r="AH409" s="88"/>
    </row>
    <row r="410" spans="1:34" x14ac:dyDescent="0.25">
      <c r="A410" s="155" t="str">
        <f t="shared" si="12"/>
        <v/>
      </c>
      <c r="B410" s="155" t="str">
        <f t="shared" si="13"/>
        <v/>
      </c>
      <c r="C410" s="157"/>
      <c r="D410" s="150"/>
      <c r="E410" s="78"/>
      <c r="F410" s="133"/>
      <c r="G410" s="38"/>
      <c r="H410" s="39"/>
      <c r="I410" s="40"/>
      <c r="J410" s="41"/>
      <c r="K410" s="42"/>
      <c r="L410" s="43"/>
      <c r="M410" s="79"/>
      <c r="N410" s="80"/>
      <c r="O410" s="81"/>
      <c r="P410" s="82"/>
      <c r="Q410" s="83"/>
      <c r="R410" s="84"/>
      <c r="S410" s="79"/>
      <c r="T410" s="80"/>
      <c r="U410" s="81"/>
      <c r="V410" s="82"/>
      <c r="W410" s="83"/>
      <c r="X410" s="84"/>
      <c r="Y410" s="84"/>
      <c r="Z410" s="84"/>
      <c r="AA410" s="84"/>
      <c r="AB410" s="84"/>
      <c r="AC410" s="84"/>
      <c r="AD410" s="84"/>
      <c r="AE410" s="85"/>
      <c r="AF410" s="86"/>
      <c r="AG410" s="87"/>
      <c r="AH410" s="88"/>
    </row>
    <row r="411" spans="1:34" x14ac:dyDescent="0.25">
      <c r="A411" s="155" t="str">
        <f t="shared" si="12"/>
        <v/>
      </c>
      <c r="B411" s="155" t="str">
        <f t="shared" si="13"/>
        <v/>
      </c>
      <c r="C411" s="157"/>
      <c r="D411" s="150"/>
      <c r="E411" s="78"/>
      <c r="F411" s="133"/>
      <c r="G411" s="38"/>
      <c r="H411" s="39"/>
      <c r="I411" s="40"/>
      <c r="J411" s="41"/>
      <c r="K411" s="42"/>
      <c r="L411" s="43"/>
      <c r="M411" s="79"/>
      <c r="N411" s="80"/>
      <c r="O411" s="81"/>
      <c r="P411" s="82"/>
      <c r="Q411" s="83"/>
      <c r="R411" s="84"/>
      <c r="S411" s="79"/>
      <c r="T411" s="80"/>
      <c r="U411" s="81"/>
      <c r="V411" s="82"/>
      <c r="W411" s="83"/>
      <c r="X411" s="84"/>
      <c r="Y411" s="84"/>
      <c r="Z411" s="84"/>
      <c r="AA411" s="84"/>
      <c r="AB411" s="84"/>
      <c r="AC411" s="84"/>
      <c r="AD411" s="84"/>
      <c r="AE411" s="85"/>
      <c r="AF411" s="86"/>
      <c r="AG411" s="87"/>
      <c r="AH411" s="88"/>
    </row>
    <row r="412" spans="1:34" x14ac:dyDescent="0.25">
      <c r="A412" s="155" t="str">
        <f t="shared" si="12"/>
        <v/>
      </c>
      <c r="B412" s="155" t="str">
        <f t="shared" si="13"/>
        <v/>
      </c>
      <c r="C412" s="157"/>
      <c r="D412" s="150"/>
      <c r="E412" s="78"/>
      <c r="F412" s="133"/>
      <c r="G412" s="38"/>
      <c r="H412" s="39"/>
      <c r="I412" s="40"/>
      <c r="J412" s="41"/>
      <c r="K412" s="42"/>
      <c r="L412" s="43"/>
      <c r="M412" s="79"/>
      <c r="N412" s="80"/>
      <c r="O412" s="81"/>
      <c r="P412" s="82"/>
      <c r="Q412" s="83"/>
      <c r="R412" s="84"/>
      <c r="S412" s="79"/>
      <c r="T412" s="80"/>
      <c r="U412" s="81"/>
      <c r="V412" s="82"/>
      <c r="W412" s="83"/>
      <c r="X412" s="84"/>
      <c r="Y412" s="84"/>
      <c r="Z412" s="84"/>
      <c r="AA412" s="84"/>
      <c r="AB412" s="84"/>
      <c r="AC412" s="84"/>
      <c r="AD412" s="84"/>
      <c r="AE412" s="85"/>
      <c r="AF412" s="86"/>
      <c r="AG412" s="87"/>
      <c r="AH412" s="88"/>
    </row>
    <row r="413" spans="1:34" x14ac:dyDescent="0.25">
      <c r="A413" s="155" t="str">
        <f t="shared" si="12"/>
        <v/>
      </c>
      <c r="B413" s="155" t="str">
        <f t="shared" si="13"/>
        <v/>
      </c>
      <c r="C413" s="157"/>
      <c r="D413" s="150"/>
      <c r="E413" s="78"/>
      <c r="F413" s="133"/>
      <c r="G413" s="38"/>
      <c r="H413" s="39"/>
      <c r="I413" s="40"/>
      <c r="J413" s="41"/>
      <c r="K413" s="42"/>
      <c r="L413" s="43"/>
      <c r="M413" s="79"/>
      <c r="N413" s="80"/>
      <c r="O413" s="81"/>
      <c r="P413" s="82"/>
      <c r="Q413" s="83"/>
      <c r="R413" s="84"/>
      <c r="S413" s="79"/>
      <c r="T413" s="80"/>
      <c r="U413" s="81"/>
      <c r="V413" s="82"/>
      <c r="W413" s="83"/>
      <c r="X413" s="84"/>
      <c r="Y413" s="84"/>
      <c r="Z413" s="84"/>
      <c r="AA413" s="84"/>
      <c r="AB413" s="84"/>
      <c r="AC413" s="84"/>
      <c r="AD413" s="84"/>
      <c r="AE413" s="85"/>
      <c r="AF413" s="86"/>
      <c r="AG413" s="87"/>
      <c r="AH413" s="88"/>
    </row>
    <row r="414" spans="1:34" x14ac:dyDescent="0.25">
      <c r="A414" s="155" t="str">
        <f t="shared" si="12"/>
        <v/>
      </c>
      <c r="B414" s="155" t="str">
        <f t="shared" si="13"/>
        <v/>
      </c>
      <c r="C414" s="157"/>
      <c r="D414" s="150"/>
      <c r="E414" s="78"/>
      <c r="F414" s="133"/>
      <c r="G414" s="38"/>
      <c r="H414" s="39"/>
      <c r="I414" s="40"/>
      <c r="J414" s="41"/>
      <c r="K414" s="42"/>
      <c r="L414" s="43"/>
      <c r="M414" s="79"/>
      <c r="N414" s="80"/>
      <c r="O414" s="81"/>
      <c r="P414" s="82"/>
      <c r="Q414" s="83"/>
      <c r="R414" s="84"/>
      <c r="S414" s="79"/>
      <c r="T414" s="80"/>
      <c r="U414" s="81"/>
      <c r="V414" s="82"/>
      <c r="W414" s="83"/>
      <c r="X414" s="84"/>
      <c r="Y414" s="84"/>
      <c r="Z414" s="84"/>
      <c r="AA414" s="84"/>
      <c r="AB414" s="84"/>
      <c r="AC414" s="84"/>
      <c r="AD414" s="84"/>
      <c r="AE414" s="85"/>
      <c r="AF414" s="86"/>
      <c r="AG414" s="87"/>
      <c r="AH414" s="88"/>
    </row>
    <row r="415" spans="1:34" x14ac:dyDescent="0.25">
      <c r="A415" s="155" t="str">
        <f t="shared" si="12"/>
        <v/>
      </c>
      <c r="B415" s="155" t="str">
        <f t="shared" si="13"/>
        <v/>
      </c>
      <c r="C415" s="157"/>
      <c r="D415" s="150"/>
      <c r="E415" s="78"/>
      <c r="F415" s="133"/>
      <c r="G415" s="38"/>
      <c r="H415" s="39"/>
      <c r="I415" s="40"/>
      <c r="J415" s="41"/>
      <c r="K415" s="42"/>
      <c r="L415" s="43"/>
      <c r="M415" s="79"/>
      <c r="N415" s="80"/>
      <c r="O415" s="81"/>
      <c r="P415" s="82"/>
      <c r="Q415" s="83"/>
      <c r="R415" s="84"/>
      <c r="S415" s="79"/>
      <c r="T415" s="80"/>
      <c r="U415" s="81"/>
      <c r="V415" s="82"/>
      <c r="W415" s="83"/>
      <c r="X415" s="84"/>
      <c r="Y415" s="84"/>
      <c r="Z415" s="84"/>
      <c r="AA415" s="84"/>
      <c r="AB415" s="84"/>
      <c r="AC415" s="84"/>
      <c r="AD415" s="84"/>
      <c r="AE415" s="85"/>
      <c r="AF415" s="86"/>
      <c r="AG415" s="87"/>
      <c r="AH415" s="88"/>
    </row>
    <row r="416" spans="1:34" x14ac:dyDescent="0.25">
      <c r="A416" s="155" t="str">
        <f t="shared" si="12"/>
        <v/>
      </c>
      <c r="B416" s="155" t="str">
        <f t="shared" si="13"/>
        <v/>
      </c>
      <c r="C416" s="157"/>
      <c r="D416" s="150"/>
      <c r="E416" s="78"/>
      <c r="F416" s="133"/>
      <c r="G416" s="38"/>
      <c r="H416" s="39"/>
      <c r="I416" s="40"/>
      <c r="J416" s="41"/>
      <c r="K416" s="42"/>
      <c r="L416" s="43"/>
      <c r="M416" s="79"/>
      <c r="N416" s="80"/>
      <c r="O416" s="81"/>
      <c r="P416" s="82"/>
      <c r="Q416" s="83"/>
      <c r="R416" s="84"/>
      <c r="S416" s="79"/>
      <c r="T416" s="80"/>
      <c r="U416" s="81"/>
      <c r="V416" s="82"/>
      <c r="W416" s="83"/>
      <c r="X416" s="84"/>
      <c r="Y416" s="84"/>
      <c r="Z416" s="84"/>
      <c r="AA416" s="84"/>
      <c r="AB416" s="84"/>
      <c r="AC416" s="84"/>
      <c r="AD416" s="84"/>
      <c r="AE416" s="85"/>
      <c r="AF416" s="86"/>
      <c r="AG416" s="87"/>
      <c r="AH416" s="88"/>
    </row>
    <row r="417" spans="1:34" x14ac:dyDescent="0.25">
      <c r="A417" s="155" t="str">
        <f t="shared" si="12"/>
        <v/>
      </c>
      <c r="B417" s="155" t="str">
        <f t="shared" si="13"/>
        <v/>
      </c>
      <c r="C417" s="157"/>
      <c r="D417" s="150"/>
      <c r="E417" s="78"/>
      <c r="F417" s="133"/>
      <c r="G417" s="38"/>
      <c r="H417" s="39"/>
      <c r="I417" s="40"/>
      <c r="J417" s="41"/>
      <c r="K417" s="42"/>
      <c r="L417" s="43"/>
      <c r="M417" s="79"/>
      <c r="N417" s="80"/>
      <c r="O417" s="81"/>
      <c r="P417" s="82"/>
      <c r="Q417" s="83"/>
      <c r="R417" s="84"/>
      <c r="S417" s="79"/>
      <c r="T417" s="80"/>
      <c r="U417" s="81"/>
      <c r="V417" s="82"/>
      <c r="W417" s="83"/>
      <c r="X417" s="84"/>
      <c r="Y417" s="84"/>
      <c r="Z417" s="84"/>
      <c r="AA417" s="84"/>
      <c r="AB417" s="84"/>
      <c r="AC417" s="84"/>
      <c r="AD417" s="84"/>
      <c r="AE417" s="85"/>
      <c r="AF417" s="86"/>
      <c r="AG417" s="87"/>
      <c r="AH417" s="88"/>
    </row>
    <row r="418" spans="1:34" x14ac:dyDescent="0.25">
      <c r="A418" s="155" t="str">
        <f t="shared" si="12"/>
        <v/>
      </c>
      <c r="B418" s="155" t="str">
        <f t="shared" si="13"/>
        <v/>
      </c>
      <c r="C418" s="157"/>
      <c r="D418" s="150"/>
      <c r="E418" s="78"/>
      <c r="F418" s="133"/>
      <c r="G418" s="38"/>
      <c r="H418" s="39"/>
      <c r="I418" s="40"/>
      <c r="J418" s="41"/>
      <c r="K418" s="42"/>
      <c r="L418" s="43"/>
      <c r="M418" s="79"/>
      <c r="N418" s="80"/>
      <c r="O418" s="81"/>
      <c r="P418" s="82"/>
      <c r="Q418" s="83"/>
      <c r="R418" s="84"/>
      <c r="S418" s="79"/>
      <c r="T418" s="80"/>
      <c r="U418" s="81"/>
      <c r="V418" s="82"/>
      <c r="W418" s="83"/>
      <c r="X418" s="84"/>
      <c r="Y418" s="84"/>
      <c r="Z418" s="84"/>
      <c r="AA418" s="84"/>
      <c r="AB418" s="84"/>
      <c r="AC418" s="84"/>
      <c r="AD418" s="84"/>
      <c r="AE418" s="85"/>
      <c r="AF418" s="86"/>
      <c r="AG418" s="87"/>
      <c r="AH418" s="88"/>
    </row>
    <row r="419" spans="1:34" x14ac:dyDescent="0.25">
      <c r="A419" s="155" t="str">
        <f t="shared" si="12"/>
        <v/>
      </c>
      <c r="B419" s="155" t="str">
        <f t="shared" si="13"/>
        <v/>
      </c>
      <c r="C419" s="157"/>
      <c r="D419" s="150"/>
      <c r="E419" s="78"/>
      <c r="F419" s="133"/>
      <c r="G419" s="38"/>
      <c r="H419" s="39"/>
      <c r="I419" s="40"/>
      <c r="J419" s="41"/>
      <c r="K419" s="42"/>
      <c r="L419" s="43"/>
      <c r="M419" s="79"/>
      <c r="N419" s="80"/>
      <c r="O419" s="81"/>
      <c r="P419" s="82"/>
      <c r="Q419" s="83"/>
      <c r="R419" s="84"/>
      <c r="S419" s="79"/>
      <c r="T419" s="80"/>
      <c r="U419" s="81"/>
      <c r="V419" s="82"/>
      <c r="W419" s="83"/>
      <c r="X419" s="84"/>
      <c r="Y419" s="84"/>
      <c r="Z419" s="84"/>
      <c r="AA419" s="84"/>
      <c r="AB419" s="84"/>
      <c r="AC419" s="84"/>
      <c r="AD419" s="84"/>
      <c r="AE419" s="85"/>
      <c r="AF419" s="86"/>
      <c r="AG419" s="87"/>
      <c r="AH419" s="88"/>
    </row>
    <row r="420" spans="1:34" x14ac:dyDescent="0.25">
      <c r="A420" s="155" t="str">
        <f t="shared" si="12"/>
        <v/>
      </c>
      <c r="B420" s="155" t="str">
        <f t="shared" si="13"/>
        <v/>
      </c>
      <c r="C420" s="157"/>
      <c r="D420" s="150"/>
      <c r="E420" s="78"/>
      <c r="F420" s="133"/>
      <c r="G420" s="38"/>
      <c r="H420" s="39"/>
      <c r="I420" s="40"/>
      <c r="J420" s="41"/>
      <c r="K420" s="42"/>
      <c r="L420" s="43"/>
      <c r="M420" s="79"/>
      <c r="N420" s="80"/>
      <c r="O420" s="81"/>
      <c r="P420" s="82"/>
      <c r="Q420" s="83"/>
      <c r="R420" s="84"/>
      <c r="S420" s="79"/>
      <c r="T420" s="80"/>
      <c r="U420" s="81"/>
      <c r="V420" s="82"/>
      <c r="W420" s="83"/>
      <c r="X420" s="84"/>
      <c r="Y420" s="84"/>
      <c r="Z420" s="84"/>
      <c r="AA420" s="84"/>
      <c r="AB420" s="84"/>
      <c r="AC420" s="84"/>
      <c r="AD420" s="84"/>
      <c r="AE420" s="85"/>
      <c r="AF420" s="86"/>
      <c r="AG420" s="87"/>
      <c r="AH420" s="88"/>
    </row>
    <row r="421" spans="1:34" x14ac:dyDescent="0.25">
      <c r="A421" s="155" t="str">
        <f t="shared" si="12"/>
        <v/>
      </c>
      <c r="B421" s="155" t="str">
        <f t="shared" si="13"/>
        <v/>
      </c>
      <c r="C421" s="157"/>
      <c r="D421" s="150"/>
      <c r="E421" s="78"/>
      <c r="F421" s="133"/>
      <c r="G421" s="38"/>
      <c r="H421" s="39"/>
      <c r="I421" s="40"/>
      <c r="J421" s="41"/>
      <c r="K421" s="42"/>
      <c r="L421" s="43"/>
      <c r="M421" s="79"/>
      <c r="N421" s="80"/>
      <c r="O421" s="81"/>
      <c r="P421" s="82"/>
      <c r="Q421" s="83"/>
      <c r="R421" s="84"/>
      <c r="S421" s="79"/>
      <c r="T421" s="80"/>
      <c r="U421" s="81"/>
      <c r="V421" s="82"/>
      <c r="W421" s="83"/>
      <c r="X421" s="84"/>
      <c r="Y421" s="84"/>
      <c r="Z421" s="84"/>
      <c r="AA421" s="84"/>
      <c r="AB421" s="84"/>
      <c r="AC421" s="84"/>
      <c r="AD421" s="84"/>
      <c r="AE421" s="85"/>
      <c r="AF421" s="86"/>
      <c r="AG421" s="87"/>
      <c r="AH421" s="88"/>
    </row>
    <row r="422" spans="1:34" x14ac:dyDescent="0.25">
      <c r="A422" s="155" t="str">
        <f t="shared" si="12"/>
        <v/>
      </c>
      <c r="B422" s="155" t="str">
        <f t="shared" si="13"/>
        <v/>
      </c>
      <c r="C422" s="157"/>
      <c r="D422" s="150"/>
      <c r="E422" s="78"/>
      <c r="F422" s="133"/>
      <c r="G422" s="38"/>
      <c r="H422" s="39"/>
      <c r="I422" s="40"/>
      <c r="J422" s="41"/>
      <c r="K422" s="42"/>
      <c r="L422" s="43"/>
      <c r="M422" s="79"/>
      <c r="N422" s="80"/>
      <c r="O422" s="81"/>
      <c r="P422" s="82"/>
      <c r="Q422" s="83"/>
      <c r="R422" s="84"/>
      <c r="S422" s="79"/>
      <c r="T422" s="80"/>
      <c r="U422" s="81"/>
      <c r="V422" s="82"/>
      <c r="W422" s="83"/>
      <c r="X422" s="84"/>
      <c r="Y422" s="84"/>
      <c r="Z422" s="84"/>
      <c r="AA422" s="84"/>
      <c r="AB422" s="84"/>
      <c r="AC422" s="84"/>
      <c r="AD422" s="84"/>
      <c r="AE422" s="85"/>
      <c r="AF422" s="86"/>
      <c r="AG422" s="87"/>
      <c r="AH422" s="88"/>
    </row>
    <row r="423" spans="1:34" x14ac:dyDescent="0.25">
      <c r="A423" s="155" t="str">
        <f t="shared" si="12"/>
        <v/>
      </c>
      <c r="B423" s="155" t="str">
        <f t="shared" si="13"/>
        <v/>
      </c>
      <c r="C423" s="157"/>
      <c r="D423" s="150"/>
      <c r="E423" s="78"/>
      <c r="F423" s="133"/>
      <c r="G423" s="38"/>
      <c r="H423" s="39"/>
      <c r="I423" s="40"/>
      <c r="J423" s="41"/>
      <c r="K423" s="42"/>
      <c r="L423" s="43"/>
      <c r="M423" s="79"/>
      <c r="N423" s="80"/>
      <c r="O423" s="81"/>
      <c r="P423" s="82"/>
      <c r="Q423" s="83"/>
      <c r="R423" s="84"/>
      <c r="S423" s="79"/>
      <c r="T423" s="80"/>
      <c r="U423" s="81"/>
      <c r="V423" s="82"/>
      <c r="W423" s="83"/>
      <c r="X423" s="84"/>
      <c r="Y423" s="84"/>
      <c r="Z423" s="84"/>
      <c r="AA423" s="84"/>
      <c r="AB423" s="84"/>
      <c r="AC423" s="84"/>
      <c r="AD423" s="84"/>
      <c r="AE423" s="85"/>
      <c r="AF423" s="86"/>
      <c r="AG423" s="87"/>
      <c r="AH423" s="88"/>
    </row>
    <row r="424" spans="1:34" x14ac:dyDescent="0.25">
      <c r="A424" s="155" t="str">
        <f t="shared" si="12"/>
        <v/>
      </c>
      <c r="B424" s="155" t="str">
        <f t="shared" si="13"/>
        <v/>
      </c>
      <c r="C424" s="157"/>
      <c r="D424" s="150"/>
      <c r="E424" s="78"/>
      <c r="F424" s="133"/>
      <c r="G424" s="38"/>
      <c r="H424" s="39"/>
      <c r="I424" s="40"/>
      <c r="J424" s="41"/>
      <c r="K424" s="42"/>
      <c r="L424" s="43"/>
      <c r="M424" s="79"/>
      <c r="N424" s="80"/>
      <c r="O424" s="81"/>
      <c r="P424" s="82"/>
      <c r="Q424" s="83"/>
      <c r="R424" s="84"/>
      <c r="S424" s="79"/>
      <c r="T424" s="80"/>
      <c r="U424" s="81"/>
      <c r="V424" s="82"/>
      <c r="W424" s="83"/>
      <c r="X424" s="84"/>
      <c r="Y424" s="84"/>
      <c r="Z424" s="84"/>
      <c r="AA424" s="84"/>
      <c r="AB424" s="84"/>
      <c r="AC424" s="84"/>
      <c r="AD424" s="84"/>
      <c r="AE424" s="85"/>
      <c r="AF424" s="86"/>
      <c r="AG424" s="87"/>
      <c r="AH424" s="88"/>
    </row>
    <row r="425" spans="1:34" x14ac:dyDescent="0.25">
      <c r="A425" s="155" t="str">
        <f t="shared" si="12"/>
        <v/>
      </c>
      <c r="B425" s="155" t="str">
        <f t="shared" si="13"/>
        <v/>
      </c>
      <c r="C425" s="157"/>
      <c r="D425" s="150"/>
      <c r="E425" s="78"/>
      <c r="F425" s="133"/>
      <c r="G425" s="38"/>
      <c r="H425" s="39"/>
      <c r="I425" s="40"/>
      <c r="J425" s="41"/>
      <c r="K425" s="42"/>
      <c r="L425" s="43"/>
      <c r="M425" s="79"/>
      <c r="N425" s="80"/>
      <c r="O425" s="81"/>
      <c r="P425" s="82"/>
      <c r="Q425" s="83"/>
      <c r="R425" s="84"/>
      <c r="S425" s="79"/>
      <c r="T425" s="80"/>
      <c r="U425" s="81"/>
      <c r="V425" s="82"/>
      <c r="W425" s="83"/>
      <c r="X425" s="84"/>
      <c r="Y425" s="84"/>
      <c r="Z425" s="84"/>
      <c r="AA425" s="84"/>
      <c r="AB425" s="84"/>
      <c r="AC425" s="84"/>
      <c r="AD425" s="84"/>
      <c r="AE425" s="85"/>
      <c r="AF425" s="86"/>
      <c r="AG425" s="87"/>
      <c r="AH425" s="88"/>
    </row>
    <row r="426" spans="1:34" x14ac:dyDescent="0.25">
      <c r="A426" s="155" t="str">
        <f t="shared" si="12"/>
        <v/>
      </c>
      <c r="B426" s="155" t="str">
        <f t="shared" si="13"/>
        <v/>
      </c>
      <c r="C426" s="157"/>
      <c r="D426" s="150"/>
      <c r="E426" s="78"/>
      <c r="F426" s="133"/>
      <c r="G426" s="38"/>
      <c r="H426" s="39"/>
      <c r="I426" s="40"/>
      <c r="J426" s="41"/>
      <c r="K426" s="42"/>
      <c r="L426" s="43"/>
      <c r="M426" s="79"/>
      <c r="N426" s="80"/>
      <c r="O426" s="81"/>
      <c r="P426" s="82"/>
      <c r="Q426" s="83"/>
      <c r="R426" s="84"/>
      <c r="S426" s="79"/>
      <c r="T426" s="80"/>
      <c r="U426" s="81"/>
      <c r="V426" s="82"/>
      <c r="W426" s="83"/>
      <c r="X426" s="84"/>
      <c r="Y426" s="84"/>
      <c r="Z426" s="84"/>
      <c r="AA426" s="84"/>
      <c r="AB426" s="84"/>
      <c r="AC426" s="84"/>
      <c r="AD426" s="84"/>
      <c r="AE426" s="85"/>
      <c r="AF426" s="86"/>
      <c r="AG426" s="87"/>
      <c r="AH426" s="88"/>
    </row>
    <row r="427" spans="1:34" x14ac:dyDescent="0.25">
      <c r="A427" s="155" t="str">
        <f t="shared" si="12"/>
        <v/>
      </c>
      <c r="B427" s="155" t="str">
        <f t="shared" si="13"/>
        <v/>
      </c>
      <c r="C427" s="157"/>
      <c r="D427" s="150"/>
      <c r="E427" s="78"/>
      <c r="F427" s="133"/>
      <c r="G427" s="38"/>
      <c r="H427" s="39"/>
      <c r="I427" s="40"/>
      <c r="J427" s="41"/>
      <c r="K427" s="42"/>
      <c r="L427" s="43"/>
      <c r="M427" s="79"/>
      <c r="N427" s="80"/>
      <c r="O427" s="81"/>
      <c r="P427" s="82"/>
      <c r="Q427" s="83"/>
      <c r="R427" s="84"/>
      <c r="S427" s="79"/>
      <c r="T427" s="80"/>
      <c r="U427" s="81"/>
      <c r="V427" s="82"/>
      <c r="W427" s="83"/>
      <c r="X427" s="84"/>
      <c r="Y427" s="84"/>
      <c r="Z427" s="84"/>
      <c r="AA427" s="84"/>
      <c r="AB427" s="84"/>
      <c r="AC427" s="84"/>
      <c r="AD427" s="84"/>
      <c r="AE427" s="85"/>
      <c r="AF427" s="86"/>
      <c r="AG427" s="87"/>
      <c r="AH427" s="88"/>
    </row>
    <row r="428" spans="1:34" x14ac:dyDescent="0.25">
      <c r="A428" s="155" t="str">
        <f t="shared" si="12"/>
        <v/>
      </c>
      <c r="B428" s="155" t="str">
        <f t="shared" si="13"/>
        <v/>
      </c>
      <c r="C428" s="157"/>
      <c r="D428" s="150"/>
      <c r="E428" s="78"/>
      <c r="F428" s="133"/>
      <c r="G428" s="38"/>
      <c r="H428" s="39"/>
      <c r="I428" s="40"/>
      <c r="J428" s="41"/>
      <c r="K428" s="42"/>
      <c r="L428" s="43"/>
      <c r="M428" s="79"/>
      <c r="N428" s="80"/>
      <c r="O428" s="81"/>
      <c r="P428" s="82"/>
      <c r="Q428" s="83"/>
      <c r="R428" s="84"/>
      <c r="S428" s="79"/>
      <c r="T428" s="80"/>
      <c r="U428" s="81"/>
      <c r="V428" s="82"/>
      <c r="W428" s="83"/>
      <c r="X428" s="84"/>
      <c r="Y428" s="84"/>
      <c r="Z428" s="84"/>
      <c r="AA428" s="84"/>
      <c r="AB428" s="84"/>
      <c r="AC428" s="84"/>
      <c r="AD428" s="84"/>
      <c r="AE428" s="85"/>
      <c r="AF428" s="86"/>
      <c r="AG428" s="87"/>
      <c r="AH428" s="88"/>
    </row>
    <row r="429" spans="1:34" x14ac:dyDescent="0.25">
      <c r="A429" s="155" t="str">
        <f t="shared" si="12"/>
        <v/>
      </c>
      <c r="B429" s="155" t="str">
        <f t="shared" si="13"/>
        <v/>
      </c>
      <c r="C429" s="157"/>
      <c r="D429" s="150"/>
      <c r="E429" s="78"/>
      <c r="F429" s="133"/>
      <c r="G429" s="38"/>
      <c r="H429" s="39"/>
      <c r="I429" s="40"/>
      <c r="J429" s="41"/>
      <c r="K429" s="42"/>
      <c r="L429" s="43"/>
      <c r="M429" s="79"/>
      <c r="N429" s="80"/>
      <c r="O429" s="81"/>
      <c r="P429" s="82"/>
      <c r="Q429" s="83"/>
      <c r="R429" s="84"/>
      <c r="S429" s="79"/>
      <c r="T429" s="80"/>
      <c r="U429" s="81"/>
      <c r="V429" s="82"/>
      <c r="W429" s="83"/>
      <c r="X429" s="84"/>
      <c r="Y429" s="84"/>
      <c r="Z429" s="84"/>
      <c r="AA429" s="84"/>
      <c r="AB429" s="84"/>
      <c r="AC429" s="84"/>
      <c r="AD429" s="84"/>
      <c r="AE429" s="85"/>
      <c r="AF429" s="86"/>
      <c r="AG429" s="87"/>
      <c r="AH429" s="88"/>
    </row>
    <row r="430" spans="1:34" x14ac:dyDescent="0.25">
      <c r="A430" s="155" t="str">
        <f t="shared" si="12"/>
        <v/>
      </c>
      <c r="B430" s="155" t="str">
        <f t="shared" si="13"/>
        <v/>
      </c>
      <c r="C430" s="157"/>
      <c r="D430" s="150"/>
      <c r="E430" s="78"/>
      <c r="F430" s="133"/>
      <c r="G430" s="38"/>
      <c r="H430" s="39"/>
      <c r="I430" s="40"/>
      <c r="J430" s="41"/>
      <c r="K430" s="42"/>
      <c r="L430" s="43"/>
      <c r="M430" s="79"/>
      <c r="N430" s="80"/>
      <c r="O430" s="81"/>
      <c r="P430" s="82"/>
      <c r="Q430" s="83"/>
      <c r="R430" s="84"/>
      <c r="S430" s="79"/>
      <c r="T430" s="80"/>
      <c r="U430" s="81"/>
      <c r="V430" s="82"/>
      <c r="W430" s="83"/>
      <c r="X430" s="84"/>
      <c r="Y430" s="84"/>
      <c r="Z430" s="84"/>
      <c r="AA430" s="84"/>
      <c r="AB430" s="84"/>
      <c r="AC430" s="84"/>
      <c r="AD430" s="84"/>
      <c r="AE430" s="85"/>
      <c r="AF430" s="86"/>
      <c r="AG430" s="87"/>
      <c r="AH430" s="88"/>
    </row>
    <row r="431" spans="1:34" x14ac:dyDescent="0.25">
      <c r="A431" s="155" t="str">
        <f t="shared" si="12"/>
        <v/>
      </c>
      <c r="B431" s="155" t="str">
        <f t="shared" si="13"/>
        <v/>
      </c>
      <c r="C431" s="157"/>
      <c r="D431" s="150"/>
      <c r="E431" s="78"/>
      <c r="F431" s="133"/>
      <c r="G431" s="38"/>
      <c r="H431" s="39"/>
      <c r="I431" s="40"/>
      <c r="J431" s="41"/>
      <c r="K431" s="42"/>
      <c r="L431" s="43"/>
      <c r="M431" s="79"/>
      <c r="N431" s="80"/>
      <c r="O431" s="81"/>
      <c r="P431" s="82"/>
      <c r="Q431" s="83"/>
      <c r="R431" s="84"/>
      <c r="S431" s="79"/>
      <c r="T431" s="80"/>
      <c r="U431" s="81"/>
      <c r="V431" s="82"/>
      <c r="W431" s="83"/>
      <c r="X431" s="84"/>
      <c r="Y431" s="84"/>
      <c r="Z431" s="84"/>
      <c r="AA431" s="84"/>
      <c r="AB431" s="84"/>
      <c r="AC431" s="84"/>
      <c r="AD431" s="84"/>
      <c r="AE431" s="85"/>
      <c r="AF431" s="86"/>
      <c r="AG431" s="87"/>
      <c r="AH431" s="88"/>
    </row>
    <row r="432" spans="1:34" x14ac:dyDescent="0.25">
      <c r="A432" s="155" t="str">
        <f t="shared" si="12"/>
        <v/>
      </c>
      <c r="B432" s="155" t="str">
        <f t="shared" si="13"/>
        <v/>
      </c>
      <c r="C432" s="157"/>
      <c r="D432" s="150"/>
      <c r="E432" s="78"/>
      <c r="F432" s="133"/>
      <c r="G432" s="38"/>
      <c r="H432" s="39"/>
      <c r="I432" s="40"/>
      <c r="J432" s="41"/>
      <c r="K432" s="42"/>
      <c r="L432" s="43"/>
      <c r="M432" s="79"/>
      <c r="N432" s="80"/>
      <c r="O432" s="81"/>
      <c r="P432" s="82"/>
      <c r="Q432" s="83"/>
      <c r="R432" s="84"/>
      <c r="S432" s="79"/>
      <c r="T432" s="80"/>
      <c r="U432" s="81"/>
      <c r="V432" s="82"/>
      <c r="W432" s="83"/>
      <c r="X432" s="84"/>
      <c r="Y432" s="84"/>
      <c r="Z432" s="84"/>
      <c r="AA432" s="84"/>
      <c r="AB432" s="84"/>
      <c r="AC432" s="84"/>
      <c r="AD432" s="84"/>
      <c r="AE432" s="85"/>
      <c r="AF432" s="86"/>
      <c r="AG432" s="87"/>
      <c r="AH432" s="88"/>
    </row>
    <row r="433" spans="1:34" x14ac:dyDescent="0.25">
      <c r="A433" s="155" t="str">
        <f t="shared" si="12"/>
        <v/>
      </c>
      <c r="B433" s="155" t="str">
        <f t="shared" si="13"/>
        <v/>
      </c>
      <c r="C433" s="157"/>
      <c r="D433" s="150"/>
      <c r="E433" s="78"/>
      <c r="F433" s="133"/>
      <c r="G433" s="38"/>
      <c r="H433" s="39"/>
      <c r="I433" s="40"/>
      <c r="J433" s="41"/>
      <c r="K433" s="42"/>
      <c r="L433" s="43"/>
      <c r="M433" s="79"/>
      <c r="N433" s="80"/>
      <c r="O433" s="81"/>
      <c r="P433" s="82"/>
      <c r="Q433" s="83"/>
      <c r="R433" s="84"/>
      <c r="S433" s="79"/>
      <c r="T433" s="80"/>
      <c r="U433" s="81"/>
      <c r="V433" s="82"/>
      <c r="W433" s="83"/>
      <c r="X433" s="84"/>
      <c r="Y433" s="84"/>
      <c r="Z433" s="84"/>
      <c r="AA433" s="84"/>
      <c r="AB433" s="84"/>
      <c r="AC433" s="84"/>
      <c r="AD433" s="84"/>
      <c r="AE433" s="85"/>
      <c r="AF433" s="86"/>
      <c r="AG433" s="87"/>
      <c r="AH433" s="88"/>
    </row>
    <row r="434" spans="1:34" x14ac:dyDescent="0.25">
      <c r="A434" s="155" t="str">
        <f t="shared" si="12"/>
        <v/>
      </c>
      <c r="B434" s="155" t="str">
        <f t="shared" si="13"/>
        <v/>
      </c>
      <c r="C434" s="157"/>
      <c r="D434" s="150"/>
      <c r="E434" s="78"/>
      <c r="F434" s="133"/>
      <c r="G434" s="38"/>
      <c r="H434" s="39"/>
      <c r="I434" s="40"/>
      <c r="J434" s="41"/>
      <c r="K434" s="42"/>
      <c r="L434" s="43"/>
      <c r="M434" s="79"/>
      <c r="N434" s="80"/>
      <c r="O434" s="81"/>
      <c r="P434" s="82"/>
      <c r="Q434" s="83"/>
      <c r="R434" s="84"/>
      <c r="S434" s="79"/>
      <c r="T434" s="80"/>
      <c r="U434" s="81"/>
      <c r="V434" s="82"/>
      <c r="W434" s="83"/>
      <c r="X434" s="84"/>
      <c r="Y434" s="84"/>
      <c r="Z434" s="84"/>
      <c r="AA434" s="84"/>
      <c r="AB434" s="84"/>
      <c r="AC434" s="84"/>
      <c r="AD434" s="84"/>
      <c r="AE434" s="85"/>
      <c r="AF434" s="86"/>
      <c r="AG434" s="87"/>
      <c r="AH434" s="88"/>
    </row>
    <row r="435" spans="1:34" x14ac:dyDescent="0.25">
      <c r="A435" s="155" t="str">
        <f t="shared" si="12"/>
        <v/>
      </c>
      <c r="B435" s="155" t="str">
        <f t="shared" si="13"/>
        <v/>
      </c>
      <c r="C435" s="157"/>
      <c r="D435" s="150"/>
      <c r="E435" s="78"/>
      <c r="F435" s="133"/>
      <c r="G435" s="38"/>
      <c r="H435" s="39"/>
      <c r="I435" s="40"/>
      <c r="J435" s="41"/>
      <c r="K435" s="42"/>
      <c r="L435" s="43"/>
      <c r="M435" s="79"/>
      <c r="N435" s="80"/>
      <c r="O435" s="81"/>
      <c r="P435" s="82"/>
      <c r="Q435" s="83"/>
      <c r="R435" s="84"/>
      <c r="S435" s="79"/>
      <c r="T435" s="80"/>
      <c r="U435" s="81"/>
      <c r="V435" s="82"/>
      <c r="W435" s="83"/>
      <c r="X435" s="84"/>
      <c r="Y435" s="84"/>
      <c r="Z435" s="84"/>
      <c r="AA435" s="84"/>
      <c r="AB435" s="84"/>
      <c r="AC435" s="84"/>
      <c r="AD435" s="84"/>
      <c r="AE435" s="85"/>
      <c r="AF435" s="86"/>
      <c r="AG435" s="87"/>
      <c r="AH435" s="88"/>
    </row>
    <row r="436" spans="1:34" x14ac:dyDescent="0.25">
      <c r="A436" s="155" t="str">
        <f t="shared" si="12"/>
        <v/>
      </c>
      <c r="B436" s="155" t="str">
        <f t="shared" si="13"/>
        <v/>
      </c>
      <c r="C436" s="157"/>
      <c r="D436" s="150"/>
      <c r="E436" s="78"/>
      <c r="F436" s="133"/>
      <c r="G436" s="38"/>
      <c r="H436" s="39"/>
      <c r="I436" s="40"/>
      <c r="J436" s="41"/>
      <c r="K436" s="42"/>
      <c r="L436" s="43"/>
      <c r="M436" s="79"/>
      <c r="N436" s="80"/>
      <c r="O436" s="81"/>
      <c r="P436" s="82"/>
      <c r="Q436" s="83"/>
      <c r="R436" s="84"/>
      <c r="S436" s="79"/>
      <c r="T436" s="80"/>
      <c r="U436" s="81"/>
      <c r="V436" s="82"/>
      <c r="W436" s="83"/>
      <c r="X436" s="84"/>
      <c r="Y436" s="84"/>
      <c r="Z436" s="84"/>
      <c r="AA436" s="84"/>
      <c r="AB436" s="84"/>
      <c r="AC436" s="84"/>
      <c r="AD436" s="84"/>
      <c r="AE436" s="85"/>
      <c r="AF436" s="86"/>
      <c r="AG436" s="87"/>
      <c r="AH436" s="88"/>
    </row>
    <row r="437" spans="1:34" x14ac:dyDescent="0.25">
      <c r="A437" s="155" t="str">
        <f t="shared" si="12"/>
        <v/>
      </c>
      <c r="B437" s="155" t="str">
        <f t="shared" si="13"/>
        <v/>
      </c>
      <c r="C437" s="157"/>
      <c r="D437" s="150"/>
      <c r="E437" s="78"/>
      <c r="F437" s="133"/>
      <c r="G437" s="38"/>
      <c r="H437" s="39"/>
      <c r="I437" s="40"/>
      <c r="J437" s="41"/>
      <c r="K437" s="42"/>
      <c r="L437" s="43"/>
      <c r="M437" s="79"/>
      <c r="N437" s="80"/>
      <c r="O437" s="81"/>
      <c r="P437" s="82"/>
      <c r="Q437" s="83"/>
      <c r="R437" s="84"/>
      <c r="S437" s="79"/>
      <c r="T437" s="80"/>
      <c r="U437" s="81"/>
      <c r="V437" s="82"/>
      <c r="W437" s="83"/>
      <c r="X437" s="84"/>
      <c r="Y437" s="84"/>
      <c r="Z437" s="84"/>
      <c r="AA437" s="84"/>
      <c r="AB437" s="84"/>
      <c r="AC437" s="84"/>
      <c r="AD437" s="84"/>
      <c r="AE437" s="85"/>
      <c r="AF437" s="86"/>
      <c r="AG437" s="87"/>
      <c r="AH437" s="88"/>
    </row>
    <row r="438" spans="1:34" x14ac:dyDescent="0.25">
      <c r="A438" s="155" t="str">
        <f t="shared" si="12"/>
        <v/>
      </c>
      <c r="B438" s="155" t="str">
        <f t="shared" si="13"/>
        <v/>
      </c>
      <c r="C438" s="157"/>
      <c r="D438" s="150"/>
      <c r="E438" s="78"/>
      <c r="F438" s="133"/>
      <c r="G438" s="38"/>
      <c r="H438" s="39"/>
      <c r="I438" s="40"/>
      <c r="J438" s="41"/>
      <c r="K438" s="42"/>
      <c r="L438" s="43"/>
      <c r="M438" s="79"/>
      <c r="N438" s="80"/>
      <c r="O438" s="81"/>
      <c r="P438" s="82"/>
      <c r="Q438" s="83"/>
      <c r="R438" s="84"/>
      <c r="S438" s="79"/>
      <c r="T438" s="80"/>
      <c r="U438" s="81"/>
      <c r="V438" s="82"/>
      <c r="W438" s="83"/>
      <c r="X438" s="84"/>
      <c r="Y438" s="84"/>
      <c r="Z438" s="84"/>
      <c r="AA438" s="84"/>
      <c r="AB438" s="84"/>
      <c r="AC438" s="84"/>
      <c r="AD438" s="84"/>
      <c r="AE438" s="85"/>
      <c r="AF438" s="86"/>
      <c r="AG438" s="87"/>
      <c r="AH438" s="88"/>
    </row>
    <row r="439" spans="1:34" x14ac:dyDescent="0.25">
      <c r="A439" s="155" t="str">
        <f t="shared" si="12"/>
        <v/>
      </c>
      <c r="B439" s="155" t="str">
        <f t="shared" si="13"/>
        <v/>
      </c>
      <c r="C439" s="157"/>
      <c r="D439" s="150"/>
      <c r="E439" s="78"/>
      <c r="F439" s="133"/>
      <c r="G439" s="38"/>
      <c r="H439" s="39"/>
      <c r="I439" s="40"/>
      <c r="J439" s="41"/>
      <c r="K439" s="42"/>
      <c r="L439" s="43"/>
      <c r="M439" s="79"/>
      <c r="N439" s="80"/>
      <c r="O439" s="81"/>
      <c r="P439" s="82"/>
      <c r="Q439" s="83"/>
      <c r="R439" s="84"/>
      <c r="S439" s="79"/>
      <c r="T439" s="80"/>
      <c r="U439" s="81"/>
      <c r="V439" s="82"/>
      <c r="W439" s="83"/>
      <c r="X439" s="84"/>
      <c r="Y439" s="84"/>
      <c r="Z439" s="84"/>
      <c r="AA439" s="84"/>
      <c r="AB439" s="84"/>
      <c r="AC439" s="84"/>
      <c r="AD439" s="84"/>
      <c r="AE439" s="85"/>
      <c r="AF439" s="86"/>
      <c r="AG439" s="87"/>
      <c r="AH439" s="88"/>
    </row>
    <row r="440" spans="1:34" x14ac:dyDescent="0.25">
      <c r="A440" s="155" t="str">
        <f t="shared" si="12"/>
        <v/>
      </c>
      <c r="B440" s="155" t="str">
        <f t="shared" si="13"/>
        <v/>
      </c>
      <c r="C440" s="157"/>
      <c r="D440" s="150"/>
      <c r="E440" s="78"/>
      <c r="F440" s="133"/>
      <c r="G440" s="38"/>
      <c r="H440" s="39"/>
      <c r="I440" s="40"/>
      <c r="J440" s="41"/>
      <c r="K440" s="42"/>
      <c r="L440" s="43"/>
      <c r="M440" s="79"/>
      <c r="N440" s="80"/>
      <c r="O440" s="81"/>
      <c r="P440" s="82"/>
      <c r="Q440" s="83"/>
      <c r="R440" s="84"/>
      <c r="S440" s="79"/>
      <c r="T440" s="80"/>
      <c r="U440" s="81"/>
      <c r="V440" s="82"/>
      <c r="W440" s="83"/>
      <c r="X440" s="84"/>
      <c r="Y440" s="84"/>
      <c r="Z440" s="84"/>
      <c r="AA440" s="84"/>
      <c r="AB440" s="84"/>
      <c r="AC440" s="84"/>
      <c r="AD440" s="84"/>
      <c r="AE440" s="85"/>
      <c r="AF440" s="86"/>
      <c r="AG440" s="87"/>
      <c r="AH440" s="88"/>
    </row>
    <row r="441" spans="1:34" x14ac:dyDescent="0.25">
      <c r="A441" s="155" t="str">
        <f t="shared" si="12"/>
        <v/>
      </c>
      <c r="B441" s="155" t="str">
        <f t="shared" si="13"/>
        <v/>
      </c>
      <c r="C441" s="157"/>
      <c r="D441" s="150"/>
      <c r="E441" s="78"/>
      <c r="F441" s="133"/>
      <c r="G441" s="38"/>
      <c r="H441" s="39"/>
      <c r="I441" s="40"/>
      <c r="J441" s="41"/>
      <c r="K441" s="42"/>
      <c r="L441" s="43"/>
      <c r="M441" s="79"/>
      <c r="N441" s="80"/>
      <c r="O441" s="81"/>
      <c r="P441" s="82"/>
      <c r="Q441" s="83"/>
      <c r="R441" s="84"/>
      <c r="S441" s="79"/>
      <c r="T441" s="80"/>
      <c r="U441" s="81"/>
      <c r="V441" s="82"/>
      <c r="W441" s="83"/>
      <c r="X441" s="84"/>
      <c r="Y441" s="84"/>
      <c r="Z441" s="84"/>
      <c r="AA441" s="84"/>
      <c r="AB441" s="84"/>
      <c r="AC441" s="84"/>
      <c r="AD441" s="84"/>
      <c r="AE441" s="85"/>
      <c r="AF441" s="86"/>
      <c r="AG441" s="87"/>
      <c r="AH441" s="88"/>
    </row>
    <row r="442" spans="1:34" x14ac:dyDescent="0.25">
      <c r="A442" s="155" t="str">
        <f t="shared" si="12"/>
        <v/>
      </c>
      <c r="B442" s="155" t="str">
        <f t="shared" si="13"/>
        <v/>
      </c>
      <c r="C442" s="157"/>
      <c r="D442" s="150"/>
      <c r="E442" s="78"/>
      <c r="F442" s="133"/>
      <c r="G442" s="38"/>
      <c r="H442" s="39"/>
      <c r="I442" s="40"/>
      <c r="J442" s="41"/>
      <c r="K442" s="42"/>
      <c r="L442" s="43"/>
      <c r="M442" s="79"/>
      <c r="N442" s="80"/>
      <c r="O442" s="81"/>
      <c r="P442" s="82"/>
      <c r="Q442" s="83"/>
      <c r="R442" s="84"/>
      <c r="S442" s="79"/>
      <c r="T442" s="80"/>
      <c r="U442" s="81"/>
      <c r="V442" s="82"/>
      <c r="W442" s="83"/>
      <c r="X442" s="84"/>
      <c r="Y442" s="84"/>
      <c r="Z442" s="84"/>
      <c r="AA442" s="84"/>
      <c r="AB442" s="84"/>
      <c r="AC442" s="84"/>
      <c r="AD442" s="84"/>
      <c r="AE442" s="85"/>
      <c r="AF442" s="86"/>
      <c r="AG442" s="87"/>
      <c r="AH442" s="88"/>
    </row>
    <row r="443" spans="1:34" x14ac:dyDescent="0.25">
      <c r="A443" s="155" t="str">
        <f t="shared" si="12"/>
        <v/>
      </c>
      <c r="B443" s="155" t="str">
        <f t="shared" si="13"/>
        <v/>
      </c>
      <c r="C443" s="157"/>
      <c r="D443" s="150"/>
      <c r="E443" s="78"/>
      <c r="F443" s="133"/>
      <c r="G443" s="38"/>
      <c r="H443" s="39"/>
      <c r="I443" s="40"/>
      <c r="J443" s="41"/>
      <c r="K443" s="42"/>
      <c r="L443" s="43"/>
      <c r="M443" s="79"/>
      <c r="N443" s="80"/>
      <c r="O443" s="81"/>
      <c r="P443" s="82"/>
      <c r="Q443" s="83"/>
      <c r="R443" s="84"/>
      <c r="S443" s="79"/>
      <c r="T443" s="80"/>
      <c r="U443" s="81"/>
      <c r="V443" s="82"/>
      <c r="W443" s="83"/>
      <c r="X443" s="84"/>
      <c r="Y443" s="84"/>
      <c r="Z443" s="84"/>
      <c r="AA443" s="84"/>
      <c r="AB443" s="84"/>
      <c r="AC443" s="84"/>
      <c r="AD443" s="84"/>
      <c r="AE443" s="85"/>
      <c r="AF443" s="86"/>
      <c r="AG443" s="87"/>
      <c r="AH443" s="88"/>
    </row>
    <row r="444" spans="1:34" x14ac:dyDescent="0.25">
      <c r="A444" s="155" t="str">
        <f t="shared" si="12"/>
        <v/>
      </c>
      <c r="B444" s="155" t="str">
        <f t="shared" si="13"/>
        <v/>
      </c>
      <c r="C444" s="157"/>
      <c r="D444" s="150"/>
      <c r="E444" s="78"/>
      <c r="F444" s="133"/>
      <c r="G444" s="38"/>
      <c r="H444" s="39"/>
      <c r="I444" s="40"/>
      <c r="J444" s="41"/>
      <c r="K444" s="42"/>
      <c r="L444" s="43"/>
      <c r="M444" s="79"/>
      <c r="N444" s="80"/>
      <c r="O444" s="81"/>
      <c r="P444" s="82"/>
      <c r="Q444" s="83"/>
      <c r="R444" s="84"/>
      <c r="S444" s="79"/>
      <c r="T444" s="80"/>
      <c r="U444" s="81"/>
      <c r="V444" s="82"/>
      <c r="W444" s="83"/>
      <c r="X444" s="84"/>
      <c r="Y444" s="84"/>
      <c r="Z444" s="84"/>
      <c r="AA444" s="84"/>
      <c r="AB444" s="84"/>
      <c r="AC444" s="84"/>
      <c r="AD444" s="84"/>
      <c r="AE444" s="85"/>
      <c r="AF444" s="86"/>
      <c r="AG444" s="87"/>
      <c r="AH444" s="88"/>
    </row>
    <row r="445" spans="1:34" x14ac:dyDescent="0.25">
      <c r="A445" s="155" t="str">
        <f t="shared" si="12"/>
        <v/>
      </c>
      <c r="B445" s="155" t="str">
        <f t="shared" si="13"/>
        <v/>
      </c>
      <c r="C445" s="157"/>
      <c r="D445" s="150"/>
      <c r="E445" s="78"/>
      <c r="F445" s="133"/>
      <c r="G445" s="38"/>
      <c r="H445" s="39"/>
      <c r="I445" s="40"/>
      <c r="J445" s="41"/>
      <c r="K445" s="42"/>
      <c r="L445" s="43"/>
      <c r="M445" s="79"/>
      <c r="N445" s="80"/>
      <c r="O445" s="81"/>
      <c r="P445" s="82"/>
      <c r="Q445" s="83"/>
      <c r="R445" s="84"/>
      <c r="S445" s="79"/>
      <c r="T445" s="80"/>
      <c r="U445" s="81"/>
      <c r="V445" s="82"/>
      <c r="W445" s="83"/>
      <c r="X445" s="84"/>
      <c r="Y445" s="84"/>
      <c r="Z445" s="84"/>
      <c r="AA445" s="84"/>
      <c r="AB445" s="84"/>
      <c r="AC445" s="84"/>
      <c r="AD445" s="84"/>
      <c r="AE445" s="85"/>
      <c r="AF445" s="86"/>
      <c r="AG445" s="87"/>
      <c r="AH445" s="88"/>
    </row>
    <row r="446" spans="1:34" x14ac:dyDescent="0.25">
      <c r="A446" s="155" t="str">
        <f t="shared" si="12"/>
        <v/>
      </c>
      <c r="B446" s="155" t="str">
        <f t="shared" si="13"/>
        <v/>
      </c>
      <c r="C446" s="157"/>
      <c r="D446" s="150"/>
      <c r="E446" s="78"/>
      <c r="F446" s="133"/>
      <c r="G446" s="38"/>
      <c r="H446" s="39"/>
      <c r="I446" s="40"/>
      <c r="J446" s="41"/>
      <c r="K446" s="42"/>
      <c r="L446" s="43"/>
      <c r="M446" s="79"/>
      <c r="N446" s="80"/>
      <c r="O446" s="81"/>
      <c r="P446" s="82"/>
      <c r="Q446" s="83"/>
      <c r="R446" s="84"/>
      <c r="S446" s="79"/>
      <c r="T446" s="80"/>
      <c r="U446" s="81"/>
      <c r="V446" s="82"/>
      <c r="W446" s="83"/>
      <c r="X446" s="84"/>
      <c r="Y446" s="84"/>
      <c r="Z446" s="84"/>
      <c r="AA446" s="84"/>
      <c r="AB446" s="84"/>
      <c r="AC446" s="84"/>
      <c r="AD446" s="84"/>
      <c r="AE446" s="85"/>
      <c r="AF446" s="86"/>
      <c r="AG446" s="87"/>
      <c r="AH446" s="88"/>
    </row>
    <row r="447" spans="1:34" x14ac:dyDescent="0.25">
      <c r="A447" s="155" t="str">
        <f t="shared" si="12"/>
        <v/>
      </c>
      <c r="B447" s="155" t="str">
        <f t="shared" si="13"/>
        <v/>
      </c>
      <c r="C447" s="157"/>
      <c r="D447" s="150"/>
      <c r="E447" s="78"/>
      <c r="F447" s="133"/>
      <c r="G447" s="38"/>
      <c r="H447" s="39"/>
      <c r="I447" s="40"/>
      <c r="J447" s="41"/>
      <c r="K447" s="42"/>
      <c r="L447" s="43"/>
      <c r="M447" s="79"/>
      <c r="N447" s="80"/>
      <c r="O447" s="81"/>
      <c r="P447" s="82"/>
      <c r="Q447" s="83"/>
      <c r="R447" s="84"/>
      <c r="S447" s="79"/>
      <c r="T447" s="80"/>
      <c r="U447" s="81"/>
      <c r="V447" s="82"/>
      <c r="W447" s="83"/>
      <c r="X447" s="84"/>
      <c r="Y447" s="84"/>
      <c r="Z447" s="84"/>
      <c r="AA447" s="84"/>
      <c r="AB447" s="84"/>
      <c r="AC447" s="84"/>
      <c r="AD447" s="84"/>
      <c r="AE447" s="85"/>
      <c r="AF447" s="86"/>
      <c r="AG447" s="87"/>
      <c r="AH447" s="88"/>
    </row>
    <row r="448" spans="1:34" x14ac:dyDescent="0.25">
      <c r="A448" s="155" t="str">
        <f t="shared" si="12"/>
        <v/>
      </c>
      <c r="B448" s="155" t="str">
        <f t="shared" si="13"/>
        <v/>
      </c>
      <c r="C448" s="157"/>
      <c r="D448" s="150"/>
      <c r="E448" s="78"/>
      <c r="F448" s="133"/>
      <c r="G448" s="38"/>
      <c r="H448" s="39"/>
      <c r="I448" s="40"/>
      <c r="J448" s="41"/>
      <c r="K448" s="42"/>
      <c r="L448" s="43"/>
      <c r="M448" s="79"/>
      <c r="N448" s="80"/>
      <c r="O448" s="81"/>
      <c r="P448" s="82"/>
      <c r="Q448" s="83"/>
      <c r="R448" s="84"/>
      <c r="S448" s="79"/>
      <c r="T448" s="80"/>
      <c r="U448" s="81"/>
      <c r="V448" s="82"/>
      <c r="W448" s="83"/>
      <c r="X448" s="84"/>
      <c r="Y448" s="84"/>
      <c r="Z448" s="84"/>
      <c r="AA448" s="84"/>
      <c r="AB448" s="84"/>
      <c r="AC448" s="84"/>
      <c r="AD448" s="84"/>
      <c r="AE448" s="85"/>
      <c r="AF448" s="86"/>
      <c r="AG448" s="87"/>
      <c r="AH448" s="88"/>
    </row>
    <row r="449" spans="1:34" x14ac:dyDescent="0.25">
      <c r="A449" s="155" t="str">
        <f t="shared" si="12"/>
        <v/>
      </c>
      <c r="B449" s="155" t="str">
        <f t="shared" si="13"/>
        <v/>
      </c>
      <c r="C449" s="157"/>
      <c r="D449" s="150"/>
      <c r="E449" s="78"/>
      <c r="F449" s="133"/>
      <c r="G449" s="38"/>
      <c r="H449" s="39"/>
      <c r="I449" s="40"/>
      <c r="J449" s="41"/>
      <c r="K449" s="42"/>
      <c r="L449" s="43"/>
      <c r="M449" s="79"/>
      <c r="N449" s="80"/>
      <c r="O449" s="81"/>
      <c r="P449" s="82"/>
      <c r="Q449" s="83"/>
      <c r="R449" s="84"/>
      <c r="S449" s="79"/>
      <c r="T449" s="80"/>
      <c r="U449" s="81"/>
      <c r="V449" s="82"/>
      <c r="W449" s="83"/>
      <c r="X449" s="84"/>
      <c r="Y449" s="84"/>
      <c r="Z449" s="84"/>
      <c r="AA449" s="84"/>
      <c r="AB449" s="84"/>
      <c r="AC449" s="84"/>
      <c r="AD449" s="84"/>
      <c r="AE449" s="85"/>
      <c r="AF449" s="86"/>
      <c r="AG449" s="87"/>
      <c r="AH449" s="88"/>
    </row>
    <row r="450" spans="1:34" x14ac:dyDescent="0.25">
      <c r="A450" s="155" t="str">
        <f t="shared" si="12"/>
        <v/>
      </c>
      <c r="B450" s="155" t="str">
        <f t="shared" si="13"/>
        <v/>
      </c>
      <c r="C450" s="157"/>
      <c r="D450" s="150"/>
      <c r="E450" s="78"/>
      <c r="F450" s="133"/>
      <c r="G450" s="38"/>
      <c r="H450" s="39"/>
      <c r="I450" s="40"/>
      <c r="J450" s="41"/>
      <c r="K450" s="42"/>
      <c r="L450" s="43"/>
      <c r="M450" s="79"/>
      <c r="N450" s="80"/>
      <c r="O450" s="81"/>
      <c r="P450" s="82"/>
      <c r="Q450" s="83"/>
      <c r="R450" s="84"/>
      <c r="S450" s="79"/>
      <c r="T450" s="80"/>
      <c r="U450" s="81"/>
      <c r="V450" s="82"/>
      <c r="W450" s="83"/>
      <c r="X450" s="84"/>
      <c r="Y450" s="84"/>
      <c r="Z450" s="84"/>
      <c r="AA450" s="84"/>
      <c r="AB450" s="84"/>
      <c r="AC450" s="84"/>
      <c r="AD450" s="84"/>
      <c r="AE450" s="85"/>
      <c r="AF450" s="86"/>
      <c r="AG450" s="87"/>
      <c r="AH450" s="88"/>
    </row>
    <row r="451" spans="1:34" x14ac:dyDescent="0.25">
      <c r="A451" s="155" t="str">
        <f t="shared" si="12"/>
        <v/>
      </c>
      <c r="B451" s="155" t="str">
        <f t="shared" si="13"/>
        <v/>
      </c>
      <c r="C451" s="157"/>
      <c r="D451" s="150"/>
      <c r="E451" s="78"/>
      <c r="F451" s="133"/>
      <c r="G451" s="38"/>
      <c r="H451" s="39"/>
      <c r="I451" s="40"/>
      <c r="J451" s="41"/>
      <c r="K451" s="42"/>
      <c r="L451" s="43"/>
      <c r="M451" s="79"/>
      <c r="N451" s="80"/>
      <c r="O451" s="81"/>
      <c r="P451" s="82"/>
      <c r="Q451" s="83"/>
      <c r="R451" s="84"/>
      <c r="S451" s="79"/>
      <c r="T451" s="80"/>
      <c r="U451" s="81"/>
      <c r="V451" s="82"/>
      <c r="W451" s="83"/>
      <c r="X451" s="84"/>
      <c r="Y451" s="84"/>
      <c r="Z451" s="84"/>
      <c r="AA451" s="84"/>
      <c r="AB451" s="84"/>
      <c r="AC451" s="84"/>
      <c r="AD451" s="84"/>
      <c r="AE451" s="85"/>
      <c r="AF451" s="86"/>
      <c r="AG451" s="87"/>
      <c r="AH451" s="88"/>
    </row>
    <row r="452" spans="1:34" x14ac:dyDescent="0.25">
      <c r="A452" s="155" t="str">
        <f t="shared" si="12"/>
        <v/>
      </c>
      <c r="B452" s="155" t="str">
        <f t="shared" si="13"/>
        <v/>
      </c>
      <c r="C452" s="157"/>
      <c r="D452" s="150"/>
      <c r="E452" s="78"/>
      <c r="F452" s="133"/>
      <c r="G452" s="38"/>
      <c r="H452" s="39"/>
      <c r="I452" s="40"/>
      <c r="J452" s="41"/>
      <c r="K452" s="42"/>
      <c r="L452" s="43"/>
      <c r="M452" s="79"/>
      <c r="N452" s="80"/>
      <c r="O452" s="81"/>
      <c r="P452" s="82"/>
      <c r="Q452" s="83"/>
      <c r="R452" s="84"/>
      <c r="S452" s="79"/>
      <c r="T452" s="80"/>
      <c r="U452" s="81"/>
      <c r="V452" s="82"/>
      <c r="W452" s="83"/>
      <c r="X452" s="84"/>
      <c r="Y452" s="84"/>
      <c r="Z452" s="84"/>
      <c r="AA452" s="84"/>
      <c r="AB452" s="84"/>
      <c r="AC452" s="84"/>
      <c r="AD452" s="84"/>
      <c r="AE452" s="85"/>
      <c r="AF452" s="86"/>
      <c r="AG452" s="87"/>
      <c r="AH452" s="88"/>
    </row>
    <row r="453" spans="1:34" x14ac:dyDescent="0.25">
      <c r="A453" s="155" t="str">
        <f t="shared" si="12"/>
        <v/>
      </c>
      <c r="B453" s="155" t="str">
        <f t="shared" si="13"/>
        <v/>
      </c>
      <c r="C453" s="157"/>
      <c r="D453" s="150"/>
      <c r="E453" s="78"/>
      <c r="F453" s="133"/>
      <c r="G453" s="38"/>
      <c r="H453" s="39"/>
      <c r="I453" s="40"/>
      <c r="J453" s="41"/>
      <c r="K453" s="42"/>
      <c r="L453" s="43"/>
      <c r="M453" s="79"/>
      <c r="N453" s="80"/>
      <c r="O453" s="81"/>
      <c r="P453" s="82"/>
      <c r="Q453" s="83"/>
      <c r="R453" s="84"/>
      <c r="S453" s="79"/>
      <c r="T453" s="80"/>
      <c r="U453" s="81"/>
      <c r="V453" s="82"/>
      <c r="W453" s="83"/>
      <c r="X453" s="84"/>
      <c r="Y453" s="84"/>
      <c r="Z453" s="84"/>
      <c r="AA453" s="84"/>
      <c r="AB453" s="84"/>
      <c r="AC453" s="84"/>
      <c r="AD453" s="84"/>
      <c r="AE453" s="85"/>
      <c r="AF453" s="86"/>
      <c r="AG453" s="87"/>
      <c r="AH453" s="88"/>
    </row>
    <row r="454" spans="1:34" x14ac:dyDescent="0.25">
      <c r="A454" s="155" t="str">
        <f t="shared" ref="A454:A505" si="14">IF(COUNTIF(S454:X454,"&gt;0")=0,"",COUNTIF(S454:X454,"&gt;0"))</f>
        <v/>
      </c>
      <c r="B454" s="155" t="str">
        <f t="shared" ref="B454:B505" si="15">IF(A454="","",COUNTA(G454:L454)-A454)</f>
        <v/>
      </c>
      <c r="C454" s="157"/>
      <c r="D454" s="150"/>
      <c r="E454" s="78"/>
      <c r="F454" s="133"/>
      <c r="G454" s="38"/>
      <c r="H454" s="39"/>
      <c r="I454" s="40"/>
      <c r="J454" s="41"/>
      <c r="K454" s="42"/>
      <c r="L454" s="43"/>
      <c r="M454" s="79"/>
      <c r="N454" s="80"/>
      <c r="O454" s="81"/>
      <c r="P454" s="82"/>
      <c r="Q454" s="83"/>
      <c r="R454" s="84"/>
      <c r="S454" s="79"/>
      <c r="T454" s="80"/>
      <c r="U454" s="81"/>
      <c r="V454" s="82"/>
      <c r="W454" s="83"/>
      <c r="X454" s="84"/>
      <c r="Y454" s="84"/>
      <c r="Z454" s="84"/>
      <c r="AA454" s="84"/>
      <c r="AB454" s="84"/>
      <c r="AC454" s="84"/>
      <c r="AD454" s="84"/>
      <c r="AE454" s="85"/>
      <c r="AF454" s="86"/>
      <c r="AG454" s="87"/>
      <c r="AH454" s="88"/>
    </row>
    <row r="455" spans="1:34" x14ac:dyDescent="0.25">
      <c r="A455" s="155" t="str">
        <f t="shared" si="14"/>
        <v/>
      </c>
      <c r="B455" s="155" t="str">
        <f t="shared" si="15"/>
        <v/>
      </c>
      <c r="C455" s="157"/>
      <c r="D455" s="150"/>
      <c r="E455" s="78"/>
      <c r="F455" s="133"/>
      <c r="G455" s="38"/>
      <c r="H455" s="39"/>
      <c r="I455" s="40"/>
      <c r="J455" s="41"/>
      <c r="K455" s="42"/>
      <c r="L455" s="43"/>
      <c r="M455" s="79"/>
      <c r="N455" s="80"/>
      <c r="O455" s="81"/>
      <c r="P455" s="82"/>
      <c r="Q455" s="83"/>
      <c r="R455" s="84"/>
      <c r="S455" s="79"/>
      <c r="T455" s="80"/>
      <c r="U455" s="81"/>
      <c r="V455" s="82"/>
      <c r="W455" s="83"/>
      <c r="X455" s="84"/>
      <c r="Y455" s="84"/>
      <c r="Z455" s="84"/>
      <c r="AA455" s="84"/>
      <c r="AB455" s="84"/>
      <c r="AC455" s="84"/>
      <c r="AD455" s="84"/>
      <c r="AE455" s="85"/>
      <c r="AF455" s="86"/>
      <c r="AG455" s="87"/>
      <c r="AH455" s="88"/>
    </row>
    <row r="456" spans="1:34" x14ac:dyDescent="0.25">
      <c r="A456" s="155" t="str">
        <f t="shared" si="14"/>
        <v/>
      </c>
      <c r="B456" s="155" t="str">
        <f t="shared" si="15"/>
        <v/>
      </c>
      <c r="C456" s="157"/>
      <c r="D456" s="150"/>
      <c r="E456" s="78"/>
      <c r="F456" s="133"/>
      <c r="G456" s="38"/>
      <c r="H456" s="39"/>
      <c r="I456" s="40"/>
      <c r="J456" s="41"/>
      <c r="K456" s="42"/>
      <c r="L456" s="43"/>
      <c r="M456" s="79"/>
      <c r="N456" s="80"/>
      <c r="O456" s="81"/>
      <c r="P456" s="82"/>
      <c r="Q456" s="83"/>
      <c r="R456" s="84"/>
      <c r="S456" s="79"/>
      <c r="T456" s="80"/>
      <c r="U456" s="81"/>
      <c r="V456" s="82"/>
      <c r="W456" s="83"/>
      <c r="X456" s="84"/>
      <c r="Y456" s="84"/>
      <c r="Z456" s="84"/>
      <c r="AA456" s="84"/>
      <c r="AB456" s="84"/>
      <c r="AC456" s="84"/>
      <c r="AD456" s="84"/>
      <c r="AE456" s="85"/>
      <c r="AF456" s="86"/>
      <c r="AG456" s="87"/>
      <c r="AH456" s="88"/>
    </row>
    <row r="457" spans="1:34" x14ac:dyDescent="0.25">
      <c r="A457" s="155" t="str">
        <f t="shared" si="14"/>
        <v/>
      </c>
      <c r="B457" s="155" t="str">
        <f t="shared" si="15"/>
        <v/>
      </c>
      <c r="C457" s="157"/>
      <c r="D457" s="150"/>
      <c r="E457" s="78"/>
      <c r="F457" s="133"/>
      <c r="G457" s="38"/>
      <c r="H457" s="39"/>
      <c r="I457" s="40"/>
      <c r="J457" s="41"/>
      <c r="K457" s="42"/>
      <c r="L457" s="43"/>
      <c r="M457" s="79"/>
      <c r="N457" s="80"/>
      <c r="O457" s="81"/>
      <c r="P457" s="82"/>
      <c r="Q457" s="83"/>
      <c r="R457" s="84"/>
      <c r="S457" s="79"/>
      <c r="T457" s="80"/>
      <c r="U457" s="81"/>
      <c r="V457" s="82"/>
      <c r="W457" s="83"/>
      <c r="X457" s="84"/>
      <c r="Y457" s="84"/>
      <c r="Z457" s="84"/>
      <c r="AA457" s="84"/>
      <c r="AB457" s="84"/>
      <c r="AC457" s="84"/>
      <c r="AD457" s="84"/>
      <c r="AE457" s="85"/>
      <c r="AF457" s="86"/>
      <c r="AG457" s="87"/>
      <c r="AH457" s="88"/>
    </row>
    <row r="458" spans="1:34" x14ac:dyDescent="0.25">
      <c r="A458" s="155" t="str">
        <f t="shared" si="14"/>
        <v/>
      </c>
      <c r="B458" s="155" t="str">
        <f t="shared" si="15"/>
        <v/>
      </c>
      <c r="C458" s="157"/>
      <c r="D458" s="150"/>
      <c r="E458" s="78"/>
      <c r="F458" s="133"/>
      <c r="G458" s="38"/>
      <c r="H458" s="39"/>
      <c r="I458" s="40"/>
      <c r="J458" s="41"/>
      <c r="K458" s="42"/>
      <c r="L458" s="43"/>
      <c r="M458" s="79"/>
      <c r="N458" s="80"/>
      <c r="O458" s="81"/>
      <c r="P458" s="82"/>
      <c r="Q458" s="83"/>
      <c r="R458" s="84"/>
      <c r="S458" s="79"/>
      <c r="T458" s="80"/>
      <c r="U458" s="81"/>
      <c r="V458" s="82"/>
      <c r="W458" s="83"/>
      <c r="X458" s="84"/>
      <c r="Y458" s="84"/>
      <c r="Z458" s="84"/>
      <c r="AA458" s="84"/>
      <c r="AB458" s="84"/>
      <c r="AC458" s="84"/>
      <c r="AD458" s="84"/>
      <c r="AE458" s="85"/>
      <c r="AF458" s="86"/>
      <c r="AG458" s="87"/>
      <c r="AH458" s="88"/>
    </row>
    <row r="459" spans="1:34" x14ac:dyDescent="0.25">
      <c r="A459" s="155" t="str">
        <f t="shared" si="14"/>
        <v/>
      </c>
      <c r="B459" s="155" t="str">
        <f t="shared" si="15"/>
        <v/>
      </c>
      <c r="C459" s="157"/>
      <c r="D459" s="150"/>
      <c r="E459" s="78"/>
      <c r="F459" s="133"/>
      <c r="G459" s="38"/>
      <c r="H459" s="39"/>
      <c r="I459" s="40"/>
      <c r="J459" s="41"/>
      <c r="K459" s="42"/>
      <c r="L459" s="43"/>
      <c r="M459" s="79"/>
      <c r="N459" s="80"/>
      <c r="O459" s="81"/>
      <c r="P459" s="82"/>
      <c r="Q459" s="83"/>
      <c r="R459" s="84"/>
      <c r="S459" s="79"/>
      <c r="T459" s="80"/>
      <c r="U459" s="81"/>
      <c r="V459" s="82"/>
      <c r="W459" s="83"/>
      <c r="X459" s="84"/>
      <c r="Y459" s="84"/>
      <c r="Z459" s="84"/>
      <c r="AA459" s="84"/>
      <c r="AB459" s="84"/>
      <c r="AC459" s="84"/>
      <c r="AD459" s="84"/>
      <c r="AE459" s="85"/>
      <c r="AF459" s="86"/>
      <c r="AG459" s="87"/>
      <c r="AH459" s="88"/>
    </row>
    <row r="460" spans="1:34" x14ac:dyDescent="0.25">
      <c r="A460" s="155" t="str">
        <f t="shared" si="14"/>
        <v/>
      </c>
      <c r="B460" s="155" t="str">
        <f t="shared" si="15"/>
        <v/>
      </c>
      <c r="C460" s="157"/>
      <c r="D460" s="150"/>
      <c r="E460" s="78"/>
      <c r="F460" s="133"/>
      <c r="G460" s="38"/>
      <c r="H460" s="39"/>
      <c r="I460" s="40"/>
      <c r="J460" s="41"/>
      <c r="K460" s="42"/>
      <c r="L460" s="43"/>
      <c r="M460" s="79"/>
      <c r="N460" s="80"/>
      <c r="O460" s="81"/>
      <c r="P460" s="82"/>
      <c r="Q460" s="83"/>
      <c r="R460" s="84"/>
      <c r="S460" s="79"/>
      <c r="T460" s="80"/>
      <c r="U460" s="81"/>
      <c r="V460" s="82"/>
      <c r="W460" s="83"/>
      <c r="X460" s="84"/>
      <c r="Y460" s="84"/>
      <c r="Z460" s="84"/>
      <c r="AA460" s="84"/>
      <c r="AB460" s="84"/>
      <c r="AC460" s="84"/>
      <c r="AD460" s="84"/>
      <c r="AE460" s="85"/>
      <c r="AF460" s="86"/>
      <c r="AG460" s="87"/>
      <c r="AH460" s="88"/>
    </row>
    <row r="461" spans="1:34" x14ac:dyDescent="0.25">
      <c r="A461" s="155" t="str">
        <f t="shared" si="14"/>
        <v/>
      </c>
      <c r="B461" s="155" t="str">
        <f t="shared" si="15"/>
        <v/>
      </c>
      <c r="C461" s="157"/>
      <c r="D461" s="150"/>
      <c r="E461" s="78"/>
      <c r="F461" s="133"/>
      <c r="G461" s="38"/>
      <c r="H461" s="39"/>
      <c r="I461" s="40"/>
      <c r="J461" s="41"/>
      <c r="K461" s="42"/>
      <c r="L461" s="43"/>
      <c r="M461" s="79"/>
      <c r="N461" s="80"/>
      <c r="O461" s="81"/>
      <c r="P461" s="82"/>
      <c r="Q461" s="83"/>
      <c r="R461" s="84"/>
      <c r="S461" s="79"/>
      <c r="T461" s="80"/>
      <c r="U461" s="81"/>
      <c r="V461" s="82"/>
      <c r="W461" s="83"/>
      <c r="X461" s="84"/>
      <c r="Y461" s="84"/>
      <c r="Z461" s="84"/>
      <c r="AA461" s="84"/>
      <c r="AB461" s="84"/>
      <c r="AC461" s="84"/>
      <c r="AD461" s="84"/>
      <c r="AE461" s="85"/>
      <c r="AF461" s="86"/>
      <c r="AG461" s="87"/>
      <c r="AH461" s="88"/>
    </row>
    <row r="462" spans="1:34" x14ac:dyDescent="0.25">
      <c r="A462" s="155" t="str">
        <f t="shared" si="14"/>
        <v/>
      </c>
      <c r="B462" s="155" t="str">
        <f t="shared" si="15"/>
        <v/>
      </c>
      <c r="C462" s="157"/>
      <c r="D462" s="150"/>
      <c r="E462" s="78"/>
      <c r="F462" s="133"/>
      <c r="G462" s="38"/>
      <c r="H462" s="39"/>
      <c r="I462" s="40"/>
      <c r="J462" s="41"/>
      <c r="K462" s="42"/>
      <c r="L462" s="43"/>
      <c r="M462" s="79"/>
      <c r="N462" s="80"/>
      <c r="O462" s="81"/>
      <c r="P462" s="82"/>
      <c r="Q462" s="83"/>
      <c r="R462" s="84"/>
      <c r="S462" s="79"/>
      <c r="T462" s="80"/>
      <c r="U462" s="81"/>
      <c r="V462" s="82"/>
      <c r="W462" s="83"/>
      <c r="X462" s="84"/>
      <c r="Y462" s="84"/>
      <c r="Z462" s="84"/>
      <c r="AA462" s="84"/>
      <c r="AB462" s="84"/>
      <c r="AC462" s="84"/>
      <c r="AD462" s="84"/>
      <c r="AE462" s="85"/>
      <c r="AF462" s="86"/>
      <c r="AG462" s="87"/>
      <c r="AH462" s="88"/>
    </row>
    <row r="463" spans="1:34" x14ac:dyDescent="0.25">
      <c r="A463" s="155" t="str">
        <f t="shared" si="14"/>
        <v/>
      </c>
      <c r="B463" s="155" t="str">
        <f t="shared" si="15"/>
        <v/>
      </c>
      <c r="C463" s="157"/>
      <c r="D463" s="150"/>
      <c r="E463" s="78"/>
      <c r="F463" s="133"/>
      <c r="G463" s="38"/>
      <c r="H463" s="39"/>
      <c r="I463" s="40"/>
      <c r="J463" s="41"/>
      <c r="K463" s="42"/>
      <c r="L463" s="43"/>
      <c r="M463" s="79"/>
      <c r="N463" s="80"/>
      <c r="O463" s="81"/>
      <c r="P463" s="82"/>
      <c r="Q463" s="83"/>
      <c r="R463" s="84"/>
      <c r="S463" s="79"/>
      <c r="T463" s="80"/>
      <c r="U463" s="81"/>
      <c r="V463" s="82"/>
      <c r="W463" s="83"/>
      <c r="X463" s="84"/>
      <c r="Y463" s="84"/>
      <c r="Z463" s="84"/>
      <c r="AA463" s="84"/>
      <c r="AB463" s="84"/>
      <c r="AC463" s="84"/>
      <c r="AD463" s="84"/>
      <c r="AE463" s="85"/>
      <c r="AF463" s="86"/>
      <c r="AG463" s="87"/>
      <c r="AH463" s="88"/>
    </row>
    <row r="464" spans="1:34" x14ac:dyDescent="0.25">
      <c r="A464" s="155" t="str">
        <f t="shared" si="14"/>
        <v/>
      </c>
      <c r="B464" s="155" t="str">
        <f t="shared" si="15"/>
        <v/>
      </c>
      <c r="C464" s="157"/>
      <c r="D464" s="150"/>
      <c r="E464" s="78"/>
      <c r="F464" s="133"/>
      <c r="G464" s="38"/>
      <c r="H464" s="39"/>
      <c r="I464" s="40"/>
      <c r="J464" s="41"/>
      <c r="K464" s="42"/>
      <c r="L464" s="43"/>
      <c r="M464" s="79"/>
      <c r="N464" s="80"/>
      <c r="O464" s="81"/>
      <c r="P464" s="82"/>
      <c r="Q464" s="83"/>
      <c r="R464" s="84"/>
      <c r="S464" s="79"/>
      <c r="T464" s="80"/>
      <c r="U464" s="81"/>
      <c r="V464" s="82"/>
      <c r="W464" s="83"/>
      <c r="X464" s="84"/>
      <c r="Y464" s="84"/>
      <c r="Z464" s="84"/>
      <c r="AA464" s="84"/>
      <c r="AB464" s="84"/>
      <c r="AC464" s="84"/>
      <c r="AD464" s="84"/>
      <c r="AE464" s="85"/>
      <c r="AF464" s="86"/>
      <c r="AG464" s="87"/>
      <c r="AH464" s="88"/>
    </row>
    <row r="465" spans="1:34" x14ac:dyDescent="0.25">
      <c r="A465" s="155" t="str">
        <f t="shared" si="14"/>
        <v/>
      </c>
      <c r="B465" s="155" t="str">
        <f t="shared" si="15"/>
        <v/>
      </c>
      <c r="C465" s="157"/>
      <c r="D465" s="150"/>
      <c r="E465" s="78"/>
      <c r="F465" s="133"/>
      <c r="G465" s="38"/>
      <c r="H465" s="39"/>
      <c r="I465" s="40"/>
      <c r="J465" s="41"/>
      <c r="K465" s="42"/>
      <c r="L465" s="43"/>
      <c r="M465" s="79"/>
      <c r="N465" s="80"/>
      <c r="O465" s="81"/>
      <c r="P465" s="82"/>
      <c r="Q465" s="83"/>
      <c r="R465" s="84"/>
      <c r="S465" s="79"/>
      <c r="T465" s="80"/>
      <c r="U465" s="81"/>
      <c r="V465" s="82"/>
      <c r="W465" s="83"/>
      <c r="X465" s="84"/>
      <c r="Y465" s="84"/>
      <c r="Z465" s="84"/>
      <c r="AA465" s="84"/>
      <c r="AB465" s="84"/>
      <c r="AC465" s="84"/>
      <c r="AD465" s="84"/>
      <c r="AE465" s="85"/>
      <c r="AF465" s="86"/>
      <c r="AG465" s="87"/>
      <c r="AH465" s="88"/>
    </row>
    <row r="466" spans="1:34" x14ac:dyDescent="0.25">
      <c r="A466" s="155" t="str">
        <f t="shared" si="14"/>
        <v/>
      </c>
      <c r="B466" s="155" t="str">
        <f t="shared" si="15"/>
        <v/>
      </c>
      <c r="C466" s="157"/>
      <c r="D466" s="150"/>
      <c r="E466" s="78"/>
      <c r="F466" s="133"/>
      <c r="G466" s="38"/>
      <c r="H466" s="39"/>
      <c r="I466" s="40"/>
      <c r="J466" s="41"/>
      <c r="K466" s="42"/>
      <c r="L466" s="43"/>
      <c r="M466" s="79"/>
      <c r="N466" s="80"/>
      <c r="O466" s="81"/>
      <c r="P466" s="82"/>
      <c r="Q466" s="83"/>
      <c r="R466" s="84"/>
      <c r="S466" s="79"/>
      <c r="T466" s="80"/>
      <c r="U466" s="81"/>
      <c r="V466" s="82"/>
      <c r="W466" s="83"/>
      <c r="X466" s="84"/>
      <c r="Y466" s="84"/>
      <c r="Z466" s="84"/>
      <c r="AA466" s="84"/>
      <c r="AB466" s="84"/>
      <c r="AC466" s="84"/>
      <c r="AD466" s="84"/>
      <c r="AE466" s="85"/>
      <c r="AF466" s="86"/>
      <c r="AG466" s="87"/>
      <c r="AH466" s="88"/>
    </row>
    <row r="467" spans="1:34" x14ac:dyDescent="0.25">
      <c r="A467" s="155" t="str">
        <f t="shared" si="14"/>
        <v/>
      </c>
      <c r="B467" s="155" t="str">
        <f t="shared" si="15"/>
        <v/>
      </c>
      <c r="C467" s="157"/>
      <c r="D467" s="150"/>
      <c r="E467" s="78"/>
      <c r="F467" s="133"/>
      <c r="G467" s="38"/>
      <c r="H467" s="39"/>
      <c r="I467" s="40"/>
      <c r="J467" s="41"/>
      <c r="K467" s="42"/>
      <c r="L467" s="43"/>
      <c r="M467" s="79"/>
      <c r="N467" s="80"/>
      <c r="O467" s="81"/>
      <c r="P467" s="82"/>
      <c r="Q467" s="83"/>
      <c r="R467" s="84"/>
      <c r="S467" s="79"/>
      <c r="T467" s="80"/>
      <c r="U467" s="81"/>
      <c r="V467" s="82"/>
      <c r="W467" s="83"/>
      <c r="X467" s="84"/>
      <c r="Y467" s="84"/>
      <c r="Z467" s="84"/>
      <c r="AA467" s="84"/>
      <c r="AB467" s="84"/>
      <c r="AC467" s="84"/>
      <c r="AD467" s="84"/>
      <c r="AE467" s="85"/>
      <c r="AF467" s="86"/>
      <c r="AG467" s="87"/>
      <c r="AH467" s="88"/>
    </row>
    <row r="468" spans="1:34" x14ac:dyDescent="0.25">
      <c r="A468" s="155" t="str">
        <f t="shared" si="14"/>
        <v/>
      </c>
      <c r="B468" s="155" t="str">
        <f t="shared" si="15"/>
        <v/>
      </c>
      <c r="C468" s="157"/>
      <c r="D468" s="150"/>
      <c r="E468" s="78"/>
      <c r="F468" s="133"/>
      <c r="G468" s="38"/>
      <c r="H468" s="39"/>
      <c r="I468" s="40"/>
      <c r="J468" s="41"/>
      <c r="K468" s="42"/>
      <c r="L468" s="43"/>
      <c r="M468" s="79"/>
      <c r="N468" s="80"/>
      <c r="O468" s="81"/>
      <c r="P468" s="82"/>
      <c r="Q468" s="83"/>
      <c r="R468" s="84"/>
      <c r="S468" s="79"/>
      <c r="T468" s="80"/>
      <c r="U468" s="81"/>
      <c r="V468" s="82"/>
      <c r="W468" s="83"/>
      <c r="X468" s="84"/>
      <c r="Y468" s="84"/>
      <c r="Z468" s="84"/>
      <c r="AA468" s="84"/>
      <c r="AB468" s="84"/>
      <c r="AC468" s="84"/>
      <c r="AD468" s="84"/>
      <c r="AE468" s="85"/>
      <c r="AF468" s="86"/>
      <c r="AG468" s="87"/>
      <c r="AH468" s="88"/>
    </row>
    <row r="469" spans="1:34" x14ac:dyDescent="0.25">
      <c r="A469" s="155" t="str">
        <f t="shared" si="14"/>
        <v/>
      </c>
      <c r="B469" s="155" t="str">
        <f t="shared" si="15"/>
        <v/>
      </c>
      <c r="C469" s="157"/>
      <c r="D469" s="150"/>
      <c r="E469" s="78"/>
      <c r="F469" s="133"/>
      <c r="G469" s="38"/>
      <c r="H469" s="39"/>
      <c r="I469" s="40"/>
      <c r="J469" s="41"/>
      <c r="K469" s="42"/>
      <c r="L469" s="43"/>
      <c r="M469" s="79"/>
      <c r="N469" s="80"/>
      <c r="O469" s="81"/>
      <c r="P469" s="82"/>
      <c r="Q469" s="83"/>
      <c r="R469" s="84"/>
      <c r="S469" s="79"/>
      <c r="T469" s="80"/>
      <c r="U469" s="81"/>
      <c r="V469" s="82"/>
      <c r="W469" s="83"/>
      <c r="X469" s="84"/>
      <c r="Y469" s="84"/>
      <c r="Z469" s="84"/>
      <c r="AA469" s="84"/>
      <c r="AB469" s="84"/>
      <c r="AC469" s="84"/>
      <c r="AD469" s="84"/>
      <c r="AE469" s="85"/>
      <c r="AF469" s="86"/>
      <c r="AG469" s="87"/>
      <c r="AH469" s="88"/>
    </row>
    <row r="470" spans="1:34" x14ac:dyDescent="0.25">
      <c r="A470" s="155" t="str">
        <f t="shared" si="14"/>
        <v/>
      </c>
      <c r="B470" s="155" t="str">
        <f t="shared" si="15"/>
        <v/>
      </c>
      <c r="C470" s="157"/>
      <c r="D470" s="150"/>
      <c r="E470" s="78"/>
      <c r="F470" s="133"/>
      <c r="G470" s="38"/>
      <c r="H470" s="39"/>
      <c r="I470" s="40"/>
      <c r="J470" s="41"/>
      <c r="K470" s="42"/>
      <c r="L470" s="43"/>
      <c r="M470" s="79"/>
      <c r="N470" s="80"/>
      <c r="O470" s="81"/>
      <c r="P470" s="82"/>
      <c r="Q470" s="83"/>
      <c r="R470" s="84"/>
      <c r="S470" s="79"/>
      <c r="T470" s="80"/>
      <c r="U470" s="81"/>
      <c r="V470" s="82"/>
      <c r="W470" s="83"/>
      <c r="X470" s="84"/>
      <c r="Y470" s="84"/>
      <c r="Z470" s="84"/>
      <c r="AA470" s="84"/>
      <c r="AB470" s="84"/>
      <c r="AC470" s="84"/>
      <c r="AD470" s="84"/>
      <c r="AE470" s="85"/>
      <c r="AF470" s="86"/>
      <c r="AG470" s="87"/>
      <c r="AH470" s="88"/>
    </row>
    <row r="471" spans="1:34" x14ac:dyDescent="0.25">
      <c r="A471" s="155" t="str">
        <f t="shared" si="14"/>
        <v/>
      </c>
      <c r="B471" s="155" t="str">
        <f t="shared" si="15"/>
        <v/>
      </c>
      <c r="C471" s="157"/>
      <c r="D471" s="150"/>
      <c r="E471" s="78"/>
      <c r="F471" s="133"/>
      <c r="G471" s="38"/>
      <c r="H471" s="39"/>
      <c r="I471" s="40"/>
      <c r="J471" s="41"/>
      <c r="K471" s="42"/>
      <c r="L471" s="43"/>
      <c r="M471" s="79"/>
      <c r="N471" s="80"/>
      <c r="O471" s="81"/>
      <c r="P471" s="82"/>
      <c r="Q471" s="83"/>
      <c r="R471" s="84"/>
      <c r="S471" s="79"/>
      <c r="T471" s="80"/>
      <c r="U471" s="81"/>
      <c r="V471" s="82"/>
      <c r="W471" s="83"/>
      <c r="X471" s="84"/>
      <c r="Y471" s="84"/>
      <c r="Z471" s="84"/>
      <c r="AA471" s="84"/>
      <c r="AB471" s="84"/>
      <c r="AC471" s="84"/>
      <c r="AD471" s="84"/>
      <c r="AE471" s="85"/>
      <c r="AF471" s="86"/>
      <c r="AG471" s="87"/>
      <c r="AH471" s="88"/>
    </row>
    <row r="472" spans="1:34" x14ac:dyDescent="0.25">
      <c r="A472" s="155" t="str">
        <f t="shared" si="14"/>
        <v/>
      </c>
      <c r="B472" s="155" t="str">
        <f t="shared" si="15"/>
        <v/>
      </c>
      <c r="C472" s="157"/>
      <c r="D472" s="150"/>
      <c r="E472" s="78"/>
      <c r="F472" s="133"/>
      <c r="G472" s="38"/>
      <c r="H472" s="39"/>
      <c r="I472" s="40"/>
      <c r="J472" s="41"/>
      <c r="K472" s="42"/>
      <c r="L472" s="43"/>
      <c r="M472" s="79"/>
      <c r="N472" s="80"/>
      <c r="O472" s="81"/>
      <c r="P472" s="82"/>
      <c r="Q472" s="83"/>
      <c r="R472" s="84"/>
      <c r="S472" s="79"/>
      <c r="T472" s="80"/>
      <c r="U472" s="81"/>
      <c r="V472" s="82"/>
      <c r="W472" s="83"/>
      <c r="X472" s="84"/>
      <c r="Y472" s="84"/>
      <c r="Z472" s="84"/>
      <c r="AA472" s="84"/>
      <c r="AB472" s="84"/>
      <c r="AC472" s="84"/>
      <c r="AD472" s="84"/>
      <c r="AE472" s="85"/>
      <c r="AF472" s="86"/>
      <c r="AG472" s="87"/>
      <c r="AH472" s="88"/>
    </row>
    <row r="473" spans="1:34" x14ac:dyDescent="0.25">
      <c r="A473" s="155" t="str">
        <f t="shared" si="14"/>
        <v/>
      </c>
      <c r="B473" s="155" t="str">
        <f t="shared" si="15"/>
        <v/>
      </c>
      <c r="C473" s="157"/>
      <c r="D473" s="150"/>
      <c r="E473" s="78"/>
      <c r="F473" s="133"/>
      <c r="G473" s="38"/>
      <c r="H473" s="39"/>
      <c r="I473" s="40"/>
      <c r="J473" s="41"/>
      <c r="K473" s="42"/>
      <c r="L473" s="43"/>
      <c r="M473" s="79"/>
      <c r="N473" s="80"/>
      <c r="O473" s="81"/>
      <c r="P473" s="82"/>
      <c r="Q473" s="83"/>
      <c r="R473" s="84"/>
      <c r="S473" s="79"/>
      <c r="T473" s="80"/>
      <c r="U473" s="81"/>
      <c r="V473" s="82"/>
      <c r="W473" s="83"/>
      <c r="X473" s="84"/>
      <c r="Y473" s="84"/>
      <c r="Z473" s="84"/>
      <c r="AA473" s="84"/>
      <c r="AB473" s="84"/>
      <c r="AC473" s="84"/>
      <c r="AD473" s="84"/>
      <c r="AE473" s="85"/>
      <c r="AF473" s="86"/>
      <c r="AG473" s="87"/>
      <c r="AH473" s="88"/>
    </row>
    <row r="474" spans="1:34" x14ac:dyDescent="0.25">
      <c r="A474" s="155" t="str">
        <f t="shared" si="14"/>
        <v/>
      </c>
      <c r="B474" s="155" t="str">
        <f t="shared" si="15"/>
        <v/>
      </c>
      <c r="C474" s="157"/>
      <c r="D474" s="150"/>
      <c r="E474" s="78"/>
      <c r="F474" s="133"/>
      <c r="G474" s="38"/>
      <c r="H474" s="39"/>
      <c r="I474" s="40"/>
      <c r="J474" s="41"/>
      <c r="K474" s="42"/>
      <c r="L474" s="43"/>
      <c r="M474" s="79"/>
      <c r="N474" s="80"/>
      <c r="O474" s="81"/>
      <c r="P474" s="82"/>
      <c r="Q474" s="83"/>
      <c r="R474" s="84"/>
      <c r="S474" s="79"/>
      <c r="T474" s="80"/>
      <c r="U474" s="81"/>
      <c r="V474" s="82"/>
      <c r="W474" s="83"/>
      <c r="X474" s="84"/>
      <c r="Y474" s="84"/>
      <c r="Z474" s="84"/>
      <c r="AA474" s="84"/>
      <c r="AB474" s="84"/>
      <c r="AC474" s="84"/>
      <c r="AD474" s="84"/>
      <c r="AE474" s="85"/>
      <c r="AF474" s="86"/>
      <c r="AG474" s="87"/>
      <c r="AH474" s="88"/>
    </row>
    <row r="475" spans="1:34" x14ac:dyDescent="0.25">
      <c r="A475" s="155" t="str">
        <f t="shared" si="14"/>
        <v/>
      </c>
      <c r="B475" s="155" t="str">
        <f t="shared" si="15"/>
        <v/>
      </c>
      <c r="C475" s="157"/>
      <c r="D475" s="150"/>
      <c r="E475" s="78"/>
      <c r="F475" s="133"/>
      <c r="G475" s="38"/>
      <c r="H475" s="39"/>
      <c r="I475" s="40"/>
      <c r="J475" s="41"/>
      <c r="K475" s="42"/>
      <c r="L475" s="43"/>
      <c r="M475" s="79"/>
      <c r="N475" s="80"/>
      <c r="O475" s="81"/>
      <c r="P475" s="82"/>
      <c r="Q475" s="83"/>
      <c r="R475" s="84"/>
      <c r="S475" s="79"/>
      <c r="T475" s="80"/>
      <c r="U475" s="81"/>
      <c r="V475" s="82"/>
      <c r="W475" s="83"/>
      <c r="X475" s="84"/>
      <c r="Y475" s="84"/>
      <c r="Z475" s="84"/>
      <c r="AA475" s="84"/>
      <c r="AB475" s="84"/>
      <c r="AC475" s="84"/>
      <c r="AD475" s="84"/>
      <c r="AE475" s="85"/>
      <c r="AF475" s="86"/>
      <c r="AG475" s="87"/>
      <c r="AH475" s="88"/>
    </row>
    <row r="476" spans="1:34" x14ac:dyDescent="0.25">
      <c r="A476" s="155" t="str">
        <f t="shared" si="14"/>
        <v/>
      </c>
      <c r="B476" s="155" t="str">
        <f t="shared" si="15"/>
        <v/>
      </c>
      <c r="C476" s="157"/>
      <c r="D476" s="150"/>
      <c r="E476" s="78"/>
      <c r="F476" s="133"/>
      <c r="G476" s="38"/>
      <c r="H476" s="39"/>
      <c r="I476" s="40"/>
      <c r="J476" s="41"/>
      <c r="K476" s="42"/>
      <c r="L476" s="43"/>
      <c r="M476" s="79"/>
      <c r="N476" s="80"/>
      <c r="O476" s="81"/>
      <c r="P476" s="82"/>
      <c r="Q476" s="83"/>
      <c r="R476" s="84"/>
      <c r="S476" s="79"/>
      <c r="T476" s="80"/>
      <c r="U476" s="81"/>
      <c r="V476" s="82"/>
      <c r="W476" s="83"/>
      <c r="X476" s="84"/>
      <c r="Y476" s="84"/>
      <c r="Z476" s="84"/>
      <c r="AA476" s="84"/>
      <c r="AB476" s="84"/>
      <c r="AC476" s="84"/>
      <c r="AD476" s="84"/>
      <c r="AE476" s="85"/>
      <c r="AF476" s="86"/>
      <c r="AG476" s="87"/>
      <c r="AH476" s="88"/>
    </row>
    <row r="477" spans="1:34" x14ac:dyDescent="0.25">
      <c r="A477" s="155" t="str">
        <f t="shared" si="14"/>
        <v/>
      </c>
      <c r="B477" s="155" t="str">
        <f t="shared" si="15"/>
        <v/>
      </c>
      <c r="C477" s="157"/>
      <c r="D477" s="150"/>
      <c r="E477" s="78"/>
      <c r="F477" s="133"/>
      <c r="G477" s="38"/>
      <c r="H477" s="39"/>
      <c r="I477" s="40"/>
      <c r="J477" s="41"/>
      <c r="K477" s="42"/>
      <c r="L477" s="43"/>
      <c r="M477" s="79"/>
      <c r="N477" s="80"/>
      <c r="O477" s="81"/>
      <c r="P477" s="82"/>
      <c r="Q477" s="83"/>
      <c r="R477" s="84"/>
      <c r="S477" s="79"/>
      <c r="T477" s="80"/>
      <c r="U477" s="81"/>
      <c r="V477" s="82"/>
      <c r="W477" s="83"/>
      <c r="X477" s="84"/>
      <c r="Y477" s="84"/>
      <c r="Z477" s="84"/>
      <c r="AA477" s="84"/>
      <c r="AB477" s="84"/>
      <c r="AC477" s="84"/>
      <c r="AD477" s="84"/>
      <c r="AE477" s="85"/>
      <c r="AF477" s="86"/>
      <c r="AG477" s="87"/>
      <c r="AH477" s="88"/>
    </row>
    <row r="478" spans="1:34" x14ac:dyDescent="0.25">
      <c r="A478" s="155" t="str">
        <f t="shared" si="14"/>
        <v/>
      </c>
      <c r="B478" s="155" t="str">
        <f t="shared" si="15"/>
        <v/>
      </c>
      <c r="C478" s="157"/>
      <c r="D478" s="150"/>
      <c r="E478" s="78"/>
      <c r="F478" s="133"/>
      <c r="G478" s="38"/>
      <c r="H478" s="39"/>
      <c r="I478" s="40"/>
      <c r="J478" s="41"/>
      <c r="K478" s="42"/>
      <c r="L478" s="43"/>
      <c r="M478" s="79"/>
      <c r="N478" s="80"/>
      <c r="O478" s="81"/>
      <c r="P478" s="82"/>
      <c r="Q478" s="83"/>
      <c r="R478" s="84"/>
      <c r="S478" s="79"/>
      <c r="T478" s="80"/>
      <c r="U478" s="81"/>
      <c r="V478" s="82"/>
      <c r="W478" s="83"/>
      <c r="X478" s="84"/>
      <c r="Y478" s="84"/>
      <c r="Z478" s="84"/>
      <c r="AA478" s="84"/>
      <c r="AB478" s="84"/>
      <c r="AC478" s="84"/>
      <c r="AD478" s="84"/>
      <c r="AE478" s="85"/>
      <c r="AF478" s="86"/>
      <c r="AG478" s="87"/>
      <c r="AH478" s="88"/>
    </row>
    <row r="479" spans="1:34" x14ac:dyDescent="0.25">
      <c r="A479" s="155" t="str">
        <f t="shared" si="14"/>
        <v/>
      </c>
      <c r="B479" s="155" t="str">
        <f t="shared" si="15"/>
        <v/>
      </c>
      <c r="C479" s="157"/>
      <c r="D479" s="150"/>
      <c r="E479" s="78"/>
      <c r="F479" s="133"/>
      <c r="G479" s="38"/>
      <c r="H479" s="39"/>
      <c r="I479" s="40"/>
      <c r="J479" s="41"/>
      <c r="K479" s="42"/>
      <c r="L479" s="43"/>
      <c r="M479" s="79"/>
      <c r="N479" s="80"/>
      <c r="O479" s="81"/>
      <c r="P479" s="82"/>
      <c r="Q479" s="83"/>
      <c r="R479" s="84"/>
      <c r="S479" s="79"/>
      <c r="T479" s="80"/>
      <c r="U479" s="81"/>
      <c r="V479" s="82"/>
      <c r="W479" s="83"/>
      <c r="X479" s="84"/>
      <c r="Y479" s="84"/>
      <c r="Z479" s="84"/>
      <c r="AA479" s="84"/>
      <c r="AB479" s="84"/>
      <c r="AC479" s="84"/>
      <c r="AD479" s="84"/>
      <c r="AE479" s="85"/>
      <c r="AF479" s="86"/>
      <c r="AG479" s="87"/>
      <c r="AH479" s="88"/>
    </row>
    <row r="480" spans="1:34" x14ac:dyDescent="0.25">
      <c r="A480" s="155" t="str">
        <f t="shared" si="14"/>
        <v/>
      </c>
      <c r="B480" s="155" t="str">
        <f t="shared" si="15"/>
        <v/>
      </c>
      <c r="C480" s="157"/>
      <c r="D480" s="150"/>
      <c r="E480" s="78"/>
      <c r="F480" s="133"/>
      <c r="G480" s="38"/>
      <c r="H480" s="39"/>
      <c r="I480" s="40"/>
      <c r="J480" s="41"/>
      <c r="K480" s="42"/>
      <c r="L480" s="43"/>
      <c r="M480" s="79"/>
      <c r="N480" s="80"/>
      <c r="O480" s="81"/>
      <c r="P480" s="82"/>
      <c r="Q480" s="83"/>
      <c r="R480" s="84"/>
      <c r="S480" s="79"/>
      <c r="T480" s="80"/>
      <c r="U480" s="81"/>
      <c r="V480" s="82"/>
      <c r="W480" s="83"/>
      <c r="X480" s="84"/>
      <c r="Y480" s="84"/>
      <c r="Z480" s="84"/>
      <c r="AA480" s="84"/>
      <c r="AB480" s="84"/>
      <c r="AC480" s="84"/>
      <c r="AD480" s="84"/>
      <c r="AE480" s="85"/>
      <c r="AF480" s="86"/>
      <c r="AG480" s="87"/>
      <c r="AH480" s="88"/>
    </row>
    <row r="481" spans="1:34" x14ac:dyDescent="0.25">
      <c r="A481" s="155" t="str">
        <f t="shared" si="14"/>
        <v/>
      </c>
      <c r="B481" s="155" t="str">
        <f t="shared" si="15"/>
        <v/>
      </c>
      <c r="C481" s="157"/>
      <c r="D481" s="150"/>
      <c r="E481" s="78"/>
      <c r="F481" s="133"/>
      <c r="G481" s="38"/>
      <c r="H481" s="39"/>
      <c r="I481" s="40"/>
      <c r="J481" s="41"/>
      <c r="K481" s="42"/>
      <c r="L481" s="43"/>
      <c r="M481" s="79"/>
      <c r="N481" s="80"/>
      <c r="O481" s="81"/>
      <c r="P481" s="82"/>
      <c r="Q481" s="83"/>
      <c r="R481" s="84"/>
      <c r="S481" s="79"/>
      <c r="T481" s="80"/>
      <c r="U481" s="81"/>
      <c r="V481" s="82"/>
      <c r="W481" s="83"/>
      <c r="X481" s="84"/>
      <c r="Y481" s="84"/>
      <c r="Z481" s="84"/>
      <c r="AA481" s="84"/>
      <c r="AB481" s="84"/>
      <c r="AC481" s="84"/>
      <c r="AD481" s="84"/>
      <c r="AE481" s="85"/>
      <c r="AF481" s="86"/>
      <c r="AG481" s="87"/>
      <c r="AH481" s="88"/>
    </row>
    <row r="482" spans="1:34" x14ac:dyDescent="0.25">
      <c r="A482" s="155" t="str">
        <f t="shared" si="14"/>
        <v/>
      </c>
      <c r="B482" s="155" t="str">
        <f t="shared" si="15"/>
        <v/>
      </c>
      <c r="C482" s="157"/>
      <c r="D482" s="150"/>
      <c r="E482" s="78"/>
      <c r="F482" s="133"/>
      <c r="G482" s="38"/>
      <c r="H482" s="39"/>
      <c r="I482" s="40"/>
      <c r="J482" s="41"/>
      <c r="K482" s="42"/>
      <c r="L482" s="43"/>
      <c r="M482" s="79"/>
      <c r="N482" s="80"/>
      <c r="O482" s="81"/>
      <c r="P482" s="82"/>
      <c r="Q482" s="83"/>
      <c r="R482" s="84"/>
      <c r="S482" s="79"/>
      <c r="T482" s="80"/>
      <c r="U482" s="81"/>
      <c r="V482" s="82"/>
      <c r="W482" s="83"/>
      <c r="X482" s="84"/>
      <c r="Y482" s="84"/>
      <c r="Z482" s="84"/>
      <c r="AA482" s="84"/>
      <c r="AB482" s="84"/>
      <c r="AC482" s="84"/>
      <c r="AD482" s="84"/>
      <c r="AE482" s="85"/>
      <c r="AF482" s="86"/>
      <c r="AG482" s="87"/>
      <c r="AH482" s="88"/>
    </row>
    <row r="483" spans="1:34" x14ac:dyDescent="0.25">
      <c r="A483" s="155" t="str">
        <f t="shared" si="14"/>
        <v/>
      </c>
      <c r="B483" s="155" t="str">
        <f t="shared" si="15"/>
        <v/>
      </c>
      <c r="C483" s="157"/>
      <c r="D483" s="150"/>
      <c r="E483" s="78"/>
      <c r="F483" s="133"/>
      <c r="G483" s="38"/>
      <c r="H483" s="39"/>
      <c r="I483" s="40"/>
      <c r="J483" s="41"/>
      <c r="K483" s="42"/>
      <c r="L483" s="43"/>
      <c r="M483" s="79"/>
      <c r="N483" s="80"/>
      <c r="O483" s="81"/>
      <c r="P483" s="82"/>
      <c r="Q483" s="83"/>
      <c r="R483" s="84"/>
      <c r="S483" s="79"/>
      <c r="T483" s="80"/>
      <c r="U483" s="81"/>
      <c r="V483" s="82"/>
      <c r="W483" s="83"/>
      <c r="X483" s="84"/>
      <c r="Y483" s="84"/>
      <c r="Z483" s="84"/>
      <c r="AA483" s="84"/>
      <c r="AB483" s="84"/>
      <c r="AC483" s="84"/>
      <c r="AD483" s="84"/>
      <c r="AE483" s="85"/>
      <c r="AF483" s="86"/>
      <c r="AG483" s="87"/>
      <c r="AH483" s="88"/>
    </row>
    <row r="484" spans="1:34" x14ac:dyDescent="0.25">
      <c r="A484" s="155" t="str">
        <f t="shared" si="14"/>
        <v/>
      </c>
      <c r="B484" s="155" t="str">
        <f t="shared" si="15"/>
        <v/>
      </c>
      <c r="C484" s="157"/>
      <c r="D484" s="150"/>
      <c r="E484" s="78"/>
      <c r="F484" s="133"/>
      <c r="G484" s="38"/>
      <c r="H484" s="39"/>
      <c r="I484" s="40"/>
      <c r="J484" s="41"/>
      <c r="K484" s="42"/>
      <c r="L484" s="43"/>
      <c r="M484" s="79"/>
      <c r="N484" s="80"/>
      <c r="O484" s="81"/>
      <c r="P484" s="82"/>
      <c r="Q484" s="83"/>
      <c r="R484" s="84"/>
      <c r="S484" s="79"/>
      <c r="T484" s="80"/>
      <c r="U484" s="81"/>
      <c r="V484" s="82"/>
      <c r="W484" s="83"/>
      <c r="X484" s="84"/>
      <c r="Y484" s="84"/>
      <c r="Z484" s="84"/>
      <c r="AA484" s="84"/>
      <c r="AB484" s="84"/>
      <c r="AC484" s="84"/>
      <c r="AD484" s="84"/>
      <c r="AE484" s="85"/>
      <c r="AF484" s="86"/>
      <c r="AG484" s="87"/>
      <c r="AH484" s="88"/>
    </row>
    <row r="485" spans="1:34" x14ac:dyDescent="0.25">
      <c r="A485" s="155" t="str">
        <f t="shared" si="14"/>
        <v/>
      </c>
      <c r="B485" s="155" t="str">
        <f t="shared" si="15"/>
        <v/>
      </c>
      <c r="C485" s="157"/>
      <c r="D485" s="150"/>
      <c r="E485" s="78"/>
      <c r="F485" s="133"/>
      <c r="G485" s="38"/>
      <c r="H485" s="39"/>
      <c r="I485" s="40"/>
      <c r="J485" s="41"/>
      <c r="K485" s="42"/>
      <c r="L485" s="43"/>
      <c r="M485" s="79"/>
      <c r="N485" s="80"/>
      <c r="O485" s="81"/>
      <c r="P485" s="82"/>
      <c r="Q485" s="83"/>
      <c r="R485" s="84"/>
      <c r="S485" s="79"/>
      <c r="T485" s="80"/>
      <c r="U485" s="81"/>
      <c r="V485" s="82"/>
      <c r="W485" s="83"/>
      <c r="X485" s="84"/>
      <c r="Y485" s="84"/>
      <c r="Z485" s="84"/>
      <c r="AA485" s="84"/>
      <c r="AB485" s="84"/>
      <c r="AC485" s="84"/>
      <c r="AD485" s="84"/>
      <c r="AE485" s="85"/>
      <c r="AF485" s="86"/>
      <c r="AG485" s="87"/>
      <c r="AH485" s="88"/>
    </row>
    <row r="486" spans="1:34" x14ac:dyDescent="0.25">
      <c r="A486" s="155" t="str">
        <f t="shared" si="14"/>
        <v/>
      </c>
      <c r="B486" s="155" t="str">
        <f t="shared" si="15"/>
        <v/>
      </c>
      <c r="C486" s="157"/>
      <c r="D486" s="150"/>
      <c r="E486" s="78"/>
      <c r="F486" s="133"/>
      <c r="G486" s="38"/>
      <c r="H486" s="39"/>
      <c r="I486" s="40"/>
      <c r="J486" s="41"/>
      <c r="K486" s="42"/>
      <c r="L486" s="43"/>
      <c r="M486" s="79"/>
      <c r="N486" s="80"/>
      <c r="O486" s="81"/>
      <c r="P486" s="82"/>
      <c r="Q486" s="83"/>
      <c r="R486" s="84"/>
      <c r="S486" s="79"/>
      <c r="T486" s="80"/>
      <c r="U486" s="81"/>
      <c r="V486" s="82"/>
      <c r="W486" s="83"/>
      <c r="X486" s="84"/>
      <c r="Y486" s="84"/>
      <c r="Z486" s="84"/>
      <c r="AA486" s="84"/>
      <c r="AB486" s="84"/>
      <c r="AC486" s="84"/>
      <c r="AD486" s="84"/>
      <c r="AE486" s="85"/>
      <c r="AF486" s="86"/>
      <c r="AG486" s="87"/>
      <c r="AH486" s="88"/>
    </row>
    <row r="487" spans="1:34" x14ac:dyDescent="0.25">
      <c r="A487" s="155" t="str">
        <f t="shared" si="14"/>
        <v/>
      </c>
      <c r="B487" s="155" t="str">
        <f t="shared" si="15"/>
        <v/>
      </c>
      <c r="C487" s="157"/>
      <c r="D487" s="150"/>
      <c r="E487" s="78"/>
      <c r="F487" s="133"/>
      <c r="G487" s="38"/>
      <c r="H487" s="39"/>
      <c r="I487" s="40"/>
      <c r="J487" s="41"/>
      <c r="K487" s="42"/>
      <c r="L487" s="43"/>
      <c r="M487" s="79"/>
      <c r="N487" s="80"/>
      <c r="O487" s="81"/>
      <c r="P487" s="82"/>
      <c r="Q487" s="83"/>
      <c r="R487" s="84"/>
      <c r="S487" s="79"/>
      <c r="T487" s="80"/>
      <c r="U487" s="81"/>
      <c r="V487" s="82"/>
      <c r="W487" s="83"/>
      <c r="X487" s="84"/>
      <c r="Y487" s="84"/>
      <c r="Z487" s="84"/>
      <c r="AA487" s="84"/>
      <c r="AB487" s="84"/>
      <c r="AC487" s="84"/>
      <c r="AD487" s="84"/>
      <c r="AE487" s="85"/>
      <c r="AF487" s="86"/>
      <c r="AG487" s="87"/>
      <c r="AH487" s="88"/>
    </row>
    <row r="488" spans="1:34" x14ac:dyDescent="0.25">
      <c r="A488" s="155" t="str">
        <f t="shared" si="14"/>
        <v/>
      </c>
      <c r="B488" s="155" t="str">
        <f t="shared" si="15"/>
        <v/>
      </c>
      <c r="C488" s="157"/>
      <c r="D488" s="150"/>
      <c r="E488" s="78"/>
      <c r="F488" s="133"/>
      <c r="G488" s="38"/>
      <c r="H488" s="39"/>
      <c r="I488" s="40"/>
      <c r="J488" s="41"/>
      <c r="K488" s="42"/>
      <c r="L488" s="43"/>
      <c r="M488" s="79"/>
      <c r="N488" s="80"/>
      <c r="O488" s="81"/>
      <c r="P488" s="82"/>
      <c r="Q488" s="83"/>
      <c r="R488" s="84"/>
      <c r="S488" s="79"/>
      <c r="T488" s="80"/>
      <c r="U488" s="81"/>
      <c r="V488" s="82"/>
      <c r="W488" s="83"/>
      <c r="X488" s="84"/>
      <c r="Y488" s="84"/>
      <c r="Z488" s="84"/>
      <c r="AA488" s="84"/>
      <c r="AB488" s="84"/>
      <c r="AC488" s="84"/>
      <c r="AD488" s="84"/>
      <c r="AE488" s="85"/>
      <c r="AF488" s="86"/>
      <c r="AG488" s="87"/>
      <c r="AH488" s="88"/>
    </row>
    <row r="489" spans="1:34" x14ac:dyDescent="0.25">
      <c r="A489" s="155" t="str">
        <f t="shared" si="14"/>
        <v/>
      </c>
      <c r="B489" s="155" t="str">
        <f t="shared" si="15"/>
        <v/>
      </c>
      <c r="C489" s="157"/>
      <c r="D489" s="150"/>
      <c r="E489" s="78"/>
      <c r="F489" s="133"/>
      <c r="G489" s="38"/>
      <c r="H489" s="39"/>
      <c r="I489" s="40"/>
      <c r="J489" s="41"/>
      <c r="K489" s="42"/>
      <c r="L489" s="43"/>
      <c r="M489" s="79"/>
      <c r="N489" s="80"/>
      <c r="O489" s="81"/>
      <c r="P489" s="82"/>
      <c r="Q489" s="83"/>
      <c r="R489" s="84"/>
      <c r="S489" s="79"/>
      <c r="T489" s="80"/>
      <c r="U489" s="81"/>
      <c r="V489" s="82"/>
      <c r="W489" s="83"/>
      <c r="X489" s="84"/>
      <c r="Y489" s="84"/>
      <c r="Z489" s="84"/>
      <c r="AA489" s="84"/>
      <c r="AB489" s="84"/>
      <c r="AC489" s="84"/>
      <c r="AD489" s="84"/>
      <c r="AE489" s="85"/>
      <c r="AF489" s="86"/>
      <c r="AG489" s="87"/>
      <c r="AH489" s="88"/>
    </row>
    <row r="490" spans="1:34" x14ac:dyDescent="0.25">
      <c r="A490" s="155" t="str">
        <f t="shared" si="14"/>
        <v/>
      </c>
      <c r="B490" s="155" t="str">
        <f t="shared" si="15"/>
        <v/>
      </c>
      <c r="C490" s="157"/>
      <c r="D490" s="150"/>
      <c r="E490" s="78"/>
      <c r="F490" s="133"/>
      <c r="G490" s="38"/>
      <c r="H490" s="39"/>
      <c r="I490" s="40"/>
      <c r="J490" s="41"/>
      <c r="K490" s="42"/>
      <c r="L490" s="43"/>
      <c r="M490" s="79"/>
      <c r="N490" s="80"/>
      <c r="O490" s="81"/>
      <c r="P490" s="82"/>
      <c r="Q490" s="83"/>
      <c r="R490" s="84"/>
      <c r="S490" s="79"/>
      <c r="T490" s="80"/>
      <c r="U490" s="81"/>
      <c r="V490" s="82"/>
      <c r="W490" s="83"/>
      <c r="X490" s="84"/>
      <c r="Y490" s="84"/>
      <c r="Z490" s="84"/>
      <c r="AA490" s="84"/>
      <c r="AB490" s="84"/>
      <c r="AC490" s="84"/>
      <c r="AD490" s="84"/>
      <c r="AE490" s="85"/>
      <c r="AF490" s="86"/>
      <c r="AG490" s="87"/>
      <c r="AH490" s="88"/>
    </row>
    <row r="491" spans="1:34" x14ac:dyDescent="0.25">
      <c r="A491" s="155" t="str">
        <f t="shared" si="14"/>
        <v/>
      </c>
      <c r="B491" s="155" t="str">
        <f t="shared" si="15"/>
        <v/>
      </c>
      <c r="C491" s="157"/>
      <c r="D491" s="150"/>
      <c r="E491" s="78"/>
      <c r="F491" s="133"/>
      <c r="G491" s="38"/>
      <c r="H491" s="39"/>
      <c r="I491" s="40"/>
      <c r="J491" s="41"/>
      <c r="K491" s="42"/>
      <c r="L491" s="43"/>
      <c r="M491" s="79"/>
      <c r="N491" s="80"/>
      <c r="O491" s="81"/>
      <c r="P491" s="82"/>
      <c r="Q491" s="83"/>
      <c r="R491" s="84"/>
      <c r="S491" s="79"/>
      <c r="T491" s="80"/>
      <c r="U491" s="81"/>
      <c r="V491" s="82"/>
      <c r="W491" s="83"/>
      <c r="X491" s="84"/>
      <c r="Y491" s="84"/>
      <c r="Z491" s="84"/>
      <c r="AA491" s="84"/>
      <c r="AB491" s="84"/>
      <c r="AC491" s="84"/>
      <c r="AD491" s="84"/>
      <c r="AE491" s="85"/>
      <c r="AF491" s="86"/>
      <c r="AG491" s="87"/>
      <c r="AH491" s="88"/>
    </row>
    <row r="492" spans="1:34" x14ac:dyDescent="0.25">
      <c r="A492" s="155" t="str">
        <f t="shared" si="14"/>
        <v/>
      </c>
      <c r="B492" s="155" t="str">
        <f t="shared" si="15"/>
        <v/>
      </c>
      <c r="C492" s="157"/>
      <c r="D492" s="150"/>
      <c r="E492" s="78"/>
      <c r="F492" s="133"/>
      <c r="G492" s="38"/>
      <c r="H492" s="39"/>
      <c r="I492" s="40"/>
      <c r="J492" s="41"/>
      <c r="K492" s="42"/>
      <c r="L492" s="43"/>
      <c r="M492" s="79"/>
      <c r="N492" s="80"/>
      <c r="O492" s="81"/>
      <c r="P492" s="82"/>
      <c r="Q492" s="83"/>
      <c r="R492" s="84"/>
      <c r="S492" s="79"/>
      <c r="T492" s="80"/>
      <c r="U492" s="81"/>
      <c r="V492" s="82"/>
      <c r="W492" s="83"/>
      <c r="X492" s="84"/>
      <c r="Y492" s="84"/>
      <c r="Z492" s="84"/>
      <c r="AA492" s="84"/>
      <c r="AB492" s="84"/>
      <c r="AC492" s="84"/>
      <c r="AD492" s="84"/>
      <c r="AE492" s="85"/>
      <c r="AF492" s="86"/>
      <c r="AG492" s="87"/>
      <c r="AH492" s="88"/>
    </row>
    <row r="493" spans="1:34" x14ac:dyDescent="0.25">
      <c r="A493" s="155" t="str">
        <f t="shared" si="14"/>
        <v/>
      </c>
      <c r="B493" s="155" t="str">
        <f t="shared" si="15"/>
        <v/>
      </c>
      <c r="C493" s="157"/>
      <c r="D493" s="150"/>
      <c r="E493" s="78"/>
      <c r="F493" s="133"/>
      <c r="G493" s="38"/>
      <c r="H493" s="39"/>
      <c r="I493" s="40"/>
      <c r="J493" s="41"/>
      <c r="K493" s="42"/>
      <c r="L493" s="43"/>
      <c r="M493" s="79"/>
      <c r="N493" s="80"/>
      <c r="O493" s="81"/>
      <c r="P493" s="82"/>
      <c r="Q493" s="83"/>
      <c r="R493" s="84"/>
      <c r="S493" s="79"/>
      <c r="T493" s="80"/>
      <c r="U493" s="81"/>
      <c r="V493" s="82"/>
      <c r="W493" s="83"/>
      <c r="X493" s="84"/>
      <c r="Y493" s="84"/>
      <c r="Z493" s="84"/>
      <c r="AA493" s="84"/>
      <c r="AB493" s="84"/>
      <c r="AC493" s="84"/>
      <c r="AD493" s="84"/>
      <c r="AE493" s="85"/>
      <c r="AF493" s="86"/>
      <c r="AG493" s="87"/>
      <c r="AH493" s="88"/>
    </row>
    <row r="494" spans="1:34" x14ac:dyDescent="0.25">
      <c r="A494" s="155" t="str">
        <f t="shared" si="14"/>
        <v/>
      </c>
      <c r="B494" s="155" t="str">
        <f t="shared" si="15"/>
        <v/>
      </c>
      <c r="C494" s="157"/>
      <c r="D494" s="150"/>
      <c r="E494" s="78"/>
      <c r="F494" s="133"/>
      <c r="G494" s="38"/>
      <c r="H494" s="39"/>
      <c r="I494" s="40"/>
      <c r="J494" s="41"/>
      <c r="K494" s="42"/>
      <c r="L494" s="43"/>
      <c r="M494" s="79"/>
      <c r="N494" s="80"/>
      <c r="O494" s="81"/>
      <c r="P494" s="82"/>
      <c r="Q494" s="83"/>
      <c r="R494" s="84"/>
      <c r="S494" s="79"/>
      <c r="T494" s="80"/>
      <c r="U494" s="81"/>
      <c r="V494" s="82"/>
      <c r="W494" s="83"/>
      <c r="X494" s="84"/>
      <c r="Y494" s="84"/>
      <c r="Z494" s="84"/>
      <c r="AA494" s="84"/>
      <c r="AB494" s="84"/>
      <c r="AC494" s="84"/>
      <c r="AD494" s="84"/>
      <c r="AE494" s="85"/>
      <c r="AF494" s="86"/>
      <c r="AG494" s="87"/>
      <c r="AH494" s="88"/>
    </row>
    <row r="495" spans="1:34" x14ac:dyDescent="0.25">
      <c r="A495" s="155" t="str">
        <f t="shared" si="14"/>
        <v/>
      </c>
      <c r="B495" s="155" t="str">
        <f t="shared" si="15"/>
        <v/>
      </c>
      <c r="C495" s="157"/>
      <c r="D495" s="150"/>
      <c r="E495" s="78"/>
      <c r="F495" s="133"/>
      <c r="G495" s="38"/>
      <c r="H495" s="39"/>
      <c r="I495" s="40"/>
      <c r="J495" s="41"/>
      <c r="K495" s="42"/>
      <c r="L495" s="43"/>
      <c r="M495" s="79"/>
      <c r="N495" s="80"/>
      <c r="O495" s="81"/>
      <c r="P495" s="82"/>
      <c r="Q495" s="83"/>
      <c r="R495" s="84"/>
      <c r="S495" s="79"/>
      <c r="T495" s="80"/>
      <c r="U495" s="81"/>
      <c r="V495" s="82"/>
      <c r="W495" s="83"/>
      <c r="X495" s="84"/>
      <c r="Y495" s="84"/>
      <c r="Z495" s="84"/>
      <c r="AA495" s="84"/>
      <c r="AB495" s="84"/>
      <c r="AC495" s="84"/>
      <c r="AD495" s="84"/>
      <c r="AE495" s="85"/>
      <c r="AF495" s="86"/>
      <c r="AG495" s="87"/>
      <c r="AH495" s="88"/>
    </row>
    <row r="496" spans="1:34" x14ac:dyDescent="0.25">
      <c r="A496" s="155" t="str">
        <f t="shared" si="14"/>
        <v/>
      </c>
      <c r="B496" s="155" t="str">
        <f t="shared" si="15"/>
        <v/>
      </c>
      <c r="C496" s="157"/>
      <c r="D496" s="150"/>
      <c r="E496" s="78"/>
      <c r="F496" s="133"/>
      <c r="G496" s="38"/>
      <c r="H496" s="39"/>
      <c r="I496" s="40"/>
      <c r="J496" s="41"/>
      <c r="K496" s="42"/>
      <c r="L496" s="43"/>
      <c r="M496" s="79"/>
      <c r="N496" s="80"/>
      <c r="O496" s="81"/>
      <c r="P496" s="82"/>
      <c r="Q496" s="83"/>
      <c r="R496" s="84"/>
      <c r="S496" s="79"/>
      <c r="T496" s="80"/>
      <c r="U496" s="81"/>
      <c r="V496" s="82"/>
      <c r="W496" s="83"/>
      <c r="X496" s="84"/>
      <c r="Y496" s="84"/>
      <c r="Z496" s="84"/>
      <c r="AA496" s="84"/>
      <c r="AB496" s="84"/>
      <c r="AC496" s="84"/>
      <c r="AD496" s="84"/>
      <c r="AE496" s="85"/>
      <c r="AF496" s="86"/>
      <c r="AG496" s="87"/>
      <c r="AH496" s="88"/>
    </row>
    <row r="497" spans="1:34" x14ac:dyDescent="0.25">
      <c r="A497" s="155" t="str">
        <f t="shared" si="14"/>
        <v/>
      </c>
      <c r="B497" s="155" t="str">
        <f t="shared" si="15"/>
        <v/>
      </c>
      <c r="C497" s="157"/>
      <c r="D497" s="150"/>
      <c r="E497" s="78"/>
      <c r="F497" s="133"/>
      <c r="G497" s="38"/>
      <c r="H497" s="39"/>
      <c r="I497" s="40"/>
      <c r="J497" s="41"/>
      <c r="K497" s="42"/>
      <c r="L497" s="43"/>
      <c r="M497" s="79"/>
      <c r="N497" s="80"/>
      <c r="O497" s="81"/>
      <c r="P497" s="82"/>
      <c r="Q497" s="83"/>
      <c r="R497" s="84"/>
      <c r="S497" s="79"/>
      <c r="T497" s="80"/>
      <c r="U497" s="81"/>
      <c r="V497" s="82"/>
      <c r="W497" s="83"/>
      <c r="X497" s="84"/>
      <c r="Y497" s="84"/>
      <c r="Z497" s="84"/>
      <c r="AA497" s="84"/>
      <c r="AB497" s="84"/>
      <c r="AC497" s="84"/>
      <c r="AD497" s="84"/>
      <c r="AE497" s="85"/>
      <c r="AF497" s="86"/>
      <c r="AG497" s="87"/>
      <c r="AH497" s="88"/>
    </row>
    <row r="498" spans="1:34" x14ac:dyDescent="0.25">
      <c r="A498" s="155" t="str">
        <f t="shared" si="14"/>
        <v/>
      </c>
      <c r="B498" s="155" t="str">
        <f t="shared" si="15"/>
        <v/>
      </c>
      <c r="C498" s="157"/>
      <c r="D498" s="150"/>
      <c r="E498" s="78"/>
      <c r="F498" s="133"/>
      <c r="G498" s="38"/>
      <c r="H498" s="39"/>
      <c r="I498" s="40"/>
      <c r="J498" s="41"/>
      <c r="K498" s="42"/>
      <c r="L498" s="43"/>
      <c r="M498" s="79"/>
      <c r="N498" s="80"/>
      <c r="O498" s="81"/>
      <c r="P498" s="82"/>
      <c r="Q498" s="83"/>
      <c r="R498" s="84"/>
      <c r="S498" s="79"/>
      <c r="T498" s="80"/>
      <c r="U498" s="81"/>
      <c r="V498" s="82"/>
      <c r="W498" s="83"/>
      <c r="X498" s="84"/>
      <c r="Y498" s="84"/>
      <c r="Z498" s="84"/>
      <c r="AA498" s="84"/>
      <c r="AB498" s="84"/>
      <c r="AC498" s="84"/>
      <c r="AD498" s="84"/>
      <c r="AE498" s="85"/>
      <c r="AF498" s="86"/>
      <c r="AG498" s="87"/>
      <c r="AH498" s="88"/>
    </row>
    <row r="499" spans="1:34" x14ac:dyDescent="0.25">
      <c r="A499" s="155" t="str">
        <f t="shared" si="14"/>
        <v/>
      </c>
      <c r="B499" s="155" t="str">
        <f t="shared" si="15"/>
        <v/>
      </c>
      <c r="C499" s="157"/>
      <c r="D499" s="150"/>
      <c r="E499" s="78"/>
      <c r="F499" s="133"/>
      <c r="G499" s="38"/>
      <c r="H499" s="39"/>
      <c r="I499" s="40"/>
      <c r="J499" s="41"/>
      <c r="K499" s="42"/>
      <c r="L499" s="43"/>
      <c r="M499" s="79"/>
      <c r="N499" s="80"/>
      <c r="O499" s="81"/>
      <c r="P499" s="82"/>
      <c r="Q499" s="83"/>
      <c r="R499" s="84"/>
      <c r="S499" s="79"/>
      <c r="T499" s="80"/>
      <c r="U499" s="81"/>
      <c r="V499" s="82"/>
      <c r="W499" s="83"/>
      <c r="X499" s="84"/>
      <c r="Y499" s="84"/>
      <c r="Z499" s="84"/>
      <c r="AA499" s="84"/>
      <c r="AB499" s="84"/>
      <c r="AC499" s="84"/>
      <c r="AD499" s="84"/>
      <c r="AE499" s="85"/>
      <c r="AF499" s="86"/>
      <c r="AG499" s="87"/>
      <c r="AH499" s="88"/>
    </row>
    <row r="500" spans="1:34" x14ac:dyDescent="0.25">
      <c r="A500" s="155" t="str">
        <f t="shared" si="14"/>
        <v/>
      </c>
      <c r="B500" s="155" t="str">
        <f t="shared" si="15"/>
        <v/>
      </c>
      <c r="C500" s="157"/>
      <c r="D500" s="150"/>
      <c r="E500" s="78"/>
      <c r="F500" s="133"/>
      <c r="G500" s="38"/>
      <c r="H500" s="39"/>
      <c r="I500" s="40"/>
      <c r="J500" s="41"/>
      <c r="K500" s="42"/>
      <c r="L500" s="43"/>
      <c r="M500" s="79"/>
      <c r="N500" s="80"/>
      <c r="O500" s="81"/>
      <c r="P500" s="82"/>
      <c r="Q500" s="83"/>
      <c r="R500" s="84"/>
      <c r="S500" s="79"/>
      <c r="T500" s="80"/>
      <c r="U500" s="81"/>
      <c r="V500" s="82"/>
      <c r="W500" s="83"/>
      <c r="X500" s="84"/>
      <c r="Y500" s="84"/>
      <c r="Z500" s="84"/>
      <c r="AA500" s="84"/>
      <c r="AB500" s="84"/>
      <c r="AC500" s="84"/>
      <c r="AD500" s="84"/>
      <c r="AE500" s="85"/>
      <c r="AF500" s="86"/>
      <c r="AG500" s="87"/>
      <c r="AH500" s="88"/>
    </row>
    <row r="501" spans="1:34" x14ac:dyDescent="0.25">
      <c r="A501" s="155" t="str">
        <f t="shared" si="14"/>
        <v/>
      </c>
      <c r="B501" s="155" t="str">
        <f t="shared" si="15"/>
        <v/>
      </c>
      <c r="C501" s="157"/>
      <c r="D501" s="150"/>
      <c r="E501" s="78"/>
      <c r="F501" s="133"/>
      <c r="G501" s="38"/>
      <c r="H501" s="39"/>
      <c r="I501" s="40"/>
      <c r="J501" s="41"/>
      <c r="K501" s="42"/>
      <c r="L501" s="43"/>
      <c r="M501" s="79"/>
      <c r="N501" s="80"/>
      <c r="O501" s="81"/>
      <c r="P501" s="82"/>
      <c r="Q501" s="83"/>
      <c r="R501" s="84"/>
      <c r="S501" s="79"/>
      <c r="T501" s="80"/>
      <c r="U501" s="81"/>
      <c r="V501" s="82"/>
      <c r="W501" s="83"/>
      <c r="X501" s="84"/>
      <c r="Y501" s="84"/>
      <c r="Z501" s="84"/>
      <c r="AA501" s="84"/>
      <c r="AB501" s="84"/>
      <c r="AC501" s="84"/>
      <c r="AD501" s="84"/>
      <c r="AE501" s="85"/>
      <c r="AF501" s="86"/>
      <c r="AG501" s="87"/>
      <c r="AH501" s="88"/>
    </row>
    <row r="502" spans="1:34" x14ac:dyDescent="0.25">
      <c r="A502" s="155" t="str">
        <f t="shared" si="14"/>
        <v/>
      </c>
      <c r="B502" s="155" t="str">
        <f t="shared" si="15"/>
        <v/>
      </c>
      <c r="C502" s="157"/>
      <c r="D502" s="150"/>
      <c r="E502" s="78"/>
      <c r="F502" s="133"/>
      <c r="G502" s="38"/>
      <c r="H502" s="39"/>
      <c r="I502" s="40"/>
      <c r="J502" s="41"/>
      <c r="K502" s="42"/>
      <c r="L502" s="43"/>
      <c r="M502" s="79"/>
      <c r="N502" s="80"/>
      <c r="O502" s="81"/>
      <c r="P502" s="82"/>
      <c r="Q502" s="83"/>
      <c r="R502" s="84"/>
      <c r="S502" s="79"/>
      <c r="T502" s="80"/>
      <c r="U502" s="81"/>
      <c r="V502" s="82"/>
      <c r="W502" s="83"/>
      <c r="X502" s="84"/>
      <c r="Y502" s="84"/>
      <c r="Z502" s="84"/>
      <c r="AA502" s="84"/>
      <c r="AB502" s="84"/>
      <c r="AC502" s="84"/>
      <c r="AD502" s="84"/>
      <c r="AE502" s="85"/>
      <c r="AF502" s="86"/>
      <c r="AG502" s="87"/>
      <c r="AH502" s="88"/>
    </row>
    <row r="503" spans="1:34" x14ac:dyDescent="0.25">
      <c r="A503" s="155" t="str">
        <f t="shared" si="14"/>
        <v/>
      </c>
      <c r="B503" s="155" t="str">
        <f t="shared" si="15"/>
        <v/>
      </c>
      <c r="C503" s="157"/>
      <c r="D503" s="150"/>
      <c r="E503" s="78"/>
      <c r="F503" s="133"/>
      <c r="G503" s="38"/>
      <c r="H503" s="39"/>
      <c r="I503" s="40"/>
      <c r="J503" s="41"/>
      <c r="K503" s="42"/>
      <c r="L503" s="43"/>
      <c r="M503" s="79"/>
      <c r="N503" s="80"/>
      <c r="O503" s="81"/>
      <c r="P503" s="82"/>
      <c r="Q503" s="83"/>
      <c r="R503" s="84"/>
      <c r="S503" s="79"/>
      <c r="T503" s="80"/>
      <c r="U503" s="81"/>
      <c r="V503" s="82"/>
      <c r="W503" s="83"/>
      <c r="X503" s="84"/>
      <c r="Y503" s="84"/>
      <c r="Z503" s="84"/>
      <c r="AA503" s="84"/>
      <c r="AB503" s="84"/>
      <c r="AC503" s="84"/>
      <c r="AD503" s="84"/>
      <c r="AE503" s="85"/>
      <c r="AF503" s="86"/>
      <c r="AG503" s="87"/>
      <c r="AH503" s="88"/>
    </row>
    <row r="504" spans="1:34" x14ac:dyDescent="0.25">
      <c r="A504" s="155" t="str">
        <f t="shared" si="14"/>
        <v/>
      </c>
      <c r="B504" s="155" t="str">
        <f t="shared" si="15"/>
        <v/>
      </c>
      <c r="C504" s="157"/>
      <c r="D504" s="150"/>
      <c r="E504" s="78"/>
      <c r="F504" s="133"/>
      <c r="G504" s="38"/>
      <c r="H504" s="39"/>
      <c r="I504" s="40"/>
      <c r="J504" s="41"/>
      <c r="K504" s="42"/>
      <c r="L504" s="43"/>
      <c r="M504" s="79"/>
      <c r="N504" s="80"/>
      <c r="O504" s="81"/>
      <c r="P504" s="82"/>
      <c r="Q504" s="83"/>
      <c r="R504" s="84"/>
      <c r="S504" s="79"/>
      <c r="T504" s="80"/>
      <c r="U504" s="81"/>
      <c r="V504" s="82"/>
      <c r="W504" s="83"/>
      <c r="X504" s="84"/>
      <c r="Y504" s="84"/>
      <c r="Z504" s="84"/>
      <c r="AA504" s="84"/>
      <c r="AB504" s="84"/>
      <c r="AC504" s="84"/>
      <c r="AD504" s="84"/>
      <c r="AE504" s="85"/>
      <c r="AF504" s="86"/>
      <c r="AG504" s="87"/>
      <c r="AH504" s="88"/>
    </row>
    <row r="505" spans="1:34" x14ac:dyDescent="0.25">
      <c r="A505" s="155" t="str">
        <f t="shared" si="14"/>
        <v/>
      </c>
      <c r="B505" s="155" t="str">
        <f t="shared" si="15"/>
        <v/>
      </c>
      <c r="C505" s="157"/>
      <c r="D505" s="150"/>
      <c r="E505" s="78"/>
      <c r="F505" s="133"/>
      <c r="G505" s="38"/>
      <c r="H505" s="39"/>
      <c r="I505" s="40"/>
      <c r="J505" s="41"/>
      <c r="K505" s="42"/>
      <c r="L505" s="43"/>
      <c r="M505" s="79"/>
      <c r="N505" s="80"/>
      <c r="O505" s="81"/>
      <c r="P505" s="82"/>
      <c r="Q505" s="83"/>
      <c r="R505" s="84"/>
      <c r="S505" s="79"/>
      <c r="T505" s="80"/>
      <c r="U505" s="81"/>
      <c r="V505" s="82"/>
      <c r="W505" s="83"/>
      <c r="X505" s="84"/>
      <c r="Y505" s="84"/>
      <c r="Z505" s="84"/>
      <c r="AA505" s="84"/>
      <c r="AB505" s="84"/>
      <c r="AC505" s="84"/>
      <c r="AD505" s="84"/>
      <c r="AE505" s="85"/>
      <c r="AF505" s="86"/>
      <c r="AG505" s="87"/>
      <c r="AH505" s="88"/>
    </row>
  </sheetData>
  <sheetProtection algorithmName="SHA-512" hashValue="TP11uSmDbzX5EVN6nLwdvzqd/eU9SsWGZLzkvR1X4sr+dZkPa1zQgm7Jm5NeD5kK1wiMH0Sr7LMouljLdyccHQ==" saltValue="a0QV6CqKm+az4p/HewoArQ==" spinCount="100000" sheet="1" objects="1" scenarios="1" selectLockedCells="1"/>
  <dataValidations count="1">
    <dataValidation allowBlank="1" showInputMessage="1" showErrorMessage="1" errorTitle="Error" error="Debes introducir un número válido. _x000a_Rellena primero las respuestas._x000a__x000a_Pulsa ESC para continuar." sqref="D15:D505"/>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3"/>
  <dimension ref="A1:AH505"/>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F5" sqref="F5"/>
    </sheetView>
  </sheetViews>
  <sheetFormatPr baseColWidth="10" defaultColWidth="11.42578125" defaultRowHeight="15" x14ac:dyDescent="0.25"/>
  <cols>
    <col min="1" max="1" width="4.85546875" style="5" hidden="1" customWidth="1"/>
    <col min="2" max="2" width="3.42578125" style="5" hidden="1" customWidth="1"/>
    <col min="3" max="3" width="5.28515625" style="6" hidden="1" customWidth="1"/>
    <col min="4" max="4" width="5.7109375" style="6" hidden="1" customWidth="1"/>
    <col min="5" max="5" width="23.7109375" style="6" customWidth="1"/>
    <col min="6" max="6" width="49.7109375" style="5" customWidth="1"/>
    <col min="7" max="9" width="12.5703125" style="5" customWidth="1"/>
    <col min="10" max="12" width="12.5703125" style="5" hidden="1" customWidth="1"/>
    <col min="13" max="30" width="14.28515625" style="5" hidden="1" customWidth="1"/>
    <col min="31" max="16384" width="11.42578125" style="5"/>
  </cols>
  <sheetData>
    <row r="1" spans="1:34" s="2" customFormat="1" ht="24.95" customHeight="1" thickBot="1" x14ac:dyDescent="0.3">
      <c r="B1" s="120"/>
      <c r="C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s="2" customFormat="1" ht="24.95" customHeight="1" x14ac:dyDescent="0.25">
      <c r="B2" s="3"/>
      <c r="C2" s="4"/>
      <c r="D2" s="4"/>
      <c r="F2" s="122" t="str">
        <f ca="1">'Datos OM'!F2</f>
        <v>EM                                 RC                             PP</v>
      </c>
      <c r="G2" s="119">
        <f>COUNTA(F4:F505)</f>
        <v>2</v>
      </c>
      <c r="H2" s="148" t="str">
        <f ca="1">'Datos OM'!H2</f>
        <v>Preguntas Almacenadas</v>
      </c>
    </row>
    <row r="3" spans="1:34" s="23" customFormat="1" ht="50.1" customHeight="1" x14ac:dyDescent="0.25">
      <c r="A3" s="89"/>
      <c r="B3" s="24"/>
      <c r="C3" s="90"/>
      <c r="D3" s="90"/>
      <c r="E3" s="66" t="str">
        <f ca="1">'Datos OM'!E3</f>
        <v>Descripción</v>
      </c>
      <c r="F3" s="121" t="str">
        <f ca="1">"FastTest PlugIn - "&amp;UPPER(INICIO!J23)&amp;"
"&amp;INDIRECT("Z_BP_03_"&amp;IDIOMA)</f>
        <v>FastTest PlugIn - VERDADERO / FALSO
Enunciado de la pregunta</v>
      </c>
      <c r="G3" s="32" t="str">
        <f ca="1">'Datos OM'!G3</f>
        <v>Respuesta 1</v>
      </c>
      <c r="H3" s="68" t="str">
        <f ca="1">'Datos OM'!M3</f>
        <v>Retroalim. 1</v>
      </c>
      <c r="I3" s="69" t="str">
        <f ca="1">'Datos OM'!N3</f>
        <v>Retroalim. 2</v>
      </c>
      <c r="J3" s="70"/>
      <c r="K3" s="71"/>
      <c r="L3" s="72"/>
      <c r="M3" s="67"/>
      <c r="N3" s="68"/>
      <c r="O3" s="69"/>
      <c r="P3" s="70"/>
      <c r="Q3" s="71"/>
      <c r="R3" s="72"/>
      <c r="S3" s="72"/>
      <c r="T3" s="72"/>
      <c r="U3" s="72"/>
      <c r="V3" s="72"/>
      <c r="W3" s="72"/>
      <c r="X3" s="72"/>
      <c r="Y3" s="72"/>
      <c r="Z3" s="72"/>
      <c r="AA3" s="72"/>
      <c r="AB3" s="72"/>
      <c r="AC3" s="72"/>
      <c r="AD3" s="72"/>
      <c r="AE3" s="73" t="str">
        <f ca="1">'Datos OM'!AE3</f>
        <v>Pista 1</v>
      </c>
      <c r="AF3" s="74" t="str">
        <f ca="1">'Datos OM'!AF3</f>
        <v>Pista 2</v>
      </c>
      <c r="AG3" s="75" t="str">
        <f ca="1">'Datos OM'!AG3</f>
        <v>Pista 3</v>
      </c>
      <c r="AH3" s="76" t="str">
        <f ca="1">'Datos OM'!AH3</f>
        <v>Pista 4</v>
      </c>
    </row>
    <row r="4" spans="1:34" s="2" customFormat="1" x14ac:dyDescent="0.25">
      <c r="A4" s="7"/>
      <c r="B4" s="25"/>
      <c r="C4" s="91"/>
      <c r="D4" s="91"/>
      <c r="E4" s="78" t="s">
        <v>26</v>
      </c>
      <c r="F4" s="133" t="s">
        <v>59</v>
      </c>
      <c r="G4" s="38" t="b">
        <v>1</v>
      </c>
      <c r="H4" s="80" t="s">
        <v>60</v>
      </c>
      <c r="I4" s="81" t="s">
        <v>61</v>
      </c>
      <c r="J4" s="82"/>
      <c r="K4" s="83"/>
      <c r="L4" s="84"/>
      <c r="M4" s="79"/>
      <c r="N4" s="80"/>
      <c r="O4" s="81"/>
      <c r="P4" s="82"/>
      <c r="Q4" s="83"/>
      <c r="R4" s="84"/>
      <c r="S4" s="84"/>
      <c r="T4" s="84"/>
      <c r="U4" s="84"/>
      <c r="V4" s="84"/>
      <c r="W4" s="84"/>
      <c r="X4" s="84"/>
      <c r="Y4" s="84"/>
      <c r="Z4" s="84"/>
      <c r="AA4" s="84"/>
      <c r="AB4" s="84"/>
      <c r="AC4" s="84"/>
      <c r="AD4" s="84"/>
      <c r="AE4" s="85" t="s">
        <v>0</v>
      </c>
      <c r="AF4" s="86" t="s">
        <v>1</v>
      </c>
      <c r="AG4" s="87" t="s">
        <v>2</v>
      </c>
      <c r="AH4" s="88" t="s">
        <v>3</v>
      </c>
    </row>
    <row r="5" spans="1:34" s="2" customFormat="1" x14ac:dyDescent="0.25">
      <c r="A5" s="7"/>
      <c r="B5" s="25"/>
      <c r="C5" s="91"/>
      <c r="D5" s="91"/>
      <c r="E5" s="78" t="s">
        <v>62</v>
      </c>
      <c r="F5" s="133" t="s">
        <v>63</v>
      </c>
      <c r="G5" s="38" t="b">
        <v>0</v>
      </c>
      <c r="H5" s="80" t="s">
        <v>64</v>
      </c>
      <c r="I5" s="81" t="s">
        <v>65</v>
      </c>
      <c r="J5" s="82"/>
      <c r="K5" s="83"/>
      <c r="L5" s="84"/>
      <c r="M5" s="79"/>
      <c r="N5" s="80"/>
      <c r="O5" s="81"/>
      <c r="P5" s="82"/>
      <c r="Q5" s="83"/>
      <c r="R5" s="84"/>
      <c r="S5" s="84"/>
      <c r="T5" s="84"/>
      <c r="U5" s="84"/>
      <c r="V5" s="84"/>
      <c r="W5" s="84"/>
      <c r="X5" s="84"/>
      <c r="Y5" s="84"/>
      <c r="Z5" s="84"/>
      <c r="AA5" s="84"/>
      <c r="AB5" s="84"/>
      <c r="AC5" s="84"/>
      <c r="AD5" s="84"/>
      <c r="AE5" s="85" t="s">
        <v>0</v>
      </c>
      <c r="AF5" s="86" t="s">
        <v>1</v>
      </c>
      <c r="AG5" s="87" t="s">
        <v>2</v>
      </c>
      <c r="AH5" s="88" t="s">
        <v>3</v>
      </c>
    </row>
    <row r="6" spans="1:34" s="2" customFormat="1" x14ac:dyDescent="0.25">
      <c r="A6" s="7"/>
      <c r="B6" s="25"/>
      <c r="C6" s="91"/>
      <c r="D6" s="91"/>
      <c r="E6" s="78"/>
      <c r="F6" s="133"/>
      <c r="G6" s="38"/>
      <c r="H6" s="80"/>
      <c r="I6" s="81"/>
      <c r="J6" s="82"/>
      <c r="K6" s="83"/>
      <c r="L6" s="84"/>
      <c r="M6" s="79"/>
      <c r="N6" s="80"/>
      <c r="O6" s="81"/>
      <c r="P6" s="82"/>
      <c r="Q6" s="83"/>
      <c r="R6" s="84"/>
      <c r="S6" s="84"/>
      <c r="T6" s="84"/>
      <c r="U6" s="84"/>
      <c r="V6" s="84"/>
      <c r="W6" s="84"/>
      <c r="X6" s="84"/>
      <c r="Y6" s="84"/>
      <c r="Z6" s="84"/>
      <c r="AA6" s="84"/>
      <c r="AB6" s="84"/>
      <c r="AC6" s="84"/>
      <c r="AD6" s="84"/>
      <c r="AE6" s="85"/>
      <c r="AF6" s="86"/>
      <c r="AG6" s="87"/>
      <c r="AH6" s="88"/>
    </row>
    <row r="7" spans="1:34" s="2" customFormat="1" x14ac:dyDescent="0.25">
      <c r="A7" s="7"/>
      <c r="B7" s="25"/>
      <c r="C7" s="91"/>
      <c r="D7" s="91"/>
      <c r="E7" s="78"/>
      <c r="F7" s="133"/>
      <c r="G7" s="38"/>
      <c r="H7" s="80"/>
      <c r="I7" s="81"/>
      <c r="J7" s="82"/>
      <c r="K7" s="83"/>
      <c r="L7" s="84"/>
      <c r="M7" s="79"/>
      <c r="N7" s="80"/>
      <c r="O7" s="81"/>
      <c r="P7" s="82"/>
      <c r="Q7" s="83"/>
      <c r="R7" s="84"/>
      <c r="S7" s="84"/>
      <c r="T7" s="84"/>
      <c r="U7" s="84"/>
      <c r="V7" s="84"/>
      <c r="W7" s="84"/>
      <c r="X7" s="84"/>
      <c r="Y7" s="84"/>
      <c r="Z7" s="84"/>
      <c r="AA7" s="84"/>
      <c r="AB7" s="84"/>
      <c r="AC7" s="84"/>
      <c r="AD7" s="84"/>
      <c r="AE7" s="85"/>
      <c r="AF7" s="86"/>
      <c r="AG7" s="87"/>
      <c r="AH7" s="88"/>
    </row>
    <row r="8" spans="1:34" s="2" customFormat="1" x14ac:dyDescent="0.25">
      <c r="A8" s="7"/>
      <c r="B8" s="25"/>
      <c r="C8" s="91"/>
      <c r="D8" s="91"/>
      <c r="E8" s="78"/>
      <c r="F8" s="133"/>
      <c r="G8" s="38"/>
      <c r="H8" s="80"/>
      <c r="I8" s="81"/>
      <c r="J8" s="82"/>
      <c r="K8" s="83"/>
      <c r="L8" s="84"/>
      <c r="M8" s="79"/>
      <c r="N8" s="80"/>
      <c r="O8" s="81"/>
      <c r="P8" s="82"/>
      <c r="Q8" s="83"/>
      <c r="R8" s="84"/>
      <c r="S8" s="84"/>
      <c r="T8" s="84"/>
      <c r="U8" s="84"/>
      <c r="V8" s="84"/>
      <c r="W8" s="84"/>
      <c r="X8" s="84"/>
      <c r="Y8" s="84"/>
      <c r="Z8" s="84"/>
      <c r="AA8" s="84"/>
      <c r="AB8" s="84"/>
      <c r="AC8" s="84"/>
      <c r="AD8" s="84"/>
      <c r="AE8" s="85"/>
      <c r="AF8" s="86"/>
      <c r="AG8" s="87"/>
      <c r="AH8" s="88"/>
    </row>
    <row r="9" spans="1:34" s="2" customFormat="1" x14ac:dyDescent="0.25">
      <c r="A9" s="7"/>
      <c r="B9" s="25"/>
      <c r="C9" s="91"/>
      <c r="D9" s="91"/>
      <c r="E9" s="78"/>
      <c r="F9" s="133"/>
      <c r="G9" s="38"/>
      <c r="H9" s="80"/>
      <c r="I9" s="81"/>
      <c r="J9" s="82"/>
      <c r="K9" s="83"/>
      <c r="L9" s="84"/>
      <c r="M9" s="79"/>
      <c r="N9" s="80"/>
      <c r="O9" s="81"/>
      <c r="P9" s="82"/>
      <c r="Q9" s="83"/>
      <c r="R9" s="84"/>
      <c r="S9" s="84"/>
      <c r="T9" s="84"/>
      <c r="U9" s="84"/>
      <c r="V9" s="84"/>
      <c r="W9" s="84"/>
      <c r="X9" s="84"/>
      <c r="Y9" s="84"/>
      <c r="Z9" s="84"/>
      <c r="AA9" s="84"/>
      <c r="AB9" s="84"/>
      <c r="AC9" s="84"/>
      <c r="AD9" s="84"/>
      <c r="AE9" s="85"/>
      <c r="AF9" s="86"/>
      <c r="AG9" s="87"/>
      <c r="AH9" s="88"/>
    </row>
    <row r="10" spans="1:34" s="2" customFormat="1" x14ac:dyDescent="0.25">
      <c r="A10" s="7"/>
      <c r="B10" s="25"/>
      <c r="C10" s="91"/>
      <c r="D10" s="91"/>
      <c r="E10" s="78"/>
      <c r="F10" s="133"/>
      <c r="G10" s="38"/>
      <c r="H10" s="80"/>
      <c r="I10" s="81"/>
      <c r="J10" s="82"/>
      <c r="K10" s="83"/>
      <c r="L10" s="84"/>
      <c r="M10" s="79"/>
      <c r="N10" s="80"/>
      <c r="O10" s="81"/>
      <c r="P10" s="82"/>
      <c r="Q10" s="83"/>
      <c r="R10" s="84"/>
      <c r="S10" s="84"/>
      <c r="T10" s="84"/>
      <c r="U10" s="84"/>
      <c r="V10" s="84"/>
      <c r="W10" s="84"/>
      <c r="X10" s="84"/>
      <c r="Y10" s="84"/>
      <c r="Z10" s="84"/>
      <c r="AA10" s="84"/>
      <c r="AB10" s="84"/>
      <c r="AC10" s="84"/>
      <c r="AD10" s="84"/>
      <c r="AE10" s="85"/>
      <c r="AF10" s="86"/>
      <c r="AG10" s="87"/>
      <c r="AH10" s="88"/>
    </row>
    <row r="11" spans="1:34" s="2" customFormat="1" x14ac:dyDescent="0.25">
      <c r="A11" s="7"/>
      <c r="B11" s="25"/>
      <c r="C11" s="91"/>
      <c r="D11" s="91"/>
      <c r="E11" s="78"/>
      <c r="F11" s="133"/>
      <c r="G11" s="38"/>
      <c r="H11" s="80"/>
      <c r="I11" s="81"/>
      <c r="J11" s="82"/>
      <c r="K11" s="83"/>
      <c r="L11" s="84"/>
      <c r="M11" s="79"/>
      <c r="N11" s="80"/>
      <c r="O11" s="81"/>
      <c r="P11" s="82"/>
      <c r="Q11" s="83"/>
      <c r="R11" s="84"/>
      <c r="S11" s="84"/>
      <c r="T11" s="84"/>
      <c r="U11" s="84"/>
      <c r="V11" s="84"/>
      <c r="W11" s="84"/>
      <c r="X11" s="84"/>
      <c r="Y11" s="84"/>
      <c r="Z11" s="84"/>
      <c r="AA11" s="84"/>
      <c r="AB11" s="84"/>
      <c r="AC11" s="84"/>
      <c r="AD11" s="84"/>
      <c r="AE11" s="85"/>
      <c r="AF11" s="86"/>
      <c r="AG11" s="87"/>
      <c r="AH11" s="88"/>
    </row>
    <row r="12" spans="1:34" s="2" customFormat="1" x14ac:dyDescent="0.25">
      <c r="A12" s="7"/>
      <c r="B12" s="25"/>
      <c r="C12" s="91"/>
      <c r="D12" s="91"/>
      <c r="E12" s="78"/>
      <c r="F12" s="133"/>
      <c r="G12" s="38"/>
      <c r="H12" s="80"/>
      <c r="I12" s="81"/>
      <c r="J12" s="82"/>
      <c r="K12" s="83"/>
      <c r="L12" s="84"/>
      <c r="M12" s="79"/>
      <c r="N12" s="80"/>
      <c r="O12" s="81"/>
      <c r="P12" s="82"/>
      <c r="Q12" s="83"/>
      <c r="R12" s="84"/>
      <c r="S12" s="84"/>
      <c r="T12" s="84"/>
      <c r="U12" s="84"/>
      <c r="V12" s="84"/>
      <c r="W12" s="84"/>
      <c r="X12" s="84"/>
      <c r="Y12" s="84"/>
      <c r="Z12" s="84"/>
      <c r="AA12" s="84"/>
      <c r="AB12" s="84"/>
      <c r="AC12" s="84"/>
      <c r="AD12" s="84"/>
      <c r="AE12" s="85"/>
      <c r="AF12" s="86"/>
      <c r="AG12" s="87"/>
      <c r="AH12" s="88"/>
    </row>
    <row r="13" spans="1:34" s="2" customFormat="1" x14ac:dyDescent="0.25">
      <c r="A13" s="7"/>
      <c r="B13" s="25"/>
      <c r="C13" s="91"/>
      <c r="D13" s="91"/>
      <c r="E13" s="78"/>
      <c r="F13" s="133"/>
      <c r="G13" s="38"/>
      <c r="H13" s="80"/>
      <c r="I13" s="81"/>
      <c r="J13" s="82"/>
      <c r="K13" s="83"/>
      <c r="L13" s="84"/>
      <c r="M13" s="79"/>
      <c r="N13" s="80"/>
      <c r="O13" s="81"/>
      <c r="P13" s="82"/>
      <c r="Q13" s="83"/>
      <c r="R13" s="84"/>
      <c r="S13" s="84"/>
      <c r="T13" s="84"/>
      <c r="U13" s="84"/>
      <c r="V13" s="84"/>
      <c r="W13" s="84"/>
      <c r="X13" s="84"/>
      <c r="Y13" s="84"/>
      <c r="Z13" s="84"/>
      <c r="AA13" s="84"/>
      <c r="AB13" s="84"/>
      <c r="AC13" s="84"/>
      <c r="AD13" s="84"/>
      <c r="AE13" s="85"/>
      <c r="AF13" s="86"/>
      <c r="AG13" s="87"/>
      <c r="AH13" s="88"/>
    </row>
    <row r="14" spans="1:34" s="2" customFormat="1" x14ac:dyDescent="0.25">
      <c r="A14" s="7"/>
      <c r="B14" s="25"/>
      <c r="C14" s="91"/>
      <c r="D14" s="91"/>
      <c r="E14" s="78"/>
      <c r="F14" s="133"/>
      <c r="G14" s="38"/>
      <c r="H14" s="80"/>
      <c r="I14" s="81"/>
      <c r="J14" s="82"/>
      <c r="K14" s="83"/>
      <c r="L14" s="84"/>
      <c r="M14" s="79"/>
      <c r="N14" s="80"/>
      <c r="O14" s="81"/>
      <c r="P14" s="82"/>
      <c r="Q14" s="83"/>
      <c r="R14" s="84"/>
      <c r="S14" s="84"/>
      <c r="T14" s="84"/>
      <c r="U14" s="84"/>
      <c r="V14" s="84"/>
      <c r="W14" s="84"/>
      <c r="X14" s="84"/>
      <c r="Y14" s="84"/>
      <c r="Z14" s="84"/>
      <c r="AA14" s="84"/>
      <c r="AB14" s="84"/>
      <c r="AC14" s="84"/>
      <c r="AD14" s="84"/>
      <c r="AE14" s="85"/>
      <c r="AF14" s="86"/>
      <c r="AG14" s="87"/>
      <c r="AH14" s="88"/>
    </row>
    <row r="15" spans="1:34" s="2" customFormat="1" x14ac:dyDescent="0.25">
      <c r="A15" s="7"/>
      <c r="B15" s="25"/>
      <c r="C15" s="91"/>
      <c r="D15" s="91"/>
      <c r="E15" s="78"/>
      <c r="F15" s="133"/>
      <c r="G15" s="38"/>
      <c r="H15" s="80"/>
      <c r="I15" s="81"/>
      <c r="J15" s="82"/>
      <c r="K15" s="83"/>
      <c r="L15" s="84"/>
      <c r="M15" s="79"/>
      <c r="N15" s="80"/>
      <c r="O15" s="81"/>
      <c r="P15" s="82"/>
      <c r="Q15" s="83"/>
      <c r="R15" s="84"/>
      <c r="S15" s="84"/>
      <c r="T15" s="84"/>
      <c r="U15" s="84"/>
      <c r="V15" s="84"/>
      <c r="W15" s="84"/>
      <c r="X15" s="84"/>
      <c r="Y15" s="84"/>
      <c r="Z15" s="84"/>
      <c r="AA15" s="84"/>
      <c r="AB15" s="84"/>
      <c r="AC15" s="84"/>
      <c r="AD15" s="84"/>
      <c r="AE15" s="85"/>
      <c r="AF15" s="86"/>
      <c r="AG15" s="87"/>
      <c r="AH15" s="88"/>
    </row>
    <row r="16" spans="1:34" s="2" customFormat="1" x14ac:dyDescent="0.25">
      <c r="A16" s="7"/>
      <c r="B16" s="25"/>
      <c r="C16" s="91"/>
      <c r="D16" s="91"/>
      <c r="E16" s="78"/>
      <c r="F16" s="133"/>
      <c r="G16" s="38"/>
      <c r="H16" s="80"/>
      <c r="I16" s="81"/>
      <c r="J16" s="82"/>
      <c r="K16" s="83"/>
      <c r="L16" s="84"/>
      <c r="M16" s="79"/>
      <c r="N16" s="80"/>
      <c r="O16" s="81"/>
      <c r="P16" s="82"/>
      <c r="Q16" s="83"/>
      <c r="R16" s="84"/>
      <c r="S16" s="84"/>
      <c r="T16" s="84"/>
      <c r="U16" s="84"/>
      <c r="V16" s="84"/>
      <c r="W16" s="84"/>
      <c r="X16" s="84"/>
      <c r="Y16" s="84"/>
      <c r="Z16" s="84"/>
      <c r="AA16" s="84"/>
      <c r="AB16" s="84"/>
      <c r="AC16" s="84"/>
      <c r="AD16" s="84"/>
      <c r="AE16" s="85"/>
      <c r="AF16" s="86"/>
      <c r="AG16" s="87"/>
      <c r="AH16" s="88"/>
    </row>
    <row r="17" spans="1:34" s="2" customFormat="1" x14ac:dyDescent="0.25">
      <c r="A17" s="7"/>
      <c r="B17" s="25"/>
      <c r="C17" s="91"/>
      <c r="D17" s="91"/>
      <c r="E17" s="78"/>
      <c r="F17" s="133"/>
      <c r="G17" s="38"/>
      <c r="H17" s="80"/>
      <c r="I17" s="81"/>
      <c r="J17" s="82"/>
      <c r="K17" s="83"/>
      <c r="L17" s="84"/>
      <c r="M17" s="79"/>
      <c r="N17" s="80"/>
      <c r="O17" s="81"/>
      <c r="P17" s="82"/>
      <c r="Q17" s="83"/>
      <c r="R17" s="84"/>
      <c r="S17" s="84"/>
      <c r="T17" s="84"/>
      <c r="U17" s="84"/>
      <c r="V17" s="84"/>
      <c r="W17" s="84"/>
      <c r="X17" s="84"/>
      <c r="Y17" s="84"/>
      <c r="Z17" s="84"/>
      <c r="AA17" s="84"/>
      <c r="AB17" s="84"/>
      <c r="AC17" s="84"/>
      <c r="AD17" s="84"/>
      <c r="AE17" s="85"/>
      <c r="AF17" s="86"/>
      <c r="AG17" s="87"/>
      <c r="AH17" s="88"/>
    </row>
    <row r="18" spans="1:34" s="2" customFormat="1" x14ac:dyDescent="0.25">
      <c r="A18" s="7"/>
      <c r="B18" s="25"/>
      <c r="C18" s="91"/>
      <c r="D18" s="91"/>
      <c r="E18" s="78"/>
      <c r="F18" s="133"/>
      <c r="G18" s="38"/>
      <c r="H18" s="80"/>
      <c r="I18" s="81"/>
      <c r="J18" s="82"/>
      <c r="K18" s="83"/>
      <c r="L18" s="84"/>
      <c r="M18" s="79"/>
      <c r="N18" s="80"/>
      <c r="O18" s="81"/>
      <c r="P18" s="82"/>
      <c r="Q18" s="83"/>
      <c r="R18" s="84"/>
      <c r="S18" s="84"/>
      <c r="T18" s="84"/>
      <c r="U18" s="84"/>
      <c r="V18" s="84"/>
      <c r="W18" s="84"/>
      <c r="X18" s="84"/>
      <c r="Y18" s="84"/>
      <c r="Z18" s="84"/>
      <c r="AA18" s="84"/>
      <c r="AB18" s="84"/>
      <c r="AC18" s="84"/>
      <c r="AD18" s="84"/>
      <c r="AE18" s="85"/>
      <c r="AF18" s="86"/>
      <c r="AG18" s="87"/>
      <c r="AH18" s="88"/>
    </row>
    <row r="19" spans="1:34" s="2" customFormat="1" x14ac:dyDescent="0.25">
      <c r="A19" s="7"/>
      <c r="B19" s="25"/>
      <c r="C19" s="91"/>
      <c r="D19" s="91"/>
      <c r="E19" s="78"/>
      <c r="F19" s="133"/>
      <c r="G19" s="38"/>
      <c r="H19" s="80"/>
      <c r="I19" s="81"/>
      <c r="J19" s="82"/>
      <c r="K19" s="83"/>
      <c r="L19" s="84"/>
      <c r="M19" s="79"/>
      <c r="N19" s="80"/>
      <c r="O19" s="81"/>
      <c r="P19" s="82"/>
      <c r="Q19" s="83"/>
      <c r="R19" s="84"/>
      <c r="S19" s="84"/>
      <c r="T19" s="84"/>
      <c r="U19" s="84"/>
      <c r="V19" s="84"/>
      <c r="W19" s="84"/>
      <c r="X19" s="84"/>
      <c r="Y19" s="84"/>
      <c r="Z19" s="84"/>
      <c r="AA19" s="84"/>
      <c r="AB19" s="84"/>
      <c r="AC19" s="84"/>
      <c r="AD19" s="84"/>
      <c r="AE19" s="85"/>
      <c r="AF19" s="86"/>
      <c r="AG19" s="87"/>
      <c r="AH19" s="88"/>
    </row>
    <row r="20" spans="1:34" s="2" customFormat="1" x14ac:dyDescent="0.25">
      <c r="A20" s="7"/>
      <c r="B20" s="25"/>
      <c r="C20" s="91"/>
      <c r="D20" s="91"/>
      <c r="E20" s="78"/>
      <c r="F20" s="133"/>
      <c r="G20" s="38"/>
      <c r="H20" s="80"/>
      <c r="I20" s="81"/>
      <c r="J20" s="82"/>
      <c r="K20" s="83"/>
      <c r="L20" s="84"/>
      <c r="M20" s="79"/>
      <c r="N20" s="80"/>
      <c r="O20" s="81"/>
      <c r="P20" s="82"/>
      <c r="Q20" s="83"/>
      <c r="R20" s="84"/>
      <c r="S20" s="84"/>
      <c r="T20" s="84"/>
      <c r="U20" s="84"/>
      <c r="V20" s="84"/>
      <c r="W20" s="84"/>
      <c r="X20" s="84"/>
      <c r="Y20" s="84"/>
      <c r="Z20" s="84"/>
      <c r="AA20" s="84"/>
      <c r="AB20" s="84"/>
      <c r="AC20" s="84"/>
      <c r="AD20" s="84"/>
      <c r="AE20" s="85"/>
      <c r="AF20" s="86"/>
      <c r="AG20" s="87"/>
      <c r="AH20" s="88"/>
    </row>
    <row r="21" spans="1:34" s="2" customFormat="1" x14ac:dyDescent="0.25">
      <c r="A21" s="7"/>
      <c r="B21" s="25"/>
      <c r="C21" s="91"/>
      <c r="D21" s="91"/>
      <c r="E21" s="78"/>
      <c r="F21" s="133"/>
      <c r="G21" s="38"/>
      <c r="H21" s="80"/>
      <c r="I21" s="81"/>
      <c r="J21" s="82"/>
      <c r="K21" s="83"/>
      <c r="L21" s="84"/>
      <c r="M21" s="79"/>
      <c r="N21" s="80"/>
      <c r="O21" s="81"/>
      <c r="P21" s="82"/>
      <c r="Q21" s="83"/>
      <c r="R21" s="84"/>
      <c r="S21" s="84"/>
      <c r="T21" s="84"/>
      <c r="U21" s="84"/>
      <c r="V21" s="84"/>
      <c r="W21" s="84"/>
      <c r="X21" s="84"/>
      <c r="Y21" s="84"/>
      <c r="Z21" s="84"/>
      <c r="AA21" s="84"/>
      <c r="AB21" s="84"/>
      <c r="AC21" s="84"/>
      <c r="AD21" s="84"/>
      <c r="AE21" s="85"/>
      <c r="AF21" s="86"/>
      <c r="AG21" s="87"/>
      <c r="AH21" s="88"/>
    </row>
    <row r="22" spans="1:34" s="2" customFormat="1" x14ac:dyDescent="0.25">
      <c r="A22" s="7"/>
      <c r="B22" s="25"/>
      <c r="C22" s="91"/>
      <c r="D22" s="91"/>
      <c r="E22" s="78"/>
      <c r="F22" s="133"/>
      <c r="G22" s="38"/>
      <c r="H22" s="80"/>
      <c r="I22" s="81"/>
      <c r="J22" s="82"/>
      <c r="K22" s="83"/>
      <c r="L22" s="84"/>
      <c r="M22" s="79"/>
      <c r="N22" s="80"/>
      <c r="O22" s="81"/>
      <c r="P22" s="82"/>
      <c r="Q22" s="83"/>
      <c r="R22" s="84"/>
      <c r="S22" s="84"/>
      <c r="T22" s="84"/>
      <c r="U22" s="84"/>
      <c r="V22" s="84"/>
      <c r="W22" s="84"/>
      <c r="X22" s="84"/>
      <c r="Y22" s="84"/>
      <c r="Z22" s="84"/>
      <c r="AA22" s="84"/>
      <c r="AB22" s="84"/>
      <c r="AC22" s="84"/>
      <c r="AD22" s="84"/>
      <c r="AE22" s="85"/>
      <c r="AF22" s="86"/>
      <c r="AG22" s="87"/>
      <c r="AH22" s="88"/>
    </row>
    <row r="23" spans="1:34" s="2" customFormat="1" x14ac:dyDescent="0.25">
      <c r="A23" s="7"/>
      <c r="B23" s="25"/>
      <c r="C23" s="91"/>
      <c r="D23" s="91"/>
      <c r="E23" s="78"/>
      <c r="F23" s="133"/>
      <c r="G23" s="38"/>
      <c r="H23" s="80"/>
      <c r="I23" s="81"/>
      <c r="J23" s="82"/>
      <c r="K23" s="83"/>
      <c r="L23" s="84"/>
      <c r="M23" s="79"/>
      <c r="N23" s="80"/>
      <c r="O23" s="81"/>
      <c r="P23" s="82"/>
      <c r="Q23" s="83"/>
      <c r="R23" s="84"/>
      <c r="S23" s="84"/>
      <c r="T23" s="84"/>
      <c r="U23" s="84"/>
      <c r="V23" s="84"/>
      <c r="W23" s="84"/>
      <c r="X23" s="84"/>
      <c r="Y23" s="84"/>
      <c r="Z23" s="84"/>
      <c r="AA23" s="84"/>
      <c r="AB23" s="84"/>
      <c r="AC23" s="84"/>
      <c r="AD23" s="84"/>
      <c r="AE23" s="85"/>
      <c r="AF23" s="86"/>
      <c r="AG23" s="87"/>
      <c r="AH23" s="88"/>
    </row>
    <row r="24" spans="1:34" s="2" customFormat="1" x14ac:dyDescent="0.25">
      <c r="A24" s="7"/>
      <c r="B24" s="25"/>
      <c r="C24" s="91"/>
      <c r="D24" s="91"/>
      <c r="E24" s="78"/>
      <c r="F24" s="133"/>
      <c r="G24" s="38"/>
      <c r="H24" s="80"/>
      <c r="I24" s="81"/>
      <c r="J24" s="82"/>
      <c r="K24" s="83"/>
      <c r="L24" s="84"/>
      <c r="M24" s="79"/>
      <c r="N24" s="80"/>
      <c r="O24" s="81"/>
      <c r="P24" s="82"/>
      <c r="Q24" s="83"/>
      <c r="R24" s="84"/>
      <c r="S24" s="84"/>
      <c r="T24" s="84"/>
      <c r="U24" s="84"/>
      <c r="V24" s="84"/>
      <c r="W24" s="84"/>
      <c r="X24" s="84"/>
      <c r="Y24" s="84"/>
      <c r="Z24" s="84"/>
      <c r="AA24" s="84"/>
      <c r="AB24" s="84"/>
      <c r="AC24" s="84"/>
      <c r="AD24" s="84"/>
      <c r="AE24" s="85"/>
      <c r="AF24" s="86"/>
      <c r="AG24" s="87"/>
      <c r="AH24" s="88"/>
    </row>
    <row r="25" spans="1:34" s="2" customFormat="1" x14ac:dyDescent="0.25">
      <c r="A25" s="7"/>
      <c r="B25" s="25"/>
      <c r="C25" s="91"/>
      <c r="D25" s="91"/>
      <c r="E25" s="78"/>
      <c r="F25" s="133"/>
      <c r="G25" s="38"/>
      <c r="H25" s="80"/>
      <c r="I25" s="81"/>
      <c r="J25" s="82"/>
      <c r="K25" s="83"/>
      <c r="L25" s="84"/>
      <c r="M25" s="79"/>
      <c r="N25" s="80"/>
      <c r="O25" s="81"/>
      <c r="P25" s="82"/>
      <c r="Q25" s="83"/>
      <c r="R25" s="84"/>
      <c r="S25" s="84"/>
      <c r="T25" s="84"/>
      <c r="U25" s="84"/>
      <c r="V25" s="84"/>
      <c r="W25" s="84"/>
      <c r="X25" s="84"/>
      <c r="Y25" s="84"/>
      <c r="Z25" s="84"/>
      <c r="AA25" s="84"/>
      <c r="AB25" s="84"/>
      <c r="AC25" s="84"/>
      <c r="AD25" s="84"/>
      <c r="AE25" s="85"/>
      <c r="AF25" s="86"/>
      <c r="AG25" s="87"/>
      <c r="AH25" s="88"/>
    </row>
    <row r="26" spans="1:34" s="2" customFormat="1" x14ac:dyDescent="0.25">
      <c r="A26" s="7"/>
      <c r="B26" s="25"/>
      <c r="C26" s="91"/>
      <c r="D26" s="91"/>
      <c r="E26" s="78"/>
      <c r="F26" s="133"/>
      <c r="G26" s="38"/>
      <c r="H26" s="80"/>
      <c r="I26" s="81"/>
      <c r="J26" s="82"/>
      <c r="K26" s="83"/>
      <c r="L26" s="84"/>
      <c r="M26" s="79"/>
      <c r="N26" s="80"/>
      <c r="O26" s="81"/>
      <c r="P26" s="82"/>
      <c r="Q26" s="83"/>
      <c r="R26" s="84"/>
      <c r="S26" s="84"/>
      <c r="T26" s="84"/>
      <c r="U26" s="84"/>
      <c r="V26" s="84"/>
      <c r="W26" s="84"/>
      <c r="X26" s="84"/>
      <c r="Y26" s="84"/>
      <c r="Z26" s="84"/>
      <c r="AA26" s="84"/>
      <c r="AB26" s="84"/>
      <c r="AC26" s="84"/>
      <c r="AD26" s="84"/>
      <c r="AE26" s="85"/>
      <c r="AF26" s="86"/>
      <c r="AG26" s="87"/>
      <c r="AH26" s="88"/>
    </row>
    <row r="27" spans="1:34" s="2" customFormat="1" x14ac:dyDescent="0.25">
      <c r="A27" s="7"/>
      <c r="B27" s="25"/>
      <c r="C27" s="91"/>
      <c r="D27" s="91"/>
      <c r="E27" s="78"/>
      <c r="F27" s="133"/>
      <c r="G27" s="38"/>
      <c r="H27" s="80"/>
      <c r="I27" s="81"/>
      <c r="J27" s="82"/>
      <c r="K27" s="83"/>
      <c r="L27" s="84"/>
      <c r="M27" s="79"/>
      <c r="N27" s="80"/>
      <c r="O27" s="81"/>
      <c r="P27" s="82"/>
      <c r="Q27" s="83"/>
      <c r="R27" s="84"/>
      <c r="S27" s="84"/>
      <c r="T27" s="84"/>
      <c r="U27" s="84"/>
      <c r="V27" s="84"/>
      <c r="W27" s="84"/>
      <c r="X27" s="84"/>
      <c r="Y27" s="84"/>
      <c r="Z27" s="84"/>
      <c r="AA27" s="84"/>
      <c r="AB27" s="84"/>
      <c r="AC27" s="84"/>
      <c r="AD27" s="84"/>
      <c r="AE27" s="85"/>
      <c r="AF27" s="86"/>
      <c r="AG27" s="87"/>
      <c r="AH27" s="88"/>
    </row>
    <row r="28" spans="1:34" s="2" customFormat="1" x14ac:dyDescent="0.25">
      <c r="A28" s="7"/>
      <c r="B28" s="25"/>
      <c r="C28" s="91"/>
      <c r="D28" s="91"/>
      <c r="E28" s="78"/>
      <c r="F28" s="133"/>
      <c r="G28" s="38"/>
      <c r="H28" s="80"/>
      <c r="I28" s="81"/>
      <c r="J28" s="82"/>
      <c r="K28" s="83"/>
      <c r="L28" s="84"/>
      <c r="M28" s="79"/>
      <c r="N28" s="80"/>
      <c r="O28" s="81"/>
      <c r="P28" s="82"/>
      <c r="Q28" s="83"/>
      <c r="R28" s="84"/>
      <c r="S28" s="84"/>
      <c r="T28" s="84"/>
      <c r="U28" s="84"/>
      <c r="V28" s="84"/>
      <c r="W28" s="84"/>
      <c r="X28" s="84"/>
      <c r="Y28" s="84"/>
      <c r="Z28" s="84"/>
      <c r="AA28" s="84"/>
      <c r="AB28" s="84"/>
      <c r="AC28" s="84"/>
      <c r="AD28" s="84"/>
      <c r="AE28" s="85"/>
      <c r="AF28" s="86"/>
      <c r="AG28" s="87"/>
      <c r="AH28" s="88"/>
    </row>
    <row r="29" spans="1:34" s="2" customFormat="1" x14ac:dyDescent="0.25">
      <c r="A29" s="7"/>
      <c r="B29" s="25"/>
      <c r="C29" s="91"/>
      <c r="D29" s="91"/>
      <c r="E29" s="78"/>
      <c r="F29" s="133"/>
      <c r="G29" s="38"/>
      <c r="H29" s="80"/>
      <c r="I29" s="81"/>
      <c r="J29" s="82"/>
      <c r="K29" s="83"/>
      <c r="L29" s="84"/>
      <c r="M29" s="79"/>
      <c r="N29" s="80"/>
      <c r="O29" s="81"/>
      <c r="P29" s="82"/>
      <c r="Q29" s="83"/>
      <c r="R29" s="84"/>
      <c r="S29" s="84"/>
      <c r="T29" s="84"/>
      <c r="U29" s="84"/>
      <c r="V29" s="84"/>
      <c r="W29" s="84"/>
      <c r="X29" s="84"/>
      <c r="Y29" s="84"/>
      <c r="Z29" s="84"/>
      <c r="AA29" s="84"/>
      <c r="AB29" s="84"/>
      <c r="AC29" s="84"/>
      <c r="AD29" s="84"/>
      <c r="AE29" s="85"/>
      <c r="AF29" s="86"/>
      <c r="AG29" s="87"/>
      <c r="AH29" s="88"/>
    </row>
    <row r="30" spans="1:34" s="2" customFormat="1" x14ac:dyDescent="0.25">
      <c r="A30" s="7"/>
      <c r="B30" s="25"/>
      <c r="C30" s="91"/>
      <c r="D30" s="91"/>
      <c r="E30" s="78"/>
      <c r="F30" s="133"/>
      <c r="G30" s="38"/>
      <c r="H30" s="80"/>
      <c r="I30" s="81"/>
      <c r="J30" s="82"/>
      <c r="K30" s="83"/>
      <c r="L30" s="84"/>
      <c r="M30" s="79"/>
      <c r="N30" s="80"/>
      <c r="O30" s="81"/>
      <c r="P30" s="82"/>
      <c r="Q30" s="83"/>
      <c r="R30" s="84"/>
      <c r="S30" s="84"/>
      <c r="T30" s="84"/>
      <c r="U30" s="84"/>
      <c r="V30" s="84"/>
      <c r="W30" s="84"/>
      <c r="X30" s="84"/>
      <c r="Y30" s="84"/>
      <c r="Z30" s="84"/>
      <c r="AA30" s="84"/>
      <c r="AB30" s="84"/>
      <c r="AC30" s="84"/>
      <c r="AD30" s="84"/>
      <c r="AE30" s="85"/>
      <c r="AF30" s="86"/>
      <c r="AG30" s="87"/>
      <c r="AH30" s="88"/>
    </row>
    <row r="31" spans="1:34" s="2" customFormat="1" x14ac:dyDescent="0.25">
      <c r="A31" s="7"/>
      <c r="B31" s="25"/>
      <c r="C31" s="91"/>
      <c r="D31" s="91"/>
      <c r="E31" s="78"/>
      <c r="F31" s="133"/>
      <c r="G31" s="38"/>
      <c r="H31" s="80"/>
      <c r="I31" s="81"/>
      <c r="J31" s="82"/>
      <c r="K31" s="83"/>
      <c r="L31" s="84"/>
      <c r="M31" s="79"/>
      <c r="N31" s="80"/>
      <c r="O31" s="81"/>
      <c r="P31" s="82"/>
      <c r="Q31" s="83"/>
      <c r="R31" s="84"/>
      <c r="S31" s="84"/>
      <c r="T31" s="84"/>
      <c r="U31" s="84"/>
      <c r="V31" s="84"/>
      <c r="W31" s="84"/>
      <c r="X31" s="84"/>
      <c r="Y31" s="84"/>
      <c r="Z31" s="84"/>
      <c r="AA31" s="84"/>
      <c r="AB31" s="84"/>
      <c r="AC31" s="84"/>
      <c r="AD31" s="84"/>
      <c r="AE31" s="85"/>
      <c r="AF31" s="86"/>
      <c r="AG31" s="87"/>
      <c r="AH31" s="88"/>
    </row>
    <row r="32" spans="1:34" s="2" customFormat="1" x14ac:dyDescent="0.25">
      <c r="A32" s="7"/>
      <c r="B32" s="25"/>
      <c r="C32" s="91"/>
      <c r="D32" s="91"/>
      <c r="E32" s="78"/>
      <c r="F32" s="133"/>
      <c r="G32" s="38"/>
      <c r="H32" s="80"/>
      <c r="I32" s="81"/>
      <c r="J32" s="82"/>
      <c r="K32" s="83"/>
      <c r="L32" s="84"/>
      <c r="M32" s="79"/>
      <c r="N32" s="80"/>
      <c r="O32" s="81"/>
      <c r="P32" s="82"/>
      <c r="Q32" s="83"/>
      <c r="R32" s="84"/>
      <c r="S32" s="84"/>
      <c r="T32" s="84"/>
      <c r="U32" s="84"/>
      <c r="V32" s="84"/>
      <c r="W32" s="84"/>
      <c r="X32" s="84"/>
      <c r="Y32" s="84"/>
      <c r="Z32" s="84"/>
      <c r="AA32" s="84"/>
      <c r="AB32" s="84"/>
      <c r="AC32" s="84"/>
      <c r="AD32" s="84"/>
      <c r="AE32" s="85"/>
      <c r="AF32" s="86"/>
      <c r="AG32" s="87"/>
      <c r="AH32" s="88"/>
    </row>
    <row r="33" spans="1:34" s="2" customFormat="1" x14ac:dyDescent="0.25">
      <c r="A33" s="7"/>
      <c r="B33" s="25"/>
      <c r="C33" s="91"/>
      <c r="D33" s="91"/>
      <c r="E33" s="78"/>
      <c r="F33" s="133"/>
      <c r="G33" s="38"/>
      <c r="H33" s="80"/>
      <c r="I33" s="81"/>
      <c r="J33" s="82"/>
      <c r="K33" s="83"/>
      <c r="L33" s="84"/>
      <c r="M33" s="79"/>
      <c r="N33" s="80"/>
      <c r="O33" s="81"/>
      <c r="P33" s="82"/>
      <c r="Q33" s="83"/>
      <c r="R33" s="84"/>
      <c r="S33" s="84"/>
      <c r="T33" s="84"/>
      <c r="U33" s="84"/>
      <c r="V33" s="84"/>
      <c r="W33" s="84"/>
      <c r="X33" s="84"/>
      <c r="Y33" s="84"/>
      <c r="Z33" s="84"/>
      <c r="AA33" s="84"/>
      <c r="AB33" s="84"/>
      <c r="AC33" s="84"/>
      <c r="AD33" s="84"/>
      <c r="AE33" s="85"/>
      <c r="AF33" s="86"/>
      <c r="AG33" s="87"/>
      <c r="AH33" s="88"/>
    </row>
    <row r="34" spans="1:34" s="2" customFormat="1" x14ac:dyDescent="0.25">
      <c r="A34" s="7"/>
      <c r="B34" s="25"/>
      <c r="C34" s="91"/>
      <c r="D34" s="91"/>
      <c r="E34" s="78"/>
      <c r="F34" s="133"/>
      <c r="G34" s="38"/>
      <c r="H34" s="80"/>
      <c r="I34" s="81"/>
      <c r="J34" s="82"/>
      <c r="K34" s="83"/>
      <c r="L34" s="84"/>
      <c r="M34" s="79"/>
      <c r="N34" s="80"/>
      <c r="O34" s="81"/>
      <c r="P34" s="82"/>
      <c r="Q34" s="83"/>
      <c r="R34" s="84"/>
      <c r="S34" s="84"/>
      <c r="T34" s="84"/>
      <c r="U34" s="84"/>
      <c r="V34" s="84"/>
      <c r="W34" s="84"/>
      <c r="X34" s="84"/>
      <c r="Y34" s="84"/>
      <c r="Z34" s="84"/>
      <c r="AA34" s="84"/>
      <c r="AB34" s="84"/>
      <c r="AC34" s="84"/>
      <c r="AD34" s="84"/>
      <c r="AE34" s="85"/>
      <c r="AF34" s="86"/>
      <c r="AG34" s="87"/>
      <c r="AH34" s="88"/>
    </row>
    <row r="35" spans="1:34" s="2" customFormat="1" x14ac:dyDescent="0.25">
      <c r="A35" s="7"/>
      <c r="B35" s="25"/>
      <c r="C35" s="91"/>
      <c r="D35" s="91"/>
      <c r="E35" s="78"/>
      <c r="F35" s="133"/>
      <c r="G35" s="38"/>
      <c r="H35" s="80"/>
      <c r="I35" s="81"/>
      <c r="J35" s="82"/>
      <c r="K35" s="83"/>
      <c r="L35" s="84"/>
      <c r="M35" s="79"/>
      <c r="N35" s="80"/>
      <c r="O35" s="81"/>
      <c r="P35" s="82"/>
      <c r="Q35" s="83"/>
      <c r="R35" s="84"/>
      <c r="S35" s="84"/>
      <c r="T35" s="84"/>
      <c r="U35" s="84"/>
      <c r="V35" s="84"/>
      <c r="W35" s="84"/>
      <c r="X35" s="84"/>
      <c r="Y35" s="84"/>
      <c r="Z35" s="84"/>
      <c r="AA35" s="84"/>
      <c r="AB35" s="84"/>
      <c r="AC35" s="84"/>
      <c r="AD35" s="84"/>
      <c r="AE35" s="85"/>
      <c r="AF35" s="86"/>
      <c r="AG35" s="87"/>
      <c r="AH35" s="88"/>
    </row>
    <row r="36" spans="1:34" s="2" customFormat="1" x14ac:dyDescent="0.25">
      <c r="A36" s="7"/>
      <c r="B36" s="25"/>
      <c r="C36" s="91"/>
      <c r="D36" s="91"/>
      <c r="E36" s="78"/>
      <c r="F36" s="133"/>
      <c r="G36" s="38"/>
      <c r="H36" s="80"/>
      <c r="I36" s="81"/>
      <c r="J36" s="82"/>
      <c r="K36" s="83"/>
      <c r="L36" s="84"/>
      <c r="M36" s="79"/>
      <c r="N36" s="80"/>
      <c r="O36" s="81"/>
      <c r="P36" s="82"/>
      <c r="Q36" s="83"/>
      <c r="R36" s="84"/>
      <c r="S36" s="84"/>
      <c r="T36" s="84"/>
      <c r="U36" s="84"/>
      <c r="V36" s="84"/>
      <c r="W36" s="84"/>
      <c r="X36" s="84"/>
      <c r="Y36" s="84"/>
      <c r="Z36" s="84"/>
      <c r="AA36" s="84"/>
      <c r="AB36" s="84"/>
      <c r="AC36" s="84"/>
      <c r="AD36" s="84"/>
      <c r="AE36" s="85"/>
      <c r="AF36" s="86"/>
      <c r="AG36" s="87"/>
      <c r="AH36" s="88"/>
    </row>
    <row r="37" spans="1:34" s="2" customFormat="1" x14ac:dyDescent="0.25">
      <c r="A37" s="7"/>
      <c r="B37" s="25"/>
      <c r="C37" s="91"/>
      <c r="D37" s="91"/>
      <c r="E37" s="78"/>
      <c r="F37" s="133"/>
      <c r="G37" s="38"/>
      <c r="H37" s="80"/>
      <c r="I37" s="81"/>
      <c r="J37" s="82"/>
      <c r="K37" s="83"/>
      <c r="L37" s="84"/>
      <c r="M37" s="79"/>
      <c r="N37" s="80"/>
      <c r="O37" s="81"/>
      <c r="P37" s="82"/>
      <c r="Q37" s="83"/>
      <c r="R37" s="84"/>
      <c r="S37" s="84"/>
      <c r="T37" s="84"/>
      <c r="U37" s="84"/>
      <c r="V37" s="84"/>
      <c r="W37" s="84"/>
      <c r="X37" s="84"/>
      <c r="Y37" s="84"/>
      <c r="Z37" s="84"/>
      <c r="AA37" s="84"/>
      <c r="AB37" s="84"/>
      <c r="AC37" s="84"/>
      <c r="AD37" s="84"/>
      <c r="AE37" s="85"/>
      <c r="AF37" s="86"/>
      <c r="AG37" s="87"/>
      <c r="AH37" s="88"/>
    </row>
    <row r="38" spans="1:34" s="2" customFormat="1" x14ac:dyDescent="0.25">
      <c r="A38" s="7"/>
      <c r="B38" s="25"/>
      <c r="C38" s="91"/>
      <c r="D38" s="91"/>
      <c r="E38" s="78"/>
      <c r="F38" s="133"/>
      <c r="G38" s="38"/>
      <c r="H38" s="80"/>
      <c r="I38" s="81"/>
      <c r="J38" s="82"/>
      <c r="K38" s="83"/>
      <c r="L38" s="84"/>
      <c r="M38" s="79"/>
      <c r="N38" s="80"/>
      <c r="O38" s="81"/>
      <c r="P38" s="82"/>
      <c r="Q38" s="83"/>
      <c r="R38" s="84"/>
      <c r="S38" s="84"/>
      <c r="T38" s="84"/>
      <c r="U38" s="84"/>
      <c r="V38" s="84"/>
      <c r="W38" s="84"/>
      <c r="X38" s="84"/>
      <c r="Y38" s="84"/>
      <c r="Z38" s="84"/>
      <c r="AA38" s="84"/>
      <c r="AB38" s="84"/>
      <c r="AC38" s="84"/>
      <c r="AD38" s="84"/>
      <c r="AE38" s="85"/>
      <c r="AF38" s="86"/>
      <c r="AG38" s="87"/>
      <c r="AH38" s="88"/>
    </row>
    <row r="39" spans="1:34" s="2" customFormat="1" x14ac:dyDescent="0.25">
      <c r="A39" s="7"/>
      <c r="B39" s="25"/>
      <c r="C39" s="91"/>
      <c r="D39" s="91"/>
      <c r="E39" s="78"/>
      <c r="F39" s="133"/>
      <c r="G39" s="38"/>
      <c r="H39" s="80"/>
      <c r="I39" s="81"/>
      <c r="J39" s="82"/>
      <c r="K39" s="83"/>
      <c r="L39" s="84"/>
      <c r="M39" s="79"/>
      <c r="N39" s="80"/>
      <c r="O39" s="81"/>
      <c r="P39" s="82"/>
      <c r="Q39" s="83"/>
      <c r="R39" s="84"/>
      <c r="S39" s="84"/>
      <c r="T39" s="84"/>
      <c r="U39" s="84"/>
      <c r="V39" s="84"/>
      <c r="W39" s="84"/>
      <c r="X39" s="84"/>
      <c r="Y39" s="84"/>
      <c r="Z39" s="84"/>
      <c r="AA39" s="84"/>
      <c r="AB39" s="84"/>
      <c r="AC39" s="84"/>
      <c r="AD39" s="84"/>
      <c r="AE39" s="85"/>
      <c r="AF39" s="86"/>
      <c r="AG39" s="87"/>
      <c r="AH39" s="88"/>
    </row>
    <row r="40" spans="1:34" s="2" customFormat="1" x14ac:dyDescent="0.25">
      <c r="A40" s="7"/>
      <c r="B40" s="25"/>
      <c r="C40" s="91"/>
      <c r="D40" s="91"/>
      <c r="E40" s="78"/>
      <c r="F40" s="133"/>
      <c r="G40" s="38"/>
      <c r="H40" s="80"/>
      <c r="I40" s="81"/>
      <c r="J40" s="82"/>
      <c r="K40" s="83"/>
      <c r="L40" s="84"/>
      <c r="M40" s="79"/>
      <c r="N40" s="80"/>
      <c r="O40" s="81"/>
      <c r="P40" s="82"/>
      <c r="Q40" s="83"/>
      <c r="R40" s="84"/>
      <c r="S40" s="84"/>
      <c r="T40" s="84"/>
      <c r="U40" s="84"/>
      <c r="V40" s="84"/>
      <c r="W40" s="84"/>
      <c r="X40" s="84"/>
      <c r="Y40" s="84"/>
      <c r="Z40" s="84"/>
      <c r="AA40" s="84"/>
      <c r="AB40" s="84"/>
      <c r="AC40" s="84"/>
      <c r="AD40" s="84"/>
      <c r="AE40" s="85"/>
      <c r="AF40" s="86"/>
      <c r="AG40" s="87"/>
      <c r="AH40" s="88"/>
    </row>
    <row r="41" spans="1:34" s="2" customFormat="1" x14ac:dyDescent="0.25">
      <c r="A41" s="7"/>
      <c r="B41" s="25"/>
      <c r="C41" s="91"/>
      <c r="D41" s="91"/>
      <c r="E41" s="78"/>
      <c r="F41" s="133"/>
      <c r="G41" s="38"/>
      <c r="H41" s="80"/>
      <c r="I41" s="81"/>
      <c r="J41" s="82"/>
      <c r="K41" s="83"/>
      <c r="L41" s="84"/>
      <c r="M41" s="79"/>
      <c r="N41" s="80"/>
      <c r="O41" s="81"/>
      <c r="P41" s="82"/>
      <c r="Q41" s="83"/>
      <c r="R41" s="84"/>
      <c r="S41" s="84"/>
      <c r="T41" s="84"/>
      <c r="U41" s="84"/>
      <c r="V41" s="84"/>
      <c r="W41" s="84"/>
      <c r="X41" s="84"/>
      <c r="Y41" s="84"/>
      <c r="Z41" s="84"/>
      <c r="AA41" s="84"/>
      <c r="AB41" s="84"/>
      <c r="AC41" s="84"/>
      <c r="AD41" s="84"/>
      <c r="AE41" s="85"/>
      <c r="AF41" s="86"/>
      <c r="AG41" s="87"/>
      <c r="AH41" s="88"/>
    </row>
    <row r="42" spans="1:34" s="2" customFormat="1" x14ac:dyDescent="0.25">
      <c r="A42" s="7"/>
      <c r="B42" s="25"/>
      <c r="C42" s="91"/>
      <c r="D42" s="91"/>
      <c r="E42" s="78"/>
      <c r="F42" s="133"/>
      <c r="G42" s="38"/>
      <c r="H42" s="80"/>
      <c r="I42" s="81"/>
      <c r="J42" s="82"/>
      <c r="K42" s="83"/>
      <c r="L42" s="84"/>
      <c r="M42" s="79"/>
      <c r="N42" s="80"/>
      <c r="O42" s="81"/>
      <c r="P42" s="82"/>
      <c r="Q42" s="83"/>
      <c r="R42" s="84"/>
      <c r="S42" s="84"/>
      <c r="T42" s="84"/>
      <c r="U42" s="84"/>
      <c r="V42" s="84"/>
      <c r="W42" s="84"/>
      <c r="X42" s="84"/>
      <c r="Y42" s="84"/>
      <c r="Z42" s="84"/>
      <c r="AA42" s="84"/>
      <c r="AB42" s="84"/>
      <c r="AC42" s="84"/>
      <c r="AD42" s="84"/>
      <c r="AE42" s="85"/>
      <c r="AF42" s="86"/>
      <c r="AG42" s="87"/>
      <c r="AH42" s="88"/>
    </row>
    <row r="43" spans="1:34" s="2" customFormat="1" x14ac:dyDescent="0.25">
      <c r="A43" s="7"/>
      <c r="B43" s="25"/>
      <c r="C43" s="91"/>
      <c r="D43" s="91"/>
      <c r="E43" s="78"/>
      <c r="F43" s="133"/>
      <c r="G43" s="38"/>
      <c r="H43" s="80"/>
      <c r="I43" s="81"/>
      <c r="J43" s="82"/>
      <c r="K43" s="83"/>
      <c r="L43" s="84"/>
      <c r="M43" s="79"/>
      <c r="N43" s="80"/>
      <c r="O43" s="81"/>
      <c r="P43" s="82"/>
      <c r="Q43" s="83"/>
      <c r="R43" s="84"/>
      <c r="S43" s="84"/>
      <c r="T43" s="84"/>
      <c r="U43" s="84"/>
      <c r="V43" s="84"/>
      <c r="W43" s="84"/>
      <c r="X43" s="84"/>
      <c r="Y43" s="84"/>
      <c r="Z43" s="84"/>
      <c r="AA43" s="84"/>
      <c r="AB43" s="84"/>
      <c r="AC43" s="84"/>
      <c r="AD43" s="84"/>
      <c r="AE43" s="85"/>
      <c r="AF43" s="86"/>
      <c r="AG43" s="87"/>
      <c r="AH43" s="88"/>
    </row>
    <row r="44" spans="1:34" s="2" customFormat="1" x14ac:dyDescent="0.25">
      <c r="A44" s="7"/>
      <c r="B44" s="25"/>
      <c r="C44" s="91"/>
      <c r="D44" s="91"/>
      <c r="E44" s="78"/>
      <c r="F44" s="133"/>
      <c r="G44" s="38"/>
      <c r="H44" s="80"/>
      <c r="I44" s="81"/>
      <c r="J44" s="82"/>
      <c r="K44" s="83"/>
      <c r="L44" s="84"/>
      <c r="M44" s="79"/>
      <c r="N44" s="80"/>
      <c r="O44" s="81"/>
      <c r="P44" s="82"/>
      <c r="Q44" s="83"/>
      <c r="R44" s="84"/>
      <c r="S44" s="84"/>
      <c r="T44" s="84"/>
      <c r="U44" s="84"/>
      <c r="V44" s="84"/>
      <c r="W44" s="84"/>
      <c r="X44" s="84"/>
      <c r="Y44" s="84"/>
      <c r="Z44" s="84"/>
      <c r="AA44" s="84"/>
      <c r="AB44" s="84"/>
      <c r="AC44" s="84"/>
      <c r="AD44" s="84"/>
      <c r="AE44" s="85"/>
      <c r="AF44" s="86"/>
      <c r="AG44" s="87"/>
      <c r="AH44" s="88"/>
    </row>
    <row r="45" spans="1:34" s="2" customFormat="1" x14ac:dyDescent="0.25">
      <c r="A45" s="7"/>
      <c r="B45" s="25"/>
      <c r="C45" s="91"/>
      <c r="D45" s="91"/>
      <c r="E45" s="78"/>
      <c r="F45" s="133"/>
      <c r="G45" s="38"/>
      <c r="H45" s="80"/>
      <c r="I45" s="81"/>
      <c r="J45" s="82"/>
      <c r="K45" s="83"/>
      <c r="L45" s="84"/>
      <c r="M45" s="79"/>
      <c r="N45" s="80"/>
      <c r="O45" s="81"/>
      <c r="P45" s="82"/>
      <c r="Q45" s="83"/>
      <c r="R45" s="84"/>
      <c r="S45" s="84"/>
      <c r="T45" s="84"/>
      <c r="U45" s="84"/>
      <c r="V45" s="84"/>
      <c r="W45" s="84"/>
      <c r="X45" s="84"/>
      <c r="Y45" s="84"/>
      <c r="Z45" s="84"/>
      <c r="AA45" s="84"/>
      <c r="AB45" s="84"/>
      <c r="AC45" s="84"/>
      <c r="AD45" s="84"/>
      <c r="AE45" s="85"/>
      <c r="AF45" s="86"/>
      <c r="AG45" s="87"/>
      <c r="AH45" s="88"/>
    </row>
    <row r="46" spans="1:34" s="2" customFormat="1" x14ac:dyDescent="0.25">
      <c r="A46" s="7"/>
      <c r="B46" s="25"/>
      <c r="C46" s="91"/>
      <c r="D46" s="91"/>
      <c r="E46" s="78"/>
      <c r="F46" s="133"/>
      <c r="G46" s="38"/>
      <c r="H46" s="80"/>
      <c r="I46" s="81"/>
      <c r="J46" s="82"/>
      <c r="K46" s="83"/>
      <c r="L46" s="84"/>
      <c r="M46" s="79"/>
      <c r="N46" s="80"/>
      <c r="O46" s="81"/>
      <c r="P46" s="82"/>
      <c r="Q46" s="83"/>
      <c r="R46" s="84"/>
      <c r="S46" s="84"/>
      <c r="T46" s="84"/>
      <c r="U46" s="84"/>
      <c r="V46" s="84"/>
      <c r="W46" s="84"/>
      <c r="X46" s="84"/>
      <c r="Y46" s="84"/>
      <c r="Z46" s="84"/>
      <c r="AA46" s="84"/>
      <c r="AB46" s="84"/>
      <c r="AC46" s="84"/>
      <c r="AD46" s="84"/>
      <c r="AE46" s="85"/>
      <c r="AF46" s="86"/>
      <c r="AG46" s="87"/>
      <c r="AH46" s="88"/>
    </row>
    <row r="47" spans="1:34" s="2" customFormat="1" x14ac:dyDescent="0.25">
      <c r="A47" s="7"/>
      <c r="B47" s="25"/>
      <c r="C47" s="91"/>
      <c r="D47" s="91"/>
      <c r="E47" s="78"/>
      <c r="F47" s="133"/>
      <c r="G47" s="38"/>
      <c r="H47" s="80"/>
      <c r="I47" s="81"/>
      <c r="J47" s="82"/>
      <c r="K47" s="83"/>
      <c r="L47" s="84"/>
      <c r="M47" s="79"/>
      <c r="N47" s="80"/>
      <c r="O47" s="81"/>
      <c r="P47" s="82"/>
      <c r="Q47" s="83"/>
      <c r="R47" s="84"/>
      <c r="S47" s="84"/>
      <c r="T47" s="84"/>
      <c r="U47" s="84"/>
      <c r="V47" s="84"/>
      <c r="W47" s="84"/>
      <c r="X47" s="84"/>
      <c r="Y47" s="84"/>
      <c r="Z47" s="84"/>
      <c r="AA47" s="84"/>
      <c r="AB47" s="84"/>
      <c r="AC47" s="84"/>
      <c r="AD47" s="84"/>
      <c r="AE47" s="85"/>
      <c r="AF47" s="86"/>
      <c r="AG47" s="87"/>
      <c r="AH47" s="88"/>
    </row>
    <row r="48" spans="1:34" s="2" customFormat="1" x14ac:dyDescent="0.25">
      <c r="A48" s="7"/>
      <c r="B48" s="25"/>
      <c r="C48" s="91"/>
      <c r="D48" s="91"/>
      <c r="E48" s="78"/>
      <c r="F48" s="133"/>
      <c r="G48" s="38"/>
      <c r="H48" s="80"/>
      <c r="I48" s="81"/>
      <c r="J48" s="82"/>
      <c r="K48" s="83"/>
      <c r="L48" s="84"/>
      <c r="M48" s="79"/>
      <c r="N48" s="80"/>
      <c r="O48" s="81"/>
      <c r="P48" s="82"/>
      <c r="Q48" s="83"/>
      <c r="R48" s="84"/>
      <c r="S48" s="84"/>
      <c r="T48" s="84"/>
      <c r="U48" s="84"/>
      <c r="V48" s="84"/>
      <c r="W48" s="84"/>
      <c r="X48" s="84"/>
      <c r="Y48" s="84"/>
      <c r="Z48" s="84"/>
      <c r="AA48" s="84"/>
      <c r="AB48" s="84"/>
      <c r="AC48" s="84"/>
      <c r="AD48" s="84"/>
      <c r="AE48" s="85"/>
      <c r="AF48" s="86"/>
      <c r="AG48" s="87"/>
      <c r="AH48" s="88"/>
    </row>
    <row r="49" spans="1:34" s="2" customFormat="1" x14ac:dyDescent="0.25">
      <c r="A49" s="7"/>
      <c r="B49" s="25"/>
      <c r="C49" s="91"/>
      <c r="D49" s="91"/>
      <c r="E49" s="78"/>
      <c r="F49" s="133"/>
      <c r="G49" s="38"/>
      <c r="H49" s="80"/>
      <c r="I49" s="81"/>
      <c r="J49" s="82"/>
      <c r="K49" s="83"/>
      <c r="L49" s="84"/>
      <c r="M49" s="79"/>
      <c r="N49" s="80"/>
      <c r="O49" s="81"/>
      <c r="P49" s="82"/>
      <c r="Q49" s="83"/>
      <c r="R49" s="84"/>
      <c r="S49" s="84"/>
      <c r="T49" s="84"/>
      <c r="U49" s="84"/>
      <c r="V49" s="84"/>
      <c r="W49" s="84"/>
      <c r="X49" s="84"/>
      <c r="Y49" s="84"/>
      <c r="Z49" s="84"/>
      <c r="AA49" s="84"/>
      <c r="AB49" s="84"/>
      <c r="AC49" s="84"/>
      <c r="AD49" s="84"/>
      <c r="AE49" s="85"/>
      <c r="AF49" s="86"/>
      <c r="AG49" s="87"/>
      <c r="AH49" s="88"/>
    </row>
    <row r="50" spans="1:34" s="2" customFormat="1" x14ac:dyDescent="0.25">
      <c r="A50" s="7"/>
      <c r="B50" s="25"/>
      <c r="C50" s="91"/>
      <c r="D50" s="91"/>
      <c r="E50" s="78"/>
      <c r="F50" s="133"/>
      <c r="G50" s="38"/>
      <c r="H50" s="80"/>
      <c r="I50" s="81"/>
      <c r="J50" s="82"/>
      <c r="K50" s="83"/>
      <c r="L50" s="84"/>
      <c r="M50" s="79"/>
      <c r="N50" s="80"/>
      <c r="O50" s="81"/>
      <c r="P50" s="82"/>
      <c r="Q50" s="83"/>
      <c r="R50" s="84"/>
      <c r="S50" s="84"/>
      <c r="T50" s="84"/>
      <c r="U50" s="84"/>
      <c r="V50" s="84"/>
      <c r="W50" s="84"/>
      <c r="X50" s="84"/>
      <c r="Y50" s="84"/>
      <c r="Z50" s="84"/>
      <c r="AA50" s="84"/>
      <c r="AB50" s="84"/>
      <c r="AC50" s="84"/>
      <c r="AD50" s="84"/>
      <c r="AE50" s="85"/>
      <c r="AF50" s="86"/>
      <c r="AG50" s="87"/>
      <c r="AH50" s="88"/>
    </row>
    <row r="51" spans="1:34" s="2" customFormat="1" x14ac:dyDescent="0.25">
      <c r="A51" s="7"/>
      <c r="B51" s="25"/>
      <c r="C51" s="91"/>
      <c r="D51" s="91"/>
      <c r="E51" s="78"/>
      <c r="F51" s="133"/>
      <c r="G51" s="38"/>
      <c r="H51" s="80"/>
      <c r="I51" s="81"/>
      <c r="J51" s="82"/>
      <c r="K51" s="83"/>
      <c r="L51" s="84"/>
      <c r="M51" s="79"/>
      <c r="N51" s="80"/>
      <c r="O51" s="81"/>
      <c r="P51" s="82"/>
      <c r="Q51" s="83"/>
      <c r="R51" s="84"/>
      <c r="S51" s="84"/>
      <c r="T51" s="84"/>
      <c r="U51" s="84"/>
      <c r="V51" s="84"/>
      <c r="W51" s="84"/>
      <c r="X51" s="84"/>
      <c r="Y51" s="84"/>
      <c r="Z51" s="84"/>
      <c r="AA51" s="84"/>
      <c r="AB51" s="84"/>
      <c r="AC51" s="84"/>
      <c r="AD51" s="84"/>
      <c r="AE51" s="85"/>
      <c r="AF51" s="86"/>
      <c r="AG51" s="87"/>
      <c r="AH51" s="88"/>
    </row>
    <row r="52" spans="1:34" s="2" customFormat="1" x14ac:dyDescent="0.25">
      <c r="A52" s="7"/>
      <c r="B52" s="25"/>
      <c r="C52" s="91"/>
      <c r="D52" s="91"/>
      <c r="E52" s="78"/>
      <c r="F52" s="133"/>
      <c r="G52" s="38"/>
      <c r="H52" s="80"/>
      <c r="I52" s="81"/>
      <c r="J52" s="82"/>
      <c r="K52" s="83"/>
      <c r="L52" s="84"/>
      <c r="M52" s="79"/>
      <c r="N52" s="80"/>
      <c r="O52" s="81"/>
      <c r="P52" s="82"/>
      <c r="Q52" s="83"/>
      <c r="R52" s="84"/>
      <c r="S52" s="84"/>
      <c r="T52" s="84"/>
      <c r="U52" s="84"/>
      <c r="V52" s="84"/>
      <c r="W52" s="84"/>
      <c r="X52" s="84"/>
      <c r="Y52" s="84"/>
      <c r="Z52" s="84"/>
      <c r="AA52" s="84"/>
      <c r="AB52" s="84"/>
      <c r="AC52" s="84"/>
      <c r="AD52" s="84"/>
      <c r="AE52" s="85"/>
      <c r="AF52" s="86"/>
      <c r="AG52" s="87"/>
      <c r="AH52" s="88"/>
    </row>
    <row r="53" spans="1:34" s="2" customFormat="1" x14ac:dyDescent="0.25">
      <c r="A53" s="7"/>
      <c r="B53" s="25"/>
      <c r="C53" s="91"/>
      <c r="D53" s="91"/>
      <c r="E53" s="78"/>
      <c r="F53" s="133"/>
      <c r="G53" s="38"/>
      <c r="H53" s="80"/>
      <c r="I53" s="81"/>
      <c r="J53" s="82"/>
      <c r="K53" s="83"/>
      <c r="L53" s="84"/>
      <c r="M53" s="79"/>
      <c r="N53" s="80"/>
      <c r="O53" s="81"/>
      <c r="P53" s="82"/>
      <c r="Q53" s="83"/>
      <c r="R53" s="84"/>
      <c r="S53" s="84"/>
      <c r="T53" s="84"/>
      <c r="U53" s="84"/>
      <c r="V53" s="84"/>
      <c r="W53" s="84"/>
      <c r="X53" s="84"/>
      <c r="Y53" s="84"/>
      <c r="Z53" s="84"/>
      <c r="AA53" s="84"/>
      <c r="AB53" s="84"/>
      <c r="AC53" s="84"/>
      <c r="AD53" s="84"/>
      <c r="AE53" s="85"/>
      <c r="AF53" s="86"/>
      <c r="AG53" s="87"/>
      <c r="AH53" s="88"/>
    </row>
    <row r="54" spans="1:34" s="2" customFormat="1" x14ac:dyDescent="0.25">
      <c r="A54" s="7"/>
      <c r="B54" s="25"/>
      <c r="C54" s="91"/>
      <c r="D54" s="91"/>
      <c r="E54" s="78"/>
      <c r="F54" s="133"/>
      <c r="G54" s="38"/>
      <c r="H54" s="80"/>
      <c r="I54" s="81"/>
      <c r="J54" s="82"/>
      <c r="K54" s="83"/>
      <c r="L54" s="84"/>
      <c r="M54" s="79"/>
      <c r="N54" s="80"/>
      <c r="O54" s="81"/>
      <c r="P54" s="82"/>
      <c r="Q54" s="83"/>
      <c r="R54" s="84"/>
      <c r="S54" s="84"/>
      <c r="T54" s="84"/>
      <c r="U54" s="84"/>
      <c r="V54" s="84"/>
      <c r="W54" s="84"/>
      <c r="X54" s="84"/>
      <c r="Y54" s="84"/>
      <c r="Z54" s="84"/>
      <c r="AA54" s="84"/>
      <c r="AB54" s="84"/>
      <c r="AC54" s="84"/>
      <c r="AD54" s="84"/>
      <c r="AE54" s="85"/>
      <c r="AF54" s="86"/>
      <c r="AG54" s="87"/>
      <c r="AH54" s="88"/>
    </row>
    <row r="55" spans="1:34" s="2" customFormat="1" x14ac:dyDescent="0.25">
      <c r="A55" s="7"/>
      <c r="B55" s="25"/>
      <c r="C55" s="91"/>
      <c r="D55" s="91"/>
      <c r="E55" s="78"/>
      <c r="F55" s="133"/>
      <c r="G55" s="38"/>
      <c r="H55" s="80"/>
      <c r="I55" s="81"/>
      <c r="J55" s="82"/>
      <c r="K55" s="83"/>
      <c r="L55" s="84"/>
      <c r="M55" s="79"/>
      <c r="N55" s="80"/>
      <c r="O55" s="81"/>
      <c r="P55" s="82"/>
      <c r="Q55" s="83"/>
      <c r="R55" s="84"/>
      <c r="S55" s="84"/>
      <c r="T55" s="84"/>
      <c r="U55" s="84"/>
      <c r="V55" s="84"/>
      <c r="W55" s="84"/>
      <c r="X55" s="84"/>
      <c r="Y55" s="84"/>
      <c r="Z55" s="84"/>
      <c r="AA55" s="84"/>
      <c r="AB55" s="84"/>
      <c r="AC55" s="84"/>
      <c r="AD55" s="84"/>
      <c r="AE55" s="85"/>
      <c r="AF55" s="86"/>
      <c r="AG55" s="87"/>
      <c r="AH55" s="88"/>
    </row>
    <row r="56" spans="1:34" s="2" customFormat="1" x14ac:dyDescent="0.25">
      <c r="A56" s="7"/>
      <c r="B56" s="25"/>
      <c r="C56" s="91"/>
      <c r="D56" s="91"/>
      <c r="E56" s="78"/>
      <c r="F56" s="133"/>
      <c r="G56" s="38"/>
      <c r="H56" s="80"/>
      <c r="I56" s="81"/>
      <c r="J56" s="82"/>
      <c r="K56" s="83"/>
      <c r="L56" s="84"/>
      <c r="M56" s="79"/>
      <c r="N56" s="80"/>
      <c r="O56" s="81"/>
      <c r="P56" s="82"/>
      <c r="Q56" s="83"/>
      <c r="R56" s="84"/>
      <c r="S56" s="84"/>
      <c r="T56" s="84"/>
      <c r="U56" s="84"/>
      <c r="V56" s="84"/>
      <c r="W56" s="84"/>
      <c r="X56" s="84"/>
      <c r="Y56" s="84"/>
      <c r="Z56" s="84"/>
      <c r="AA56" s="84"/>
      <c r="AB56" s="84"/>
      <c r="AC56" s="84"/>
      <c r="AD56" s="84"/>
      <c r="AE56" s="85"/>
      <c r="AF56" s="86"/>
      <c r="AG56" s="87"/>
      <c r="AH56" s="88"/>
    </row>
    <row r="57" spans="1:34" s="2" customFormat="1" x14ac:dyDescent="0.25">
      <c r="A57" s="7"/>
      <c r="B57" s="25"/>
      <c r="C57" s="91"/>
      <c r="D57" s="91"/>
      <c r="E57" s="78"/>
      <c r="F57" s="133"/>
      <c r="G57" s="38"/>
      <c r="H57" s="80"/>
      <c r="I57" s="81"/>
      <c r="J57" s="82"/>
      <c r="K57" s="83"/>
      <c r="L57" s="84"/>
      <c r="M57" s="79"/>
      <c r="N57" s="80"/>
      <c r="O57" s="81"/>
      <c r="P57" s="82"/>
      <c r="Q57" s="83"/>
      <c r="R57" s="84"/>
      <c r="S57" s="84"/>
      <c r="T57" s="84"/>
      <c r="U57" s="84"/>
      <c r="V57" s="84"/>
      <c r="W57" s="84"/>
      <c r="X57" s="84"/>
      <c r="Y57" s="84"/>
      <c r="Z57" s="84"/>
      <c r="AA57" s="84"/>
      <c r="AB57" s="84"/>
      <c r="AC57" s="84"/>
      <c r="AD57" s="84"/>
      <c r="AE57" s="85"/>
      <c r="AF57" s="86"/>
      <c r="AG57" s="87"/>
      <c r="AH57" s="88"/>
    </row>
    <row r="58" spans="1:34" s="2" customFormat="1" x14ac:dyDescent="0.25">
      <c r="A58" s="7"/>
      <c r="B58" s="25"/>
      <c r="C58" s="91"/>
      <c r="D58" s="91"/>
      <c r="E58" s="78"/>
      <c r="F58" s="133"/>
      <c r="G58" s="38"/>
      <c r="H58" s="80"/>
      <c r="I58" s="81"/>
      <c r="J58" s="82"/>
      <c r="K58" s="83"/>
      <c r="L58" s="84"/>
      <c r="M58" s="79"/>
      <c r="N58" s="80"/>
      <c r="O58" s="81"/>
      <c r="P58" s="82"/>
      <c r="Q58" s="83"/>
      <c r="R58" s="84"/>
      <c r="S58" s="84"/>
      <c r="T58" s="84"/>
      <c r="U58" s="84"/>
      <c r="V58" s="84"/>
      <c r="W58" s="84"/>
      <c r="X58" s="84"/>
      <c r="Y58" s="84"/>
      <c r="Z58" s="84"/>
      <c r="AA58" s="84"/>
      <c r="AB58" s="84"/>
      <c r="AC58" s="84"/>
      <c r="AD58" s="84"/>
      <c r="AE58" s="85"/>
      <c r="AF58" s="86"/>
      <c r="AG58" s="87"/>
      <c r="AH58" s="88"/>
    </row>
    <row r="59" spans="1:34" s="2" customFormat="1" x14ac:dyDescent="0.25">
      <c r="A59" s="7"/>
      <c r="B59" s="25"/>
      <c r="C59" s="91"/>
      <c r="D59" s="91"/>
      <c r="E59" s="78"/>
      <c r="F59" s="133"/>
      <c r="G59" s="38"/>
      <c r="H59" s="80"/>
      <c r="I59" s="81"/>
      <c r="J59" s="82"/>
      <c r="K59" s="83"/>
      <c r="L59" s="84"/>
      <c r="M59" s="79"/>
      <c r="N59" s="80"/>
      <c r="O59" s="81"/>
      <c r="P59" s="82"/>
      <c r="Q59" s="83"/>
      <c r="R59" s="84"/>
      <c r="S59" s="84"/>
      <c r="T59" s="84"/>
      <c r="U59" s="84"/>
      <c r="V59" s="84"/>
      <c r="W59" s="84"/>
      <c r="X59" s="84"/>
      <c r="Y59" s="84"/>
      <c r="Z59" s="84"/>
      <c r="AA59" s="84"/>
      <c r="AB59" s="84"/>
      <c r="AC59" s="84"/>
      <c r="AD59" s="84"/>
      <c r="AE59" s="85"/>
      <c r="AF59" s="86"/>
      <c r="AG59" s="87"/>
      <c r="AH59" s="88"/>
    </row>
    <row r="60" spans="1:34" s="2" customFormat="1" x14ac:dyDescent="0.25">
      <c r="A60" s="7"/>
      <c r="B60" s="25"/>
      <c r="C60" s="91"/>
      <c r="D60" s="91"/>
      <c r="E60" s="78"/>
      <c r="F60" s="133"/>
      <c r="G60" s="38"/>
      <c r="H60" s="80"/>
      <c r="I60" s="81"/>
      <c r="J60" s="82"/>
      <c r="K60" s="83"/>
      <c r="L60" s="84"/>
      <c r="M60" s="79"/>
      <c r="N60" s="80"/>
      <c r="O60" s="81"/>
      <c r="P60" s="82"/>
      <c r="Q60" s="83"/>
      <c r="R60" s="84"/>
      <c r="S60" s="84"/>
      <c r="T60" s="84"/>
      <c r="U60" s="84"/>
      <c r="V60" s="84"/>
      <c r="W60" s="84"/>
      <c r="X60" s="84"/>
      <c r="Y60" s="84"/>
      <c r="Z60" s="84"/>
      <c r="AA60" s="84"/>
      <c r="AB60" s="84"/>
      <c r="AC60" s="84"/>
      <c r="AD60" s="84"/>
      <c r="AE60" s="85"/>
      <c r="AF60" s="86"/>
      <c r="AG60" s="87"/>
      <c r="AH60" s="88"/>
    </row>
    <row r="61" spans="1:34" s="2" customFormat="1" x14ac:dyDescent="0.25">
      <c r="A61" s="7"/>
      <c r="B61" s="25"/>
      <c r="C61" s="91"/>
      <c r="D61" s="91"/>
      <c r="E61" s="78"/>
      <c r="F61" s="133"/>
      <c r="G61" s="38"/>
      <c r="H61" s="80"/>
      <c r="I61" s="81"/>
      <c r="J61" s="82"/>
      <c r="K61" s="83"/>
      <c r="L61" s="84"/>
      <c r="M61" s="79"/>
      <c r="N61" s="80"/>
      <c r="O61" s="81"/>
      <c r="P61" s="82"/>
      <c r="Q61" s="83"/>
      <c r="R61" s="84"/>
      <c r="S61" s="84"/>
      <c r="T61" s="84"/>
      <c r="U61" s="84"/>
      <c r="V61" s="84"/>
      <c r="W61" s="84"/>
      <c r="X61" s="84"/>
      <c r="Y61" s="84"/>
      <c r="Z61" s="84"/>
      <c r="AA61" s="84"/>
      <c r="AB61" s="84"/>
      <c r="AC61" s="84"/>
      <c r="AD61" s="84"/>
      <c r="AE61" s="85"/>
      <c r="AF61" s="86"/>
      <c r="AG61" s="87"/>
      <c r="AH61" s="88"/>
    </row>
    <row r="62" spans="1:34" s="2" customFormat="1" x14ac:dyDescent="0.25">
      <c r="A62" s="7"/>
      <c r="B62" s="25"/>
      <c r="C62" s="91"/>
      <c r="D62" s="91"/>
      <c r="E62" s="78"/>
      <c r="F62" s="133"/>
      <c r="G62" s="38"/>
      <c r="H62" s="80"/>
      <c r="I62" s="81"/>
      <c r="J62" s="82"/>
      <c r="K62" s="83"/>
      <c r="L62" s="84"/>
      <c r="M62" s="79"/>
      <c r="N62" s="80"/>
      <c r="O62" s="81"/>
      <c r="P62" s="82"/>
      <c r="Q62" s="83"/>
      <c r="R62" s="84"/>
      <c r="S62" s="84"/>
      <c r="T62" s="84"/>
      <c r="U62" s="84"/>
      <c r="V62" s="84"/>
      <c r="W62" s="84"/>
      <c r="X62" s="84"/>
      <c r="Y62" s="84"/>
      <c r="Z62" s="84"/>
      <c r="AA62" s="84"/>
      <c r="AB62" s="84"/>
      <c r="AC62" s="84"/>
      <c r="AD62" s="84"/>
      <c r="AE62" s="85"/>
      <c r="AF62" s="86"/>
      <c r="AG62" s="87"/>
      <c r="AH62" s="88"/>
    </row>
    <row r="63" spans="1:34" s="2" customFormat="1" x14ac:dyDescent="0.25">
      <c r="A63" s="7"/>
      <c r="B63" s="25"/>
      <c r="C63" s="91"/>
      <c r="D63" s="91"/>
      <c r="E63" s="78"/>
      <c r="F63" s="133"/>
      <c r="G63" s="38"/>
      <c r="H63" s="80"/>
      <c r="I63" s="81"/>
      <c r="J63" s="82"/>
      <c r="K63" s="83"/>
      <c r="L63" s="84"/>
      <c r="M63" s="79"/>
      <c r="N63" s="80"/>
      <c r="O63" s="81"/>
      <c r="P63" s="82"/>
      <c r="Q63" s="83"/>
      <c r="R63" s="84"/>
      <c r="S63" s="84"/>
      <c r="T63" s="84"/>
      <c r="U63" s="84"/>
      <c r="V63" s="84"/>
      <c r="W63" s="84"/>
      <c r="X63" s="84"/>
      <c r="Y63" s="84"/>
      <c r="Z63" s="84"/>
      <c r="AA63" s="84"/>
      <c r="AB63" s="84"/>
      <c r="AC63" s="84"/>
      <c r="AD63" s="84"/>
      <c r="AE63" s="85"/>
      <c r="AF63" s="86"/>
      <c r="AG63" s="87"/>
      <c r="AH63" s="88"/>
    </row>
    <row r="64" spans="1:34" s="2" customFormat="1" x14ac:dyDescent="0.25">
      <c r="A64" s="7"/>
      <c r="B64" s="25"/>
      <c r="C64" s="91"/>
      <c r="D64" s="91"/>
      <c r="E64" s="78"/>
      <c r="F64" s="133"/>
      <c r="G64" s="38"/>
      <c r="H64" s="80"/>
      <c r="I64" s="81"/>
      <c r="J64" s="82"/>
      <c r="K64" s="83"/>
      <c r="L64" s="84"/>
      <c r="M64" s="79"/>
      <c r="N64" s="80"/>
      <c r="O64" s="81"/>
      <c r="P64" s="82"/>
      <c r="Q64" s="83"/>
      <c r="R64" s="84"/>
      <c r="S64" s="84"/>
      <c r="T64" s="84"/>
      <c r="U64" s="84"/>
      <c r="V64" s="84"/>
      <c r="W64" s="84"/>
      <c r="X64" s="84"/>
      <c r="Y64" s="84"/>
      <c r="Z64" s="84"/>
      <c r="AA64" s="84"/>
      <c r="AB64" s="84"/>
      <c r="AC64" s="84"/>
      <c r="AD64" s="84"/>
      <c r="AE64" s="85"/>
      <c r="AF64" s="86"/>
      <c r="AG64" s="87"/>
      <c r="AH64" s="88"/>
    </row>
    <row r="65" spans="1:34" s="2" customFormat="1" x14ac:dyDescent="0.25">
      <c r="A65" s="7"/>
      <c r="B65" s="25"/>
      <c r="C65" s="91"/>
      <c r="D65" s="91"/>
      <c r="E65" s="78"/>
      <c r="F65" s="133"/>
      <c r="G65" s="38"/>
      <c r="H65" s="80"/>
      <c r="I65" s="81"/>
      <c r="J65" s="82"/>
      <c r="K65" s="83"/>
      <c r="L65" s="84"/>
      <c r="M65" s="79"/>
      <c r="N65" s="80"/>
      <c r="O65" s="81"/>
      <c r="P65" s="82"/>
      <c r="Q65" s="83"/>
      <c r="R65" s="84"/>
      <c r="S65" s="84"/>
      <c r="T65" s="84"/>
      <c r="U65" s="84"/>
      <c r="V65" s="84"/>
      <c r="W65" s="84"/>
      <c r="X65" s="84"/>
      <c r="Y65" s="84"/>
      <c r="Z65" s="84"/>
      <c r="AA65" s="84"/>
      <c r="AB65" s="84"/>
      <c r="AC65" s="84"/>
      <c r="AD65" s="84"/>
      <c r="AE65" s="85"/>
      <c r="AF65" s="86"/>
      <c r="AG65" s="87"/>
      <c r="AH65" s="88"/>
    </row>
    <row r="66" spans="1:34" s="2" customFormat="1" x14ac:dyDescent="0.25">
      <c r="A66" s="7"/>
      <c r="B66" s="25"/>
      <c r="C66" s="91"/>
      <c r="D66" s="91"/>
      <c r="E66" s="78"/>
      <c r="F66" s="133"/>
      <c r="G66" s="38"/>
      <c r="H66" s="80"/>
      <c r="I66" s="81"/>
      <c r="J66" s="82"/>
      <c r="K66" s="83"/>
      <c r="L66" s="84"/>
      <c r="M66" s="79"/>
      <c r="N66" s="80"/>
      <c r="O66" s="81"/>
      <c r="P66" s="82"/>
      <c r="Q66" s="83"/>
      <c r="R66" s="84"/>
      <c r="S66" s="84"/>
      <c r="T66" s="84"/>
      <c r="U66" s="84"/>
      <c r="V66" s="84"/>
      <c r="W66" s="84"/>
      <c r="X66" s="84"/>
      <c r="Y66" s="84"/>
      <c r="Z66" s="84"/>
      <c r="AA66" s="84"/>
      <c r="AB66" s="84"/>
      <c r="AC66" s="84"/>
      <c r="AD66" s="84"/>
      <c r="AE66" s="85"/>
      <c r="AF66" s="86"/>
      <c r="AG66" s="87"/>
      <c r="AH66" s="88"/>
    </row>
    <row r="67" spans="1:34" s="2" customFormat="1" x14ac:dyDescent="0.25">
      <c r="A67" s="7"/>
      <c r="B67" s="25"/>
      <c r="C67" s="91"/>
      <c r="D67" s="91"/>
      <c r="E67" s="78"/>
      <c r="F67" s="133"/>
      <c r="G67" s="38"/>
      <c r="H67" s="80"/>
      <c r="I67" s="81"/>
      <c r="J67" s="82"/>
      <c r="K67" s="83"/>
      <c r="L67" s="84"/>
      <c r="M67" s="79"/>
      <c r="N67" s="80"/>
      <c r="O67" s="81"/>
      <c r="P67" s="82"/>
      <c r="Q67" s="83"/>
      <c r="R67" s="84"/>
      <c r="S67" s="84"/>
      <c r="T67" s="84"/>
      <c r="U67" s="84"/>
      <c r="V67" s="84"/>
      <c r="W67" s="84"/>
      <c r="X67" s="84"/>
      <c r="Y67" s="84"/>
      <c r="Z67" s="84"/>
      <c r="AA67" s="84"/>
      <c r="AB67" s="84"/>
      <c r="AC67" s="84"/>
      <c r="AD67" s="84"/>
      <c r="AE67" s="85"/>
      <c r="AF67" s="86"/>
      <c r="AG67" s="87"/>
      <c r="AH67" s="88"/>
    </row>
    <row r="68" spans="1:34" s="2" customFormat="1" x14ac:dyDescent="0.25">
      <c r="A68" s="7"/>
      <c r="B68" s="25"/>
      <c r="C68" s="91"/>
      <c r="D68" s="91"/>
      <c r="E68" s="78"/>
      <c r="F68" s="133"/>
      <c r="G68" s="38"/>
      <c r="H68" s="80"/>
      <c r="I68" s="81"/>
      <c r="J68" s="82"/>
      <c r="K68" s="83"/>
      <c r="L68" s="84"/>
      <c r="M68" s="79"/>
      <c r="N68" s="80"/>
      <c r="O68" s="81"/>
      <c r="P68" s="82"/>
      <c r="Q68" s="83"/>
      <c r="R68" s="84"/>
      <c r="S68" s="84"/>
      <c r="T68" s="84"/>
      <c r="U68" s="84"/>
      <c r="V68" s="84"/>
      <c r="W68" s="84"/>
      <c r="X68" s="84"/>
      <c r="Y68" s="84"/>
      <c r="Z68" s="84"/>
      <c r="AA68" s="84"/>
      <c r="AB68" s="84"/>
      <c r="AC68" s="84"/>
      <c r="AD68" s="84"/>
      <c r="AE68" s="85"/>
      <c r="AF68" s="86"/>
      <c r="AG68" s="87"/>
      <c r="AH68" s="88"/>
    </row>
    <row r="69" spans="1:34" s="2" customFormat="1" x14ac:dyDescent="0.25">
      <c r="A69" s="7"/>
      <c r="B69" s="25"/>
      <c r="C69" s="91"/>
      <c r="D69" s="91"/>
      <c r="E69" s="78"/>
      <c r="F69" s="133"/>
      <c r="G69" s="38"/>
      <c r="H69" s="80"/>
      <c r="I69" s="81"/>
      <c r="J69" s="82"/>
      <c r="K69" s="83"/>
      <c r="L69" s="84"/>
      <c r="M69" s="79"/>
      <c r="N69" s="80"/>
      <c r="O69" s="81"/>
      <c r="P69" s="82"/>
      <c r="Q69" s="83"/>
      <c r="R69" s="84"/>
      <c r="S69" s="84"/>
      <c r="T69" s="84"/>
      <c r="U69" s="84"/>
      <c r="V69" s="84"/>
      <c r="W69" s="84"/>
      <c r="X69" s="84"/>
      <c r="Y69" s="84"/>
      <c r="Z69" s="84"/>
      <c r="AA69" s="84"/>
      <c r="AB69" s="84"/>
      <c r="AC69" s="84"/>
      <c r="AD69" s="84"/>
      <c r="AE69" s="85"/>
      <c r="AF69" s="86"/>
      <c r="AG69" s="87"/>
      <c r="AH69" s="88"/>
    </row>
    <row r="70" spans="1:34" s="2" customFormat="1" x14ac:dyDescent="0.25">
      <c r="A70" s="7"/>
      <c r="B70" s="25"/>
      <c r="C70" s="91"/>
      <c r="D70" s="91"/>
      <c r="E70" s="78"/>
      <c r="F70" s="133"/>
      <c r="G70" s="38"/>
      <c r="H70" s="80"/>
      <c r="I70" s="81"/>
      <c r="J70" s="82"/>
      <c r="K70" s="83"/>
      <c r="L70" s="84"/>
      <c r="M70" s="79"/>
      <c r="N70" s="80"/>
      <c r="O70" s="81"/>
      <c r="P70" s="82"/>
      <c r="Q70" s="83"/>
      <c r="R70" s="84"/>
      <c r="S70" s="84"/>
      <c r="T70" s="84"/>
      <c r="U70" s="84"/>
      <c r="V70" s="84"/>
      <c r="W70" s="84"/>
      <c r="X70" s="84"/>
      <c r="Y70" s="84"/>
      <c r="Z70" s="84"/>
      <c r="AA70" s="84"/>
      <c r="AB70" s="84"/>
      <c r="AC70" s="84"/>
      <c r="AD70" s="84"/>
      <c r="AE70" s="85"/>
      <c r="AF70" s="86"/>
      <c r="AG70" s="87"/>
      <c r="AH70" s="88"/>
    </row>
    <row r="71" spans="1:34" s="2" customFormat="1" x14ac:dyDescent="0.25">
      <c r="A71" s="7"/>
      <c r="B71" s="25"/>
      <c r="C71" s="91"/>
      <c r="D71" s="91"/>
      <c r="E71" s="78"/>
      <c r="F71" s="133"/>
      <c r="G71" s="38"/>
      <c r="H71" s="80"/>
      <c r="I71" s="81"/>
      <c r="J71" s="82"/>
      <c r="K71" s="83"/>
      <c r="L71" s="84"/>
      <c r="M71" s="79"/>
      <c r="N71" s="80"/>
      <c r="O71" s="81"/>
      <c r="P71" s="82"/>
      <c r="Q71" s="83"/>
      <c r="R71" s="84"/>
      <c r="S71" s="84"/>
      <c r="T71" s="84"/>
      <c r="U71" s="84"/>
      <c r="V71" s="84"/>
      <c r="W71" s="84"/>
      <c r="X71" s="84"/>
      <c r="Y71" s="84"/>
      <c r="Z71" s="84"/>
      <c r="AA71" s="84"/>
      <c r="AB71" s="84"/>
      <c r="AC71" s="84"/>
      <c r="AD71" s="84"/>
      <c r="AE71" s="85"/>
      <c r="AF71" s="86"/>
      <c r="AG71" s="87"/>
      <c r="AH71" s="88"/>
    </row>
    <row r="72" spans="1:34" s="2" customFormat="1" x14ac:dyDescent="0.25">
      <c r="A72" s="7"/>
      <c r="B72" s="25"/>
      <c r="C72" s="91"/>
      <c r="D72" s="91"/>
      <c r="E72" s="78"/>
      <c r="F72" s="133"/>
      <c r="G72" s="38"/>
      <c r="H72" s="80"/>
      <c r="I72" s="81"/>
      <c r="J72" s="82"/>
      <c r="K72" s="83"/>
      <c r="L72" s="84"/>
      <c r="M72" s="79"/>
      <c r="N72" s="80"/>
      <c r="O72" s="81"/>
      <c r="P72" s="82"/>
      <c r="Q72" s="83"/>
      <c r="R72" s="84"/>
      <c r="S72" s="84"/>
      <c r="T72" s="84"/>
      <c r="U72" s="84"/>
      <c r="V72" s="84"/>
      <c r="W72" s="84"/>
      <c r="X72" s="84"/>
      <c r="Y72" s="84"/>
      <c r="Z72" s="84"/>
      <c r="AA72" s="84"/>
      <c r="AB72" s="84"/>
      <c r="AC72" s="84"/>
      <c r="AD72" s="84"/>
      <c r="AE72" s="85"/>
      <c r="AF72" s="86"/>
      <c r="AG72" s="87"/>
      <c r="AH72" s="88"/>
    </row>
    <row r="73" spans="1:34" s="2" customFormat="1" x14ac:dyDescent="0.25">
      <c r="A73" s="7"/>
      <c r="B73" s="25"/>
      <c r="C73" s="91"/>
      <c r="D73" s="91"/>
      <c r="E73" s="78"/>
      <c r="F73" s="133"/>
      <c r="G73" s="38"/>
      <c r="H73" s="80"/>
      <c r="I73" s="81"/>
      <c r="J73" s="82"/>
      <c r="K73" s="83"/>
      <c r="L73" s="84"/>
      <c r="M73" s="79"/>
      <c r="N73" s="80"/>
      <c r="O73" s="81"/>
      <c r="P73" s="82"/>
      <c r="Q73" s="83"/>
      <c r="R73" s="84"/>
      <c r="S73" s="84"/>
      <c r="T73" s="84"/>
      <c r="U73" s="84"/>
      <c r="V73" s="84"/>
      <c r="W73" s="84"/>
      <c r="X73" s="84"/>
      <c r="Y73" s="84"/>
      <c r="Z73" s="84"/>
      <c r="AA73" s="84"/>
      <c r="AB73" s="84"/>
      <c r="AC73" s="84"/>
      <c r="AD73" s="84"/>
      <c r="AE73" s="85"/>
      <c r="AF73" s="86"/>
      <c r="AG73" s="87"/>
      <c r="AH73" s="88"/>
    </row>
    <row r="74" spans="1:34" s="2" customFormat="1" x14ac:dyDescent="0.25">
      <c r="A74" s="7"/>
      <c r="B74" s="25"/>
      <c r="C74" s="91"/>
      <c r="D74" s="91"/>
      <c r="E74" s="78"/>
      <c r="F74" s="133"/>
      <c r="G74" s="38"/>
      <c r="H74" s="80"/>
      <c r="I74" s="81"/>
      <c r="J74" s="82"/>
      <c r="K74" s="83"/>
      <c r="L74" s="84"/>
      <c r="M74" s="79"/>
      <c r="N74" s="80"/>
      <c r="O74" s="81"/>
      <c r="P74" s="82"/>
      <c r="Q74" s="83"/>
      <c r="R74" s="84"/>
      <c r="S74" s="84"/>
      <c r="T74" s="84"/>
      <c r="U74" s="84"/>
      <c r="V74" s="84"/>
      <c r="W74" s="84"/>
      <c r="X74" s="84"/>
      <c r="Y74" s="84"/>
      <c r="Z74" s="84"/>
      <c r="AA74" s="84"/>
      <c r="AB74" s="84"/>
      <c r="AC74" s="84"/>
      <c r="AD74" s="84"/>
      <c r="AE74" s="85"/>
      <c r="AF74" s="86"/>
      <c r="AG74" s="87"/>
      <c r="AH74" s="88"/>
    </row>
    <row r="75" spans="1:34" s="2" customFormat="1" x14ac:dyDescent="0.25">
      <c r="A75" s="7"/>
      <c r="B75" s="25"/>
      <c r="C75" s="91"/>
      <c r="D75" s="91"/>
      <c r="E75" s="78"/>
      <c r="F75" s="133"/>
      <c r="G75" s="38"/>
      <c r="H75" s="80"/>
      <c r="I75" s="81"/>
      <c r="J75" s="82"/>
      <c r="K75" s="83"/>
      <c r="L75" s="84"/>
      <c r="M75" s="79"/>
      <c r="N75" s="80"/>
      <c r="O75" s="81"/>
      <c r="P75" s="82"/>
      <c r="Q75" s="83"/>
      <c r="R75" s="84"/>
      <c r="S75" s="84"/>
      <c r="T75" s="84"/>
      <c r="U75" s="84"/>
      <c r="V75" s="84"/>
      <c r="W75" s="84"/>
      <c r="X75" s="84"/>
      <c r="Y75" s="84"/>
      <c r="Z75" s="84"/>
      <c r="AA75" s="84"/>
      <c r="AB75" s="84"/>
      <c r="AC75" s="84"/>
      <c r="AD75" s="84"/>
      <c r="AE75" s="85"/>
      <c r="AF75" s="86"/>
      <c r="AG75" s="87"/>
      <c r="AH75" s="88"/>
    </row>
    <row r="76" spans="1:34" s="2" customFormat="1" x14ac:dyDescent="0.25">
      <c r="A76" s="7"/>
      <c r="B76" s="25"/>
      <c r="C76" s="91"/>
      <c r="D76" s="91"/>
      <c r="E76" s="78"/>
      <c r="F76" s="133"/>
      <c r="G76" s="38"/>
      <c r="H76" s="80"/>
      <c r="I76" s="81"/>
      <c r="J76" s="82"/>
      <c r="K76" s="83"/>
      <c r="L76" s="84"/>
      <c r="M76" s="79"/>
      <c r="N76" s="80"/>
      <c r="O76" s="81"/>
      <c r="P76" s="82"/>
      <c r="Q76" s="83"/>
      <c r="R76" s="84"/>
      <c r="S76" s="84"/>
      <c r="T76" s="84"/>
      <c r="U76" s="84"/>
      <c r="V76" s="84"/>
      <c r="W76" s="84"/>
      <c r="X76" s="84"/>
      <c r="Y76" s="84"/>
      <c r="Z76" s="84"/>
      <c r="AA76" s="84"/>
      <c r="AB76" s="84"/>
      <c r="AC76" s="84"/>
      <c r="AD76" s="84"/>
      <c r="AE76" s="85"/>
      <c r="AF76" s="86"/>
      <c r="AG76" s="87"/>
      <c r="AH76" s="88"/>
    </row>
    <row r="77" spans="1:34" s="2" customFormat="1" x14ac:dyDescent="0.25">
      <c r="A77" s="7"/>
      <c r="B77" s="25"/>
      <c r="C77" s="91"/>
      <c r="D77" s="91"/>
      <c r="E77" s="78"/>
      <c r="F77" s="133"/>
      <c r="G77" s="38"/>
      <c r="H77" s="80"/>
      <c r="I77" s="81"/>
      <c r="J77" s="82"/>
      <c r="K77" s="83"/>
      <c r="L77" s="84"/>
      <c r="M77" s="79"/>
      <c r="N77" s="80"/>
      <c r="O77" s="81"/>
      <c r="P77" s="82"/>
      <c r="Q77" s="83"/>
      <c r="R77" s="84"/>
      <c r="S77" s="84"/>
      <c r="T77" s="84"/>
      <c r="U77" s="84"/>
      <c r="V77" s="84"/>
      <c r="W77" s="84"/>
      <c r="X77" s="84"/>
      <c r="Y77" s="84"/>
      <c r="Z77" s="84"/>
      <c r="AA77" s="84"/>
      <c r="AB77" s="84"/>
      <c r="AC77" s="84"/>
      <c r="AD77" s="84"/>
      <c r="AE77" s="85"/>
      <c r="AF77" s="86"/>
      <c r="AG77" s="87"/>
      <c r="AH77" s="88"/>
    </row>
    <row r="78" spans="1:34" s="2" customFormat="1" x14ac:dyDescent="0.25">
      <c r="A78" s="7"/>
      <c r="B78" s="25"/>
      <c r="C78" s="91"/>
      <c r="D78" s="91"/>
      <c r="E78" s="78"/>
      <c r="F78" s="133"/>
      <c r="G78" s="38"/>
      <c r="H78" s="80"/>
      <c r="I78" s="81"/>
      <c r="J78" s="82"/>
      <c r="K78" s="83"/>
      <c r="L78" s="84"/>
      <c r="M78" s="79"/>
      <c r="N78" s="80"/>
      <c r="O78" s="81"/>
      <c r="P78" s="82"/>
      <c r="Q78" s="83"/>
      <c r="R78" s="84"/>
      <c r="S78" s="84"/>
      <c r="T78" s="84"/>
      <c r="U78" s="84"/>
      <c r="V78" s="84"/>
      <c r="W78" s="84"/>
      <c r="X78" s="84"/>
      <c r="Y78" s="84"/>
      <c r="Z78" s="84"/>
      <c r="AA78" s="84"/>
      <c r="AB78" s="84"/>
      <c r="AC78" s="84"/>
      <c r="AD78" s="84"/>
      <c r="AE78" s="85"/>
      <c r="AF78" s="86"/>
      <c r="AG78" s="87"/>
      <c r="AH78" s="88"/>
    </row>
    <row r="79" spans="1:34" s="2" customFormat="1" x14ac:dyDescent="0.25">
      <c r="A79" s="7"/>
      <c r="B79" s="25"/>
      <c r="C79" s="91"/>
      <c r="D79" s="91"/>
      <c r="E79" s="78"/>
      <c r="F79" s="133"/>
      <c r="G79" s="38"/>
      <c r="H79" s="80"/>
      <c r="I79" s="81"/>
      <c r="J79" s="82"/>
      <c r="K79" s="83"/>
      <c r="L79" s="84"/>
      <c r="M79" s="79"/>
      <c r="N79" s="80"/>
      <c r="O79" s="81"/>
      <c r="P79" s="82"/>
      <c r="Q79" s="83"/>
      <c r="R79" s="84"/>
      <c r="S79" s="84"/>
      <c r="T79" s="84"/>
      <c r="U79" s="84"/>
      <c r="V79" s="84"/>
      <c r="W79" s="84"/>
      <c r="X79" s="84"/>
      <c r="Y79" s="84"/>
      <c r="Z79" s="84"/>
      <c r="AA79" s="84"/>
      <c r="AB79" s="84"/>
      <c r="AC79" s="84"/>
      <c r="AD79" s="84"/>
      <c r="AE79" s="85"/>
      <c r="AF79" s="86"/>
      <c r="AG79" s="87"/>
      <c r="AH79" s="88"/>
    </row>
    <row r="80" spans="1:34" s="2" customFormat="1" x14ac:dyDescent="0.25">
      <c r="A80" s="7"/>
      <c r="B80" s="25"/>
      <c r="C80" s="91"/>
      <c r="D80" s="91"/>
      <c r="E80" s="78"/>
      <c r="F80" s="133"/>
      <c r="G80" s="38"/>
      <c r="H80" s="80"/>
      <c r="I80" s="81"/>
      <c r="J80" s="82"/>
      <c r="K80" s="83"/>
      <c r="L80" s="84"/>
      <c r="M80" s="79"/>
      <c r="N80" s="80"/>
      <c r="O80" s="81"/>
      <c r="P80" s="82"/>
      <c r="Q80" s="83"/>
      <c r="R80" s="84"/>
      <c r="S80" s="84"/>
      <c r="T80" s="84"/>
      <c r="U80" s="84"/>
      <c r="V80" s="84"/>
      <c r="W80" s="84"/>
      <c r="X80" s="84"/>
      <c r="Y80" s="84"/>
      <c r="Z80" s="84"/>
      <c r="AA80" s="84"/>
      <c r="AB80" s="84"/>
      <c r="AC80" s="84"/>
      <c r="AD80" s="84"/>
      <c r="AE80" s="85"/>
      <c r="AF80" s="86"/>
      <c r="AG80" s="87"/>
      <c r="AH80" s="88"/>
    </row>
    <row r="81" spans="1:34" s="2" customFormat="1" x14ac:dyDescent="0.25">
      <c r="A81" s="7"/>
      <c r="B81" s="25"/>
      <c r="C81" s="91"/>
      <c r="D81" s="91"/>
      <c r="E81" s="78"/>
      <c r="F81" s="133"/>
      <c r="G81" s="38"/>
      <c r="H81" s="80"/>
      <c r="I81" s="81"/>
      <c r="J81" s="82"/>
      <c r="K81" s="83"/>
      <c r="L81" s="84"/>
      <c r="M81" s="79"/>
      <c r="N81" s="80"/>
      <c r="O81" s="81"/>
      <c r="P81" s="82"/>
      <c r="Q81" s="83"/>
      <c r="R81" s="84"/>
      <c r="S81" s="84"/>
      <c r="T81" s="84"/>
      <c r="U81" s="84"/>
      <c r="V81" s="84"/>
      <c r="W81" s="84"/>
      <c r="X81" s="84"/>
      <c r="Y81" s="84"/>
      <c r="Z81" s="84"/>
      <c r="AA81" s="84"/>
      <c r="AB81" s="84"/>
      <c r="AC81" s="84"/>
      <c r="AD81" s="84"/>
      <c r="AE81" s="85"/>
      <c r="AF81" s="86"/>
      <c r="AG81" s="87"/>
      <c r="AH81" s="88"/>
    </row>
    <row r="82" spans="1:34" s="2" customFormat="1" x14ac:dyDescent="0.25">
      <c r="A82" s="7"/>
      <c r="B82" s="25"/>
      <c r="C82" s="91"/>
      <c r="D82" s="91"/>
      <c r="E82" s="78"/>
      <c r="F82" s="133"/>
      <c r="G82" s="38"/>
      <c r="H82" s="80"/>
      <c r="I82" s="81"/>
      <c r="J82" s="82"/>
      <c r="K82" s="83"/>
      <c r="L82" s="84"/>
      <c r="M82" s="79"/>
      <c r="N82" s="80"/>
      <c r="O82" s="81"/>
      <c r="P82" s="82"/>
      <c r="Q82" s="83"/>
      <c r="R82" s="84"/>
      <c r="S82" s="84"/>
      <c r="T82" s="84"/>
      <c r="U82" s="84"/>
      <c r="V82" s="84"/>
      <c r="W82" s="84"/>
      <c r="X82" s="84"/>
      <c r="Y82" s="84"/>
      <c r="Z82" s="84"/>
      <c r="AA82" s="84"/>
      <c r="AB82" s="84"/>
      <c r="AC82" s="84"/>
      <c r="AD82" s="84"/>
      <c r="AE82" s="85"/>
      <c r="AF82" s="86"/>
      <c r="AG82" s="87"/>
      <c r="AH82" s="88"/>
    </row>
    <row r="83" spans="1:34" s="2" customFormat="1" x14ac:dyDescent="0.25">
      <c r="A83" s="7"/>
      <c r="B83" s="25"/>
      <c r="C83" s="91"/>
      <c r="D83" s="91"/>
      <c r="E83" s="78"/>
      <c r="F83" s="133"/>
      <c r="G83" s="38"/>
      <c r="H83" s="80"/>
      <c r="I83" s="81"/>
      <c r="J83" s="82"/>
      <c r="K83" s="83"/>
      <c r="L83" s="84"/>
      <c r="M83" s="79"/>
      <c r="N83" s="80"/>
      <c r="O83" s="81"/>
      <c r="P83" s="82"/>
      <c r="Q83" s="83"/>
      <c r="R83" s="84"/>
      <c r="S83" s="84"/>
      <c r="T83" s="84"/>
      <c r="U83" s="84"/>
      <c r="V83" s="84"/>
      <c r="W83" s="84"/>
      <c r="X83" s="84"/>
      <c r="Y83" s="84"/>
      <c r="Z83" s="84"/>
      <c r="AA83" s="84"/>
      <c r="AB83" s="84"/>
      <c r="AC83" s="84"/>
      <c r="AD83" s="84"/>
      <c r="AE83" s="85"/>
      <c r="AF83" s="86"/>
      <c r="AG83" s="87"/>
      <c r="AH83" s="88"/>
    </row>
    <row r="84" spans="1:34" s="2" customFormat="1" x14ac:dyDescent="0.25">
      <c r="A84" s="7"/>
      <c r="B84" s="25"/>
      <c r="C84" s="91"/>
      <c r="D84" s="91"/>
      <c r="E84" s="78"/>
      <c r="F84" s="133"/>
      <c r="G84" s="38"/>
      <c r="H84" s="80"/>
      <c r="I84" s="81"/>
      <c r="J84" s="82"/>
      <c r="K84" s="83"/>
      <c r="L84" s="84"/>
      <c r="M84" s="79"/>
      <c r="N84" s="80"/>
      <c r="O84" s="81"/>
      <c r="P84" s="82"/>
      <c r="Q84" s="83"/>
      <c r="R84" s="84"/>
      <c r="S84" s="84"/>
      <c r="T84" s="84"/>
      <c r="U84" s="84"/>
      <c r="V84" s="84"/>
      <c r="W84" s="84"/>
      <c r="X84" s="84"/>
      <c r="Y84" s="84"/>
      <c r="Z84" s="84"/>
      <c r="AA84" s="84"/>
      <c r="AB84" s="84"/>
      <c r="AC84" s="84"/>
      <c r="AD84" s="84"/>
      <c r="AE84" s="85"/>
      <c r="AF84" s="86"/>
      <c r="AG84" s="87"/>
      <c r="AH84" s="88"/>
    </row>
    <row r="85" spans="1:34" s="2" customFormat="1" x14ac:dyDescent="0.25">
      <c r="A85" s="7"/>
      <c r="B85" s="25"/>
      <c r="C85" s="91"/>
      <c r="D85" s="91"/>
      <c r="E85" s="78"/>
      <c r="F85" s="133"/>
      <c r="G85" s="38"/>
      <c r="H85" s="80"/>
      <c r="I85" s="81"/>
      <c r="J85" s="82"/>
      <c r="K85" s="83"/>
      <c r="L85" s="84"/>
      <c r="M85" s="79"/>
      <c r="N85" s="80"/>
      <c r="O85" s="81"/>
      <c r="P85" s="82"/>
      <c r="Q85" s="83"/>
      <c r="R85" s="84"/>
      <c r="S85" s="84"/>
      <c r="T85" s="84"/>
      <c r="U85" s="84"/>
      <c r="V85" s="84"/>
      <c r="W85" s="84"/>
      <c r="X85" s="84"/>
      <c r="Y85" s="84"/>
      <c r="Z85" s="84"/>
      <c r="AA85" s="84"/>
      <c r="AB85" s="84"/>
      <c r="AC85" s="84"/>
      <c r="AD85" s="84"/>
      <c r="AE85" s="85"/>
      <c r="AF85" s="86"/>
      <c r="AG85" s="87"/>
      <c r="AH85" s="88"/>
    </row>
    <row r="86" spans="1:34" s="2" customFormat="1" x14ac:dyDescent="0.25">
      <c r="A86" s="7"/>
      <c r="B86" s="25"/>
      <c r="C86" s="91"/>
      <c r="D86" s="91"/>
      <c r="E86" s="78"/>
      <c r="F86" s="133"/>
      <c r="G86" s="38"/>
      <c r="H86" s="80"/>
      <c r="I86" s="81"/>
      <c r="J86" s="82"/>
      <c r="K86" s="83"/>
      <c r="L86" s="84"/>
      <c r="M86" s="79"/>
      <c r="N86" s="80"/>
      <c r="O86" s="81"/>
      <c r="P86" s="82"/>
      <c r="Q86" s="83"/>
      <c r="R86" s="84"/>
      <c r="S86" s="84"/>
      <c r="T86" s="84"/>
      <c r="U86" s="84"/>
      <c r="V86" s="84"/>
      <c r="W86" s="84"/>
      <c r="X86" s="84"/>
      <c r="Y86" s="84"/>
      <c r="Z86" s="84"/>
      <c r="AA86" s="84"/>
      <c r="AB86" s="84"/>
      <c r="AC86" s="84"/>
      <c r="AD86" s="84"/>
      <c r="AE86" s="85"/>
      <c r="AF86" s="86"/>
      <c r="AG86" s="87"/>
      <c r="AH86" s="88"/>
    </row>
    <row r="87" spans="1:34" s="2" customFormat="1" x14ac:dyDescent="0.25">
      <c r="A87" s="7"/>
      <c r="B87" s="25"/>
      <c r="C87" s="91"/>
      <c r="D87" s="91"/>
      <c r="E87" s="78"/>
      <c r="F87" s="133"/>
      <c r="G87" s="38"/>
      <c r="H87" s="80"/>
      <c r="I87" s="81"/>
      <c r="J87" s="82"/>
      <c r="K87" s="83"/>
      <c r="L87" s="84"/>
      <c r="M87" s="79"/>
      <c r="N87" s="80"/>
      <c r="O87" s="81"/>
      <c r="P87" s="82"/>
      <c r="Q87" s="83"/>
      <c r="R87" s="84"/>
      <c r="S87" s="84"/>
      <c r="T87" s="84"/>
      <c r="U87" s="84"/>
      <c r="V87" s="84"/>
      <c r="W87" s="84"/>
      <c r="X87" s="84"/>
      <c r="Y87" s="84"/>
      <c r="Z87" s="84"/>
      <c r="AA87" s="84"/>
      <c r="AB87" s="84"/>
      <c r="AC87" s="84"/>
      <c r="AD87" s="84"/>
      <c r="AE87" s="85"/>
      <c r="AF87" s="86"/>
      <c r="AG87" s="87"/>
      <c r="AH87" s="88"/>
    </row>
    <row r="88" spans="1:34" s="2" customFormat="1" x14ac:dyDescent="0.25">
      <c r="A88" s="7"/>
      <c r="B88" s="25"/>
      <c r="C88" s="91"/>
      <c r="D88" s="91"/>
      <c r="E88" s="78"/>
      <c r="F88" s="133"/>
      <c r="G88" s="38"/>
      <c r="H88" s="80"/>
      <c r="I88" s="81"/>
      <c r="J88" s="82"/>
      <c r="K88" s="83"/>
      <c r="L88" s="84"/>
      <c r="M88" s="79"/>
      <c r="N88" s="80"/>
      <c r="O88" s="81"/>
      <c r="P88" s="82"/>
      <c r="Q88" s="83"/>
      <c r="R88" s="84"/>
      <c r="S88" s="84"/>
      <c r="T88" s="84"/>
      <c r="U88" s="84"/>
      <c r="V88" s="84"/>
      <c r="W88" s="84"/>
      <c r="X88" s="84"/>
      <c r="Y88" s="84"/>
      <c r="Z88" s="84"/>
      <c r="AA88" s="84"/>
      <c r="AB88" s="84"/>
      <c r="AC88" s="84"/>
      <c r="AD88" s="84"/>
      <c r="AE88" s="85"/>
      <c r="AF88" s="86"/>
      <c r="AG88" s="87"/>
      <c r="AH88" s="88"/>
    </row>
    <row r="89" spans="1:34" s="2" customFormat="1" x14ac:dyDescent="0.25">
      <c r="A89" s="7"/>
      <c r="B89" s="25"/>
      <c r="C89" s="91"/>
      <c r="D89" s="91"/>
      <c r="E89" s="78"/>
      <c r="F89" s="133"/>
      <c r="G89" s="38"/>
      <c r="H89" s="80"/>
      <c r="I89" s="81"/>
      <c r="J89" s="82"/>
      <c r="K89" s="83"/>
      <c r="L89" s="84"/>
      <c r="M89" s="79"/>
      <c r="N89" s="80"/>
      <c r="O89" s="81"/>
      <c r="P89" s="82"/>
      <c r="Q89" s="83"/>
      <c r="R89" s="84"/>
      <c r="S89" s="84"/>
      <c r="T89" s="84"/>
      <c r="U89" s="84"/>
      <c r="V89" s="84"/>
      <c r="W89" s="84"/>
      <c r="X89" s="84"/>
      <c r="Y89" s="84"/>
      <c r="Z89" s="84"/>
      <c r="AA89" s="84"/>
      <c r="AB89" s="84"/>
      <c r="AC89" s="84"/>
      <c r="AD89" s="84"/>
      <c r="AE89" s="85"/>
      <c r="AF89" s="86"/>
      <c r="AG89" s="87"/>
      <c r="AH89" s="88"/>
    </row>
    <row r="90" spans="1:34" s="2" customFormat="1" x14ac:dyDescent="0.25">
      <c r="A90" s="7"/>
      <c r="B90" s="25"/>
      <c r="C90" s="91"/>
      <c r="D90" s="91"/>
      <c r="E90" s="78"/>
      <c r="F90" s="133"/>
      <c r="G90" s="38"/>
      <c r="H90" s="80"/>
      <c r="I90" s="81"/>
      <c r="J90" s="82"/>
      <c r="K90" s="83"/>
      <c r="L90" s="84"/>
      <c r="M90" s="79"/>
      <c r="N90" s="80"/>
      <c r="O90" s="81"/>
      <c r="P90" s="82"/>
      <c r="Q90" s="83"/>
      <c r="R90" s="84"/>
      <c r="S90" s="84"/>
      <c r="T90" s="84"/>
      <c r="U90" s="84"/>
      <c r="V90" s="84"/>
      <c r="W90" s="84"/>
      <c r="X90" s="84"/>
      <c r="Y90" s="84"/>
      <c r="Z90" s="84"/>
      <c r="AA90" s="84"/>
      <c r="AB90" s="84"/>
      <c r="AC90" s="84"/>
      <c r="AD90" s="84"/>
      <c r="AE90" s="85"/>
      <c r="AF90" s="86"/>
      <c r="AG90" s="87"/>
      <c r="AH90" s="88"/>
    </row>
    <row r="91" spans="1:34" s="2" customFormat="1" x14ac:dyDescent="0.25">
      <c r="A91" s="7"/>
      <c r="B91" s="25"/>
      <c r="C91" s="91"/>
      <c r="D91" s="91"/>
      <c r="E91" s="78"/>
      <c r="F91" s="133"/>
      <c r="G91" s="38"/>
      <c r="H91" s="80"/>
      <c r="I91" s="81"/>
      <c r="J91" s="82"/>
      <c r="K91" s="83"/>
      <c r="L91" s="84"/>
      <c r="M91" s="79"/>
      <c r="N91" s="80"/>
      <c r="O91" s="81"/>
      <c r="P91" s="82"/>
      <c r="Q91" s="83"/>
      <c r="R91" s="84"/>
      <c r="S91" s="84"/>
      <c r="T91" s="84"/>
      <c r="U91" s="84"/>
      <c r="V91" s="84"/>
      <c r="W91" s="84"/>
      <c r="X91" s="84"/>
      <c r="Y91" s="84"/>
      <c r="Z91" s="84"/>
      <c r="AA91" s="84"/>
      <c r="AB91" s="84"/>
      <c r="AC91" s="84"/>
      <c r="AD91" s="84"/>
      <c r="AE91" s="85"/>
      <c r="AF91" s="86"/>
      <c r="AG91" s="87"/>
      <c r="AH91" s="88"/>
    </row>
    <row r="92" spans="1:34" s="2" customFormat="1" x14ac:dyDescent="0.25">
      <c r="A92" s="7"/>
      <c r="B92" s="25"/>
      <c r="C92" s="91"/>
      <c r="D92" s="91"/>
      <c r="E92" s="78"/>
      <c r="F92" s="133"/>
      <c r="G92" s="38"/>
      <c r="H92" s="80"/>
      <c r="I92" s="81"/>
      <c r="J92" s="82"/>
      <c r="K92" s="83"/>
      <c r="L92" s="84"/>
      <c r="M92" s="79"/>
      <c r="N92" s="80"/>
      <c r="O92" s="81"/>
      <c r="P92" s="82"/>
      <c r="Q92" s="83"/>
      <c r="R92" s="84"/>
      <c r="S92" s="84"/>
      <c r="T92" s="84"/>
      <c r="U92" s="84"/>
      <c r="V92" s="84"/>
      <c r="W92" s="84"/>
      <c r="X92" s="84"/>
      <c r="Y92" s="84"/>
      <c r="Z92" s="84"/>
      <c r="AA92" s="84"/>
      <c r="AB92" s="84"/>
      <c r="AC92" s="84"/>
      <c r="AD92" s="84"/>
      <c r="AE92" s="85"/>
      <c r="AF92" s="86"/>
      <c r="AG92" s="87"/>
      <c r="AH92" s="88"/>
    </row>
    <row r="93" spans="1:34" s="2" customFormat="1" x14ac:dyDescent="0.25">
      <c r="A93" s="7"/>
      <c r="B93" s="25"/>
      <c r="C93" s="91"/>
      <c r="D93" s="91"/>
      <c r="E93" s="78"/>
      <c r="F93" s="133"/>
      <c r="G93" s="38"/>
      <c r="H93" s="80"/>
      <c r="I93" s="81"/>
      <c r="J93" s="82"/>
      <c r="K93" s="83"/>
      <c r="L93" s="84"/>
      <c r="M93" s="79"/>
      <c r="N93" s="80"/>
      <c r="O93" s="81"/>
      <c r="P93" s="82"/>
      <c r="Q93" s="83"/>
      <c r="R93" s="84"/>
      <c r="S93" s="84"/>
      <c r="T93" s="84"/>
      <c r="U93" s="84"/>
      <c r="V93" s="84"/>
      <c r="W93" s="84"/>
      <c r="X93" s="84"/>
      <c r="Y93" s="84"/>
      <c r="Z93" s="84"/>
      <c r="AA93" s="84"/>
      <c r="AB93" s="84"/>
      <c r="AC93" s="84"/>
      <c r="AD93" s="84"/>
      <c r="AE93" s="85"/>
      <c r="AF93" s="86"/>
      <c r="AG93" s="87"/>
      <c r="AH93" s="88"/>
    </row>
    <row r="94" spans="1:34" s="2" customFormat="1" x14ac:dyDescent="0.25">
      <c r="A94" s="7"/>
      <c r="B94" s="25"/>
      <c r="C94" s="91"/>
      <c r="D94" s="91"/>
      <c r="E94" s="78"/>
      <c r="F94" s="133"/>
      <c r="G94" s="38"/>
      <c r="H94" s="80"/>
      <c r="I94" s="81"/>
      <c r="J94" s="82"/>
      <c r="K94" s="83"/>
      <c r="L94" s="84"/>
      <c r="M94" s="79"/>
      <c r="N94" s="80"/>
      <c r="O94" s="81"/>
      <c r="P94" s="82"/>
      <c r="Q94" s="83"/>
      <c r="R94" s="84"/>
      <c r="S94" s="84"/>
      <c r="T94" s="84"/>
      <c r="U94" s="84"/>
      <c r="V94" s="84"/>
      <c r="W94" s="84"/>
      <c r="X94" s="84"/>
      <c r="Y94" s="84"/>
      <c r="Z94" s="84"/>
      <c r="AA94" s="84"/>
      <c r="AB94" s="84"/>
      <c r="AC94" s="84"/>
      <c r="AD94" s="84"/>
      <c r="AE94" s="85"/>
      <c r="AF94" s="86"/>
      <c r="AG94" s="87"/>
      <c r="AH94" s="88"/>
    </row>
    <row r="95" spans="1:34" s="2" customFormat="1" x14ac:dyDescent="0.25">
      <c r="A95" s="7"/>
      <c r="B95" s="25"/>
      <c r="C95" s="91"/>
      <c r="D95" s="91"/>
      <c r="E95" s="78"/>
      <c r="F95" s="133"/>
      <c r="G95" s="38"/>
      <c r="H95" s="80"/>
      <c r="I95" s="81"/>
      <c r="J95" s="82"/>
      <c r="K95" s="83"/>
      <c r="L95" s="84"/>
      <c r="M95" s="79"/>
      <c r="N95" s="80"/>
      <c r="O95" s="81"/>
      <c r="P95" s="82"/>
      <c r="Q95" s="83"/>
      <c r="R95" s="84"/>
      <c r="S95" s="84"/>
      <c r="T95" s="84"/>
      <c r="U95" s="84"/>
      <c r="V95" s="84"/>
      <c r="W95" s="84"/>
      <c r="X95" s="84"/>
      <c r="Y95" s="84"/>
      <c r="Z95" s="84"/>
      <c r="AA95" s="84"/>
      <c r="AB95" s="84"/>
      <c r="AC95" s="84"/>
      <c r="AD95" s="84"/>
      <c r="AE95" s="85"/>
      <c r="AF95" s="86"/>
      <c r="AG95" s="87"/>
      <c r="AH95" s="88"/>
    </row>
    <row r="96" spans="1:34" s="2" customFormat="1" x14ac:dyDescent="0.25">
      <c r="A96" s="7"/>
      <c r="B96" s="25"/>
      <c r="C96" s="91"/>
      <c r="D96" s="91"/>
      <c r="E96" s="78"/>
      <c r="F96" s="133"/>
      <c r="G96" s="38"/>
      <c r="H96" s="80"/>
      <c r="I96" s="81"/>
      <c r="J96" s="82"/>
      <c r="K96" s="83"/>
      <c r="L96" s="84"/>
      <c r="M96" s="79"/>
      <c r="N96" s="80"/>
      <c r="O96" s="81"/>
      <c r="P96" s="82"/>
      <c r="Q96" s="83"/>
      <c r="R96" s="84"/>
      <c r="S96" s="84"/>
      <c r="T96" s="84"/>
      <c r="U96" s="84"/>
      <c r="V96" s="84"/>
      <c r="W96" s="84"/>
      <c r="X96" s="84"/>
      <c r="Y96" s="84"/>
      <c r="Z96" s="84"/>
      <c r="AA96" s="84"/>
      <c r="AB96" s="84"/>
      <c r="AC96" s="84"/>
      <c r="AD96" s="84"/>
      <c r="AE96" s="85"/>
      <c r="AF96" s="86"/>
      <c r="AG96" s="87"/>
      <c r="AH96" s="88"/>
    </row>
    <row r="97" spans="1:34" s="2" customFormat="1" x14ac:dyDescent="0.25">
      <c r="A97" s="7"/>
      <c r="B97" s="25"/>
      <c r="C97" s="91"/>
      <c r="D97" s="91"/>
      <c r="E97" s="78"/>
      <c r="F97" s="133"/>
      <c r="G97" s="38"/>
      <c r="H97" s="80"/>
      <c r="I97" s="81"/>
      <c r="J97" s="82"/>
      <c r="K97" s="83"/>
      <c r="L97" s="84"/>
      <c r="M97" s="79"/>
      <c r="N97" s="80"/>
      <c r="O97" s="81"/>
      <c r="P97" s="82"/>
      <c r="Q97" s="83"/>
      <c r="R97" s="84"/>
      <c r="S97" s="84"/>
      <c r="T97" s="84"/>
      <c r="U97" s="84"/>
      <c r="V97" s="84"/>
      <c r="W97" s="84"/>
      <c r="X97" s="84"/>
      <c r="Y97" s="84"/>
      <c r="Z97" s="84"/>
      <c r="AA97" s="84"/>
      <c r="AB97" s="84"/>
      <c r="AC97" s="84"/>
      <c r="AD97" s="84"/>
      <c r="AE97" s="85"/>
      <c r="AF97" s="86"/>
      <c r="AG97" s="87"/>
      <c r="AH97" s="88"/>
    </row>
    <row r="98" spans="1:34" s="2" customFormat="1" x14ac:dyDescent="0.25">
      <c r="A98" s="7"/>
      <c r="B98" s="25"/>
      <c r="C98" s="91"/>
      <c r="D98" s="91"/>
      <c r="E98" s="78"/>
      <c r="F98" s="133"/>
      <c r="G98" s="38"/>
      <c r="H98" s="80"/>
      <c r="I98" s="81"/>
      <c r="J98" s="82"/>
      <c r="K98" s="83"/>
      <c r="L98" s="84"/>
      <c r="M98" s="79"/>
      <c r="N98" s="80"/>
      <c r="O98" s="81"/>
      <c r="P98" s="82"/>
      <c r="Q98" s="83"/>
      <c r="R98" s="84"/>
      <c r="S98" s="84"/>
      <c r="T98" s="84"/>
      <c r="U98" s="84"/>
      <c r="V98" s="84"/>
      <c r="W98" s="84"/>
      <c r="X98" s="84"/>
      <c r="Y98" s="84"/>
      <c r="Z98" s="84"/>
      <c r="AA98" s="84"/>
      <c r="AB98" s="84"/>
      <c r="AC98" s="84"/>
      <c r="AD98" s="84"/>
      <c r="AE98" s="85"/>
      <c r="AF98" s="86"/>
      <c r="AG98" s="87"/>
      <c r="AH98" s="88"/>
    </row>
    <row r="99" spans="1:34" s="2" customFormat="1" x14ac:dyDescent="0.25">
      <c r="A99" s="7"/>
      <c r="B99" s="25"/>
      <c r="C99" s="91"/>
      <c r="D99" s="91"/>
      <c r="E99" s="78"/>
      <c r="F99" s="133"/>
      <c r="G99" s="38"/>
      <c r="H99" s="80"/>
      <c r="I99" s="81"/>
      <c r="J99" s="82"/>
      <c r="K99" s="83"/>
      <c r="L99" s="84"/>
      <c r="M99" s="79"/>
      <c r="N99" s="80"/>
      <c r="O99" s="81"/>
      <c r="P99" s="82"/>
      <c r="Q99" s="83"/>
      <c r="R99" s="84"/>
      <c r="S99" s="84"/>
      <c r="T99" s="84"/>
      <c r="U99" s="84"/>
      <c r="V99" s="84"/>
      <c r="W99" s="84"/>
      <c r="X99" s="84"/>
      <c r="Y99" s="84"/>
      <c r="Z99" s="84"/>
      <c r="AA99" s="84"/>
      <c r="AB99" s="84"/>
      <c r="AC99" s="84"/>
      <c r="AD99" s="84"/>
      <c r="AE99" s="85"/>
      <c r="AF99" s="86"/>
      <c r="AG99" s="87"/>
      <c r="AH99" s="88"/>
    </row>
    <row r="100" spans="1:34" s="2" customFormat="1" x14ac:dyDescent="0.25">
      <c r="A100" s="7"/>
      <c r="B100" s="25"/>
      <c r="C100" s="91"/>
      <c r="D100" s="91"/>
      <c r="E100" s="78"/>
      <c r="F100" s="133"/>
      <c r="G100" s="38"/>
      <c r="H100" s="80"/>
      <c r="I100" s="81"/>
      <c r="J100" s="82"/>
      <c r="K100" s="83"/>
      <c r="L100" s="84"/>
      <c r="M100" s="79"/>
      <c r="N100" s="80"/>
      <c r="O100" s="81"/>
      <c r="P100" s="82"/>
      <c r="Q100" s="83"/>
      <c r="R100" s="84"/>
      <c r="S100" s="84"/>
      <c r="T100" s="84"/>
      <c r="U100" s="84"/>
      <c r="V100" s="84"/>
      <c r="W100" s="84"/>
      <c r="X100" s="84"/>
      <c r="Y100" s="84"/>
      <c r="Z100" s="84"/>
      <c r="AA100" s="84"/>
      <c r="AB100" s="84"/>
      <c r="AC100" s="84"/>
      <c r="AD100" s="84"/>
      <c r="AE100" s="85"/>
      <c r="AF100" s="86"/>
      <c r="AG100" s="87"/>
      <c r="AH100" s="88"/>
    </row>
    <row r="101" spans="1:34" s="2" customFormat="1" x14ac:dyDescent="0.25">
      <c r="A101" s="7"/>
      <c r="B101" s="25"/>
      <c r="C101" s="91"/>
      <c r="D101" s="91"/>
      <c r="E101" s="78"/>
      <c r="F101" s="133"/>
      <c r="G101" s="38"/>
      <c r="H101" s="80"/>
      <c r="I101" s="81"/>
      <c r="J101" s="82"/>
      <c r="K101" s="83"/>
      <c r="L101" s="84"/>
      <c r="M101" s="79"/>
      <c r="N101" s="80"/>
      <c r="O101" s="81"/>
      <c r="P101" s="82"/>
      <c r="Q101" s="83"/>
      <c r="R101" s="84"/>
      <c r="S101" s="84"/>
      <c r="T101" s="84"/>
      <c r="U101" s="84"/>
      <c r="V101" s="84"/>
      <c r="W101" s="84"/>
      <c r="X101" s="84"/>
      <c r="Y101" s="84"/>
      <c r="Z101" s="84"/>
      <c r="AA101" s="84"/>
      <c r="AB101" s="84"/>
      <c r="AC101" s="84"/>
      <c r="AD101" s="84"/>
      <c r="AE101" s="85"/>
      <c r="AF101" s="86"/>
      <c r="AG101" s="87"/>
      <c r="AH101" s="88"/>
    </row>
    <row r="102" spans="1:34" s="2" customFormat="1" x14ac:dyDescent="0.25">
      <c r="A102" s="7"/>
      <c r="B102" s="25"/>
      <c r="C102" s="91"/>
      <c r="D102" s="91"/>
      <c r="E102" s="78"/>
      <c r="F102" s="133"/>
      <c r="G102" s="38"/>
      <c r="H102" s="80"/>
      <c r="I102" s="81"/>
      <c r="J102" s="82"/>
      <c r="K102" s="83"/>
      <c r="L102" s="84"/>
      <c r="M102" s="79"/>
      <c r="N102" s="80"/>
      <c r="O102" s="81"/>
      <c r="P102" s="82"/>
      <c r="Q102" s="83"/>
      <c r="R102" s="84"/>
      <c r="S102" s="84"/>
      <c r="T102" s="84"/>
      <c r="U102" s="84"/>
      <c r="V102" s="84"/>
      <c r="W102" s="84"/>
      <c r="X102" s="84"/>
      <c r="Y102" s="84"/>
      <c r="Z102" s="84"/>
      <c r="AA102" s="84"/>
      <c r="AB102" s="84"/>
      <c r="AC102" s="84"/>
      <c r="AD102" s="84"/>
      <c r="AE102" s="85"/>
      <c r="AF102" s="86"/>
      <c r="AG102" s="87"/>
      <c r="AH102" s="88"/>
    </row>
    <row r="103" spans="1:34" s="2" customFormat="1" x14ac:dyDescent="0.25">
      <c r="A103" s="7"/>
      <c r="B103" s="25"/>
      <c r="C103" s="91"/>
      <c r="D103" s="91"/>
      <c r="E103" s="78"/>
      <c r="F103" s="133"/>
      <c r="G103" s="38"/>
      <c r="H103" s="80"/>
      <c r="I103" s="81"/>
      <c r="J103" s="82"/>
      <c r="K103" s="83"/>
      <c r="L103" s="84"/>
      <c r="M103" s="79"/>
      <c r="N103" s="80"/>
      <c r="O103" s="81"/>
      <c r="P103" s="82"/>
      <c r="Q103" s="83"/>
      <c r="R103" s="84"/>
      <c r="S103" s="84"/>
      <c r="T103" s="84"/>
      <c r="U103" s="84"/>
      <c r="V103" s="84"/>
      <c r="W103" s="84"/>
      <c r="X103" s="84"/>
      <c r="Y103" s="84"/>
      <c r="Z103" s="84"/>
      <c r="AA103" s="84"/>
      <c r="AB103" s="84"/>
      <c r="AC103" s="84"/>
      <c r="AD103" s="84"/>
      <c r="AE103" s="85"/>
      <c r="AF103" s="86"/>
      <c r="AG103" s="87"/>
      <c r="AH103" s="88"/>
    </row>
    <row r="104" spans="1:34" s="2" customFormat="1" x14ac:dyDescent="0.25">
      <c r="A104" s="7"/>
      <c r="B104" s="25"/>
      <c r="C104" s="91"/>
      <c r="D104" s="91"/>
      <c r="E104" s="78"/>
      <c r="F104" s="133"/>
      <c r="G104" s="38"/>
      <c r="H104" s="80"/>
      <c r="I104" s="81"/>
      <c r="J104" s="82"/>
      <c r="K104" s="83"/>
      <c r="L104" s="84"/>
      <c r="M104" s="79"/>
      <c r="N104" s="80"/>
      <c r="O104" s="81"/>
      <c r="P104" s="82"/>
      <c r="Q104" s="83"/>
      <c r="R104" s="84"/>
      <c r="S104" s="84"/>
      <c r="T104" s="84"/>
      <c r="U104" s="84"/>
      <c r="V104" s="84"/>
      <c r="W104" s="84"/>
      <c r="X104" s="84"/>
      <c r="Y104" s="84"/>
      <c r="Z104" s="84"/>
      <c r="AA104" s="84"/>
      <c r="AB104" s="84"/>
      <c r="AC104" s="84"/>
      <c r="AD104" s="84"/>
      <c r="AE104" s="85"/>
      <c r="AF104" s="86"/>
      <c r="AG104" s="87"/>
      <c r="AH104" s="88"/>
    </row>
    <row r="105" spans="1:34" s="2" customFormat="1" x14ac:dyDescent="0.25">
      <c r="A105" s="7"/>
      <c r="B105" s="25"/>
      <c r="C105" s="91"/>
      <c r="D105" s="91"/>
      <c r="E105" s="78"/>
      <c r="F105" s="133"/>
      <c r="G105" s="38"/>
      <c r="H105" s="80"/>
      <c r="I105" s="81"/>
      <c r="J105" s="82"/>
      <c r="K105" s="83"/>
      <c r="L105" s="84"/>
      <c r="M105" s="79"/>
      <c r="N105" s="80"/>
      <c r="O105" s="81"/>
      <c r="P105" s="82"/>
      <c r="Q105" s="83"/>
      <c r="R105" s="84"/>
      <c r="S105" s="84"/>
      <c r="T105" s="84"/>
      <c r="U105" s="84"/>
      <c r="V105" s="84"/>
      <c r="W105" s="84"/>
      <c r="X105" s="84"/>
      <c r="Y105" s="84"/>
      <c r="Z105" s="84"/>
      <c r="AA105" s="84"/>
      <c r="AB105" s="84"/>
      <c r="AC105" s="84"/>
      <c r="AD105" s="84"/>
      <c r="AE105" s="85"/>
      <c r="AF105" s="86"/>
      <c r="AG105" s="87"/>
      <c r="AH105" s="88"/>
    </row>
    <row r="106" spans="1:34" s="2" customFormat="1" x14ac:dyDescent="0.25">
      <c r="A106" s="7"/>
      <c r="B106" s="25"/>
      <c r="C106" s="91"/>
      <c r="D106" s="91"/>
      <c r="E106" s="78"/>
      <c r="F106" s="133"/>
      <c r="G106" s="38"/>
      <c r="H106" s="80"/>
      <c r="I106" s="81"/>
      <c r="J106" s="82"/>
      <c r="K106" s="83"/>
      <c r="L106" s="84"/>
      <c r="M106" s="79"/>
      <c r="N106" s="80"/>
      <c r="O106" s="81"/>
      <c r="P106" s="82"/>
      <c r="Q106" s="83"/>
      <c r="R106" s="84"/>
      <c r="S106" s="84"/>
      <c r="T106" s="84"/>
      <c r="U106" s="84"/>
      <c r="V106" s="84"/>
      <c r="W106" s="84"/>
      <c r="X106" s="84"/>
      <c r="Y106" s="84"/>
      <c r="Z106" s="84"/>
      <c r="AA106" s="84"/>
      <c r="AB106" s="84"/>
      <c r="AC106" s="84"/>
      <c r="AD106" s="84"/>
      <c r="AE106" s="85"/>
      <c r="AF106" s="86"/>
      <c r="AG106" s="87"/>
      <c r="AH106" s="88"/>
    </row>
    <row r="107" spans="1:34" s="2" customFormat="1" x14ac:dyDescent="0.25">
      <c r="A107" s="7"/>
      <c r="B107" s="25"/>
      <c r="C107" s="91"/>
      <c r="D107" s="91"/>
      <c r="E107" s="78"/>
      <c r="F107" s="133"/>
      <c r="G107" s="38"/>
      <c r="H107" s="80"/>
      <c r="I107" s="81"/>
      <c r="J107" s="82"/>
      <c r="K107" s="83"/>
      <c r="L107" s="84"/>
      <c r="M107" s="79"/>
      <c r="N107" s="80"/>
      <c r="O107" s="81"/>
      <c r="P107" s="82"/>
      <c r="Q107" s="83"/>
      <c r="R107" s="84"/>
      <c r="S107" s="84"/>
      <c r="T107" s="84"/>
      <c r="U107" s="84"/>
      <c r="V107" s="84"/>
      <c r="W107" s="84"/>
      <c r="X107" s="84"/>
      <c r="Y107" s="84"/>
      <c r="Z107" s="84"/>
      <c r="AA107" s="84"/>
      <c r="AB107" s="84"/>
      <c r="AC107" s="84"/>
      <c r="AD107" s="84"/>
      <c r="AE107" s="85"/>
      <c r="AF107" s="86"/>
      <c r="AG107" s="87"/>
      <c r="AH107" s="88"/>
    </row>
    <row r="108" spans="1:34" s="2" customFormat="1" x14ac:dyDescent="0.25">
      <c r="A108" s="7"/>
      <c r="B108" s="25"/>
      <c r="C108" s="91"/>
      <c r="D108" s="91"/>
      <c r="E108" s="78"/>
      <c r="F108" s="133"/>
      <c r="G108" s="38"/>
      <c r="H108" s="80"/>
      <c r="I108" s="81"/>
      <c r="J108" s="82"/>
      <c r="K108" s="83"/>
      <c r="L108" s="84"/>
      <c r="M108" s="79"/>
      <c r="N108" s="80"/>
      <c r="O108" s="81"/>
      <c r="P108" s="82"/>
      <c r="Q108" s="83"/>
      <c r="R108" s="84"/>
      <c r="S108" s="84"/>
      <c r="T108" s="84"/>
      <c r="U108" s="84"/>
      <c r="V108" s="84"/>
      <c r="W108" s="84"/>
      <c r="X108" s="84"/>
      <c r="Y108" s="84"/>
      <c r="Z108" s="84"/>
      <c r="AA108" s="84"/>
      <c r="AB108" s="84"/>
      <c r="AC108" s="84"/>
      <c r="AD108" s="84"/>
      <c r="AE108" s="85"/>
      <c r="AF108" s="86"/>
      <c r="AG108" s="87"/>
      <c r="AH108" s="88"/>
    </row>
    <row r="109" spans="1:34" s="2" customFormat="1" x14ac:dyDescent="0.25">
      <c r="A109" s="7"/>
      <c r="B109" s="25"/>
      <c r="C109" s="91"/>
      <c r="D109" s="91"/>
      <c r="E109" s="78"/>
      <c r="F109" s="133"/>
      <c r="G109" s="38"/>
      <c r="H109" s="80"/>
      <c r="I109" s="81"/>
      <c r="J109" s="82"/>
      <c r="K109" s="83"/>
      <c r="L109" s="84"/>
      <c r="M109" s="79"/>
      <c r="N109" s="80"/>
      <c r="O109" s="81"/>
      <c r="P109" s="82"/>
      <c r="Q109" s="83"/>
      <c r="R109" s="84"/>
      <c r="S109" s="84"/>
      <c r="T109" s="84"/>
      <c r="U109" s="84"/>
      <c r="V109" s="84"/>
      <c r="W109" s="84"/>
      <c r="X109" s="84"/>
      <c r="Y109" s="84"/>
      <c r="Z109" s="84"/>
      <c r="AA109" s="84"/>
      <c r="AB109" s="84"/>
      <c r="AC109" s="84"/>
      <c r="AD109" s="84"/>
      <c r="AE109" s="85"/>
      <c r="AF109" s="86"/>
      <c r="AG109" s="87"/>
      <c r="AH109" s="88"/>
    </row>
    <row r="110" spans="1:34" s="2" customFormat="1" x14ac:dyDescent="0.25">
      <c r="A110" s="7"/>
      <c r="B110" s="25"/>
      <c r="C110" s="91"/>
      <c r="D110" s="91"/>
      <c r="E110" s="78"/>
      <c r="F110" s="133"/>
      <c r="G110" s="38"/>
      <c r="H110" s="80"/>
      <c r="I110" s="81"/>
      <c r="J110" s="82"/>
      <c r="K110" s="83"/>
      <c r="L110" s="84"/>
      <c r="M110" s="79"/>
      <c r="N110" s="80"/>
      <c r="O110" s="81"/>
      <c r="P110" s="82"/>
      <c r="Q110" s="83"/>
      <c r="R110" s="84"/>
      <c r="S110" s="84"/>
      <c r="T110" s="84"/>
      <c r="U110" s="84"/>
      <c r="V110" s="84"/>
      <c r="W110" s="84"/>
      <c r="X110" s="84"/>
      <c r="Y110" s="84"/>
      <c r="Z110" s="84"/>
      <c r="AA110" s="84"/>
      <c r="AB110" s="84"/>
      <c r="AC110" s="84"/>
      <c r="AD110" s="84"/>
      <c r="AE110" s="85"/>
      <c r="AF110" s="86"/>
      <c r="AG110" s="87"/>
      <c r="AH110" s="88"/>
    </row>
    <row r="111" spans="1:34" s="2" customFormat="1" x14ac:dyDescent="0.25">
      <c r="A111" s="7"/>
      <c r="B111" s="25"/>
      <c r="C111" s="91"/>
      <c r="D111" s="91"/>
      <c r="E111" s="78"/>
      <c r="F111" s="133"/>
      <c r="G111" s="38"/>
      <c r="H111" s="80"/>
      <c r="I111" s="81"/>
      <c r="J111" s="82"/>
      <c r="K111" s="83"/>
      <c r="L111" s="84"/>
      <c r="M111" s="79"/>
      <c r="N111" s="80"/>
      <c r="O111" s="81"/>
      <c r="P111" s="82"/>
      <c r="Q111" s="83"/>
      <c r="R111" s="84"/>
      <c r="S111" s="84"/>
      <c r="T111" s="84"/>
      <c r="U111" s="84"/>
      <c r="V111" s="84"/>
      <c r="W111" s="84"/>
      <c r="X111" s="84"/>
      <c r="Y111" s="84"/>
      <c r="Z111" s="84"/>
      <c r="AA111" s="84"/>
      <c r="AB111" s="84"/>
      <c r="AC111" s="84"/>
      <c r="AD111" s="84"/>
      <c r="AE111" s="85"/>
      <c r="AF111" s="86"/>
      <c r="AG111" s="87"/>
      <c r="AH111" s="88"/>
    </row>
    <row r="112" spans="1:34" s="2" customFormat="1" x14ac:dyDescent="0.25">
      <c r="A112" s="7"/>
      <c r="B112" s="25"/>
      <c r="C112" s="91"/>
      <c r="D112" s="91"/>
      <c r="E112" s="78"/>
      <c r="F112" s="133"/>
      <c r="G112" s="38"/>
      <c r="H112" s="80"/>
      <c r="I112" s="81"/>
      <c r="J112" s="82"/>
      <c r="K112" s="83"/>
      <c r="L112" s="84"/>
      <c r="M112" s="79"/>
      <c r="N112" s="80"/>
      <c r="O112" s="81"/>
      <c r="P112" s="82"/>
      <c r="Q112" s="83"/>
      <c r="R112" s="84"/>
      <c r="S112" s="84"/>
      <c r="T112" s="84"/>
      <c r="U112" s="84"/>
      <c r="V112" s="84"/>
      <c r="W112" s="84"/>
      <c r="X112" s="84"/>
      <c r="Y112" s="84"/>
      <c r="Z112" s="84"/>
      <c r="AA112" s="84"/>
      <c r="AB112" s="84"/>
      <c r="AC112" s="84"/>
      <c r="AD112" s="84"/>
      <c r="AE112" s="85"/>
      <c r="AF112" s="86"/>
      <c r="AG112" s="87"/>
      <c r="AH112" s="88"/>
    </row>
    <row r="113" spans="1:34" s="2" customFormat="1" x14ac:dyDescent="0.25">
      <c r="A113" s="7"/>
      <c r="B113" s="25"/>
      <c r="C113" s="91"/>
      <c r="D113" s="91"/>
      <c r="E113" s="78"/>
      <c r="F113" s="133"/>
      <c r="G113" s="38"/>
      <c r="H113" s="80"/>
      <c r="I113" s="81"/>
      <c r="J113" s="82"/>
      <c r="K113" s="83"/>
      <c r="L113" s="84"/>
      <c r="M113" s="79"/>
      <c r="N113" s="80"/>
      <c r="O113" s="81"/>
      <c r="P113" s="82"/>
      <c r="Q113" s="83"/>
      <c r="R113" s="84"/>
      <c r="S113" s="84"/>
      <c r="T113" s="84"/>
      <c r="U113" s="84"/>
      <c r="V113" s="84"/>
      <c r="W113" s="84"/>
      <c r="X113" s="84"/>
      <c r="Y113" s="84"/>
      <c r="Z113" s="84"/>
      <c r="AA113" s="84"/>
      <c r="AB113" s="84"/>
      <c r="AC113" s="84"/>
      <c r="AD113" s="84"/>
      <c r="AE113" s="85"/>
      <c r="AF113" s="86"/>
      <c r="AG113" s="87"/>
      <c r="AH113" s="88"/>
    </row>
    <row r="114" spans="1:34" s="2" customFormat="1" x14ac:dyDescent="0.25">
      <c r="A114" s="7"/>
      <c r="B114" s="25"/>
      <c r="C114" s="91"/>
      <c r="D114" s="91"/>
      <c r="E114" s="78"/>
      <c r="F114" s="133"/>
      <c r="G114" s="38"/>
      <c r="H114" s="80"/>
      <c r="I114" s="81"/>
      <c r="J114" s="82"/>
      <c r="K114" s="83"/>
      <c r="L114" s="84"/>
      <c r="M114" s="79"/>
      <c r="N114" s="80"/>
      <c r="O114" s="81"/>
      <c r="P114" s="82"/>
      <c r="Q114" s="83"/>
      <c r="R114" s="84"/>
      <c r="S114" s="84"/>
      <c r="T114" s="84"/>
      <c r="U114" s="84"/>
      <c r="V114" s="84"/>
      <c r="W114" s="84"/>
      <c r="X114" s="84"/>
      <c r="Y114" s="84"/>
      <c r="Z114" s="84"/>
      <c r="AA114" s="84"/>
      <c r="AB114" s="84"/>
      <c r="AC114" s="84"/>
      <c r="AD114" s="84"/>
      <c r="AE114" s="85"/>
      <c r="AF114" s="86"/>
      <c r="AG114" s="87"/>
      <c r="AH114" s="88"/>
    </row>
    <row r="115" spans="1:34" s="2" customFormat="1" x14ac:dyDescent="0.25">
      <c r="A115" s="7"/>
      <c r="B115" s="25"/>
      <c r="C115" s="91"/>
      <c r="D115" s="91"/>
      <c r="E115" s="78"/>
      <c r="F115" s="133"/>
      <c r="G115" s="38"/>
      <c r="H115" s="80"/>
      <c r="I115" s="81"/>
      <c r="J115" s="82"/>
      <c r="K115" s="83"/>
      <c r="L115" s="84"/>
      <c r="M115" s="79"/>
      <c r="N115" s="80"/>
      <c r="O115" s="81"/>
      <c r="P115" s="82"/>
      <c r="Q115" s="83"/>
      <c r="R115" s="84"/>
      <c r="S115" s="84"/>
      <c r="T115" s="84"/>
      <c r="U115" s="84"/>
      <c r="V115" s="84"/>
      <c r="W115" s="84"/>
      <c r="X115" s="84"/>
      <c r="Y115" s="84"/>
      <c r="Z115" s="84"/>
      <c r="AA115" s="84"/>
      <c r="AB115" s="84"/>
      <c r="AC115" s="84"/>
      <c r="AD115" s="84"/>
      <c r="AE115" s="85"/>
      <c r="AF115" s="86"/>
      <c r="AG115" s="87"/>
      <c r="AH115" s="88"/>
    </row>
    <row r="116" spans="1:34" s="2" customFormat="1" x14ac:dyDescent="0.25">
      <c r="A116" s="7"/>
      <c r="B116" s="25"/>
      <c r="C116" s="91"/>
      <c r="D116" s="91"/>
      <c r="E116" s="78"/>
      <c r="F116" s="133"/>
      <c r="G116" s="38"/>
      <c r="H116" s="80"/>
      <c r="I116" s="81"/>
      <c r="J116" s="82"/>
      <c r="K116" s="83"/>
      <c r="L116" s="84"/>
      <c r="M116" s="79"/>
      <c r="N116" s="80"/>
      <c r="O116" s="81"/>
      <c r="P116" s="82"/>
      <c r="Q116" s="83"/>
      <c r="R116" s="84"/>
      <c r="S116" s="84"/>
      <c r="T116" s="84"/>
      <c r="U116" s="84"/>
      <c r="V116" s="84"/>
      <c r="W116" s="84"/>
      <c r="X116" s="84"/>
      <c r="Y116" s="84"/>
      <c r="Z116" s="84"/>
      <c r="AA116" s="84"/>
      <c r="AB116" s="84"/>
      <c r="AC116" s="84"/>
      <c r="AD116" s="84"/>
      <c r="AE116" s="85"/>
      <c r="AF116" s="86"/>
      <c r="AG116" s="87"/>
      <c r="AH116" s="88"/>
    </row>
    <row r="117" spans="1:34" s="2" customFormat="1" x14ac:dyDescent="0.25">
      <c r="A117" s="7"/>
      <c r="B117" s="25"/>
      <c r="C117" s="91"/>
      <c r="D117" s="91"/>
      <c r="E117" s="78"/>
      <c r="F117" s="133"/>
      <c r="G117" s="38"/>
      <c r="H117" s="80"/>
      <c r="I117" s="81"/>
      <c r="J117" s="82"/>
      <c r="K117" s="83"/>
      <c r="L117" s="84"/>
      <c r="M117" s="79"/>
      <c r="N117" s="80"/>
      <c r="O117" s="81"/>
      <c r="P117" s="82"/>
      <c r="Q117" s="83"/>
      <c r="R117" s="84"/>
      <c r="S117" s="84"/>
      <c r="T117" s="84"/>
      <c r="U117" s="84"/>
      <c r="V117" s="84"/>
      <c r="W117" s="84"/>
      <c r="X117" s="84"/>
      <c r="Y117" s="84"/>
      <c r="Z117" s="84"/>
      <c r="AA117" s="84"/>
      <c r="AB117" s="84"/>
      <c r="AC117" s="84"/>
      <c r="AD117" s="84"/>
      <c r="AE117" s="85"/>
      <c r="AF117" s="86"/>
      <c r="AG117" s="87"/>
      <c r="AH117" s="88"/>
    </row>
    <row r="118" spans="1:34" s="2" customFormat="1" x14ac:dyDescent="0.25">
      <c r="A118" s="7"/>
      <c r="B118" s="25"/>
      <c r="C118" s="91"/>
      <c r="D118" s="91"/>
      <c r="E118" s="78"/>
      <c r="F118" s="133"/>
      <c r="G118" s="38"/>
      <c r="H118" s="80"/>
      <c r="I118" s="81"/>
      <c r="J118" s="82"/>
      <c r="K118" s="83"/>
      <c r="L118" s="84"/>
      <c r="M118" s="79"/>
      <c r="N118" s="80"/>
      <c r="O118" s="81"/>
      <c r="P118" s="82"/>
      <c r="Q118" s="83"/>
      <c r="R118" s="84"/>
      <c r="S118" s="84"/>
      <c r="T118" s="84"/>
      <c r="U118" s="84"/>
      <c r="V118" s="84"/>
      <c r="W118" s="84"/>
      <c r="X118" s="84"/>
      <c r="Y118" s="84"/>
      <c r="Z118" s="84"/>
      <c r="AA118" s="84"/>
      <c r="AB118" s="84"/>
      <c r="AC118" s="84"/>
      <c r="AD118" s="84"/>
      <c r="AE118" s="85"/>
      <c r="AF118" s="86"/>
      <c r="AG118" s="87"/>
      <c r="AH118" s="88"/>
    </row>
    <row r="119" spans="1:34" s="2" customFormat="1" x14ac:dyDescent="0.25">
      <c r="A119" s="7"/>
      <c r="B119" s="25"/>
      <c r="C119" s="91"/>
      <c r="D119" s="91"/>
      <c r="E119" s="78"/>
      <c r="F119" s="133"/>
      <c r="G119" s="38"/>
      <c r="H119" s="80"/>
      <c r="I119" s="81"/>
      <c r="J119" s="82"/>
      <c r="K119" s="83"/>
      <c r="L119" s="84"/>
      <c r="M119" s="79"/>
      <c r="N119" s="80"/>
      <c r="O119" s="81"/>
      <c r="P119" s="82"/>
      <c r="Q119" s="83"/>
      <c r="R119" s="84"/>
      <c r="S119" s="84"/>
      <c r="T119" s="84"/>
      <c r="U119" s="84"/>
      <c r="V119" s="84"/>
      <c r="W119" s="84"/>
      <c r="X119" s="84"/>
      <c r="Y119" s="84"/>
      <c r="Z119" s="84"/>
      <c r="AA119" s="84"/>
      <c r="AB119" s="84"/>
      <c r="AC119" s="84"/>
      <c r="AD119" s="84"/>
      <c r="AE119" s="85"/>
      <c r="AF119" s="86"/>
      <c r="AG119" s="87"/>
      <c r="AH119" s="88"/>
    </row>
    <row r="120" spans="1:34" s="2" customFormat="1" x14ac:dyDescent="0.25">
      <c r="A120" s="7"/>
      <c r="B120" s="25"/>
      <c r="C120" s="91"/>
      <c r="D120" s="91"/>
      <c r="E120" s="78"/>
      <c r="F120" s="133"/>
      <c r="G120" s="38"/>
      <c r="H120" s="80"/>
      <c r="I120" s="81"/>
      <c r="J120" s="82"/>
      <c r="K120" s="83"/>
      <c r="L120" s="84"/>
      <c r="M120" s="79"/>
      <c r="N120" s="80"/>
      <c r="O120" s="81"/>
      <c r="P120" s="82"/>
      <c r="Q120" s="83"/>
      <c r="R120" s="84"/>
      <c r="S120" s="84"/>
      <c r="T120" s="84"/>
      <c r="U120" s="84"/>
      <c r="V120" s="84"/>
      <c r="W120" s="84"/>
      <c r="X120" s="84"/>
      <c r="Y120" s="84"/>
      <c r="Z120" s="84"/>
      <c r="AA120" s="84"/>
      <c r="AB120" s="84"/>
      <c r="AC120" s="84"/>
      <c r="AD120" s="84"/>
      <c r="AE120" s="85"/>
      <c r="AF120" s="86"/>
      <c r="AG120" s="87"/>
      <c r="AH120" s="88"/>
    </row>
    <row r="121" spans="1:34" s="2" customFormat="1" x14ac:dyDescent="0.25">
      <c r="A121" s="7"/>
      <c r="B121" s="25"/>
      <c r="C121" s="91"/>
      <c r="D121" s="91"/>
      <c r="E121" s="78"/>
      <c r="F121" s="133"/>
      <c r="G121" s="38"/>
      <c r="H121" s="80"/>
      <c r="I121" s="81"/>
      <c r="J121" s="82"/>
      <c r="K121" s="83"/>
      <c r="L121" s="84"/>
      <c r="M121" s="79"/>
      <c r="N121" s="80"/>
      <c r="O121" s="81"/>
      <c r="P121" s="82"/>
      <c r="Q121" s="83"/>
      <c r="R121" s="84"/>
      <c r="S121" s="84"/>
      <c r="T121" s="84"/>
      <c r="U121" s="84"/>
      <c r="V121" s="84"/>
      <c r="W121" s="84"/>
      <c r="X121" s="84"/>
      <c r="Y121" s="84"/>
      <c r="Z121" s="84"/>
      <c r="AA121" s="84"/>
      <c r="AB121" s="84"/>
      <c r="AC121" s="84"/>
      <c r="AD121" s="84"/>
      <c r="AE121" s="85"/>
      <c r="AF121" s="86"/>
      <c r="AG121" s="87"/>
      <c r="AH121" s="88"/>
    </row>
    <row r="122" spans="1:34" s="2" customFormat="1" x14ac:dyDescent="0.25">
      <c r="A122" s="7"/>
      <c r="B122" s="25"/>
      <c r="C122" s="91"/>
      <c r="D122" s="91"/>
      <c r="E122" s="78"/>
      <c r="F122" s="133"/>
      <c r="G122" s="38"/>
      <c r="H122" s="80"/>
      <c r="I122" s="81"/>
      <c r="J122" s="82"/>
      <c r="K122" s="83"/>
      <c r="L122" s="84"/>
      <c r="M122" s="79"/>
      <c r="N122" s="80"/>
      <c r="O122" s="81"/>
      <c r="P122" s="82"/>
      <c r="Q122" s="83"/>
      <c r="R122" s="84"/>
      <c r="S122" s="84"/>
      <c r="T122" s="84"/>
      <c r="U122" s="84"/>
      <c r="V122" s="84"/>
      <c r="W122" s="84"/>
      <c r="X122" s="84"/>
      <c r="Y122" s="84"/>
      <c r="Z122" s="84"/>
      <c r="AA122" s="84"/>
      <c r="AB122" s="84"/>
      <c r="AC122" s="84"/>
      <c r="AD122" s="84"/>
      <c r="AE122" s="85"/>
      <c r="AF122" s="86"/>
      <c r="AG122" s="87"/>
      <c r="AH122" s="88"/>
    </row>
    <row r="123" spans="1:34" s="2" customFormat="1" x14ac:dyDescent="0.25">
      <c r="A123" s="7"/>
      <c r="B123" s="25"/>
      <c r="C123" s="91"/>
      <c r="D123" s="91"/>
      <c r="E123" s="78"/>
      <c r="F123" s="133"/>
      <c r="G123" s="38"/>
      <c r="H123" s="80"/>
      <c r="I123" s="81"/>
      <c r="J123" s="82"/>
      <c r="K123" s="83"/>
      <c r="L123" s="84"/>
      <c r="M123" s="79"/>
      <c r="N123" s="80"/>
      <c r="O123" s="81"/>
      <c r="P123" s="82"/>
      <c r="Q123" s="83"/>
      <c r="R123" s="84"/>
      <c r="S123" s="84"/>
      <c r="T123" s="84"/>
      <c r="U123" s="84"/>
      <c r="V123" s="84"/>
      <c r="W123" s="84"/>
      <c r="X123" s="84"/>
      <c r="Y123" s="84"/>
      <c r="Z123" s="84"/>
      <c r="AA123" s="84"/>
      <c r="AB123" s="84"/>
      <c r="AC123" s="84"/>
      <c r="AD123" s="84"/>
      <c r="AE123" s="85"/>
      <c r="AF123" s="86"/>
      <c r="AG123" s="87"/>
      <c r="AH123" s="88"/>
    </row>
    <row r="124" spans="1:34" s="2" customFormat="1" x14ac:dyDescent="0.25">
      <c r="A124" s="7"/>
      <c r="B124" s="25"/>
      <c r="C124" s="91"/>
      <c r="D124" s="91"/>
      <c r="E124" s="78"/>
      <c r="F124" s="133"/>
      <c r="G124" s="38"/>
      <c r="H124" s="80"/>
      <c r="I124" s="81"/>
      <c r="J124" s="82"/>
      <c r="K124" s="83"/>
      <c r="L124" s="84"/>
      <c r="M124" s="79"/>
      <c r="N124" s="80"/>
      <c r="O124" s="81"/>
      <c r="P124" s="82"/>
      <c r="Q124" s="83"/>
      <c r="R124" s="84"/>
      <c r="S124" s="84"/>
      <c r="T124" s="84"/>
      <c r="U124" s="84"/>
      <c r="V124" s="84"/>
      <c r="W124" s="84"/>
      <c r="X124" s="84"/>
      <c r="Y124" s="84"/>
      <c r="Z124" s="84"/>
      <c r="AA124" s="84"/>
      <c r="AB124" s="84"/>
      <c r="AC124" s="84"/>
      <c r="AD124" s="84"/>
      <c r="AE124" s="85"/>
      <c r="AF124" s="86"/>
      <c r="AG124" s="87"/>
      <c r="AH124" s="88"/>
    </row>
    <row r="125" spans="1:34" s="2" customFormat="1" x14ac:dyDescent="0.25">
      <c r="A125" s="7"/>
      <c r="B125" s="25"/>
      <c r="C125" s="91"/>
      <c r="D125" s="91"/>
      <c r="E125" s="78"/>
      <c r="F125" s="133"/>
      <c r="G125" s="38"/>
      <c r="H125" s="80"/>
      <c r="I125" s="81"/>
      <c r="J125" s="82"/>
      <c r="K125" s="83"/>
      <c r="L125" s="84"/>
      <c r="M125" s="79"/>
      <c r="N125" s="80"/>
      <c r="O125" s="81"/>
      <c r="P125" s="82"/>
      <c r="Q125" s="83"/>
      <c r="R125" s="84"/>
      <c r="S125" s="84"/>
      <c r="T125" s="84"/>
      <c r="U125" s="84"/>
      <c r="V125" s="84"/>
      <c r="W125" s="84"/>
      <c r="X125" s="84"/>
      <c r="Y125" s="84"/>
      <c r="Z125" s="84"/>
      <c r="AA125" s="84"/>
      <c r="AB125" s="84"/>
      <c r="AC125" s="84"/>
      <c r="AD125" s="84"/>
      <c r="AE125" s="85"/>
      <c r="AF125" s="86"/>
      <c r="AG125" s="87"/>
      <c r="AH125" s="88"/>
    </row>
    <row r="126" spans="1:34" s="2" customFormat="1" x14ac:dyDescent="0.25">
      <c r="A126" s="7"/>
      <c r="B126" s="25"/>
      <c r="C126" s="91"/>
      <c r="D126" s="91"/>
      <c r="E126" s="78"/>
      <c r="F126" s="133"/>
      <c r="G126" s="38"/>
      <c r="H126" s="80"/>
      <c r="I126" s="81"/>
      <c r="J126" s="82"/>
      <c r="K126" s="83"/>
      <c r="L126" s="84"/>
      <c r="M126" s="79"/>
      <c r="N126" s="80"/>
      <c r="O126" s="81"/>
      <c r="P126" s="82"/>
      <c r="Q126" s="83"/>
      <c r="R126" s="84"/>
      <c r="S126" s="84"/>
      <c r="T126" s="84"/>
      <c r="U126" s="84"/>
      <c r="V126" s="84"/>
      <c r="W126" s="84"/>
      <c r="X126" s="84"/>
      <c r="Y126" s="84"/>
      <c r="Z126" s="84"/>
      <c r="AA126" s="84"/>
      <c r="AB126" s="84"/>
      <c r="AC126" s="84"/>
      <c r="AD126" s="84"/>
      <c r="AE126" s="85"/>
      <c r="AF126" s="86"/>
      <c r="AG126" s="87"/>
      <c r="AH126" s="88"/>
    </row>
    <row r="127" spans="1:34" s="2" customFormat="1" x14ac:dyDescent="0.25">
      <c r="A127" s="7"/>
      <c r="B127" s="25"/>
      <c r="C127" s="91"/>
      <c r="D127" s="91"/>
      <c r="E127" s="78"/>
      <c r="F127" s="133"/>
      <c r="G127" s="38"/>
      <c r="H127" s="80"/>
      <c r="I127" s="81"/>
      <c r="J127" s="82"/>
      <c r="K127" s="83"/>
      <c r="L127" s="84"/>
      <c r="M127" s="79"/>
      <c r="N127" s="80"/>
      <c r="O127" s="81"/>
      <c r="P127" s="82"/>
      <c r="Q127" s="83"/>
      <c r="R127" s="84"/>
      <c r="S127" s="84"/>
      <c r="T127" s="84"/>
      <c r="U127" s="84"/>
      <c r="V127" s="84"/>
      <c r="W127" s="84"/>
      <c r="X127" s="84"/>
      <c r="Y127" s="84"/>
      <c r="Z127" s="84"/>
      <c r="AA127" s="84"/>
      <c r="AB127" s="84"/>
      <c r="AC127" s="84"/>
      <c r="AD127" s="84"/>
      <c r="AE127" s="85"/>
      <c r="AF127" s="86"/>
      <c r="AG127" s="87"/>
      <c r="AH127" s="88"/>
    </row>
    <row r="128" spans="1:34" s="2" customFormat="1" x14ac:dyDescent="0.25">
      <c r="A128" s="7"/>
      <c r="B128" s="25"/>
      <c r="C128" s="91"/>
      <c r="D128" s="91"/>
      <c r="E128" s="78"/>
      <c r="F128" s="133"/>
      <c r="G128" s="38"/>
      <c r="H128" s="80"/>
      <c r="I128" s="81"/>
      <c r="J128" s="82"/>
      <c r="K128" s="83"/>
      <c r="L128" s="84"/>
      <c r="M128" s="79"/>
      <c r="N128" s="80"/>
      <c r="O128" s="81"/>
      <c r="P128" s="82"/>
      <c r="Q128" s="83"/>
      <c r="R128" s="84"/>
      <c r="S128" s="84"/>
      <c r="T128" s="84"/>
      <c r="U128" s="84"/>
      <c r="V128" s="84"/>
      <c r="W128" s="84"/>
      <c r="X128" s="84"/>
      <c r="Y128" s="84"/>
      <c r="Z128" s="84"/>
      <c r="AA128" s="84"/>
      <c r="AB128" s="84"/>
      <c r="AC128" s="84"/>
      <c r="AD128" s="84"/>
      <c r="AE128" s="85"/>
      <c r="AF128" s="86"/>
      <c r="AG128" s="87"/>
      <c r="AH128" s="88"/>
    </row>
    <row r="129" spans="1:34" s="2" customFormat="1" x14ac:dyDescent="0.25">
      <c r="A129" s="7"/>
      <c r="B129" s="25"/>
      <c r="C129" s="91"/>
      <c r="D129" s="91"/>
      <c r="E129" s="78"/>
      <c r="F129" s="133"/>
      <c r="G129" s="38"/>
      <c r="H129" s="80"/>
      <c r="I129" s="81"/>
      <c r="J129" s="82"/>
      <c r="K129" s="83"/>
      <c r="L129" s="84"/>
      <c r="M129" s="79"/>
      <c r="N129" s="80"/>
      <c r="O129" s="81"/>
      <c r="P129" s="82"/>
      <c r="Q129" s="83"/>
      <c r="R129" s="84"/>
      <c r="S129" s="84"/>
      <c r="T129" s="84"/>
      <c r="U129" s="84"/>
      <c r="V129" s="84"/>
      <c r="W129" s="84"/>
      <c r="X129" s="84"/>
      <c r="Y129" s="84"/>
      <c r="Z129" s="84"/>
      <c r="AA129" s="84"/>
      <c r="AB129" s="84"/>
      <c r="AC129" s="84"/>
      <c r="AD129" s="84"/>
      <c r="AE129" s="85"/>
      <c r="AF129" s="86"/>
      <c r="AG129" s="87"/>
      <c r="AH129" s="88"/>
    </row>
    <row r="130" spans="1:34" s="2" customFormat="1" x14ac:dyDescent="0.25">
      <c r="A130" s="7"/>
      <c r="B130" s="25"/>
      <c r="C130" s="91"/>
      <c r="D130" s="91"/>
      <c r="E130" s="78"/>
      <c r="F130" s="133"/>
      <c r="G130" s="38"/>
      <c r="H130" s="80"/>
      <c r="I130" s="81"/>
      <c r="J130" s="82"/>
      <c r="K130" s="83"/>
      <c r="L130" s="84"/>
      <c r="M130" s="79"/>
      <c r="N130" s="80"/>
      <c r="O130" s="81"/>
      <c r="P130" s="82"/>
      <c r="Q130" s="83"/>
      <c r="R130" s="84"/>
      <c r="S130" s="84"/>
      <c r="T130" s="84"/>
      <c r="U130" s="84"/>
      <c r="V130" s="84"/>
      <c r="W130" s="84"/>
      <c r="X130" s="84"/>
      <c r="Y130" s="84"/>
      <c r="Z130" s="84"/>
      <c r="AA130" s="84"/>
      <c r="AB130" s="84"/>
      <c r="AC130" s="84"/>
      <c r="AD130" s="84"/>
      <c r="AE130" s="85"/>
      <c r="AF130" s="86"/>
      <c r="AG130" s="87"/>
      <c r="AH130" s="88"/>
    </row>
    <row r="131" spans="1:34" s="2" customFormat="1" x14ac:dyDescent="0.25">
      <c r="A131" s="7"/>
      <c r="B131" s="25"/>
      <c r="C131" s="91"/>
      <c r="D131" s="91"/>
      <c r="E131" s="78"/>
      <c r="F131" s="133"/>
      <c r="G131" s="38"/>
      <c r="H131" s="80"/>
      <c r="I131" s="81"/>
      <c r="J131" s="82"/>
      <c r="K131" s="83"/>
      <c r="L131" s="84"/>
      <c r="M131" s="79"/>
      <c r="N131" s="80"/>
      <c r="O131" s="81"/>
      <c r="P131" s="82"/>
      <c r="Q131" s="83"/>
      <c r="R131" s="84"/>
      <c r="S131" s="84"/>
      <c r="T131" s="84"/>
      <c r="U131" s="84"/>
      <c r="V131" s="84"/>
      <c r="W131" s="84"/>
      <c r="X131" s="84"/>
      <c r="Y131" s="84"/>
      <c r="Z131" s="84"/>
      <c r="AA131" s="84"/>
      <c r="AB131" s="84"/>
      <c r="AC131" s="84"/>
      <c r="AD131" s="84"/>
      <c r="AE131" s="85"/>
      <c r="AF131" s="86"/>
      <c r="AG131" s="87"/>
      <c r="AH131" s="88"/>
    </row>
    <row r="132" spans="1:34" s="2" customFormat="1" x14ac:dyDescent="0.25">
      <c r="A132" s="7"/>
      <c r="B132" s="25"/>
      <c r="C132" s="91"/>
      <c r="D132" s="91"/>
      <c r="E132" s="78"/>
      <c r="F132" s="133"/>
      <c r="G132" s="38"/>
      <c r="H132" s="80"/>
      <c r="I132" s="81"/>
      <c r="J132" s="82"/>
      <c r="K132" s="83"/>
      <c r="L132" s="84"/>
      <c r="M132" s="79"/>
      <c r="N132" s="80"/>
      <c r="O132" s="81"/>
      <c r="P132" s="82"/>
      <c r="Q132" s="83"/>
      <c r="R132" s="84"/>
      <c r="S132" s="84"/>
      <c r="T132" s="84"/>
      <c r="U132" s="84"/>
      <c r="V132" s="84"/>
      <c r="W132" s="84"/>
      <c r="X132" s="84"/>
      <c r="Y132" s="84"/>
      <c r="Z132" s="84"/>
      <c r="AA132" s="84"/>
      <c r="AB132" s="84"/>
      <c r="AC132" s="84"/>
      <c r="AD132" s="84"/>
      <c r="AE132" s="85"/>
      <c r="AF132" s="86"/>
      <c r="AG132" s="87"/>
      <c r="AH132" s="88"/>
    </row>
    <row r="133" spans="1:34" s="2" customFormat="1" x14ac:dyDescent="0.25">
      <c r="A133" s="7"/>
      <c r="B133" s="25"/>
      <c r="C133" s="91"/>
      <c r="D133" s="91"/>
      <c r="E133" s="78"/>
      <c r="F133" s="133"/>
      <c r="G133" s="38"/>
      <c r="H133" s="80"/>
      <c r="I133" s="81"/>
      <c r="J133" s="82"/>
      <c r="K133" s="83"/>
      <c r="L133" s="84"/>
      <c r="M133" s="79"/>
      <c r="N133" s="80"/>
      <c r="O133" s="81"/>
      <c r="P133" s="82"/>
      <c r="Q133" s="83"/>
      <c r="R133" s="84"/>
      <c r="S133" s="84"/>
      <c r="T133" s="84"/>
      <c r="U133" s="84"/>
      <c r="V133" s="84"/>
      <c r="W133" s="84"/>
      <c r="X133" s="84"/>
      <c r="Y133" s="84"/>
      <c r="Z133" s="84"/>
      <c r="AA133" s="84"/>
      <c r="AB133" s="84"/>
      <c r="AC133" s="84"/>
      <c r="AD133" s="84"/>
      <c r="AE133" s="85"/>
      <c r="AF133" s="86"/>
      <c r="AG133" s="87"/>
      <c r="AH133" s="88"/>
    </row>
    <row r="134" spans="1:34" s="2" customFormat="1" x14ac:dyDescent="0.25">
      <c r="A134" s="7"/>
      <c r="B134" s="25"/>
      <c r="C134" s="91"/>
      <c r="D134" s="91"/>
      <c r="E134" s="78"/>
      <c r="F134" s="133"/>
      <c r="G134" s="38"/>
      <c r="H134" s="80"/>
      <c r="I134" s="81"/>
      <c r="J134" s="82"/>
      <c r="K134" s="83"/>
      <c r="L134" s="84"/>
      <c r="M134" s="79"/>
      <c r="N134" s="80"/>
      <c r="O134" s="81"/>
      <c r="P134" s="82"/>
      <c r="Q134" s="83"/>
      <c r="R134" s="84"/>
      <c r="S134" s="84"/>
      <c r="T134" s="84"/>
      <c r="U134" s="84"/>
      <c r="V134" s="84"/>
      <c r="W134" s="84"/>
      <c r="X134" s="84"/>
      <c r="Y134" s="84"/>
      <c r="Z134" s="84"/>
      <c r="AA134" s="84"/>
      <c r="AB134" s="84"/>
      <c r="AC134" s="84"/>
      <c r="AD134" s="84"/>
      <c r="AE134" s="85"/>
      <c r="AF134" s="86"/>
      <c r="AG134" s="87"/>
      <c r="AH134" s="88"/>
    </row>
    <row r="135" spans="1:34" s="2" customFormat="1" x14ac:dyDescent="0.25">
      <c r="A135" s="7"/>
      <c r="B135" s="25"/>
      <c r="C135" s="91"/>
      <c r="D135" s="91"/>
      <c r="E135" s="78"/>
      <c r="F135" s="133"/>
      <c r="G135" s="38"/>
      <c r="H135" s="80"/>
      <c r="I135" s="81"/>
      <c r="J135" s="82"/>
      <c r="K135" s="83"/>
      <c r="L135" s="84"/>
      <c r="M135" s="79"/>
      <c r="N135" s="80"/>
      <c r="O135" s="81"/>
      <c r="P135" s="82"/>
      <c r="Q135" s="83"/>
      <c r="R135" s="84"/>
      <c r="S135" s="84"/>
      <c r="T135" s="84"/>
      <c r="U135" s="84"/>
      <c r="V135" s="84"/>
      <c r="W135" s="84"/>
      <c r="X135" s="84"/>
      <c r="Y135" s="84"/>
      <c r="Z135" s="84"/>
      <c r="AA135" s="84"/>
      <c r="AB135" s="84"/>
      <c r="AC135" s="84"/>
      <c r="AD135" s="84"/>
      <c r="AE135" s="85"/>
      <c r="AF135" s="86"/>
      <c r="AG135" s="87"/>
      <c r="AH135" s="88"/>
    </row>
    <row r="136" spans="1:34" s="2" customFormat="1" x14ac:dyDescent="0.25">
      <c r="A136" s="7"/>
      <c r="B136" s="25"/>
      <c r="C136" s="91"/>
      <c r="D136" s="91"/>
      <c r="E136" s="78"/>
      <c r="F136" s="133"/>
      <c r="G136" s="38"/>
      <c r="H136" s="80"/>
      <c r="I136" s="81"/>
      <c r="J136" s="82"/>
      <c r="K136" s="83"/>
      <c r="L136" s="84"/>
      <c r="M136" s="79"/>
      <c r="N136" s="80"/>
      <c r="O136" s="81"/>
      <c r="P136" s="82"/>
      <c r="Q136" s="83"/>
      <c r="R136" s="84"/>
      <c r="S136" s="84"/>
      <c r="T136" s="84"/>
      <c r="U136" s="84"/>
      <c r="V136" s="84"/>
      <c r="W136" s="84"/>
      <c r="X136" s="84"/>
      <c r="Y136" s="84"/>
      <c r="Z136" s="84"/>
      <c r="AA136" s="84"/>
      <c r="AB136" s="84"/>
      <c r="AC136" s="84"/>
      <c r="AD136" s="84"/>
      <c r="AE136" s="85"/>
      <c r="AF136" s="86"/>
      <c r="AG136" s="87"/>
      <c r="AH136" s="88"/>
    </row>
    <row r="137" spans="1:34" s="2" customFormat="1" x14ac:dyDescent="0.25">
      <c r="A137" s="7"/>
      <c r="B137" s="25"/>
      <c r="C137" s="91"/>
      <c r="D137" s="91"/>
      <c r="E137" s="78"/>
      <c r="F137" s="133"/>
      <c r="G137" s="38"/>
      <c r="H137" s="80"/>
      <c r="I137" s="81"/>
      <c r="J137" s="82"/>
      <c r="K137" s="83"/>
      <c r="L137" s="84"/>
      <c r="M137" s="79"/>
      <c r="N137" s="80"/>
      <c r="O137" s="81"/>
      <c r="P137" s="82"/>
      <c r="Q137" s="83"/>
      <c r="R137" s="84"/>
      <c r="S137" s="84"/>
      <c r="T137" s="84"/>
      <c r="U137" s="84"/>
      <c r="V137" s="84"/>
      <c r="W137" s="84"/>
      <c r="X137" s="84"/>
      <c r="Y137" s="84"/>
      <c r="Z137" s="84"/>
      <c r="AA137" s="84"/>
      <c r="AB137" s="84"/>
      <c r="AC137" s="84"/>
      <c r="AD137" s="84"/>
      <c r="AE137" s="85"/>
      <c r="AF137" s="86"/>
      <c r="AG137" s="87"/>
      <c r="AH137" s="88"/>
    </row>
    <row r="138" spans="1:34" s="2" customFormat="1" x14ac:dyDescent="0.25">
      <c r="A138" s="7"/>
      <c r="B138" s="25"/>
      <c r="C138" s="91"/>
      <c r="D138" s="91"/>
      <c r="E138" s="78"/>
      <c r="F138" s="133"/>
      <c r="G138" s="38"/>
      <c r="H138" s="80"/>
      <c r="I138" s="81"/>
      <c r="J138" s="82"/>
      <c r="K138" s="83"/>
      <c r="L138" s="84"/>
      <c r="M138" s="79"/>
      <c r="N138" s="80"/>
      <c r="O138" s="81"/>
      <c r="P138" s="82"/>
      <c r="Q138" s="83"/>
      <c r="R138" s="84"/>
      <c r="S138" s="84"/>
      <c r="T138" s="84"/>
      <c r="U138" s="84"/>
      <c r="V138" s="84"/>
      <c r="W138" s="84"/>
      <c r="X138" s="84"/>
      <c r="Y138" s="84"/>
      <c r="Z138" s="84"/>
      <c r="AA138" s="84"/>
      <c r="AB138" s="84"/>
      <c r="AC138" s="84"/>
      <c r="AD138" s="84"/>
      <c r="AE138" s="85"/>
      <c r="AF138" s="86"/>
      <c r="AG138" s="87"/>
      <c r="AH138" s="88"/>
    </row>
    <row r="139" spans="1:34" s="2" customFormat="1" x14ac:dyDescent="0.25">
      <c r="A139" s="7"/>
      <c r="B139" s="25"/>
      <c r="C139" s="91"/>
      <c r="D139" s="91"/>
      <c r="E139" s="78"/>
      <c r="F139" s="133"/>
      <c r="G139" s="38"/>
      <c r="H139" s="80"/>
      <c r="I139" s="81"/>
      <c r="J139" s="82"/>
      <c r="K139" s="83"/>
      <c r="L139" s="84"/>
      <c r="M139" s="79"/>
      <c r="N139" s="80"/>
      <c r="O139" s="81"/>
      <c r="P139" s="82"/>
      <c r="Q139" s="83"/>
      <c r="R139" s="84"/>
      <c r="S139" s="84"/>
      <c r="T139" s="84"/>
      <c r="U139" s="84"/>
      <c r="V139" s="84"/>
      <c r="W139" s="84"/>
      <c r="X139" s="84"/>
      <c r="Y139" s="84"/>
      <c r="Z139" s="84"/>
      <c r="AA139" s="84"/>
      <c r="AB139" s="84"/>
      <c r="AC139" s="84"/>
      <c r="AD139" s="84"/>
      <c r="AE139" s="85"/>
      <c r="AF139" s="86"/>
      <c r="AG139" s="87"/>
      <c r="AH139" s="88"/>
    </row>
    <row r="140" spans="1:34" s="2" customFormat="1" x14ac:dyDescent="0.25">
      <c r="A140" s="7"/>
      <c r="B140" s="25"/>
      <c r="C140" s="91"/>
      <c r="D140" s="91"/>
      <c r="E140" s="78"/>
      <c r="F140" s="133"/>
      <c r="G140" s="38"/>
      <c r="H140" s="80"/>
      <c r="I140" s="81"/>
      <c r="J140" s="82"/>
      <c r="K140" s="83"/>
      <c r="L140" s="84"/>
      <c r="M140" s="79"/>
      <c r="N140" s="80"/>
      <c r="O140" s="81"/>
      <c r="P140" s="82"/>
      <c r="Q140" s="83"/>
      <c r="R140" s="84"/>
      <c r="S140" s="84"/>
      <c r="T140" s="84"/>
      <c r="U140" s="84"/>
      <c r="V140" s="84"/>
      <c r="W140" s="84"/>
      <c r="X140" s="84"/>
      <c r="Y140" s="84"/>
      <c r="Z140" s="84"/>
      <c r="AA140" s="84"/>
      <c r="AB140" s="84"/>
      <c r="AC140" s="84"/>
      <c r="AD140" s="84"/>
      <c r="AE140" s="85"/>
      <c r="AF140" s="86"/>
      <c r="AG140" s="87"/>
      <c r="AH140" s="88"/>
    </row>
    <row r="141" spans="1:34" s="2" customFormat="1" x14ac:dyDescent="0.25">
      <c r="A141" s="7"/>
      <c r="B141" s="25"/>
      <c r="C141" s="91"/>
      <c r="D141" s="91"/>
      <c r="E141" s="78"/>
      <c r="F141" s="133"/>
      <c r="G141" s="38"/>
      <c r="H141" s="80"/>
      <c r="I141" s="81"/>
      <c r="J141" s="82"/>
      <c r="K141" s="83"/>
      <c r="L141" s="84"/>
      <c r="M141" s="79"/>
      <c r="N141" s="80"/>
      <c r="O141" s="81"/>
      <c r="P141" s="82"/>
      <c r="Q141" s="83"/>
      <c r="R141" s="84"/>
      <c r="S141" s="84"/>
      <c r="T141" s="84"/>
      <c r="U141" s="84"/>
      <c r="V141" s="84"/>
      <c r="W141" s="84"/>
      <c r="X141" s="84"/>
      <c r="Y141" s="84"/>
      <c r="Z141" s="84"/>
      <c r="AA141" s="84"/>
      <c r="AB141" s="84"/>
      <c r="AC141" s="84"/>
      <c r="AD141" s="84"/>
      <c r="AE141" s="85"/>
      <c r="AF141" s="86"/>
      <c r="AG141" s="87"/>
      <c r="AH141" s="88"/>
    </row>
    <row r="142" spans="1:34" s="2" customFormat="1" x14ac:dyDescent="0.25">
      <c r="A142" s="7"/>
      <c r="B142" s="25"/>
      <c r="C142" s="91"/>
      <c r="D142" s="91"/>
      <c r="E142" s="78"/>
      <c r="F142" s="133"/>
      <c r="G142" s="38"/>
      <c r="H142" s="80"/>
      <c r="I142" s="81"/>
      <c r="J142" s="82"/>
      <c r="K142" s="83"/>
      <c r="L142" s="84"/>
      <c r="M142" s="79"/>
      <c r="N142" s="80"/>
      <c r="O142" s="81"/>
      <c r="P142" s="82"/>
      <c r="Q142" s="83"/>
      <c r="R142" s="84"/>
      <c r="S142" s="84"/>
      <c r="T142" s="84"/>
      <c r="U142" s="84"/>
      <c r="V142" s="84"/>
      <c r="W142" s="84"/>
      <c r="X142" s="84"/>
      <c r="Y142" s="84"/>
      <c r="Z142" s="84"/>
      <c r="AA142" s="84"/>
      <c r="AB142" s="84"/>
      <c r="AC142" s="84"/>
      <c r="AD142" s="84"/>
      <c r="AE142" s="85"/>
      <c r="AF142" s="86"/>
      <c r="AG142" s="87"/>
      <c r="AH142" s="88"/>
    </row>
    <row r="143" spans="1:34" s="2" customFormat="1" x14ac:dyDescent="0.25">
      <c r="A143" s="7"/>
      <c r="B143" s="25"/>
      <c r="C143" s="91"/>
      <c r="D143" s="91"/>
      <c r="E143" s="78"/>
      <c r="F143" s="133"/>
      <c r="G143" s="38"/>
      <c r="H143" s="80"/>
      <c r="I143" s="81"/>
      <c r="J143" s="82"/>
      <c r="K143" s="83"/>
      <c r="L143" s="84"/>
      <c r="M143" s="79"/>
      <c r="N143" s="80"/>
      <c r="O143" s="81"/>
      <c r="P143" s="82"/>
      <c r="Q143" s="83"/>
      <c r="R143" s="84"/>
      <c r="S143" s="84"/>
      <c r="T143" s="84"/>
      <c r="U143" s="84"/>
      <c r="V143" s="84"/>
      <c r="W143" s="84"/>
      <c r="X143" s="84"/>
      <c r="Y143" s="84"/>
      <c r="Z143" s="84"/>
      <c r="AA143" s="84"/>
      <c r="AB143" s="84"/>
      <c r="AC143" s="84"/>
      <c r="AD143" s="84"/>
      <c r="AE143" s="85"/>
      <c r="AF143" s="86"/>
      <c r="AG143" s="87"/>
      <c r="AH143" s="88"/>
    </row>
    <row r="144" spans="1:34" s="2" customFormat="1" x14ac:dyDescent="0.25">
      <c r="A144" s="7"/>
      <c r="B144" s="25"/>
      <c r="C144" s="91"/>
      <c r="D144" s="91"/>
      <c r="E144" s="78"/>
      <c r="F144" s="133"/>
      <c r="G144" s="38"/>
      <c r="H144" s="80"/>
      <c r="I144" s="81"/>
      <c r="J144" s="82"/>
      <c r="K144" s="83"/>
      <c r="L144" s="84"/>
      <c r="M144" s="79"/>
      <c r="N144" s="80"/>
      <c r="O144" s="81"/>
      <c r="P144" s="82"/>
      <c r="Q144" s="83"/>
      <c r="R144" s="84"/>
      <c r="S144" s="84"/>
      <c r="T144" s="84"/>
      <c r="U144" s="84"/>
      <c r="V144" s="84"/>
      <c r="W144" s="84"/>
      <c r="X144" s="84"/>
      <c r="Y144" s="84"/>
      <c r="Z144" s="84"/>
      <c r="AA144" s="84"/>
      <c r="AB144" s="84"/>
      <c r="AC144" s="84"/>
      <c r="AD144" s="84"/>
      <c r="AE144" s="85"/>
      <c r="AF144" s="86"/>
      <c r="AG144" s="87"/>
      <c r="AH144" s="88"/>
    </row>
    <row r="145" spans="1:34" s="2" customFormat="1" x14ac:dyDescent="0.25">
      <c r="A145" s="7"/>
      <c r="B145" s="25"/>
      <c r="C145" s="91"/>
      <c r="D145" s="91"/>
      <c r="E145" s="78"/>
      <c r="F145" s="133"/>
      <c r="G145" s="38"/>
      <c r="H145" s="80"/>
      <c r="I145" s="81"/>
      <c r="J145" s="82"/>
      <c r="K145" s="83"/>
      <c r="L145" s="84"/>
      <c r="M145" s="79"/>
      <c r="N145" s="80"/>
      <c r="O145" s="81"/>
      <c r="P145" s="82"/>
      <c r="Q145" s="83"/>
      <c r="R145" s="84"/>
      <c r="S145" s="84"/>
      <c r="T145" s="84"/>
      <c r="U145" s="84"/>
      <c r="V145" s="84"/>
      <c r="W145" s="84"/>
      <c r="X145" s="84"/>
      <c r="Y145" s="84"/>
      <c r="Z145" s="84"/>
      <c r="AA145" s="84"/>
      <c r="AB145" s="84"/>
      <c r="AC145" s="84"/>
      <c r="AD145" s="84"/>
      <c r="AE145" s="85"/>
      <c r="AF145" s="86"/>
      <c r="AG145" s="87"/>
      <c r="AH145" s="88"/>
    </row>
    <row r="146" spans="1:34" s="2" customFormat="1" x14ac:dyDescent="0.25">
      <c r="A146" s="7"/>
      <c r="B146" s="25"/>
      <c r="C146" s="91"/>
      <c r="D146" s="91"/>
      <c r="E146" s="78"/>
      <c r="F146" s="133"/>
      <c r="G146" s="38"/>
      <c r="H146" s="80"/>
      <c r="I146" s="81"/>
      <c r="J146" s="82"/>
      <c r="K146" s="83"/>
      <c r="L146" s="84"/>
      <c r="M146" s="79"/>
      <c r="N146" s="80"/>
      <c r="O146" s="81"/>
      <c r="P146" s="82"/>
      <c r="Q146" s="83"/>
      <c r="R146" s="84"/>
      <c r="S146" s="84"/>
      <c r="T146" s="84"/>
      <c r="U146" s="84"/>
      <c r="V146" s="84"/>
      <c r="W146" s="84"/>
      <c r="X146" s="84"/>
      <c r="Y146" s="84"/>
      <c r="Z146" s="84"/>
      <c r="AA146" s="84"/>
      <c r="AB146" s="84"/>
      <c r="AC146" s="84"/>
      <c r="AD146" s="84"/>
      <c r="AE146" s="85"/>
      <c r="AF146" s="86"/>
      <c r="AG146" s="87"/>
      <c r="AH146" s="88"/>
    </row>
    <row r="147" spans="1:34" s="2" customFormat="1" x14ac:dyDescent="0.25">
      <c r="A147" s="7"/>
      <c r="B147" s="25"/>
      <c r="C147" s="91"/>
      <c r="D147" s="91"/>
      <c r="E147" s="78"/>
      <c r="F147" s="133"/>
      <c r="G147" s="38"/>
      <c r="H147" s="80"/>
      <c r="I147" s="81"/>
      <c r="J147" s="82"/>
      <c r="K147" s="83"/>
      <c r="L147" s="84"/>
      <c r="M147" s="79"/>
      <c r="N147" s="80"/>
      <c r="O147" s="81"/>
      <c r="P147" s="82"/>
      <c r="Q147" s="83"/>
      <c r="R147" s="84"/>
      <c r="S147" s="84"/>
      <c r="T147" s="84"/>
      <c r="U147" s="84"/>
      <c r="V147" s="84"/>
      <c r="W147" s="84"/>
      <c r="X147" s="84"/>
      <c r="Y147" s="84"/>
      <c r="Z147" s="84"/>
      <c r="AA147" s="84"/>
      <c r="AB147" s="84"/>
      <c r="AC147" s="84"/>
      <c r="AD147" s="84"/>
      <c r="AE147" s="85"/>
      <c r="AF147" s="86"/>
      <c r="AG147" s="87"/>
      <c r="AH147" s="88"/>
    </row>
    <row r="148" spans="1:34" s="2" customFormat="1" x14ac:dyDescent="0.25">
      <c r="A148" s="7"/>
      <c r="B148" s="25"/>
      <c r="C148" s="91"/>
      <c r="D148" s="91"/>
      <c r="E148" s="78"/>
      <c r="F148" s="133"/>
      <c r="G148" s="38"/>
      <c r="H148" s="80"/>
      <c r="I148" s="81"/>
      <c r="J148" s="82"/>
      <c r="K148" s="83"/>
      <c r="L148" s="84"/>
      <c r="M148" s="79"/>
      <c r="N148" s="80"/>
      <c r="O148" s="81"/>
      <c r="P148" s="82"/>
      <c r="Q148" s="83"/>
      <c r="R148" s="84"/>
      <c r="S148" s="84"/>
      <c r="T148" s="84"/>
      <c r="U148" s="84"/>
      <c r="V148" s="84"/>
      <c r="W148" s="84"/>
      <c r="X148" s="84"/>
      <c r="Y148" s="84"/>
      <c r="Z148" s="84"/>
      <c r="AA148" s="84"/>
      <c r="AB148" s="84"/>
      <c r="AC148" s="84"/>
      <c r="AD148" s="84"/>
      <c r="AE148" s="85"/>
      <c r="AF148" s="86"/>
      <c r="AG148" s="87"/>
      <c r="AH148" s="88"/>
    </row>
    <row r="149" spans="1:34" s="2" customFormat="1" x14ac:dyDescent="0.25">
      <c r="A149" s="7"/>
      <c r="B149" s="25"/>
      <c r="C149" s="91"/>
      <c r="D149" s="91"/>
      <c r="E149" s="78"/>
      <c r="F149" s="133"/>
      <c r="G149" s="38"/>
      <c r="H149" s="80"/>
      <c r="I149" s="81"/>
      <c r="J149" s="82"/>
      <c r="K149" s="83"/>
      <c r="L149" s="84"/>
      <c r="M149" s="79"/>
      <c r="N149" s="80"/>
      <c r="O149" s="81"/>
      <c r="P149" s="82"/>
      <c r="Q149" s="83"/>
      <c r="R149" s="84"/>
      <c r="S149" s="84"/>
      <c r="T149" s="84"/>
      <c r="U149" s="84"/>
      <c r="V149" s="84"/>
      <c r="W149" s="84"/>
      <c r="X149" s="84"/>
      <c r="Y149" s="84"/>
      <c r="Z149" s="84"/>
      <c r="AA149" s="84"/>
      <c r="AB149" s="84"/>
      <c r="AC149" s="84"/>
      <c r="AD149" s="84"/>
      <c r="AE149" s="85"/>
      <c r="AF149" s="86"/>
      <c r="AG149" s="87"/>
      <c r="AH149" s="88"/>
    </row>
    <row r="150" spans="1:34" s="2" customFormat="1" x14ac:dyDescent="0.25">
      <c r="A150" s="7"/>
      <c r="B150" s="25"/>
      <c r="C150" s="91"/>
      <c r="D150" s="91"/>
      <c r="E150" s="78"/>
      <c r="F150" s="133"/>
      <c r="G150" s="38"/>
      <c r="H150" s="80"/>
      <c r="I150" s="81"/>
      <c r="J150" s="82"/>
      <c r="K150" s="83"/>
      <c r="L150" s="84"/>
      <c r="M150" s="79"/>
      <c r="N150" s="80"/>
      <c r="O150" s="81"/>
      <c r="P150" s="82"/>
      <c r="Q150" s="83"/>
      <c r="R150" s="84"/>
      <c r="S150" s="84"/>
      <c r="T150" s="84"/>
      <c r="U150" s="84"/>
      <c r="V150" s="84"/>
      <c r="W150" s="84"/>
      <c r="X150" s="84"/>
      <c r="Y150" s="84"/>
      <c r="Z150" s="84"/>
      <c r="AA150" s="84"/>
      <c r="AB150" s="84"/>
      <c r="AC150" s="84"/>
      <c r="AD150" s="84"/>
      <c r="AE150" s="85"/>
      <c r="AF150" s="86"/>
      <c r="AG150" s="87"/>
      <c r="AH150" s="88"/>
    </row>
    <row r="151" spans="1:34" s="2" customFormat="1" x14ac:dyDescent="0.25">
      <c r="A151" s="7"/>
      <c r="B151" s="25"/>
      <c r="C151" s="91"/>
      <c r="D151" s="91"/>
      <c r="E151" s="78"/>
      <c r="F151" s="133"/>
      <c r="G151" s="38"/>
      <c r="H151" s="80"/>
      <c r="I151" s="81"/>
      <c r="J151" s="82"/>
      <c r="K151" s="83"/>
      <c r="L151" s="84"/>
      <c r="M151" s="79"/>
      <c r="N151" s="80"/>
      <c r="O151" s="81"/>
      <c r="P151" s="82"/>
      <c r="Q151" s="83"/>
      <c r="R151" s="84"/>
      <c r="S151" s="84"/>
      <c r="T151" s="84"/>
      <c r="U151" s="84"/>
      <c r="V151" s="84"/>
      <c r="W151" s="84"/>
      <c r="X151" s="84"/>
      <c r="Y151" s="84"/>
      <c r="Z151" s="84"/>
      <c r="AA151" s="84"/>
      <c r="AB151" s="84"/>
      <c r="AC151" s="84"/>
      <c r="AD151" s="84"/>
      <c r="AE151" s="85"/>
      <c r="AF151" s="86"/>
      <c r="AG151" s="87"/>
      <c r="AH151" s="88"/>
    </row>
    <row r="152" spans="1:34" s="2" customFormat="1" x14ac:dyDescent="0.25">
      <c r="A152" s="7"/>
      <c r="B152" s="25"/>
      <c r="C152" s="91"/>
      <c r="D152" s="91"/>
      <c r="E152" s="78"/>
      <c r="F152" s="133"/>
      <c r="G152" s="38"/>
      <c r="H152" s="80"/>
      <c r="I152" s="81"/>
      <c r="J152" s="82"/>
      <c r="K152" s="83"/>
      <c r="L152" s="84"/>
      <c r="M152" s="79"/>
      <c r="N152" s="80"/>
      <c r="O152" s="81"/>
      <c r="P152" s="82"/>
      <c r="Q152" s="83"/>
      <c r="R152" s="84"/>
      <c r="S152" s="84"/>
      <c r="T152" s="84"/>
      <c r="U152" s="84"/>
      <c r="V152" s="84"/>
      <c r="W152" s="84"/>
      <c r="X152" s="84"/>
      <c r="Y152" s="84"/>
      <c r="Z152" s="84"/>
      <c r="AA152" s="84"/>
      <c r="AB152" s="84"/>
      <c r="AC152" s="84"/>
      <c r="AD152" s="84"/>
      <c r="AE152" s="85"/>
      <c r="AF152" s="86"/>
      <c r="AG152" s="87"/>
      <c r="AH152" s="88"/>
    </row>
    <row r="153" spans="1:34" s="2" customFormat="1" x14ac:dyDescent="0.25">
      <c r="A153" s="7"/>
      <c r="B153" s="25"/>
      <c r="C153" s="91"/>
      <c r="D153" s="91"/>
      <c r="E153" s="78"/>
      <c r="F153" s="133"/>
      <c r="G153" s="38"/>
      <c r="H153" s="80"/>
      <c r="I153" s="81"/>
      <c r="J153" s="82"/>
      <c r="K153" s="83"/>
      <c r="L153" s="84"/>
      <c r="M153" s="79"/>
      <c r="N153" s="80"/>
      <c r="O153" s="81"/>
      <c r="P153" s="82"/>
      <c r="Q153" s="83"/>
      <c r="R153" s="84"/>
      <c r="S153" s="84"/>
      <c r="T153" s="84"/>
      <c r="U153" s="84"/>
      <c r="V153" s="84"/>
      <c r="W153" s="84"/>
      <c r="X153" s="84"/>
      <c r="Y153" s="84"/>
      <c r="Z153" s="84"/>
      <c r="AA153" s="84"/>
      <c r="AB153" s="84"/>
      <c r="AC153" s="84"/>
      <c r="AD153" s="84"/>
      <c r="AE153" s="85"/>
      <c r="AF153" s="86"/>
      <c r="AG153" s="87"/>
      <c r="AH153" s="88"/>
    </row>
    <row r="154" spans="1:34" s="2" customFormat="1" x14ac:dyDescent="0.25">
      <c r="A154" s="7"/>
      <c r="B154" s="25"/>
      <c r="C154" s="91"/>
      <c r="D154" s="91"/>
      <c r="E154" s="78"/>
      <c r="F154" s="133"/>
      <c r="G154" s="38"/>
      <c r="H154" s="80"/>
      <c r="I154" s="81"/>
      <c r="J154" s="82"/>
      <c r="K154" s="83"/>
      <c r="L154" s="84"/>
      <c r="M154" s="79"/>
      <c r="N154" s="80"/>
      <c r="O154" s="81"/>
      <c r="P154" s="82"/>
      <c r="Q154" s="83"/>
      <c r="R154" s="84"/>
      <c r="S154" s="84"/>
      <c r="T154" s="84"/>
      <c r="U154" s="84"/>
      <c r="V154" s="84"/>
      <c r="W154" s="84"/>
      <c r="X154" s="84"/>
      <c r="Y154" s="84"/>
      <c r="Z154" s="84"/>
      <c r="AA154" s="84"/>
      <c r="AB154" s="84"/>
      <c r="AC154" s="84"/>
      <c r="AD154" s="84"/>
      <c r="AE154" s="85"/>
      <c r="AF154" s="86"/>
      <c r="AG154" s="87"/>
      <c r="AH154" s="88"/>
    </row>
    <row r="155" spans="1:34" s="2" customFormat="1" x14ac:dyDescent="0.25">
      <c r="A155" s="7"/>
      <c r="B155" s="25"/>
      <c r="C155" s="91"/>
      <c r="D155" s="91"/>
      <c r="E155" s="78"/>
      <c r="F155" s="133"/>
      <c r="G155" s="38"/>
      <c r="H155" s="80"/>
      <c r="I155" s="81"/>
      <c r="J155" s="82"/>
      <c r="K155" s="83"/>
      <c r="L155" s="84"/>
      <c r="M155" s="79"/>
      <c r="N155" s="80"/>
      <c r="O155" s="81"/>
      <c r="P155" s="82"/>
      <c r="Q155" s="83"/>
      <c r="R155" s="84"/>
      <c r="S155" s="84"/>
      <c r="T155" s="84"/>
      <c r="U155" s="84"/>
      <c r="V155" s="84"/>
      <c r="W155" s="84"/>
      <c r="X155" s="84"/>
      <c r="Y155" s="84"/>
      <c r="Z155" s="84"/>
      <c r="AA155" s="84"/>
      <c r="AB155" s="84"/>
      <c r="AC155" s="84"/>
      <c r="AD155" s="84"/>
      <c r="AE155" s="85"/>
      <c r="AF155" s="86"/>
      <c r="AG155" s="87"/>
      <c r="AH155" s="88"/>
    </row>
    <row r="156" spans="1:34" s="2" customFormat="1" x14ac:dyDescent="0.25">
      <c r="A156" s="7"/>
      <c r="B156" s="25"/>
      <c r="C156" s="91"/>
      <c r="D156" s="91"/>
      <c r="E156" s="78"/>
      <c r="F156" s="133"/>
      <c r="G156" s="38"/>
      <c r="H156" s="80"/>
      <c r="I156" s="81"/>
      <c r="J156" s="82"/>
      <c r="K156" s="83"/>
      <c r="L156" s="84"/>
      <c r="M156" s="79"/>
      <c r="N156" s="80"/>
      <c r="O156" s="81"/>
      <c r="P156" s="82"/>
      <c r="Q156" s="83"/>
      <c r="R156" s="84"/>
      <c r="S156" s="84"/>
      <c r="T156" s="84"/>
      <c r="U156" s="84"/>
      <c r="V156" s="84"/>
      <c r="W156" s="84"/>
      <c r="X156" s="84"/>
      <c r="Y156" s="84"/>
      <c r="Z156" s="84"/>
      <c r="AA156" s="84"/>
      <c r="AB156" s="84"/>
      <c r="AC156" s="84"/>
      <c r="AD156" s="84"/>
      <c r="AE156" s="85"/>
      <c r="AF156" s="86"/>
      <c r="AG156" s="87"/>
      <c r="AH156" s="88"/>
    </row>
    <row r="157" spans="1:34" s="2" customFormat="1" x14ac:dyDescent="0.25">
      <c r="A157" s="7"/>
      <c r="B157" s="25"/>
      <c r="C157" s="91"/>
      <c r="D157" s="91"/>
      <c r="E157" s="78"/>
      <c r="F157" s="133"/>
      <c r="G157" s="38"/>
      <c r="H157" s="80"/>
      <c r="I157" s="81"/>
      <c r="J157" s="82"/>
      <c r="K157" s="83"/>
      <c r="L157" s="84"/>
      <c r="M157" s="79"/>
      <c r="N157" s="80"/>
      <c r="O157" s="81"/>
      <c r="P157" s="82"/>
      <c r="Q157" s="83"/>
      <c r="R157" s="84"/>
      <c r="S157" s="84"/>
      <c r="T157" s="84"/>
      <c r="U157" s="84"/>
      <c r="V157" s="84"/>
      <c r="W157" s="84"/>
      <c r="X157" s="84"/>
      <c r="Y157" s="84"/>
      <c r="Z157" s="84"/>
      <c r="AA157" s="84"/>
      <c r="AB157" s="84"/>
      <c r="AC157" s="84"/>
      <c r="AD157" s="84"/>
      <c r="AE157" s="85"/>
      <c r="AF157" s="86"/>
      <c r="AG157" s="87"/>
      <c r="AH157" s="88"/>
    </row>
    <row r="158" spans="1:34" s="2" customFormat="1" x14ac:dyDescent="0.25">
      <c r="A158" s="7"/>
      <c r="B158" s="25"/>
      <c r="C158" s="91"/>
      <c r="D158" s="91"/>
      <c r="E158" s="78"/>
      <c r="F158" s="133"/>
      <c r="G158" s="38"/>
      <c r="H158" s="80"/>
      <c r="I158" s="81"/>
      <c r="J158" s="82"/>
      <c r="K158" s="83"/>
      <c r="L158" s="84"/>
      <c r="M158" s="79"/>
      <c r="N158" s="80"/>
      <c r="O158" s="81"/>
      <c r="P158" s="82"/>
      <c r="Q158" s="83"/>
      <c r="R158" s="84"/>
      <c r="S158" s="84"/>
      <c r="T158" s="84"/>
      <c r="U158" s="84"/>
      <c r="V158" s="84"/>
      <c r="W158" s="84"/>
      <c r="X158" s="84"/>
      <c r="Y158" s="84"/>
      <c r="Z158" s="84"/>
      <c r="AA158" s="84"/>
      <c r="AB158" s="84"/>
      <c r="AC158" s="84"/>
      <c r="AD158" s="84"/>
      <c r="AE158" s="85"/>
      <c r="AF158" s="86"/>
      <c r="AG158" s="87"/>
      <c r="AH158" s="88"/>
    </row>
    <row r="159" spans="1:34" s="2" customFormat="1" x14ac:dyDescent="0.25">
      <c r="A159" s="7"/>
      <c r="B159" s="25"/>
      <c r="C159" s="91"/>
      <c r="D159" s="91"/>
      <c r="E159" s="78"/>
      <c r="F159" s="133"/>
      <c r="G159" s="38"/>
      <c r="H159" s="80"/>
      <c r="I159" s="81"/>
      <c r="J159" s="82"/>
      <c r="K159" s="83"/>
      <c r="L159" s="84"/>
      <c r="M159" s="79"/>
      <c r="N159" s="80"/>
      <c r="O159" s="81"/>
      <c r="P159" s="82"/>
      <c r="Q159" s="83"/>
      <c r="R159" s="84"/>
      <c r="S159" s="84"/>
      <c r="T159" s="84"/>
      <c r="U159" s="84"/>
      <c r="V159" s="84"/>
      <c r="W159" s="84"/>
      <c r="X159" s="84"/>
      <c r="Y159" s="84"/>
      <c r="Z159" s="84"/>
      <c r="AA159" s="84"/>
      <c r="AB159" s="84"/>
      <c r="AC159" s="84"/>
      <c r="AD159" s="84"/>
      <c r="AE159" s="85"/>
      <c r="AF159" s="86"/>
      <c r="AG159" s="87"/>
      <c r="AH159" s="88"/>
    </row>
    <row r="160" spans="1:34" s="2" customFormat="1" x14ac:dyDescent="0.25">
      <c r="A160" s="7"/>
      <c r="B160" s="25"/>
      <c r="C160" s="91"/>
      <c r="D160" s="91"/>
      <c r="E160" s="78"/>
      <c r="F160" s="133"/>
      <c r="G160" s="38"/>
      <c r="H160" s="80"/>
      <c r="I160" s="81"/>
      <c r="J160" s="82"/>
      <c r="K160" s="83"/>
      <c r="L160" s="84"/>
      <c r="M160" s="79"/>
      <c r="N160" s="80"/>
      <c r="O160" s="81"/>
      <c r="P160" s="82"/>
      <c r="Q160" s="83"/>
      <c r="R160" s="84"/>
      <c r="S160" s="84"/>
      <c r="T160" s="84"/>
      <c r="U160" s="84"/>
      <c r="V160" s="84"/>
      <c r="W160" s="84"/>
      <c r="X160" s="84"/>
      <c r="Y160" s="84"/>
      <c r="Z160" s="84"/>
      <c r="AA160" s="84"/>
      <c r="AB160" s="84"/>
      <c r="AC160" s="84"/>
      <c r="AD160" s="84"/>
      <c r="AE160" s="85"/>
      <c r="AF160" s="86"/>
      <c r="AG160" s="87"/>
      <c r="AH160" s="88"/>
    </row>
    <row r="161" spans="1:34" s="2" customFormat="1" x14ac:dyDescent="0.25">
      <c r="A161" s="7"/>
      <c r="B161" s="25"/>
      <c r="C161" s="91"/>
      <c r="D161" s="91"/>
      <c r="E161" s="78"/>
      <c r="F161" s="133"/>
      <c r="G161" s="38"/>
      <c r="H161" s="80"/>
      <c r="I161" s="81"/>
      <c r="J161" s="82"/>
      <c r="K161" s="83"/>
      <c r="L161" s="84"/>
      <c r="M161" s="79"/>
      <c r="N161" s="80"/>
      <c r="O161" s="81"/>
      <c r="P161" s="82"/>
      <c r="Q161" s="83"/>
      <c r="R161" s="84"/>
      <c r="S161" s="84"/>
      <c r="T161" s="84"/>
      <c r="U161" s="84"/>
      <c r="V161" s="84"/>
      <c r="W161" s="84"/>
      <c r="X161" s="84"/>
      <c r="Y161" s="84"/>
      <c r="Z161" s="84"/>
      <c r="AA161" s="84"/>
      <c r="AB161" s="84"/>
      <c r="AC161" s="84"/>
      <c r="AD161" s="84"/>
      <c r="AE161" s="85"/>
      <c r="AF161" s="86"/>
      <c r="AG161" s="87"/>
      <c r="AH161" s="88"/>
    </row>
    <row r="162" spans="1:34" s="2" customFormat="1" x14ac:dyDescent="0.25">
      <c r="A162" s="7"/>
      <c r="B162" s="25"/>
      <c r="C162" s="91"/>
      <c r="D162" s="91"/>
      <c r="E162" s="78"/>
      <c r="F162" s="133"/>
      <c r="G162" s="38"/>
      <c r="H162" s="80"/>
      <c r="I162" s="81"/>
      <c r="J162" s="82"/>
      <c r="K162" s="83"/>
      <c r="L162" s="84"/>
      <c r="M162" s="79"/>
      <c r="N162" s="80"/>
      <c r="O162" s="81"/>
      <c r="P162" s="82"/>
      <c r="Q162" s="83"/>
      <c r="R162" s="84"/>
      <c r="S162" s="84"/>
      <c r="T162" s="84"/>
      <c r="U162" s="84"/>
      <c r="V162" s="84"/>
      <c r="W162" s="84"/>
      <c r="X162" s="84"/>
      <c r="Y162" s="84"/>
      <c r="Z162" s="84"/>
      <c r="AA162" s="84"/>
      <c r="AB162" s="84"/>
      <c r="AC162" s="84"/>
      <c r="AD162" s="84"/>
      <c r="AE162" s="85"/>
      <c r="AF162" s="86"/>
      <c r="AG162" s="87"/>
      <c r="AH162" s="88"/>
    </row>
    <row r="163" spans="1:34" s="2" customFormat="1" x14ac:dyDescent="0.25">
      <c r="A163" s="7"/>
      <c r="B163" s="25"/>
      <c r="C163" s="91"/>
      <c r="D163" s="91"/>
      <c r="E163" s="78"/>
      <c r="F163" s="133"/>
      <c r="G163" s="38"/>
      <c r="H163" s="80"/>
      <c r="I163" s="81"/>
      <c r="J163" s="82"/>
      <c r="K163" s="83"/>
      <c r="L163" s="84"/>
      <c r="M163" s="79"/>
      <c r="N163" s="80"/>
      <c r="O163" s="81"/>
      <c r="P163" s="82"/>
      <c r="Q163" s="83"/>
      <c r="R163" s="84"/>
      <c r="S163" s="84"/>
      <c r="T163" s="84"/>
      <c r="U163" s="84"/>
      <c r="V163" s="84"/>
      <c r="W163" s="84"/>
      <c r="X163" s="84"/>
      <c r="Y163" s="84"/>
      <c r="Z163" s="84"/>
      <c r="AA163" s="84"/>
      <c r="AB163" s="84"/>
      <c r="AC163" s="84"/>
      <c r="AD163" s="84"/>
      <c r="AE163" s="85"/>
      <c r="AF163" s="86"/>
      <c r="AG163" s="87"/>
      <c r="AH163" s="88"/>
    </row>
    <row r="164" spans="1:34" s="2" customFormat="1" x14ac:dyDescent="0.25">
      <c r="A164" s="7"/>
      <c r="B164" s="25"/>
      <c r="C164" s="91"/>
      <c r="D164" s="91"/>
      <c r="E164" s="78"/>
      <c r="F164" s="133"/>
      <c r="G164" s="38"/>
      <c r="H164" s="80"/>
      <c r="I164" s="81"/>
      <c r="J164" s="82"/>
      <c r="K164" s="83"/>
      <c r="L164" s="84"/>
      <c r="M164" s="79"/>
      <c r="N164" s="80"/>
      <c r="O164" s="81"/>
      <c r="P164" s="82"/>
      <c r="Q164" s="83"/>
      <c r="R164" s="84"/>
      <c r="S164" s="84"/>
      <c r="T164" s="84"/>
      <c r="U164" s="84"/>
      <c r="V164" s="84"/>
      <c r="W164" s="84"/>
      <c r="X164" s="84"/>
      <c r="Y164" s="84"/>
      <c r="Z164" s="84"/>
      <c r="AA164" s="84"/>
      <c r="AB164" s="84"/>
      <c r="AC164" s="84"/>
      <c r="AD164" s="84"/>
      <c r="AE164" s="85"/>
      <c r="AF164" s="86"/>
      <c r="AG164" s="87"/>
      <c r="AH164" s="88"/>
    </row>
    <row r="165" spans="1:34" s="2" customFormat="1" x14ac:dyDescent="0.25">
      <c r="A165" s="7"/>
      <c r="B165" s="25"/>
      <c r="C165" s="91"/>
      <c r="D165" s="91"/>
      <c r="E165" s="78"/>
      <c r="F165" s="133"/>
      <c r="G165" s="38"/>
      <c r="H165" s="80"/>
      <c r="I165" s="81"/>
      <c r="J165" s="82"/>
      <c r="K165" s="83"/>
      <c r="L165" s="84"/>
      <c r="M165" s="79"/>
      <c r="N165" s="80"/>
      <c r="O165" s="81"/>
      <c r="P165" s="82"/>
      <c r="Q165" s="83"/>
      <c r="R165" s="84"/>
      <c r="S165" s="84"/>
      <c r="T165" s="84"/>
      <c r="U165" s="84"/>
      <c r="V165" s="84"/>
      <c r="W165" s="84"/>
      <c r="X165" s="84"/>
      <c r="Y165" s="84"/>
      <c r="Z165" s="84"/>
      <c r="AA165" s="84"/>
      <c r="AB165" s="84"/>
      <c r="AC165" s="84"/>
      <c r="AD165" s="84"/>
      <c r="AE165" s="85"/>
      <c r="AF165" s="86"/>
      <c r="AG165" s="87"/>
      <c r="AH165" s="88"/>
    </row>
    <row r="166" spans="1:34" s="2" customFormat="1" x14ac:dyDescent="0.25">
      <c r="A166" s="7"/>
      <c r="B166" s="25"/>
      <c r="C166" s="91"/>
      <c r="D166" s="91"/>
      <c r="E166" s="78"/>
      <c r="F166" s="133"/>
      <c r="G166" s="38"/>
      <c r="H166" s="80"/>
      <c r="I166" s="81"/>
      <c r="J166" s="82"/>
      <c r="K166" s="83"/>
      <c r="L166" s="84"/>
      <c r="M166" s="79"/>
      <c r="N166" s="80"/>
      <c r="O166" s="81"/>
      <c r="P166" s="82"/>
      <c r="Q166" s="83"/>
      <c r="R166" s="84"/>
      <c r="S166" s="84"/>
      <c r="T166" s="84"/>
      <c r="U166" s="84"/>
      <c r="V166" s="84"/>
      <c r="W166" s="84"/>
      <c r="X166" s="84"/>
      <c r="Y166" s="84"/>
      <c r="Z166" s="84"/>
      <c r="AA166" s="84"/>
      <c r="AB166" s="84"/>
      <c r="AC166" s="84"/>
      <c r="AD166" s="84"/>
      <c r="AE166" s="85"/>
      <c r="AF166" s="86"/>
      <c r="AG166" s="87"/>
      <c r="AH166" s="88"/>
    </row>
    <row r="167" spans="1:34" s="2" customFormat="1" x14ac:dyDescent="0.25">
      <c r="A167" s="7"/>
      <c r="B167" s="25"/>
      <c r="C167" s="91"/>
      <c r="D167" s="91"/>
      <c r="E167" s="78"/>
      <c r="F167" s="133"/>
      <c r="G167" s="38"/>
      <c r="H167" s="80"/>
      <c r="I167" s="81"/>
      <c r="J167" s="82"/>
      <c r="K167" s="83"/>
      <c r="L167" s="84"/>
      <c r="M167" s="79"/>
      <c r="N167" s="80"/>
      <c r="O167" s="81"/>
      <c r="P167" s="82"/>
      <c r="Q167" s="83"/>
      <c r="R167" s="84"/>
      <c r="S167" s="84"/>
      <c r="T167" s="84"/>
      <c r="U167" s="84"/>
      <c r="V167" s="84"/>
      <c r="W167" s="84"/>
      <c r="X167" s="84"/>
      <c r="Y167" s="84"/>
      <c r="Z167" s="84"/>
      <c r="AA167" s="84"/>
      <c r="AB167" s="84"/>
      <c r="AC167" s="84"/>
      <c r="AD167" s="84"/>
      <c r="AE167" s="85"/>
      <c r="AF167" s="86"/>
      <c r="AG167" s="87"/>
      <c r="AH167" s="88"/>
    </row>
    <row r="168" spans="1:34" s="2" customFormat="1" x14ac:dyDescent="0.25">
      <c r="A168" s="7"/>
      <c r="B168" s="25"/>
      <c r="C168" s="91"/>
      <c r="D168" s="91"/>
      <c r="E168" s="78"/>
      <c r="F168" s="133"/>
      <c r="G168" s="38"/>
      <c r="H168" s="80"/>
      <c r="I168" s="81"/>
      <c r="J168" s="82"/>
      <c r="K168" s="83"/>
      <c r="L168" s="84"/>
      <c r="M168" s="79"/>
      <c r="N168" s="80"/>
      <c r="O168" s="81"/>
      <c r="P168" s="82"/>
      <c r="Q168" s="83"/>
      <c r="R168" s="84"/>
      <c r="S168" s="84"/>
      <c r="T168" s="84"/>
      <c r="U168" s="84"/>
      <c r="V168" s="84"/>
      <c r="W168" s="84"/>
      <c r="X168" s="84"/>
      <c r="Y168" s="84"/>
      <c r="Z168" s="84"/>
      <c r="AA168" s="84"/>
      <c r="AB168" s="84"/>
      <c r="AC168" s="84"/>
      <c r="AD168" s="84"/>
      <c r="AE168" s="85"/>
      <c r="AF168" s="86"/>
      <c r="AG168" s="87"/>
      <c r="AH168" s="88"/>
    </row>
    <row r="169" spans="1:34" s="2" customFormat="1" x14ac:dyDescent="0.25">
      <c r="A169" s="7"/>
      <c r="B169" s="25"/>
      <c r="C169" s="91"/>
      <c r="D169" s="91"/>
      <c r="E169" s="78"/>
      <c r="F169" s="133"/>
      <c r="G169" s="38"/>
      <c r="H169" s="80"/>
      <c r="I169" s="81"/>
      <c r="J169" s="82"/>
      <c r="K169" s="83"/>
      <c r="L169" s="84"/>
      <c r="M169" s="79"/>
      <c r="N169" s="80"/>
      <c r="O169" s="81"/>
      <c r="P169" s="82"/>
      <c r="Q169" s="83"/>
      <c r="R169" s="84"/>
      <c r="S169" s="84"/>
      <c r="T169" s="84"/>
      <c r="U169" s="84"/>
      <c r="V169" s="84"/>
      <c r="W169" s="84"/>
      <c r="X169" s="84"/>
      <c r="Y169" s="84"/>
      <c r="Z169" s="84"/>
      <c r="AA169" s="84"/>
      <c r="AB169" s="84"/>
      <c r="AC169" s="84"/>
      <c r="AD169" s="84"/>
      <c r="AE169" s="85"/>
      <c r="AF169" s="86"/>
      <c r="AG169" s="87"/>
      <c r="AH169" s="88"/>
    </row>
    <row r="170" spans="1:34" x14ac:dyDescent="0.25">
      <c r="A170" s="7"/>
      <c r="B170" s="25"/>
      <c r="C170" s="91"/>
      <c r="D170" s="91"/>
      <c r="E170" s="78"/>
      <c r="F170" s="133"/>
      <c r="G170" s="38"/>
      <c r="H170" s="80"/>
      <c r="I170" s="81"/>
      <c r="J170" s="82"/>
      <c r="K170" s="83"/>
      <c r="L170" s="84"/>
      <c r="M170" s="79"/>
      <c r="N170" s="80"/>
      <c r="O170" s="81"/>
      <c r="P170" s="82"/>
      <c r="Q170" s="83"/>
      <c r="R170" s="84"/>
      <c r="S170" s="84"/>
      <c r="T170" s="84"/>
      <c r="U170" s="84"/>
      <c r="V170" s="84"/>
      <c r="W170" s="84"/>
      <c r="X170" s="84"/>
      <c r="Y170" s="84"/>
      <c r="Z170" s="84"/>
      <c r="AA170" s="84"/>
      <c r="AB170" s="84"/>
      <c r="AC170" s="84"/>
      <c r="AD170" s="84"/>
      <c r="AE170" s="85"/>
      <c r="AF170" s="86"/>
      <c r="AG170" s="87"/>
      <c r="AH170" s="88"/>
    </row>
    <row r="171" spans="1:34" x14ac:dyDescent="0.25">
      <c r="A171" s="7"/>
      <c r="B171" s="25"/>
      <c r="C171" s="91"/>
      <c r="D171" s="91"/>
      <c r="E171" s="78"/>
      <c r="F171" s="133"/>
      <c r="G171" s="38"/>
      <c r="H171" s="80"/>
      <c r="I171" s="81"/>
      <c r="J171" s="82"/>
      <c r="K171" s="83"/>
      <c r="L171" s="84"/>
      <c r="M171" s="79"/>
      <c r="N171" s="80"/>
      <c r="O171" s="81"/>
      <c r="P171" s="82"/>
      <c r="Q171" s="83"/>
      <c r="R171" s="84"/>
      <c r="S171" s="84"/>
      <c r="T171" s="84"/>
      <c r="U171" s="84"/>
      <c r="V171" s="84"/>
      <c r="W171" s="84"/>
      <c r="X171" s="84"/>
      <c r="Y171" s="84"/>
      <c r="Z171" s="84"/>
      <c r="AA171" s="84"/>
      <c r="AB171" s="84"/>
      <c r="AC171" s="84"/>
      <c r="AD171" s="84"/>
      <c r="AE171" s="85"/>
      <c r="AF171" s="86"/>
      <c r="AG171" s="87"/>
      <c r="AH171" s="88"/>
    </row>
    <row r="172" spans="1:34" x14ac:dyDescent="0.25">
      <c r="A172" s="7"/>
      <c r="B172" s="25"/>
      <c r="C172" s="91"/>
      <c r="D172" s="91"/>
      <c r="E172" s="78"/>
      <c r="F172" s="133"/>
      <c r="G172" s="38"/>
      <c r="H172" s="80"/>
      <c r="I172" s="81"/>
      <c r="J172" s="82"/>
      <c r="K172" s="83"/>
      <c r="L172" s="84"/>
      <c r="M172" s="79"/>
      <c r="N172" s="80"/>
      <c r="O172" s="81"/>
      <c r="P172" s="82"/>
      <c r="Q172" s="83"/>
      <c r="R172" s="84"/>
      <c r="S172" s="84"/>
      <c r="T172" s="84"/>
      <c r="U172" s="84"/>
      <c r="V172" s="84"/>
      <c r="W172" s="84"/>
      <c r="X172" s="84"/>
      <c r="Y172" s="84"/>
      <c r="Z172" s="84"/>
      <c r="AA172" s="84"/>
      <c r="AB172" s="84"/>
      <c r="AC172" s="84"/>
      <c r="AD172" s="84"/>
      <c r="AE172" s="85"/>
      <c r="AF172" s="86"/>
      <c r="AG172" s="87"/>
      <c r="AH172" s="88"/>
    </row>
    <row r="173" spans="1:34" x14ac:dyDescent="0.25">
      <c r="A173" s="7"/>
      <c r="B173" s="25"/>
      <c r="C173" s="91"/>
      <c r="D173" s="91"/>
      <c r="E173" s="78"/>
      <c r="F173" s="133"/>
      <c r="G173" s="38"/>
      <c r="H173" s="80"/>
      <c r="I173" s="81"/>
      <c r="J173" s="82"/>
      <c r="K173" s="83"/>
      <c r="L173" s="84"/>
      <c r="M173" s="79"/>
      <c r="N173" s="80"/>
      <c r="O173" s="81"/>
      <c r="P173" s="82"/>
      <c r="Q173" s="83"/>
      <c r="R173" s="84"/>
      <c r="S173" s="84"/>
      <c r="T173" s="84"/>
      <c r="U173" s="84"/>
      <c r="V173" s="84"/>
      <c r="W173" s="84"/>
      <c r="X173" s="84"/>
      <c r="Y173" s="84"/>
      <c r="Z173" s="84"/>
      <c r="AA173" s="84"/>
      <c r="AB173" s="84"/>
      <c r="AC173" s="84"/>
      <c r="AD173" s="84"/>
      <c r="AE173" s="85"/>
      <c r="AF173" s="86"/>
      <c r="AG173" s="87"/>
      <c r="AH173" s="88"/>
    </row>
    <row r="174" spans="1:34" x14ac:dyDescent="0.25">
      <c r="A174" s="7"/>
      <c r="B174" s="25"/>
      <c r="C174" s="91"/>
      <c r="D174" s="91"/>
      <c r="E174" s="78"/>
      <c r="F174" s="133"/>
      <c r="G174" s="38"/>
      <c r="H174" s="80"/>
      <c r="I174" s="81"/>
      <c r="J174" s="82"/>
      <c r="K174" s="83"/>
      <c r="L174" s="84"/>
      <c r="M174" s="79"/>
      <c r="N174" s="80"/>
      <c r="O174" s="81"/>
      <c r="P174" s="82"/>
      <c r="Q174" s="83"/>
      <c r="R174" s="84"/>
      <c r="S174" s="84"/>
      <c r="T174" s="84"/>
      <c r="U174" s="84"/>
      <c r="V174" s="84"/>
      <c r="W174" s="84"/>
      <c r="X174" s="84"/>
      <c r="Y174" s="84"/>
      <c r="Z174" s="84"/>
      <c r="AA174" s="84"/>
      <c r="AB174" s="84"/>
      <c r="AC174" s="84"/>
      <c r="AD174" s="84"/>
      <c r="AE174" s="85"/>
      <c r="AF174" s="86"/>
      <c r="AG174" s="87"/>
      <c r="AH174" s="88"/>
    </row>
    <row r="175" spans="1:34" x14ac:dyDescent="0.25">
      <c r="A175" s="7"/>
      <c r="B175" s="25"/>
      <c r="C175" s="91"/>
      <c r="D175" s="91"/>
      <c r="E175" s="78"/>
      <c r="F175" s="133"/>
      <c r="G175" s="38"/>
      <c r="H175" s="80"/>
      <c r="I175" s="81"/>
      <c r="J175" s="82"/>
      <c r="K175" s="83"/>
      <c r="L175" s="84"/>
      <c r="M175" s="79"/>
      <c r="N175" s="80"/>
      <c r="O175" s="81"/>
      <c r="P175" s="82"/>
      <c r="Q175" s="83"/>
      <c r="R175" s="84"/>
      <c r="S175" s="84"/>
      <c r="T175" s="84"/>
      <c r="U175" s="84"/>
      <c r="V175" s="84"/>
      <c r="W175" s="84"/>
      <c r="X175" s="84"/>
      <c r="Y175" s="84"/>
      <c r="Z175" s="84"/>
      <c r="AA175" s="84"/>
      <c r="AB175" s="84"/>
      <c r="AC175" s="84"/>
      <c r="AD175" s="84"/>
      <c r="AE175" s="85"/>
      <c r="AF175" s="86"/>
      <c r="AG175" s="87"/>
      <c r="AH175" s="88"/>
    </row>
    <row r="176" spans="1:34" x14ac:dyDescent="0.25">
      <c r="A176" s="7"/>
      <c r="B176" s="25"/>
      <c r="C176" s="91"/>
      <c r="D176" s="91"/>
      <c r="E176" s="78"/>
      <c r="F176" s="133"/>
      <c r="G176" s="38"/>
      <c r="H176" s="80"/>
      <c r="I176" s="81"/>
      <c r="J176" s="82"/>
      <c r="K176" s="83"/>
      <c r="L176" s="84"/>
      <c r="M176" s="79"/>
      <c r="N176" s="80"/>
      <c r="O176" s="81"/>
      <c r="P176" s="82"/>
      <c r="Q176" s="83"/>
      <c r="R176" s="84"/>
      <c r="S176" s="84"/>
      <c r="T176" s="84"/>
      <c r="U176" s="84"/>
      <c r="V176" s="84"/>
      <c r="W176" s="84"/>
      <c r="X176" s="84"/>
      <c r="Y176" s="84"/>
      <c r="Z176" s="84"/>
      <c r="AA176" s="84"/>
      <c r="AB176" s="84"/>
      <c r="AC176" s="84"/>
      <c r="AD176" s="84"/>
      <c r="AE176" s="85"/>
      <c r="AF176" s="86"/>
      <c r="AG176" s="87"/>
      <c r="AH176" s="88"/>
    </row>
    <row r="177" spans="1:34" x14ac:dyDescent="0.25">
      <c r="A177" s="7"/>
      <c r="B177" s="25"/>
      <c r="C177" s="91"/>
      <c r="D177" s="91"/>
      <c r="E177" s="78"/>
      <c r="F177" s="133"/>
      <c r="G177" s="38"/>
      <c r="H177" s="80"/>
      <c r="I177" s="81"/>
      <c r="J177" s="82"/>
      <c r="K177" s="83"/>
      <c r="L177" s="84"/>
      <c r="M177" s="79"/>
      <c r="N177" s="80"/>
      <c r="O177" s="81"/>
      <c r="P177" s="82"/>
      <c r="Q177" s="83"/>
      <c r="R177" s="84"/>
      <c r="S177" s="84"/>
      <c r="T177" s="84"/>
      <c r="U177" s="84"/>
      <c r="V177" s="84"/>
      <c r="W177" s="84"/>
      <c r="X177" s="84"/>
      <c r="Y177" s="84"/>
      <c r="Z177" s="84"/>
      <c r="AA177" s="84"/>
      <c r="AB177" s="84"/>
      <c r="AC177" s="84"/>
      <c r="AD177" s="84"/>
      <c r="AE177" s="85"/>
      <c r="AF177" s="86"/>
      <c r="AG177" s="87"/>
      <c r="AH177" s="88"/>
    </row>
    <row r="178" spans="1:34" x14ac:dyDescent="0.25">
      <c r="A178" s="7"/>
      <c r="B178" s="25"/>
      <c r="C178" s="91"/>
      <c r="D178" s="91"/>
      <c r="E178" s="78"/>
      <c r="F178" s="133"/>
      <c r="G178" s="38"/>
      <c r="H178" s="80"/>
      <c r="I178" s="81"/>
      <c r="J178" s="82"/>
      <c r="K178" s="83"/>
      <c r="L178" s="84"/>
      <c r="M178" s="79"/>
      <c r="N178" s="80"/>
      <c r="O178" s="81"/>
      <c r="P178" s="82"/>
      <c r="Q178" s="83"/>
      <c r="R178" s="84"/>
      <c r="S178" s="84"/>
      <c r="T178" s="84"/>
      <c r="U178" s="84"/>
      <c r="V178" s="84"/>
      <c r="W178" s="84"/>
      <c r="X178" s="84"/>
      <c r="Y178" s="84"/>
      <c r="Z178" s="84"/>
      <c r="AA178" s="84"/>
      <c r="AB178" s="84"/>
      <c r="AC178" s="84"/>
      <c r="AD178" s="84"/>
      <c r="AE178" s="85"/>
      <c r="AF178" s="86"/>
      <c r="AG178" s="87"/>
      <c r="AH178" s="88"/>
    </row>
    <row r="179" spans="1:34" x14ac:dyDescent="0.25">
      <c r="A179" s="7"/>
      <c r="B179" s="25"/>
      <c r="C179" s="91"/>
      <c r="D179" s="91"/>
      <c r="E179" s="78"/>
      <c r="F179" s="133"/>
      <c r="G179" s="38"/>
      <c r="H179" s="80"/>
      <c r="I179" s="81"/>
      <c r="J179" s="82"/>
      <c r="K179" s="83"/>
      <c r="L179" s="84"/>
      <c r="M179" s="79"/>
      <c r="N179" s="80"/>
      <c r="O179" s="81"/>
      <c r="P179" s="82"/>
      <c r="Q179" s="83"/>
      <c r="R179" s="84"/>
      <c r="S179" s="84"/>
      <c r="T179" s="84"/>
      <c r="U179" s="84"/>
      <c r="V179" s="84"/>
      <c r="W179" s="84"/>
      <c r="X179" s="84"/>
      <c r="Y179" s="84"/>
      <c r="Z179" s="84"/>
      <c r="AA179" s="84"/>
      <c r="AB179" s="84"/>
      <c r="AC179" s="84"/>
      <c r="AD179" s="84"/>
      <c r="AE179" s="85"/>
      <c r="AF179" s="86"/>
      <c r="AG179" s="87"/>
      <c r="AH179" s="88"/>
    </row>
    <row r="180" spans="1:34" x14ac:dyDescent="0.25">
      <c r="A180" s="7"/>
      <c r="B180" s="25"/>
      <c r="C180" s="91"/>
      <c r="D180" s="91"/>
      <c r="E180" s="78"/>
      <c r="F180" s="133"/>
      <c r="G180" s="38"/>
      <c r="H180" s="80"/>
      <c r="I180" s="81"/>
      <c r="J180" s="82"/>
      <c r="K180" s="83"/>
      <c r="L180" s="84"/>
      <c r="M180" s="79"/>
      <c r="N180" s="80"/>
      <c r="O180" s="81"/>
      <c r="P180" s="82"/>
      <c r="Q180" s="83"/>
      <c r="R180" s="84"/>
      <c r="S180" s="84"/>
      <c r="T180" s="84"/>
      <c r="U180" s="84"/>
      <c r="V180" s="84"/>
      <c r="W180" s="84"/>
      <c r="X180" s="84"/>
      <c r="Y180" s="84"/>
      <c r="Z180" s="84"/>
      <c r="AA180" s="84"/>
      <c r="AB180" s="84"/>
      <c r="AC180" s="84"/>
      <c r="AD180" s="84"/>
      <c r="AE180" s="85"/>
      <c r="AF180" s="86"/>
      <c r="AG180" s="87"/>
      <c r="AH180" s="88"/>
    </row>
    <row r="181" spans="1:34" x14ac:dyDescent="0.25">
      <c r="A181" s="7"/>
      <c r="B181" s="25"/>
      <c r="C181" s="91"/>
      <c r="D181" s="91"/>
      <c r="E181" s="78"/>
      <c r="F181" s="133"/>
      <c r="G181" s="38"/>
      <c r="H181" s="80"/>
      <c r="I181" s="81"/>
      <c r="J181" s="82"/>
      <c r="K181" s="83"/>
      <c r="L181" s="84"/>
      <c r="M181" s="79"/>
      <c r="N181" s="80"/>
      <c r="O181" s="81"/>
      <c r="P181" s="82"/>
      <c r="Q181" s="83"/>
      <c r="R181" s="84"/>
      <c r="S181" s="84"/>
      <c r="T181" s="84"/>
      <c r="U181" s="84"/>
      <c r="V181" s="84"/>
      <c r="W181" s="84"/>
      <c r="X181" s="84"/>
      <c r="Y181" s="84"/>
      <c r="Z181" s="84"/>
      <c r="AA181" s="84"/>
      <c r="AB181" s="84"/>
      <c r="AC181" s="84"/>
      <c r="AD181" s="84"/>
      <c r="AE181" s="85"/>
      <c r="AF181" s="86"/>
      <c r="AG181" s="87"/>
      <c r="AH181" s="88"/>
    </row>
    <row r="182" spans="1:34" x14ac:dyDescent="0.25">
      <c r="A182" s="7"/>
      <c r="B182" s="25"/>
      <c r="C182" s="91"/>
      <c r="D182" s="91"/>
      <c r="E182" s="78"/>
      <c r="F182" s="133"/>
      <c r="G182" s="38"/>
      <c r="H182" s="80"/>
      <c r="I182" s="81"/>
      <c r="J182" s="82"/>
      <c r="K182" s="83"/>
      <c r="L182" s="84"/>
      <c r="M182" s="79"/>
      <c r="N182" s="80"/>
      <c r="O182" s="81"/>
      <c r="P182" s="82"/>
      <c r="Q182" s="83"/>
      <c r="R182" s="84"/>
      <c r="S182" s="84"/>
      <c r="T182" s="84"/>
      <c r="U182" s="84"/>
      <c r="V182" s="84"/>
      <c r="W182" s="84"/>
      <c r="X182" s="84"/>
      <c r="Y182" s="84"/>
      <c r="Z182" s="84"/>
      <c r="AA182" s="84"/>
      <c r="AB182" s="84"/>
      <c r="AC182" s="84"/>
      <c r="AD182" s="84"/>
      <c r="AE182" s="85"/>
      <c r="AF182" s="86"/>
      <c r="AG182" s="87"/>
      <c r="AH182" s="88"/>
    </row>
    <row r="183" spans="1:34" x14ac:dyDescent="0.25">
      <c r="A183" s="7"/>
      <c r="B183" s="25"/>
      <c r="C183" s="91"/>
      <c r="D183" s="91"/>
      <c r="E183" s="78"/>
      <c r="F183" s="133"/>
      <c r="G183" s="38"/>
      <c r="H183" s="80"/>
      <c r="I183" s="81"/>
      <c r="J183" s="82"/>
      <c r="K183" s="83"/>
      <c r="L183" s="84"/>
      <c r="M183" s="79"/>
      <c r="N183" s="80"/>
      <c r="O183" s="81"/>
      <c r="P183" s="82"/>
      <c r="Q183" s="83"/>
      <c r="R183" s="84"/>
      <c r="S183" s="84"/>
      <c r="T183" s="84"/>
      <c r="U183" s="84"/>
      <c r="V183" s="84"/>
      <c r="W183" s="84"/>
      <c r="X183" s="84"/>
      <c r="Y183" s="84"/>
      <c r="Z183" s="84"/>
      <c r="AA183" s="84"/>
      <c r="AB183" s="84"/>
      <c r="AC183" s="84"/>
      <c r="AD183" s="84"/>
      <c r="AE183" s="85"/>
      <c r="AF183" s="86"/>
      <c r="AG183" s="87"/>
      <c r="AH183" s="88"/>
    </row>
    <row r="184" spans="1:34" x14ac:dyDescent="0.25">
      <c r="A184" s="7"/>
      <c r="B184" s="25"/>
      <c r="C184" s="91"/>
      <c r="D184" s="91"/>
      <c r="E184" s="78"/>
      <c r="F184" s="133"/>
      <c r="G184" s="38"/>
      <c r="H184" s="80"/>
      <c r="I184" s="81"/>
      <c r="J184" s="82"/>
      <c r="K184" s="83"/>
      <c r="L184" s="84"/>
      <c r="M184" s="79"/>
      <c r="N184" s="80"/>
      <c r="O184" s="81"/>
      <c r="P184" s="82"/>
      <c r="Q184" s="83"/>
      <c r="R184" s="84"/>
      <c r="S184" s="84"/>
      <c r="T184" s="84"/>
      <c r="U184" s="84"/>
      <c r="V184" s="84"/>
      <c r="W184" s="84"/>
      <c r="X184" s="84"/>
      <c r="Y184" s="84"/>
      <c r="Z184" s="84"/>
      <c r="AA184" s="84"/>
      <c r="AB184" s="84"/>
      <c r="AC184" s="84"/>
      <c r="AD184" s="84"/>
      <c r="AE184" s="85"/>
      <c r="AF184" s="86"/>
      <c r="AG184" s="87"/>
      <c r="AH184" s="88"/>
    </row>
    <row r="185" spans="1:34" x14ac:dyDescent="0.25">
      <c r="A185" s="7"/>
      <c r="B185" s="25"/>
      <c r="C185" s="91"/>
      <c r="D185" s="91"/>
      <c r="E185" s="78"/>
      <c r="F185" s="133"/>
      <c r="G185" s="38"/>
      <c r="H185" s="80"/>
      <c r="I185" s="81"/>
      <c r="J185" s="82"/>
      <c r="K185" s="83"/>
      <c r="L185" s="84"/>
      <c r="M185" s="79"/>
      <c r="N185" s="80"/>
      <c r="O185" s="81"/>
      <c r="P185" s="82"/>
      <c r="Q185" s="83"/>
      <c r="R185" s="84"/>
      <c r="S185" s="84"/>
      <c r="T185" s="84"/>
      <c r="U185" s="84"/>
      <c r="V185" s="84"/>
      <c r="W185" s="84"/>
      <c r="X185" s="84"/>
      <c r="Y185" s="84"/>
      <c r="Z185" s="84"/>
      <c r="AA185" s="84"/>
      <c r="AB185" s="84"/>
      <c r="AC185" s="84"/>
      <c r="AD185" s="84"/>
      <c r="AE185" s="85"/>
      <c r="AF185" s="86"/>
      <c r="AG185" s="87"/>
      <c r="AH185" s="88"/>
    </row>
    <row r="186" spans="1:34" x14ac:dyDescent="0.25">
      <c r="A186" s="7"/>
      <c r="B186" s="25"/>
      <c r="C186" s="91"/>
      <c r="D186" s="91"/>
      <c r="E186" s="78"/>
      <c r="F186" s="133"/>
      <c r="G186" s="38"/>
      <c r="H186" s="80"/>
      <c r="I186" s="81"/>
      <c r="J186" s="82"/>
      <c r="K186" s="83"/>
      <c r="L186" s="84"/>
      <c r="M186" s="79"/>
      <c r="N186" s="80"/>
      <c r="O186" s="81"/>
      <c r="P186" s="82"/>
      <c r="Q186" s="83"/>
      <c r="R186" s="84"/>
      <c r="S186" s="84"/>
      <c r="T186" s="84"/>
      <c r="U186" s="84"/>
      <c r="V186" s="84"/>
      <c r="W186" s="84"/>
      <c r="X186" s="84"/>
      <c r="Y186" s="84"/>
      <c r="Z186" s="84"/>
      <c r="AA186" s="84"/>
      <c r="AB186" s="84"/>
      <c r="AC186" s="84"/>
      <c r="AD186" s="84"/>
      <c r="AE186" s="85"/>
      <c r="AF186" s="86"/>
      <c r="AG186" s="87"/>
      <c r="AH186" s="88"/>
    </row>
    <row r="187" spans="1:34" x14ac:dyDescent="0.25">
      <c r="A187" s="7"/>
      <c r="B187" s="25"/>
      <c r="C187" s="91"/>
      <c r="D187" s="91"/>
      <c r="E187" s="78"/>
      <c r="F187" s="133"/>
      <c r="G187" s="38"/>
      <c r="H187" s="80"/>
      <c r="I187" s="81"/>
      <c r="J187" s="82"/>
      <c r="K187" s="83"/>
      <c r="L187" s="84"/>
      <c r="M187" s="79"/>
      <c r="N187" s="80"/>
      <c r="O187" s="81"/>
      <c r="P187" s="82"/>
      <c r="Q187" s="83"/>
      <c r="R187" s="84"/>
      <c r="S187" s="84"/>
      <c r="T187" s="84"/>
      <c r="U187" s="84"/>
      <c r="V187" s="84"/>
      <c r="W187" s="84"/>
      <c r="X187" s="84"/>
      <c r="Y187" s="84"/>
      <c r="Z187" s="84"/>
      <c r="AA187" s="84"/>
      <c r="AB187" s="84"/>
      <c r="AC187" s="84"/>
      <c r="AD187" s="84"/>
      <c r="AE187" s="85"/>
      <c r="AF187" s="86"/>
      <c r="AG187" s="87"/>
      <c r="AH187" s="88"/>
    </row>
    <row r="188" spans="1:34" x14ac:dyDescent="0.25">
      <c r="A188" s="7"/>
      <c r="B188" s="25"/>
      <c r="C188" s="91"/>
      <c r="D188" s="91"/>
      <c r="E188" s="78"/>
      <c r="F188" s="133"/>
      <c r="G188" s="38"/>
      <c r="H188" s="80"/>
      <c r="I188" s="81"/>
      <c r="J188" s="82"/>
      <c r="K188" s="83"/>
      <c r="L188" s="84"/>
      <c r="M188" s="79"/>
      <c r="N188" s="80"/>
      <c r="O188" s="81"/>
      <c r="P188" s="82"/>
      <c r="Q188" s="83"/>
      <c r="R188" s="84"/>
      <c r="S188" s="84"/>
      <c r="T188" s="84"/>
      <c r="U188" s="84"/>
      <c r="V188" s="84"/>
      <c r="W188" s="84"/>
      <c r="X188" s="84"/>
      <c r="Y188" s="84"/>
      <c r="Z188" s="84"/>
      <c r="AA188" s="84"/>
      <c r="AB188" s="84"/>
      <c r="AC188" s="84"/>
      <c r="AD188" s="84"/>
      <c r="AE188" s="85"/>
      <c r="AF188" s="86"/>
      <c r="AG188" s="87"/>
      <c r="AH188" s="88"/>
    </row>
    <row r="189" spans="1:34" x14ac:dyDescent="0.25">
      <c r="A189" s="7"/>
      <c r="B189" s="25"/>
      <c r="C189" s="91"/>
      <c r="D189" s="91"/>
      <c r="E189" s="78"/>
      <c r="F189" s="133"/>
      <c r="G189" s="38"/>
      <c r="H189" s="80"/>
      <c r="I189" s="81"/>
      <c r="J189" s="82"/>
      <c r="K189" s="83"/>
      <c r="L189" s="84"/>
      <c r="M189" s="79"/>
      <c r="N189" s="80"/>
      <c r="O189" s="81"/>
      <c r="P189" s="82"/>
      <c r="Q189" s="83"/>
      <c r="R189" s="84"/>
      <c r="S189" s="84"/>
      <c r="T189" s="84"/>
      <c r="U189" s="84"/>
      <c r="V189" s="84"/>
      <c r="W189" s="84"/>
      <c r="X189" s="84"/>
      <c r="Y189" s="84"/>
      <c r="Z189" s="84"/>
      <c r="AA189" s="84"/>
      <c r="AB189" s="84"/>
      <c r="AC189" s="84"/>
      <c r="AD189" s="84"/>
      <c r="AE189" s="85"/>
      <c r="AF189" s="86"/>
      <c r="AG189" s="87"/>
      <c r="AH189" s="88"/>
    </row>
    <row r="190" spans="1:34" x14ac:dyDescent="0.25">
      <c r="A190" s="7"/>
      <c r="B190" s="25"/>
      <c r="C190" s="91"/>
      <c r="D190" s="91"/>
      <c r="E190" s="78"/>
      <c r="F190" s="133"/>
      <c r="G190" s="38"/>
      <c r="H190" s="80"/>
      <c r="I190" s="81"/>
      <c r="J190" s="82"/>
      <c r="K190" s="83"/>
      <c r="L190" s="84"/>
      <c r="M190" s="79"/>
      <c r="N190" s="80"/>
      <c r="O190" s="81"/>
      <c r="P190" s="82"/>
      <c r="Q190" s="83"/>
      <c r="R190" s="84"/>
      <c r="S190" s="84"/>
      <c r="T190" s="84"/>
      <c r="U190" s="84"/>
      <c r="V190" s="84"/>
      <c r="W190" s="84"/>
      <c r="X190" s="84"/>
      <c r="Y190" s="84"/>
      <c r="Z190" s="84"/>
      <c r="AA190" s="84"/>
      <c r="AB190" s="84"/>
      <c r="AC190" s="84"/>
      <c r="AD190" s="84"/>
      <c r="AE190" s="85"/>
      <c r="AF190" s="86"/>
      <c r="AG190" s="87"/>
      <c r="AH190" s="88"/>
    </row>
    <row r="191" spans="1:34" x14ac:dyDescent="0.25">
      <c r="A191" s="7"/>
      <c r="B191" s="25"/>
      <c r="C191" s="91"/>
      <c r="D191" s="91"/>
      <c r="E191" s="78"/>
      <c r="F191" s="133"/>
      <c r="G191" s="38"/>
      <c r="H191" s="80"/>
      <c r="I191" s="81"/>
      <c r="J191" s="82"/>
      <c r="K191" s="83"/>
      <c r="L191" s="84"/>
      <c r="M191" s="79"/>
      <c r="N191" s="80"/>
      <c r="O191" s="81"/>
      <c r="P191" s="82"/>
      <c r="Q191" s="83"/>
      <c r="R191" s="84"/>
      <c r="S191" s="84"/>
      <c r="T191" s="84"/>
      <c r="U191" s="84"/>
      <c r="V191" s="84"/>
      <c r="W191" s="84"/>
      <c r="X191" s="84"/>
      <c r="Y191" s="84"/>
      <c r="Z191" s="84"/>
      <c r="AA191" s="84"/>
      <c r="AB191" s="84"/>
      <c r="AC191" s="84"/>
      <c r="AD191" s="84"/>
      <c r="AE191" s="85"/>
      <c r="AF191" s="86"/>
      <c r="AG191" s="87"/>
      <c r="AH191" s="88"/>
    </row>
    <row r="192" spans="1:34" x14ac:dyDescent="0.25">
      <c r="A192" s="7"/>
      <c r="B192" s="25"/>
      <c r="C192" s="91"/>
      <c r="D192" s="91"/>
      <c r="E192" s="78"/>
      <c r="F192" s="133"/>
      <c r="G192" s="38"/>
      <c r="H192" s="80"/>
      <c r="I192" s="81"/>
      <c r="J192" s="82"/>
      <c r="K192" s="83"/>
      <c r="L192" s="84"/>
      <c r="M192" s="79"/>
      <c r="N192" s="80"/>
      <c r="O192" s="81"/>
      <c r="P192" s="82"/>
      <c r="Q192" s="83"/>
      <c r="R192" s="84"/>
      <c r="S192" s="84"/>
      <c r="T192" s="84"/>
      <c r="U192" s="84"/>
      <c r="V192" s="84"/>
      <c r="W192" s="84"/>
      <c r="X192" s="84"/>
      <c r="Y192" s="84"/>
      <c r="Z192" s="84"/>
      <c r="AA192" s="84"/>
      <c r="AB192" s="84"/>
      <c r="AC192" s="84"/>
      <c r="AD192" s="84"/>
      <c r="AE192" s="85"/>
      <c r="AF192" s="86"/>
      <c r="AG192" s="87"/>
      <c r="AH192" s="88"/>
    </row>
    <row r="193" spans="1:34" x14ac:dyDescent="0.25">
      <c r="A193" s="7"/>
      <c r="B193" s="25"/>
      <c r="C193" s="91"/>
      <c r="D193" s="91"/>
      <c r="E193" s="78"/>
      <c r="F193" s="133"/>
      <c r="G193" s="38"/>
      <c r="H193" s="80"/>
      <c r="I193" s="81"/>
      <c r="J193" s="82"/>
      <c r="K193" s="83"/>
      <c r="L193" s="84"/>
      <c r="M193" s="79"/>
      <c r="N193" s="80"/>
      <c r="O193" s="81"/>
      <c r="P193" s="82"/>
      <c r="Q193" s="83"/>
      <c r="R193" s="84"/>
      <c r="S193" s="84"/>
      <c r="T193" s="84"/>
      <c r="U193" s="84"/>
      <c r="V193" s="84"/>
      <c r="W193" s="84"/>
      <c r="X193" s="84"/>
      <c r="Y193" s="84"/>
      <c r="Z193" s="84"/>
      <c r="AA193" s="84"/>
      <c r="AB193" s="84"/>
      <c r="AC193" s="84"/>
      <c r="AD193" s="84"/>
      <c r="AE193" s="85"/>
      <c r="AF193" s="86"/>
      <c r="AG193" s="87"/>
      <c r="AH193" s="88"/>
    </row>
    <row r="194" spans="1:34" x14ac:dyDescent="0.25">
      <c r="A194" s="7"/>
      <c r="B194" s="25"/>
      <c r="C194" s="91"/>
      <c r="D194" s="91"/>
      <c r="E194" s="78"/>
      <c r="F194" s="133"/>
      <c r="G194" s="38"/>
      <c r="H194" s="80"/>
      <c r="I194" s="81"/>
      <c r="J194" s="82"/>
      <c r="K194" s="83"/>
      <c r="L194" s="84"/>
      <c r="M194" s="79"/>
      <c r="N194" s="80"/>
      <c r="O194" s="81"/>
      <c r="P194" s="82"/>
      <c r="Q194" s="83"/>
      <c r="R194" s="84"/>
      <c r="S194" s="84"/>
      <c r="T194" s="84"/>
      <c r="U194" s="84"/>
      <c r="V194" s="84"/>
      <c r="W194" s="84"/>
      <c r="X194" s="84"/>
      <c r="Y194" s="84"/>
      <c r="Z194" s="84"/>
      <c r="AA194" s="84"/>
      <c r="AB194" s="84"/>
      <c r="AC194" s="84"/>
      <c r="AD194" s="84"/>
      <c r="AE194" s="85"/>
      <c r="AF194" s="86"/>
      <c r="AG194" s="87"/>
      <c r="AH194" s="88"/>
    </row>
    <row r="195" spans="1:34" x14ac:dyDescent="0.25">
      <c r="A195" s="7"/>
      <c r="B195" s="25"/>
      <c r="C195" s="91"/>
      <c r="D195" s="91"/>
      <c r="E195" s="78"/>
      <c r="F195" s="133"/>
      <c r="G195" s="38"/>
      <c r="H195" s="80"/>
      <c r="I195" s="81"/>
      <c r="J195" s="82"/>
      <c r="K195" s="83"/>
      <c r="L195" s="84"/>
      <c r="M195" s="79"/>
      <c r="N195" s="80"/>
      <c r="O195" s="81"/>
      <c r="P195" s="82"/>
      <c r="Q195" s="83"/>
      <c r="R195" s="84"/>
      <c r="S195" s="84"/>
      <c r="T195" s="84"/>
      <c r="U195" s="84"/>
      <c r="V195" s="84"/>
      <c r="W195" s="84"/>
      <c r="X195" s="84"/>
      <c r="Y195" s="84"/>
      <c r="Z195" s="84"/>
      <c r="AA195" s="84"/>
      <c r="AB195" s="84"/>
      <c r="AC195" s="84"/>
      <c r="AD195" s="84"/>
      <c r="AE195" s="85"/>
      <c r="AF195" s="86"/>
      <c r="AG195" s="87"/>
      <c r="AH195" s="88"/>
    </row>
    <row r="196" spans="1:34" x14ac:dyDescent="0.25">
      <c r="A196" s="7"/>
      <c r="B196" s="25"/>
      <c r="C196" s="91"/>
      <c r="D196" s="91"/>
      <c r="E196" s="78"/>
      <c r="F196" s="133"/>
      <c r="G196" s="38"/>
      <c r="H196" s="80"/>
      <c r="I196" s="81"/>
      <c r="J196" s="82"/>
      <c r="K196" s="83"/>
      <c r="L196" s="84"/>
      <c r="M196" s="79"/>
      <c r="N196" s="80"/>
      <c r="O196" s="81"/>
      <c r="P196" s="82"/>
      <c r="Q196" s="83"/>
      <c r="R196" s="84"/>
      <c r="S196" s="84"/>
      <c r="T196" s="84"/>
      <c r="U196" s="84"/>
      <c r="V196" s="84"/>
      <c r="W196" s="84"/>
      <c r="X196" s="84"/>
      <c r="Y196" s="84"/>
      <c r="Z196" s="84"/>
      <c r="AA196" s="84"/>
      <c r="AB196" s="84"/>
      <c r="AC196" s="84"/>
      <c r="AD196" s="84"/>
      <c r="AE196" s="85"/>
      <c r="AF196" s="86"/>
      <c r="AG196" s="87"/>
      <c r="AH196" s="88"/>
    </row>
    <row r="197" spans="1:34" x14ac:dyDescent="0.25">
      <c r="A197" s="7"/>
      <c r="B197" s="25"/>
      <c r="C197" s="91"/>
      <c r="D197" s="91"/>
      <c r="E197" s="78"/>
      <c r="F197" s="133"/>
      <c r="G197" s="38"/>
      <c r="H197" s="80"/>
      <c r="I197" s="81"/>
      <c r="J197" s="82"/>
      <c r="K197" s="83"/>
      <c r="L197" s="84"/>
      <c r="M197" s="79"/>
      <c r="N197" s="80"/>
      <c r="O197" s="81"/>
      <c r="P197" s="82"/>
      <c r="Q197" s="83"/>
      <c r="R197" s="84"/>
      <c r="S197" s="84"/>
      <c r="T197" s="84"/>
      <c r="U197" s="84"/>
      <c r="V197" s="84"/>
      <c r="W197" s="84"/>
      <c r="X197" s="84"/>
      <c r="Y197" s="84"/>
      <c r="Z197" s="84"/>
      <c r="AA197" s="84"/>
      <c r="AB197" s="84"/>
      <c r="AC197" s="84"/>
      <c r="AD197" s="84"/>
      <c r="AE197" s="85"/>
      <c r="AF197" s="86"/>
      <c r="AG197" s="87"/>
      <c r="AH197" s="88"/>
    </row>
    <row r="198" spans="1:34" x14ac:dyDescent="0.25">
      <c r="A198" s="7"/>
      <c r="B198" s="25"/>
      <c r="C198" s="91"/>
      <c r="D198" s="91"/>
      <c r="E198" s="78"/>
      <c r="F198" s="133"/>
      <c r="G198" s="38"/>
      <c r="H198" s="80"/>
      <c r="I198" s="81"/>
      <c r="J198" s="82"/>
      <c r="K198" s="83"/>
      <c r="L198" s="84"/>
      <c r="M198" s="79"/>
      <c r="N198" s="80"/>
      <c r="O198" s="81"/>
      <c r="P198" s="82"/>
      <c r="Q198" s="83"/>
      <c r="R198" s="84"/>
      <c r="S198" s="84"/>
      <c r="T198" s="84"/>
      <c r="U198" s="84"/>
      <c r="V198" s="84"/>
      <c r="W198" s="84"/>
      <c r="X198" s="84"/>
      <c r="Y198" s="84"/>
      <c r="Z198" s="84"/>
      <c r="AA198" s="84"/>
      <c r="AB198" s="84"/>
      <c r="AC198" s="84"/>
      <c r="AD198" s="84"/>
      <c r="AE198" s="85"/>
      <c r="AF198" s="86"/>
      <c r="AG198" s="87"/>
      <c r="AH198" s="88"/>
    </row>
    <row r="199" spans="1:34" x14ac:dyDescent="0.25">
      <c r="A199" s="7"/>
      <c r="B199" s="25"/>
      <c r="C199" s="91"/>
      <c r="D199" s="91"/>
      <c r="E199" s="78"/>
      <c r="F199" s="133"/>
      <c r="G199" s="38"/>
      <c r="H199" s="80"/>
      <c r="I199" s="81"/>
      <c r="J199" s="82"/>
      <c r="K199" s="83"/>
      <c r="L199" s="84"/>
      <c r="M199" s="79"/>
      <c r="N199" s="80"/>
      <c r="O199" s="81"/>
      <c r="P199" s="82"/>
      <c r="Q199" s="83"/>
      <c r="R199" s="84"/>
      <c r="S199" s="84"/>
      <c r="T199" s="84"/>
      <c r="U199" s="84"/>
      <c r="V199" s="84"/>
      <c r="W199" s="84"/>
      <c r="X199" s="84"/>
      <c r="Y199" s="84"/>
      <c r="Z199" s="84"/>
      <c r="AA199" s="84"/>
      <c r="AB199" s="84"/>
      <c r="AC199" s="84"/>
      <c r="AD199" s="84"/>
      <c r="AE199" s="85"/>
      <c r="AF199" s="86"/>
      <c r="AG199" s="87"/>
      <c r="AH199" s="88"/>
    </row>
    <row r="200" spans="1:34" x14ac:dyDescent="0.25">
      <c r="A200" s="7"/>
      <c r="B200" s="25"/>
      <c r="C200" s="91"/>
      <c r="D200" s="91"/>
      <c r="E200" s="78"/>
      <c r="F200" s="133"/>
      <c r="G200" s="38"/>
      <c r="H200" s="80"/>
      <c r="I200" s="81"/>
      <c r="J200" s="82"/>
      <c r="K200" s="83"/>
      <c r="L200" s="84"/>
      <c r="M200" s="79"/>
      <c r="N200" s="80"/>
      <c r="O200" s="81"/>
      <c r="P200" s="82"/>
      <c r="Q200" s="83"/>
      <c r="R200" s="84"/>
      <c r="S200" s="84"/>
      <c r="T200" s="84"/>
      <c r="U200" s="84"/>
      <c r="V200" s="84"/>
      <c r="W200" s="84"/>
      <c r="X200" s="84"/>
      <c r="Y200" s="84"/>
      <c r="Z200" s="84"/>
      <c r="AA200" s="84"/>
      <c r="AB200" s="84"/>
      <c r="AC200" s="84"/>
      <c r="AD200" s="84"/>
      <c r="AE200" s="85"/>
      <c r="AF200" s="86"/>
      <c r="AG200" s="87"/>
      <c r="AH200" s="88"/>
    </row>
    <row r="201" spans="1:34" x14ac:dyDescent="0.25">
      <c r="A201" s="7"/>
      <c r="B201" s="25"/>
      <c r="C201" s="91"/>
      <c r="D201" s="91"/>
      <c r="E201" s="78"/>
      <c r="F201" s="133"/>
      <c r="G201" s="38"/>
      <c r="H201" s="80"/>
      <c r="I201" s="81"/>
      <c r="J201" s="82"/>
      <c r="K201" s="83"/>
      <c r="L201" s="84"/>
      <c r="M201" s="79"/>
      <c r="N201" s="80"/>
      <c r="O201" s="81"/>
      <c r="P201" s="82"/>
      <c r="Q201" s="83"/>
      <c r="R201" s="84"/>
      <c r="S201" s="84"/>
      <c r="T201" s="84"/>
      <c r="U201" s="84"/>
      <c r="V201" s="84"/>
      <c r="W201" s="84"/>
      <c r="X201" s="84"/>
      <c r="Y201" s="84"/>
      <c r="Z201" s="84"/>
      <c r="AA201" s="84"/>
      <c r="AB201" s="84"/>
      <c r="AC201" s="84"/>
      <c r="AD201" s="84"/>
      <c r="AE201" s="85"/>
      <c r="AF201" s="86"/>
      <c r="AG201" s="87"/>
      <c r="AH201" s="88"/>
    </row>
    <row r="202" spans="1:34" x14ac:dyDescent="0.25">
      <c r="A202" s="7"/>
      <c r="B202" s="25"/>
      <c r="C202" s="91"/>
      <c r="D202" s="91"/>
      <c r="E202" s="78"/>
      <c r="F202" s="133"/>
      <c r="G202" s="38"/>
      <c r="H202" s="80"/>
      <c r="I202" s="81"/>
      <c r="J202" s="82"/>
      <c r="K202" s="83"/>
      <c r="L202" s="84"/>
      <c r="M202" s="79"/>
      <c r="N202" s="80"/>
      <c r="O202" s="81"/>
      <c r="P202" s="82"/>
      <c r="Q202" s="83"/>
      <c r="R202" s="84"/>
      <c r="S202" s="84"/>
      <c r="T202" s="84"/>
      <c r="U202" s="84"/>
      <c r="V202" s="84"/>
      <c r="W202" s="84"/>
      <c r="X202" s="84"/>
      <c r="Y202" s="84"/>
      <c r="Z202" s="84"/>
      <c r="AA202" s="84"/>
      <c r="AB202" s="84"/>
      <c r="AC202" s="84"/>
      <c r="AD202" s="84"/>
      <c r="AE202" s="85"/>
      <c r="AF202" s="86"/>
      <c r="AG202" s="87"/>
      <c r="AH202" s="88"/>
    </row>
    <row r="203" spans="1:34" x14ac:dyDescent="0.25">
      <c r="A203" s="7"/>
      <c r="B203" s="25"/>
      <c r="C203" s="91"/>
      <c r="D203" s="91"/>
      <c r="E203" s="78"/>
      <c r="F203" s="133"/>
      <c r="G203" s="38"/>
      <c r="H203" s="80"/>
      <c r="I203" s="81"/>
      <c r="J203" s="82"/>
      <c r="K203" s="83"/>
      <c r="L203" s="84"/>
      <c r="M203" s="79"/>
      <c r="N203" s="80"/>
      <c r="O203" s="81"/>
      <c r="P203" s="82"/>
      <c r="Q203" s="83"/>
      <c r="R203" s="84"/>
      <c r="S203" s="84"/>
      <c r="T203" s="84"/>
      <c r="U203" s="84"/>
      <c r="V203" s="84"/>
      <c r="W203" s="84"/>
      <c r="X203" s="84"/>
      <c r="Y203" s="84"/>
      <c r="Z203" s="84"/>
      <c r="AA203" s="84"/>
      <c r="AB203" s="84"/>
      <c r="AC203" s="84"/>
      <c r="AD203" s="84"/>
      <c r="AE203" s="85"/>
      <c r="AF203" s="86"/>
      <c r="AG203" s="87"/>
      <c r="AH203" s="88"/>
    </row>
    <row r="204" spans="1:34" x14ac:dyDescent="0.25">
      <c r="A204" s="7"/>
      <c r="B204" s="25"/>
      <c r="C204" s="91"/>
      <c r="D204" s="91"/>
      <c r="E204" s="78"/>
      <c r="F204" s="133"/>
      <c r="G204" s="38"/>
      <c r="H204" s="80"/>
      <c r="I204" s="81"/>
      <c r="J204" s="82"/>
      <c r="K204" s="83"/>
      <c r="L204" s="84"/>
      <c r="M204" s="79"/>
      <c r="N204" s="80"/>
      <c r="O204" s="81"/>
      <c r="P204" s="82"/>
      <c r="Q204" s="83"/>
      <c r="R204" s="84"/>
      <c r="S204" s="84"/>
      <c r="T204" s="84"/>
      <c r="U204" s="84"/>
      <c r="V204" s="84"/>
      <c r="W204" s="84"/>
      <c r="X204" s="84"/>
      <c r="Y204" s="84"/>
      <c r="Z204" s="84"/>
      <c r="AA204" s="84"/>
      <c r="AB204" s="84"/>
      <c r="AC204" s="84"/>
      <c r="AD204" s="84"/>
      <c r="AE204" s="85"/>
      <c r="AF204" s="86"/>
      <c r="AG204" s="87"/>
      <c r="AH204" s="88"/>
    </row>
    <row r="205" spans="1:34" x14ac:dyDescent="0.25">
      <c r="A205" s="7"/>
      <c r="B205" s="25"/>
      <c r="C205" s="91"/>
      <c r="D205" s="91"/>
      <c r="E205" s="78"/>
      <c r="F205" s="133"/>
      <c r="G205" s="38"/>
      <c r="H205" s="80"/>
      <c r="I205" s="81"/>
      <c r="J205" s="82"/>
      <c r="K205" s="83"/>
      <c r="L205" s="84"/>
      <c r="M205" s="79"/>
      <c r="N205" s="80"/>
      <c r="O205" s="81"/>
      <c r="P205" s="82"/>
      <c r="Q205" s="83"/>
      <c r="R205" s="84"/>
      <c r="S205" s="84"/>
      <c r="T205" s="84"/>
      <c r="U205" s="84"/>
      <c r="V205" s="84"/>
      <c r="W205" s="84"/>
      <c r="X205" s="84"/>
      <c r="Y205" s="84"/>
      <c r="Z205" s="84"/>
      <c r="AA205" s="84"/>
      <c r="AB205" s="84"/>
      <c r="AC205" s="84"/>
      <c r="AD205" s="84"/>
      <c r="AE205" s="85"/>
      <c r="AF205" s="86"/>
      <c r="AG205" s="87"/>
      <c r="AH205" s="88"/>
    </row>
    <row r="206" spans="1:34" x14ac:dyDescent="0.25">
      <c r="A206" s="7"/>
      <c r="B206" s="25"/>
      <c r="C206" s="91"/>
      <c r="D206" s="91"/>
      <c r="E206" s="78"/>
      <c r="F206" s="133"/>
      <c r="G206" s="38"/>
      <c r="H206" s="80"/>
      <c r="I206" s="81"/>
      <c r="J206" s="82"/>
      <c r="K206" s="83"/>
      <c r="L206" s="84"/>
      <c r="M206" s="79"/>
      <c r="N206" s="80"/>
      <c r="O206" s="81"/>
      <c r="P206" s="82"/>
      <c r="Q206" s="83"/>
      <c r="R206" s="84"/>
      <c r="S206" s="84"/>
      <c r="T206" s="84"/>
      <c r="U206" s="84"/>
      <c r="V206" s="84"/>
      <c r="W206" s="84"/>
      <c r="X206" s="84"/>
      <c r="Y206" s="84"/>
      <c r="Z206" s="84"/>
      <c r="AA206" s="84"/>
      <c r="AB206" s="84"/>
      <c r="AC206" s="84"/>
      <c r="AD206" s="84"/>
      <c r="AE206" s="85"/>
      <c r="AF206" s="86"/>
      <c r="AG206" s="87"/>
      <c r="AH206" s="88"/>
    </row>
    <row r="207" spans="1:34" x14ac:dyDescent="0.25">
      <c r="A207" s="7"/>
      <c r="B207" s="25"/>
      <c r="C207" s="91"/>
      <c r="D207" s="91"/>
      <c r="E207" s="78"/>
      <c r="F207" s="133"/>
      <c r="G207" s="38"/>
      <c r="H207" s="80"/>
      <c r="I207" s="81"/>
      <c r="J207" s="82"/>
      <c r="K207" s="83"/>
      <c r="L207" s="84"/>
      <c r="M207" s="79"/>
      <c r="N207" s="80"/>
      <c r="O207" s="81"/>
      <c r="P207" s="82"/>
      <c r="Q207" s="83"/>
      <c r="R207" s="84"/>
      <c r="S207" s="84"/>
      <c r="T207" s="84"/>
      <c r="U207" s="84"/>
      <c r="V207" s="84"/>
      <c r="W207" s="84"/>
      <c r="X207" s="84"/>
      <c r="Y207" s="84"/>
      <c r="Z207" s="84"/>
      <c r="AA207" s="84"/>
      <c r="AB207" s="84"/>
      <c r="AC207" s="84"/>
      <c r="AD207" s="84"/>
      <c r="AE207" s="85"/>
      <c r="AF207" s="86"/>
      <c r="AG207" s="87"/>
      <c r="AH207" s="88"/>
    </row>
    <row r="208" spans="1:34" x14ac:dyDescent="0.25">
      <c r="A208" s="7"/>
      <c r="B208" s="25"/>
      <c r="C208" s="91"/>
      <c r="D208" s="91"/>
      <c r="E208" s="78"/>
      <c r="F208" s="133"/>
      <c r="G208" s="38"/>
      <c r="H208" s="80"/>
      <c r="I208" s="81"/>
      <c r="J208" s="82"/>
      <c r="K208" s="83"/>
      <c r="L208" s="84"/>
      <c r="M208" s="79"/>
      <c r="N208" s="80"/>
      <c r="O208" s="81"/>
      <c r="P208" s="82"/>
      <c r="Q208" s="83"/>
      <c r="R208" s="84"/>
      <c r="S208" s="84"/>
      <c r="T208" s="84"/>
      <c r="U208" s="84"/>
      <c r="V208" s="84"/>
      <c r="W208" s="84"/>
      <c r="X208" s="84"/>
      <c r="Y208" s="84"/>
      <c r="Z208" s="84"/>
      <c r="AA208" s="84"/>
      <c r="AB208" s="84"/>
      <c r="AC208" s="84"/>
      <c r="AD208" s="84"/>
      <c r="AE208" s="85"/>
      <c r="AF208" s="86"/>
      <c r="AG208" s="87"/>
      <c r="AH208" s="88"/>
    </row>
    <row r="209" spans="1:34" x14ac:dyDescent="0.25">
      <c r="A209" s="7"/>
      <c r="B209" s="25"/>
      <c r="C209" s="91"/>
      <c r="D209" s="91"/>
      <c r="E209" s="78"/>
      <c r="F209" s="133"/>
      <c r="G209" s="38"/>
      <c r="H209" s="80"/>
      <c r="I209" s="81"/>
      <c r="J209" s="82"/>
      <c r="K209" s="83"/>
      <c r="L209" s="84"/>
      <c r="M209" s="79"/>
      <c r="N209" s="80"/>
      <c r="O209" s="81"/>
      <c r="P209" s="82"/>
      <c r="Q209" s="83"/>
      <c r="R209" s="84"/>
      <c r="S209" s="84"/>
      <c r="T209" s="84"/>
      <c r="U209" s="84"/>
      <c r="V209" s="84"/>
      <c r="W209" s="84"/>
      <c r="X209" s="84"/>
      <c r="Y209" s="84"/>
      <c r="Z209" s="84"/>
      <c r="AA209" s="84"/>
      <c r="AB209" s="84"/>
      <c r="AC209" s="84"/>
      <c r="AD209" s="84"/>
      <c r="AE209" s="85"/>
      <c r="AF209" s="86"/>
      <c r="AG209" s="87"/>
      <c r="AH209" s="88"/>
    </row>
    <row r="210" spans="1:34" x14ac:dyDescent="0.25">
      <c r="A210" s="7"/>
      <c r="B210" s="25"/>
      <c r="C210" s="91"/>
      <c r="D210" s="91"/>
      <c r="E210" s="78"/>
      <c r="F210" s="133"/>
      <c r="G210" s="38"/>
      <c r="H210" s="80"/>
      <c r="I210" s="81"/>
      <c r="J210" s="82"/>
      <c r="K210" s="83"/>
      <c r="L210" s="84"/>
      <c r="M210" s="79"/>
      <c r="N210" s="80"/>
      <c r="O210" s="81"/>
      <c r="P210" s="82"/>
      <c r="Q210" s="83"/>
      <c r="R210" s="84"/>
      <c r="S210" s="84"/>
      <c r="T210" s="84"/>
      <c r="U210" s="84"/>
      <c r="V210" s="84"/>
      <c r="W210" s="84"/>
      <c r="X210" s="84"/>
      <c r="Y210" s="84"/>
      <c r="Z210" s="84"/>
      <c r="AA210" s="84"/>
      <c r="AB210" s="84"/>
      <c r="AC210" s="84"/>
      <c r="AD210" s="84"/>
      <c r="AE210" s="85"/>
      <c r="AF210" s="86"/>
      <c r="AG210" s="87"/>
      <c r="AH210" s="88"/>
    </row>
    <row r="211" spans="1:34" x14ac:dyDescent="0.25">
      <c r="A211" s="7"/>
      <c r="B211" s="25"/>
      <c r="C211" s="91"/>
      <c r="D211" s="91"/>
      <c r="E211" s="78"/>
      <c r="F211" s="133"/>
      <c r="G211" s="38"/>
      <c r="H211" s="80"/>
      <c r="I211" s="81"/>
      <c r="J211" s="82"/>
      <c r="K211" s="83"/>
      <c r="L211" s="84"/>
      <c r="M211" s="79"/>
      <c r="N211" s="80"/>
      <c r="O211" s="81"/>
      <c r="P211" s="82"/>
      <c r="Q211" s="83"/>
      <c r="R211" s="84"/>
      <c r="S211" s="84"/>
      <c r="T211" s="84"/>
      <c r="U211" s="84"/>
      <c r="V211" s="84"/>
      <c r="W211" s="84"/>
      <c r="X211" s="84"/>
      <c r="Y211" s="84"/>
      <c r="Z211" s="84"/>
      <c r="AA211" s="84"/>
      <c r="AB211" s="84"/>
      <c r="AC211" s="84"/>
      <c r="AD211" s="84"/>
      <c r="AE211" s="85"/>
      <c r="AF211" s="86"/>
      <c r="AG211" s="87"/>
      <c r="AH211" s="88"/>
    </row>
    <row r="212" spans="1:34" x14ac:dyDescent="0.25">
      <c r="A212" s="7"/>
      <c r="B212" s="25"/>
      <c r="C212" s="91"/>
      <c r="D212" s="91"/>
      <c r="E212" s="78"/>
      <c r="F212" s="133"/>
      <c r="G212" s="38"/>
      <c r="H212" s="80"/>
      <c r="I212" s="81"/>
      <c r="J212" s="82"/>
      <c r="K212" s="83"/>
      <c r="L212" s="84"/>
      <c r="M212" s="79"/>
      <c r="N212" s="80"/>
      <c r="O212" s="81"/>
      <c r="P212" s="82"/>
      <c r="Q212" s="83"/>
      <c r="R212" s="84"/>
      <c r="S212" s="84"/>
      <c r="T212" s="84"/>
      <c r="U212" s="84"/>
      <c r="V212" s="84"/>
      <c r="W212" s="84"/>
      <c r="X212" s="84"/>
      <c r="Y212" s="84"/>
      <c r="Z212" s="84"/>
      <c r="AA212" s="84"/>
      <c r="AB212" s="84"/>
      <c r="AC212" s="84"/>
      <c r="AD212" s="84"/>
      <c r="AE212" s="85"/>
      <c r="AF212" s="86"/>
      <c r="AG212" s="87"/>
      <c r="AH212" s="88"/>
    </row>
    <row r="213" spans="1:34" x14ac:dyDescent="0.25">
      <c r="A213" s="7"/>
      <c r="B213" s="25"/>
      <c r="C213" s="91"/>
      <c r="D213" s="91"/>
      <c r="E213" s="78"/>
      <c r="F213" s="133"/>
      <c r="G213" s="38"/>
      <c r="H213" s="80"/>
      <c r="I213" s="81"/>
      <c r="J213" s="82"/>
      <c r="K213" s="83"/>
      <c r="L213" s="84"/>
      <c r="M213" s="79"/>
      <c r="N213" s="80"/>
      <c r="O213" s="81"/>
      <c r="P213" s="82"/>
      <c r="Q213" s="83"/>
      <c r="R213" s="84"/>
      <c r="S213" s="84"/>
      <c r="T213" s="84"/>
      <c r="U213" s="84"/>
      <c r="V213" s="84"/>
      <c r="W213" s="84"/>
      <c r="X213" s="84"/>
      <c r="Y213" s="84"/>
      <c r="Z213" s="84"/>
      <c r="AA213" s="84"/>
      <c r="AB213" s="84"/>
      <c r="AC213" s="84"/>
      <c r="AD213" s="84"/>
      <c r="AE213" s="85"/>
      <c r="AF213" s="86"/>
      <c r="AG213" s="87"/>
      <c r="AH213" s="88"/>
    </row>
    <row r="214" spans="1:34" x14ac:dyDescent="0.25">
      <c r="A214" s="7"/>
      <c r="B214" s="25"/>
      <c r="C214" s="91"/>
      <c r="D214" s="91"/>
      <c r="E214" s="78"/>
      <c r="F214" s="133"/>
      <c r="G214" s="38"/>
      <c r="H214" s="80"/>
      <c r="I214" s="81"/>
      <c r="J214" s="82"/>
      <c r="K214" s="83"/>
      <c r="L214" s="84"/>
      <c r="M214" s="79"/>
      <c r="N214" s="80"/>
      <c r="O214" s="81"/>
      <c r="P214" s="82"/>
      <c r="Q214" s="83"/>
      <c r="R214" s="84"/>
      <c r="S214" s="84"/>
      <c r="T214" s="84"/>
      <c r="U214" s="84"/>
      <c r="V214" s="84"/>
      <c r="W214" s="84"/>
      <c r="X214" s="84"/>
      <c r="Y214" s="84"/>
      <c r="Z214" s="84"/>
      <c r="AA214" s="84"/>
      <c r="AB214" s="84"/>
      <c r="AC214" s="84"/>
      <c r="AD214" s="84"/>
      <c r="AE214" s="85"/>
      <c r="AF214" s="86"/>
      <c r="AG214" s="87"/>
      <c r="AH214" s="88"/>
    </row>
    <row r="215" spans="1:34" x14ac:dyDescent="0.25">
      <c r="A215" s="7"/>
      <c r="B215" s="25"/>
      <c r="C215" s="91"/>
      <c r="D215" s="91"/>
      <c r="E215" s="78"/>
      <c r="F215" s="133"/>
      <c r="G215" s="38"/>
      <c r="H215" s="80"/>
      <c r="I215" s="81"/>
      <c r="J215" s="82"/>
      <c r="K215" s="83"/>
      <c r="L215" s="84"/>
      <c r="M215" s="79"/>
      <c r="N215" s="80"/>
      <c r="O215" s="81"/>
      <c r="P215" s="82"/>
      <c r="Q215" s="83"/>
      <c r="R215" s="84"/>
      <c r="S215" s="84"/>
      <c r="T215" s="84"/>
      <c r="U215" s="84"/>
      <c r="V215" s="84"/>
      <c r="W215" s="84"/>
      <c r="X215" s="84"/>
      <c r="Y215" s="84"/>
      <c r="Z215" s="84"/>
      <c r="AA215" s="84"/>
      <c r="AB215" s="84"/>
      <c r="AC215" s="84"/>
      <c r="AD215" s="84"/>
      <c r="AE215" s="85"/>
      <c r="AF215" s="86"/>
      <c r="AG215" s="87"/>
      <c r="AH215" s="88"/>
    </row>
    <row r="216" spans="1:34" x14ac:dyDescent="0.25">
      <c r="A216" s="7"/>
      <c r="B216" s="25"/>
      <c r="C216" s="91"/>
      <c r="D216" s="91"/>
      <c r="E216" s="78"/>
      <c r="F216" s="133"/>
      <c r="G216" s="38"/>
      <c r="H216" s="80"/>
      <c r="I216" s="81"/>
      <c r="J216" s="82"/>
      <c r="K216" s="83"/>
      <c r="L216" s="84"/>
      <c r="M216" s="79"/>
      <c r="N216" s="80"/>
      <c r="O216" s="81"/>
      <c r="P216" s="82"/>
      <c r="Q216" s="83"/>
      <c r="R216" s="84"/>
      <c r="S216" s="84"/>
      <c r="T216" s="84"/>
      <c r="U216" s="84"/>
      <c r="V216" s="84"/>
      <c r="W216" s="84"/>
      <c r="X216" s="84"/>
      <c r="Y216" s="84"/>
      <c r="Z216" s="84"/>
      <c r="AA216" s="84"/>
      <c r="AB216" s="84"/>
      <c r="AC216" s="84"/>
      <c r="AD216" s="84"/>
      <c r="AE216" s="85"/>
      <c r="AF216" s="86"/>
      <c r="AG216" s="87"/>
      <c r="AH216" s="88"/>
    </row>
    <row r="217" spans="1:34" x14ac:dyDescent="0.25">
      <c r="A217" s="7"/>
      <c r="B217" s="25"/>
      <c r="C217" s="91"/>
      <c r="D217" s="91"/>
      <c r="E217" s="78"/>
      <c r="F217" s="133"/>
      <c r="G217" s="38"/>
      <c r="H217" s="80"/>
      <c r="I217" s="81"/>
      <c r="J217" s="82"/>
      <c r="K217" s="83"/>
      <c r="L217" s="84"/>
      <c r="M217" s="79"/>
      <c r="N217" s="80"/>
      <c r="O217" s="81"/>
      <c r="P217" s="82"/>
      <c r="Q217" s="83"/>
      <c r="R217" s="84"/>
      <c r="S217" s="84"/>
      <c r="T217" s="84"/>
      <c r="U217" s="84"/>
      <c r="V217" s="84"/>
      <c r="W217" s="84"/>
      <c r="X217" s="84"/>
      <c r="Y217" s="84"/>
      <c r="Z217" s="84"/>
      <c r="AA217" s="84"/>
      <c r="AB217" s="84"/>
      <c r="AC217" s="84"/>
      <c r="AD217" s="84"/>
      <c r="AE217" s="85"/>
      <c r="AF217" s="86"/>
      <c r="AG217" s="87"/>
      <c r="AH217" s="88"/>
    </row>
    <row r="218" spans="1:34" x14ac:dyDescent="0.25">
      <c r="A218" s="7"/>
      <c r="B218" s="25"/>
      <c r="C218" s="91"/>
      <c r="D218" s="91"/>
      <c r="E218" s="78"/>
      <c r="F218" s="133"/>
      <c r="G218" s="38"/>
      <c r="H218" s="80"/>
      <c r="I218" s="81"/>
      <c r="J218" s="82"/>
      <c r="K218" s="83"/>
      <c r="L218" s="84"/>
      <c r="M218" s="79"/>
      <c r="N218" s="80"/>
      <c r="O218" s="81"/>
      <c r="P218" s="82"/>
      <c r="Q218" s="83"/>
      <c r="R218" s="84"/>
      <c r="S218" s="84"/>
      <c r="T218" s="84"/>
      <c r="U218" s="84"/>
      <c r="V218" s="84"/>
      <c r="W218" s="84"/>
      <c r="X218" s="84"/>
      <c r="Y218" s="84"/>
      <c r="Z218" s="84"/>
      <c r="AA218" s="84"/>
      <c r="AB218" s="84"/>
      <c r="AC218" s="84"/>
      <c r="AD218" s="84"/>
      <c r="AE218" s="85"/>
      <c r="AF218" s="86"/>
      <c r="AG218" s="87"/>
      <c r="AH218" s="88"/>
    </row>
    <row r="219" spans="1:34" x14ac:dyDescent="0.25">
      <c r="A219" s="7"/>
      <c r="B219" s="25"/>
      <c r="C219" s="91"/>
      <c r="D219" s="91"/>
      <c r="E219" s="78"/>
      <c r="F219" s="133"/>
      <c r="G219" s="38"/>
      <c r="H219" s="80"/>
      <c r="I219" s="81"/>
      <c r="J219" s="82"/>
      <c r="K219" s="83"/>
      <c r="L219" s="84"/>
      <c r="M219" s="79"/>
      <c r="N219" s="80"/>
      <c r="O219" s="81"/>
      <c r="P219" s="82"/>
      <c r="Q219" s="83"/>
      <c r="R219" s="84"/>
      <c r="S219" s="84"/>
      <c r="T219" s="84"/>
      <c r="U219" s="84"/>
      <c r="V219" s="84"/>
      <c r="W219" s="84"/>
      <c r="X219" s="84"/>
      <c r="Y219" s="84"/>
      <c r="Z219" s="84"/>
      <c r="AA219" s="84"/>
      <c r="AB219" s="84"/>
      <c r="AC219" s="84"/>
      <c r="AD219" s="84"/>
      <c r="AE219" s="85"/>
      <c r="AF219" s="86"/>
      <c r="AG219" s="87"/>
      <c r="AH219" s="88"/>
    </row>
    <row r="220" spans="1:34" x14ac:dyDescent="0.25">
      <c r="A220" s="7"/>
      <c r="B220" s="25"/>
      <c r="C220" s="91"/>
      <c r="D220" s="91"/>
      <c r="E220" s="78"/>
      <c r="F220" s="133"/>
      <c r="G220" s="38"/>
      <c r="H220" s="80"/>
      <c r="I220" s="81"/>
      <c r="J220" s="82"/>
      <c r="K220" s="83"/>
      <c r="L220" s="84"/>
      <c r="M220" s="79"/>
      <c r="N220" s="80"/>
      <c r="O220" s="81"/>
      <c r="P220" s="82"/>
      <c r="Q220" s="83"/>
      <c r="R220" s="84"/>
      <c r="S220" s="84"/>
      <c r="T220" s="84"/>
      <c r="U220" s="84"/>
      <c r="V220" s="84"/>
      <c r="W220" s="84"/>
      <c r="X220" s="84"/>
      <c r="Y220" s="84"/>
      <c r="Z220" s="84"/>
      <c r="AA220" s="84"/>
      <c r="AB220" s="84"/>
      <c r="AC220" s="84"/>
      <c r="AD220" s="84"/>
      <c r="AE220" s="85"/>
      <c r="AF220" s="86"/>
      <c r="AG220" s="87"/>
      <c r="AH220" s="88"/>
    </row>
    <row r="221" spans="1:34" x14ac:dyDescent="0.25">
      <c r="A221" s="7"/>
      <c r="B221" s="25"/>
      <c r="C221" s="91"/>
      <c r="D221" s="91"/>
      <c r="E221" s="78"/>
      <c r="F221" s="133"/>
      <c r="G221" s="38"/>
      <c r="H221" s="80"/>
      <c r="I221" s="81"/>
      <c r="J221" s="82"/>
      <c r="K221" s="83"/>
      <c r="L221" s="84"/>
      <c r="M221" s="79"/>
      <c r="N221" s="80"/>
      <c r="O221" s="81"/>
      <c r="P221" s="82"/>
      <c r="Q221" s="83"/>
      <c r="R221" s="84"/>
      <c r="S221" s="84"/>
      <c r="T221" s="84"/>
      <c r="U221" s="84"/>
      <c r="V221" s="84"/>
      <c r="W221" s="84"/>
      <c r="X221" s="84"/>
      <c r="Y221" s="84"/>
      <c r="Z221" s="84"/>
      <c r="AA221" s="84"/>
      <c r="AB221" s="84"/>
      <c r="AC221" s="84"/>
      <c r="AD221" s="84"/>
      <c r="AE221" s="85"/>
      <c r="AF221" s="86"/>
      <c r="AG221" s="87"/>
      <c r="AH221" s="88"/>
    </row>
    <row r="222" spans="1:34" x14ac:dyDescent="0.25">
      <c r="A222" s="7"/>
      <c r="B222" s="25"/>
      <c r="C222" s="91"/>
      <c r="D222" s="91"/>
      <c r="E222" s="78"/>
      <c r="F222" s="133"/>
      <c r="G222" s="38"/>
      <c r="H222" s="80"/>
      <c r="I222" s="81"/>
      <c r="J222" s="82"/>
      <c r="K222" s="83"/>
      <c r="L222" s="84"/>
      <c r="M222" s="79"/>
      <c r="N222" s="80"/>
      <c r="O222" s="81"/>
      <c r="P222" s="82"/>
      <c r="Q222" s="83"/>
      <c r="R222" s="84"/>
      <c r="S222" s="84"/>
      <c r="T222" s="84"/>
      <c r="U222" s="84"/>
      <c r="V222" s="84"/>
      <c r="W222" s="84"/>
      <c r="X222" s="84"/>
      <c r="Y222" s="84"/>
      <c r="Z222" s="84"/>
      <c r="AA222" s="84"/>
      <c r="AB222" s="84"/>
      <c r="AC222" s="84"/>
      <c r="AD222" s="84"/>
      <c r="AE222" s="85"/>
      <c r="AF222" s="86"/>
      <c r="AG222" s="87"/>
      <c r="AH222" s="88"/>
    </row>
    <row r="223" spans="1:34" x14ac:dyDescent="0.25">
      <c r="A223" s="7"/>
      <c r="B223" s="25"/>
      <c r="C223" s="91"/>
      <c r="D223" s="91"/>
      <c r="E223" s="78"/>
      <c r="F223" s="133"/>
      <c r="G223" s="38"/>
      <c r="H223" s="80"/>
      <c r="I223" s="81"/>
      <c r="J223" s="82"/>
      <c r="K223" s="83"/>
      <c r="L223" s="84"/>
      <c r="M223" s="79"/>
      <c r="N223" s="80"/>
      <c r="O223" s="81"/>
      <c r="P223" s="82"/>
      <c r="Q223" s="83"/>
      <c r="R223" s="84"/>
      <c r="S223" s="84"/>
      <c r="T223" s="84"/>
      <c r="U223" s="84"/>
      <c r="V223" s="84"/>
      <c r="W223" s="84"/>
      <c r="X223" s="84"/>
      <c r="Y223" s="84"/>
      <c r="Z223" s="84"/>
      <c r="AA223" s="84"/>
      <c r="AB223" s="84"/>
      <c r="AC223" s="84"/>
      <c r="AD223" s="84"/>
      <c r="AE223" s="85"/>
      <c r="AF223" s="86"/>
      <c r="AG223" s="87"/>
      <c r="AH223" s="88"/>
    </row>
    <row r="224" spans="1:34" x14ac:dyDescent="0.25">
      <c r="A224" s="7"/>
      <c r="B224" s="25"/>
      <c r="C224" s="91"/>
      <c r="D224" s="91"/>
      <c r="E224" s="78"/>
      <c r="F224" s="133"/>
      <c r="G224" s="38"/>
      <c r="H224" s="80"/>
      <c r="I224" s="81"/>
      <c r="J224" s="82"/>
      <c r="K224" s="83"/>
      <c r="L224" s="84"/>
      <c r="M224" s="79"/>
      <c r="N224" s="80"/>
      <c r="O224" s="81"/>
      <c r="P224" s="82"/>
      <c r="Q224" s="83"/>
      <c r="R224" s="84"/>
      <c r="S224" s="84"/>
      <c r="T224" s="84"/>
      <c r="U224" s="84"/>
      <c r="V224" s="84"/>
      <c r="W224" s="84"/>
      <c r="X224" s="84"/>
      <c r="Y224" s="84"/>
      <c r="Z224" s="84"/>
      <c r="AA224" s="84"/>
      <c r="AB224" s="84"/>
      <c r="AC224" s="84"/>
      <c r="AD224" s="84"/>
      <c r="AE224" s="85"/>
      <c r="AF224" s="86"/>
      <c r="AG224" s="87"/>
      <c r="AH224" s="88"/>
    </row>
    <row r="225" spans="1:34" x14ac:dyDescent="0.25">
      <c r="A225" s="7"/>
      <c r="B225" s="25"/>
      <c r="C225" s="91"/>
      <c r="D225" s="91"/>
      <c r="E225" s="78"/>
      <c r="F225" s="133"/>
      <c r="G225" s="38"/>
      <c r="H225" s="80"/>
      <c r="I225" s="81"/>
      <c r="J225" s="82"/>
      <c r="K225" s="83"/>
      <c r="L225" s="84"/>
      <c r="M225" s="79"/>
      <c r="N225" s="80"/>
      <c r="O225" s="81"/>
      <c r="P225" s="82"/>
      <c r="Q225" s="83"/>
      <c r="R225" s="84"/>
      <c r="S225" s="84"/>
      <c r="T225" s="84"/>
      <c r="U225" s="84"/>
      <c r="V225" s="84"/>
      <c r="W225" s="84"/>
      <c r="X225" s="84"/>
      <c r="Y225" s="84"/>
      <c r="Z225" s="84"/>
      <c r="AA225" s="84"/>
      <c r="AB225" s="84"/>
      <c r="AC225" s="84"/>
      <c r="AD225" s="84"/>
      <c r="AE225" s="85"/>
      <c r="AF225" s="86"/>
      <c r="AG225" s="87"/>
      <c r="AH225" s="88"/>
    </row>
    <row r="226" spans="1:34" x14ac:dyDescent="0.25">
      <c r="A226" s="7"/>
      <c r="B226" s="25"/>
      <c r="C226" s="91"/>
      <c r="D226" s="91"/>
      <c r="E226" s="78"/>
      <c r="F226" s="133"/>
      <c r="G226" s="38"/>
      <c r="H226" s="80"/>
      <c r="I226" s="81"/>
      <c r="J226" s="82"/>
      <c r="K226" s="83"/>
      <c r="L226" s="84"/>
      <c r="M226" s="79"/>
      <c r="N226" s="80"/>
      <c r="O226" s="81"/>
      <c r="P226" s="82"/>
      <c r="Q226" s="83"/>
      <c r="R226" s="84"/>
      <c r="S226" s="84"/>
      <c r="T226" s="84"/>
      <c r="U226" s="84"/>
      <c r="V226" s="84"/>
      <c r="W226" s="84"/>
      <c r="X226" s="84"/>
      <c r="Y226" s="84"/>
      <c r="Z226" s="84"/>
      <c r="AA226" s="84"/>
      <c r="AB226" s="84"/>
      <c r="AC226" s="84"/>
      <c r="AD226" s="84"/>
      <c r="AE226" s="85"/>
      <c r="AF226" s="86"/>
      <c r="AG226" s="87"/>
      <c r="AH226" s="88"/>
    </row>
    <row r="227" spans="1:34" x14ac:dyDescent="0.25">
      <c r="A227" s="7"/>
      <c r="B227" s="25"/>
      <c r="C227" s="91"/>
      <c r="D227" s="91"/>
      <c r="E227" s="78"/>
      <c r="F227" s="133"/>
      <c r="G227" s="38"/>
      <c r="H227" s="80"/>
      <c r="I227" s="81"/>
      <c r="J227" s="82"/>
      <c r="K227" s="83"/>
      <c r="L227" s="84"/>
      <c r="M227" s="79"/>
      <c r="N227" s="80"/>
      <c r="O227" s="81"/>
      <c r="P227" s="82"/>
      <c r="Q227" s="83"/>
      <c r="R227" s="84"/>
      <c r="S227" s="84"/>
      <c r="T227" s="84"/>
      <c r="U227" s="84"/>
      <c r="V227" s="84"/>
      <c r="W227" s="84"/>
      <c r="X227" s="84"/>
      <c r="Y227" s="84"/>
      <c r="Z227" s="84"/>
      <c r="AA227" s="84"/>
      <c r="AB227" s="84"/>
      <c r="AC227" s="84"/>
      <c r="AD227" s="84"/>
      <c r="AE227" s="85"/>
      <c r="AF227" s="86"/>
      <c r="AG227" s="87"/>
      <c r="AH227" s="88"/>
    </row>
    <row r="228" spans="1:34" x14ac:dyDescent="0.25">
      <c r="A228" s="7"/>
      <c r="B228" s="25"/>
      <c r="C228" s="91"/>
      <c r="D228" s="91"/>
      <c r="E228" s="78"/>
      <c r="F228" s="133"/>
      <c r="G228" s="38"/>
      <c r="H228" s="80"/>
      <c r="I228" s="81"/>
      <c r="J228" s="82"/>
      <c r="K228" s="83"/>
      <c r="L228" s="84"/>
      <c r="M228" s="79"/>
      <c r="N228" s="80"/>
      <c r="O228" s="81"/>
      <c r="P228" s="82"/>
      <c r="Q228" s="83"/>
      <c r="R228" s="84"/>
      <c r="S228" s="84"/>
      <c r="T228" s="84"/>
      <c r="U228" s="84"/>
      <c r="V228" s="84"/>
      <c r="W228" s="84"/>
      <c r="X228" s="84"/>
      <c r="Y228" s="84"/>
      <c r="Z228" s="84"/>
      <c r="AA228" s="84"/>
      <c r="AB228" s="84"/>
      <c r="AC228" s="84"/>
      <c r="AD228" s="84"/>
      <c r="AE228" s="85"/>
      <c r="AF228" s="86"/>
      <c r="AG228" s="87"/>
      <c r="AH228" s="88"/>
    </row>
    <row r="229" spans="1:34" x14ac:dyDescent="0.25">
      <c r="A229" s="7"/>
      <c r="B229" s="25"/>
      <c r="C229" s="91"/>
      <c r="D229" s="91"/>
      <c r="E229" s="78"/>
      <c r="F229" s="133"/>
      <c r="G229" s="38"/>
      <c r="H229" s="80"/>
      <c r="I229" s="81"/>
      <c r="J229" s="82"/>
      <c r="K229" s="83"/>
      <c r="L229" s="84"/>
      <c r="M229" s="79"/>
      <c r="N229" s="80"/>
      <c r="O229" s="81"/>
      <c r="P229" s="82"/>
      <c r="Q229" s="83"/>
      <c r="R229" s="84"/>
      <c r="S229" s="84"/>
      <c r="T229" s="84"/>
      <c r="U229" s="84"/>
      <c r="V229" s="84"/>
      <c r="W229" s="84"/>
      <c r="X229" s="84"/>
      <c r="Y229" s="84"/>
      <c r="Z229" s="84"/>
      <c r="AA229" s="84"/>
      <c r="AB229" s="84"/>
      <c r="AC229" s="84"/>
      <c r="AD229" s="84"/>
      <c r="AE229" s="85"/>
      <c r="AF229" s="86"/>
      <c r="AG229" s="87"/>
      <c r="AH229" s="88"/>
    </row>
    <row r="230" spans="1:34" x14ac:dyDescent="0.25">
      <c r="A230" s="7"/>
      <c r="B230" s="25"/>
      <c r="C230" s="91"/>
      <c r="D230" s="91"/>
      <c r="E230" s="78"/>
      <c r="F230" s="133"/>
      <c r="G230" s="38"/>
      <c r="H230" s="80"/>
      <c r="I230" s="81"/>
      <c r="J230" s="82"/>
      <c r="K230" s="83"/>
      <c r="L230" s="84"/>
      <c r="M230" s="79"/>
      <c r="N230" s="80"/>
      <c r="O230" s="81"/>
      <c r="P230" s="82"/>
      <c r="Q230" s="83"/>
      <c r="R230" s="84"/>
      <c r="S230" s="84"/>
      <c r="T230" s="84"/>
      <c r="U230" s="84"/>
      <c r="V230" s="84"/>
      <c r="W230" s="84"/>
      <c r="X230" s="84"/>
      <c r="Y230" s="84"/>
      <c r="Z230" s="84"/>
      <c r="AA230" s="84"/>
      <c r="AB230" s="84"/>
      <c r="AC230" s="84"/>
      <c r="AD230" s="84"/>
      <c r="AE230" s="85"/>
      <c r="AF230" s="86"/>
      <c r="AG230" s="87"/>
      <c r="AH230" s="88"/>
    </row>
    <row r="231" spans="1:34" x14ac:dyDescent="0.25">
      <c r="A231" s="7"/>
      <c r="B231" s="25"/>
      <c r="C231" s="91"/>
      <c r="D231" s="91"/>
      <c r="E231" s="78"/>
      <c r="F231" s="133"/>
      <c r="G231" s="38"/>
      <c r="H231" s="80"/>
      <c r="I231" s="81"/>
      <c r="J231" s="82"/>
      <c r="K231" s="83"/>
      <c r="L231" s="84"/>
      <c r="M231" s="79"/>
      <c r="N231" s="80"/>
      <c r="O231" s="81"/>
      <c r="P231" s="82"/>
      <c r="Q231" s="83"/>
      <c r="R231" s="84"/>
      <c r="S231" s="84"/>
      <c r="T231" s="84"/>
      <c r="U231" s="84"/>
      <c r="V231" s="84"/>
      <c r="W231" s="84"/>
      <c r="X231" s="84"/>
      <c r="Y231" s="84"/>
      <c r="Z231" s="84"/>
      <c r="AA231" s="84"/>
      <c r="AB231" s="84"/>
      <c r="AC231" s="84"/>
      <c r="AD231" s="84"/>
      <c r="AE231" s="85"/>
      <c r="AF231" s="86"/>
      <c r="AG231" s="87"/>
      <c r="AH231" s="88"/>
    </row>
    <row r="232" spans="1:34" x14ac:dyDescent="0.25">
      <c r="A232" s="7"/>
      <c r="B232" s="25"/>
      <c r="C232" s="91"/>
      <c r="D232" s="91"/>
      <c r="E232" s="78"/>
      <c r="F232" s="133"/>
      <c r="G232" s="38"/>
      <c r="H232" s="80"/>
      <c r="I232" s="81"/>
      <c r="J232" s="82"/>
      <c r="K232" s="83"/>
      <c r="L232" s="84"/>
      <c r="M232" s="79"/>
      <c r="N232" s="80"/>
      <c r="O232" s="81"/>
      <c r="P232" s="82"/>
      <c r="Q232" s="83"/>
      <c r="R232" s="84"/>
      <c r="S232" s="84"/>
      <c r="T232" s="84"/>
      <c r="U232" s="84"/>
      <c r="V232" s="84"/>
      <c r="W232" s="84"/>
      <c r="X232" s="84"/>
      <c r="Y232" s="84"/>
      <c r="Z232" s="84"/>
      <c r="AA232" s="84"/>
      <c r="AB232" s="84"/>
      <c r="AC232" s="84"/>
      <c r="AD232" s="84"/>
      <c r="AE232" s="85"/>
      <c r="AF232" s="86"/>
      <c r="AG232" s="87"/>
      <c r="AH232" s="88"/>
    </row>
    <row r="233" spans="1:34" x14ac:dyDescent="0.25">
      <c r="A233" s="7"/>
      <c r="B233" s="25"/>
      <c r="C233" s="91"/>
      <c r="D233" s="91"/>
      <c r="E233" s="78"/>
      <c r="F233" s="133"/>
      <c r="G233" s="38"/>
      <c r="H233" s="80"/>
      <c r="I233" s="81"/>
      <c r="J233" s="82"/>
      <c r="K233" s="83"/>
      <c r="L233" s="84"/>
      <c r="M233" s="79"/>
      <c r="N233" s="80"/>
      <c r="O233" s="81"/>
      <c r="P233" s="82"/>
      <c r="Q233" s="83"/>
      <c r="R233" s="84"/>
      <c r="S233" s="84"/>
      <c r="T233" s="84"/>
      <c r="U233" s="84"/>
      <c r="V233" s="84"/>
      <c r="W233" s="84"/>
      <c r="X233" s="84"/>
      <c r="Y233" s="84"/>
      <c r="Z233" s="84"/>
      <c r="AA233" s="84"/>
      <c r="AB233" s="84"/>
      <c r="AC233" s="84"/>
      <c r="AD233" s="84"/>
      <c r="AE233" s="85"/>
      <c r="AF233" s="86"/>
      <c r="AG233" s="87"/>
      <c r="AH233" s="88"/>
    </row>
    <row r="234" spans="1:34" x14ac:dyDescent="0.25">
      <c r="A234" s="7"/>
      <c r="B234" s="25"/>
      <c r="C234" s="91"/>
      <c r="D234" s="91"/>
      <c r="E234" s="78"/>
      <c r="F234" s="133"/>
      <c r="G234" s="38"/>
      <c r="H234" s="80"/>
      <c r="I234" s="81"/>
      <c r="J234" s="82"/>
      <c r="K234" s="83"/>
      <c r="L234" s="84"/>
      <c r="M234" s="79"/>
      <c r="N234" s="80"/>
      <c r="O234" s="81"/>
      <c r="P234" s="82"/>
      <c r="Q234" s="83"/>
      <c r="R234" s="84"/>
      <c r="S234" s="84"/>
      <c r="T234" s="84"/>
      <c r="U234" s="84"/>
      <c r="V234" s="84"/>
      <c r="W234" s="84"/>
      <c r="X234" s="84"/>
      <c r="Y234" s="84"/>
      <c r="Z234" s="84"/>
      <c r="AA234" s="84"/>
      <c r="AB234" s="84"/>
      <c r="AC234" s="84"/>
      <c r="AD234" s="84"/>
      <c r="AE234" s="85"/>
      <c r="AF234" s="86"/>
      <c r="AG234" s="87"/>
      <c r="AH234" s="88"/>
    </row>
    <row r="235" spans="1:34" x14ac:dyDescent="0.25">
      <c r="A235" s="7"/>
      <c r="B235" s="25"/>
      <c r="C235" s="91"/>
      <c r="D235" s="91"/>
      <c r="E235" s="78"/>
      <c r="F235" s="133"/>
      <c r="G235" s="38"/>
      <c r="H235" s="80"/>
      <c r="I235" s="81"/>
      <c r="J235" s="82"/>
      <c r="K235" s="83"/>
      <c r="L235" s="84"/>
      <c r="M235" s="79"/>
      <c r="N235" s="80"/>
      <c r="O235" s="81"/>
      <c r="P235" s="82"/>
      <c r="Q235" s="83"/>
      <c r="R235" s="84"/>
      <c r="S235" s="84"/>
      <c r="T235" s="84"/>
      <c r="U235" s="84"/>
      <c r="V235" s="84"/>
      <c r="W235" s="84"/>
      <c r="X235" s="84"/>
      <c r="Y235" s="84"/>
      <c r="Z235" s="84"/>
      <c r="AA235" s="84"/>
      <c r="AB235" s="84"/>
      <c r="AC235" s="84"/>
      <c r="AD235" s="84"/>
      <c r="AE235" s="85"/>
      <c r="AF235" s="86"/>
      <c r="AG235" s="87"/>
      <c r="AH235" s="88"/>
    </row>
    <row r="236" spans="1:34" x14ac:dyDescent="0.25">
      <c r="A236" s="7"/>
      <c r="B236" s="25"/>
      <c r="C236" s="91"/>
      <c r="D236" s="91"/>
      <c r="E236" s="78"/>
      <c r="F236" s="133"/>
      <c r="G236" s="38"/>
      <c r="H236" s="80"/>
      <c r="I236" s="81"/>
      <c r="J236" s="82"/>
      <c r="K236" s="83"/>
      <c r="L236" s="84"/>
      <c r="M236" s="79"/>
      <c r="N236" s="80"/>
      <c r="O236" s="81"/>
      <c r="P236" s="82"/>
      <c r="Q236" s="83"/>
      <c r="R236" s="84"/>
      <c r="S236" s="84"/>
      <c r="T236" s="84"/>
      <c r="U236" s="84"/>
      <c r="V236" s="84"/>
      <c r="W236" s="84"/>
      <c r="X236" s="84"/>
      <c r="Y236" s="84"/>
      <c r="Z236" s="84"/>
      <c r="AA236" s="84"/>
      <c r="AB236" s="84"/>
      <c r="AC236" s="84"/>
      <c r="AD236" s="84"/>
      <c r="AE236" s="85"/>
      <c r="AF236" s="86"/>
      <c r="AG236" s="87"/>
      <c r="AH236" s="88"/>
    </row>
    <row r="237" spans="1:34" x14ac:dyDescent="0.25">
      <c r="A237" s="7"/>
      <c r="B237" s="25"/>
      <c r="C237" s="91"/>
      <c r="D237" s="91"/>
      <c r="E237" s="78"/>
      <c r="F237" s="133"/>
      <c r="G237" s="38"/>
      <c r="H237" s="80"/>
      <c r="I237" s="81"/>
      <c r="J237" s="82"/>
      <c r="K237" s="83"/>
      <c r="L237" s="84"/>
      <c r="M237" s="79"/>
      <c r="N237" s="80"/>
      <c r="O237" s="81"/>
      <c r="P237" s="82"/>
      <c r="Q237" s="83"/>
      <c r="R237" s="84"/>
      <c r="S237" s="84"/>
      <c r="T237" s="84"/>
      <c r="U237" s="84"/>
      <c r="V237" s="84"/>
      <c r="W237" s="84"/>
      <c r="X237" s="84"/>
      <c r="Y237" s="84"/>
      <c r="Z237" s="84"/>
      <c r="AA237" s="84"/>
      <c r="AB237" s="84"/>
      <c r="AC237" s="84"/>
      <c r="AD237" s="84"/>
      <c r="AE237" s="85"/>
      <c r="AF237" s="86"/>
      <c r="AG237" s="87"/>
      <c r="AH237" s="88"/>
    </row>
    <row r="238" spans="1:34" x14ac:dyDescent="0.25">
      <c r="A238" s="7"/>
      <c r="B238" s="25"/>
      <c r="C238" s="91"/>
      <c r="D238" s="91"/>
      <c r="E238" s="78"/>
      <c r="F238" s="133"/>
      <c r="G238" s="38"/>
      <c r="H238" s="80"/>
      <c r="I238" s="81"/>
      <c r="J238" s="82"/>
      <c r="K238" s="83"/>
      <c r="L238" s="84"/>
      <c r="M238" s="79"/>
      <c r="N238" s="80"/>
      <c r="O238" s="81"/>
      <c r="P238" s="82"/>
      <c r="Q238" s="83"/>
      <c r="R238" s="84"/>
      <c r="S238" s="84"/>
      <c r="T238" s="84"/>
      <c r="U238" s="84"/>
      <c r="V238" s="84"/>
      <c r="W238" s="84"/>
      <c r="X238" s="84"/>
      <c r="Y238" s="84"/>
      <c r="Z238" s="84"/>
      <c r="AA238" s="84"/>
      <c r="AB238" s="84"/>
      <c r="AC238" s="84"/>
      <c r="AD238" s="84"/>
      <c r="AE238" s="85"/>
      <c r="AF238" s="86"/>
      <c r="AG238" s="87"/>
      <c r="AH238" s="88"/>
    </row>
    <row r="239" spans="1:34" x14ac:dyDescent="0.25">
      <c r="A239" s="7"/>
      <c r="B239" s="25"/>
      <c r="C239" s="91"/>
      <c r="D239" s="91"/>
      <c r="E239" s="78"/>
      <c r="F239" s="133"/>
      <c r="G239" s="38"/>
      <c r="H239" s="80"/>
      <c r="I239" s="81"/>
      <c r="J239" s="82"/>
      <c r="K239" s="83"/>
      <c r="L239" s="84"/>
      <c r="M239" s="79"/>
      <c r="N239" s="80"/>
      <c r="O239" s="81"/>
      <c r="P239" s="82"/>
      <c r="Q239" s="83"/>
      <c r="R239" s="84"/>
      <c r="S239" s="84"/>
      <c r="T239" s="84"/>
      <c r="U239" s="84"/>
      <c r="V239" s="84"/>
      <c r="W239" s="84"/>
      <c r="X239" s="84"/>
      <c r="Y239" s="84"/>
      <c r="Z239" s="84"/>
      <c r="AA239" s="84"/>
      <c r="AB239" s="84"/>
      <c r="AC239" s="84"/>
      <c r="AD239" s="84"/>
      <c r="AE239" s="85"/>
      <c r="AF239" s="86"/>
      <c r="AG239" s="87"/>
      <c r="AH239" s="88"/>
    </row>
    <row r="240" spans="1:34" x14ac:dyDescent="0.25">
      <c r="A240" s="7"/>
      <c r="B240" s="25"/>
      <c r="C240" s="91"/>
      <c r="D240" s="91"/>
      <c r="E240" s="78"/>
      <c r="F240" s="133"/>
      <c r="G240" s="38"/>
      <c r="H240" s="80"/>
      <c r="I240" s="81"/>
      <c r="J240" s="82"/>
      <c r="K240" s="83"/>
      <c r="L240" s="84"/>
      <c r="M240" s="79"/>
      <c r="N240" s="80"/>
      <c r="O240" s="81"/>
      <c r="P240" s="82"/>
      <c r="Q240" s="83"/>
      <c r="R240" s="84"/>
      <c r="S240" s="84"/>
      <c r="T240" s="84"/>
      <c r="U240" s="84"/>
      <c r="V240" s="84"/>
      <c r="W240" s="84"/>
      <c r="X240" s="84"/>
      <c r="Y240" s="84"/>
      <c r="Z240" s="84"/>
      <c r="AA240" s="84"/>
      <c r="AB240" s="84"/>
      <c r="AC240" s="84"/>
      <c r="AD240" s="84"/>
      <c r="AE240" s="85"/>
      <c r="AF240" s="86"/>
      <c r="AG240" s="87"/>
      <c r="AH240" s="88"/>
    </row>
    <row r="241" spans="1:34" x14ac:dyDescent="0.25">
      <c r="A241" s="7"/>
      <c r="B241" s="25"/>
      <c r="C241" s="91"/>
      <c r="D241" s="91"/>
      <c r="E241" s="78"/>
      <c r="F241" s="133"/>
      <c r="G241" s="38"/>
      <c r="H241" s="80"/>
      <c r="I241" s="81"/>
      <c r="J241" s="82"/>
      <c r="K241" s="83"/>
      <c r="L241" s="84"/>
      <c r="M241" s="79"/>
      <c r="N241" s="80"/>
      <c r="O241" s="81"/>
      <c r="P241" s="82"/>
      <c r="Q241" s="83"/>
      <c r="R241" s="84"/>
      <c r="S241" s="84"/>
      <c r="T241" s="84"/>
      <c r="U241" s="84"/>
      <c r="V241" s="84"/>
      <c r="W241" s="84"/>
      <c r="X241" s="84"/>
      <c r="Y241" s="84"/>
      <c r="Z241" s="84"/>
      <c r="AA241" s="84"/>
      <c r="AB241" s="84"/>
      <c r="AC241" s="84"/>
      <c r="AD241" s="84"/>
      <c r="AE241" s="85"/>
      <c r="AF241" s="86"/>
      <c r="AG241" s="87"/>
      <c r="AH241" s="88"/>
    </row>
    <row r="242" spans="1:34" x14ac:dyDescent="0.25">
      <c r="A242" s="7"/>
      <c r="B242" s="25"/>
      <c r="C242" s="91"/>
      <c r="D242" s="91"/>
      <c r="E242" s="78"/>
      <c r="F242" s="133"/>
      <c r="G242" s="38"/>
      <c r="H242" s="80"/>
      <c r="I242" s="81"/>
      <c r="J242" s="82"/>
      <c r="K242" s="83"/>
      <c r="L242" s="84"/>
      <c r="M242" s="79"/>
      <c r="N242" s="80"/>
      <c r="O242" s="81"/>
      <c r="P242" s="82"/>
      <c r="Q242" s="83"/>
      <c r="R242" s="84"/>
      <c r="S242" s="84"/>
      <c r="T242" s="84"/>
      <c r="U242" s="84"/>
      <c r="V242" s="84"/>
      <c r="W242" s="84"/>
      <c r="X242" s="84"/>
      <c r="Y242" s="84"/>
      <c r="Z242" s="84"/>
      <c r="AA242" s="84"/>
      <c r="AB242" s="84"/>
      <c r="AC242" s="84"/>
      <c r="AD242" s="84"/>
      <c r="AE242" s="85"/>
      <c r="AF242" s="86"/>
      <c r="AG242" s="87"/>
      <c r="AH242" s="88"/>
    </row>
    <row r="243" spans="1:34" x14ac:dyDescent="0.25">
      <c r="A243" s="7"/>
      <c r="B243" s="25"/>
      <c r="C243" s="91"/>
      <c r="D243" s="91"/>
      <c r="E243" s="78"/>
      <c r="F243" s="133"/>
      <c r="G243" s="38"/>
      <c r="H243" s="80"/>
      <c r="I243" s="81"/>
      <c r="J243" s="82"/>
      <c r="K243" s="83"/>
      <c r="L243" s="84"/>
      <c r="M243" s="79"/>
      <c r="N243" s="80"/>
      <c r="O243" s="81"/>
      <c r="P243" s="82"/>
      <c r="Q243" s="83"/>
      <c r="R243" s="84"/>
      <c r="S243" s="84"/>
      <c r="T243" s="84"/>
      <c r="U243" s="84"/>
      <c r="V243" s="84"/>
      <c r="W243" s="84"/>
      <c r="X243" s="84"/>
      <c r="Y243" s="84"/>
      <c r="Z243" s="84"/>
      <c r="AA243" s="84"/>
      <c r="AB243" s="84"/>
      <c r="AC243" s="84"/>
      <c r="AD243" s="84"/>
      <c r="AE243" s="85"/>
      <c r="AF243" s="86"/>
      <c r="AG243" s="87"/>
      <c r="AH243" s="88"/>
    </row>
    <row r="244" spans="1:34" x14ac:dyDescent="0.25">
      <c r="A244" s="7"/>
      <c r="B244" s="25"/>
      <c r="C244" s="91"/>
      <c r="D244" s="91"/>
      <c r="E244" s="78"/>
      <c r="F244" s="133"/>
      <c r="G244" s="38"/>
      <c r="H244" s="80"/>
      <c r="I244" s="81"/>
      <c r="J244" s="82"/>
      <c r="K244" s="83"/>
      <c r="L244" s="84"/>
      <c r="M244" s="79"/>
      <c r="N244" s="80"/>
      <c r="O244" s="81"/>
      <c r="P244" s="82"/>
      <c r="Q244" s="83"/>
      <c r="R244" s="84"/>
      <c r="S244" s="84"/>
      <c r="T244" s="84"/>
      <c r="U244" s="84"/>
      <c r="V244" s="84"/>
      <c r="W244" s="84"/>
      <c r="X244" s="84"/>
      <c r="Y244" s="84"/>
      <c r="Z244" s="84"/>
      <c r="AA244" s="84"/>
      <c r="AB244" s="84"/>
      <c r="AC244" s="84"/>
      <c r="AD244" s="84"/>
      <c r="AE244" s="85"/>
      <c r="AF244" s="86"/>
      <c r="AG244" s="87"/>
      <c r="AH244" s="88"/>
    </row>
    <row r="245" spans="1:34" x14ac:dyDescent="0.25">
      <c r="A245" s="7"/>
      <c r="B245" s="25"/>
      <c r="C245" s="91"/>
      <c r="D245" s="91"/>
      <c r="E245" s="78"/>
      <c r="F245" s="133"/>
      <c r="G245" s="38"/>
      <c r="H245" s="80"/>
      <c r="I245" s="81"/>
      <c r="J245" s="82"/>
      <c r="K245" s="83"/>
      <c r="L245" s="84"/>
      <c r="M245" s="79"/>
      <c r="N245" s="80"/>
      <c r="O245" s="81"/>
      <c r="P245" s="82"/>
      <c r="Q245" s="83"/>
      <c r="R245" s="84"/>
      <c r="S245" s="84"/>
      <c r="T245" s="84"/>
      <c r="U245" s="84"/>
      <c r="V245" s="84"/>
      <c r="W245" s="84"/>
      <c r="X245" s="84"/>
      <c r="Y245" s="84"/>
      <c r="Z245" s="84"/>
      <c r="AA245" s="84"/>
      <c r="AB245" s="84"/>
      <c r="AC245" s="84"/>
      <c r="AD245" s="84"/>
      <c r="AE245" s="85"/>
      <c r="AF245" s="86"/>
      <c r="AG245" s="87"/>
      <c r="AH245" s="88"/>
    </row>
    <row r="246" spans="1:34" x14ac:dyDescent="0.25">
      <c r="A246" s="7"/>
      <c r="B246" s="25"/>
      <c r="C246" s="91"/>
      <c r="D246" s="91"/>
      <c r="E246" s="78"/>
      <c r="F246" s="133"/>
      <c r="G246" s="38"/>
      <c r="H246" s="80"/>
      <c r="I246" s="81"/>
      <c r="J246" s="82"/>
      <c r="K246" s="83"/>
      <c r="L246" s="84"/>
      <c r="M246" s="79"/>
      <c r="N246" s="80"/>
      <c r="O246" s="81"/>
      <c r="P246" s="82"/>
      <c r="Q246" s="83"/>
      <c r="R246" s="84"/>
      <c r="S246" s="84"/>
      <c r="T246" s="84"/>
      <c r="U246" s="84"/>
      <c r="V246" s="84"/>
      <c r="W246" s="84"/>
      <c r="X246" s="84"/>
      <c r="Y246" s="84"/>
      <c r="Z246" s="84"/>
      <c r="AA246" s="84"/>
      <c r="AB246" s="84"/>
      <c r="AC246" s="84"/>
      <c r="AD246" s="84"/>
      <c r="AE246" s="85"/>
      <c r="AF246" s="86"/>
      <c r="AG246" s="87"/>
      <c r="AH246" s="88"/>
    </row>
    <row r="247" spans="1:34" x14ac:dyDescent="0.25">
      <c r="A247" s="7"/>
      <c r="B247" s="25"/>
      <c r="C247" s="91"/>
      <c r="D247" s="91"/>
      <c r="E247" s="78"/>
      <c r="F247" s="133"/>
      <c r="G247" s="38"/>
      <c r="H247" s="80"/>
      <c r="I247" s="81"/>
      <c r="J247" s="82"/>
      <c r="K247" s="83"/>
      <c r="L247" s="84"/>
      <c r="M247" s="79"/>
      <c r="N247" s="80"/>
      <c r="O247" s="81"/>
      <c r="P247" s="82"/>
      <c r="Q247" s="83"/>
      <c r="R247" s="84"/>
      <c r="S247" s="84"/>
      <c r="T247" s="84"/>
      <c r="U247" s="84"/>
      <c r="V247" s="84"/>
      <c r="W247" s="84"/>
      <c r="X247" s="84"/>
      <c r="Y247" s="84"/>
      <c r="Z247" s="84"/>
      <c r="AA247" s="84"/>
      <c r="AB247" s="84"/>
      <c r="AC247" s="84"/>
      <c r="AD247" s="84"/>
      <c r="AE247" s="85"/>
      <c r="AF247" s="86"/>
      <c r="AG247" s="87"/>
      <c r="AH247" s="88"/>
    </row>
    <row r="248" spans="1:34" x14ac:dyDescent="0.25">
      <c r="A248" s="7"/>
      <c r="B248" s="25"/>
      <c r="C248" s="91"/>
      <c r="D248" s="91"/>
      <c r="E248" s="78"/>
      <c r="F248" s="133"/>
      <c r="G248" s="38"/>
      <c r="H248" s="80"/>
      <c r="I248" s="81"/>
      <c r="J248" s="82"/>
      <c r="K248" s="83"/>
      <c r="L248" s="84"/>
      <c r="M248" s="79"/>
      <c r="N248" s="80"/>
      <c r="O248" s="81"/>
      <c r="P248" s="82"/>
      <c r="Q248" s="83"/>
      <c r="R248" s="84"/>
      <c r="S248" s="84"/>
      <c r="T248" s="84"/>
      <c r="U248" s="84"/>
      <c r="V248" s="84"/>
      <c r="W248" s="84"/>
      <c r="X248" s="84"/>
      <c r="Y248" s="84"/>
      <c r="Z248" s="84"/>
      <c r="AA248" s="84"/>
      <c r="AB248" s="84"/>
      <c r="AC248" s="84"/>
      <c r="AD248" s="84"/>
      <c r="AE248" s="85"/>
      <c r="AF248" s="86"/>
      <c r="AG248" s="87"/>
      <c r="AH248" s="88"/>
    </row>
    <row r="249" spans="1:34" x14ac:dyDescent="0.25">
      <c r="A249" s="7"/>
      <c r="B249" s="25"/>
      <c r="C249" s="91"/>
      <c r="D249" s="91"/>
      <c r="E249" s="78"/>
      <c r="F249" s="133"/>
      <c r="G249" s="38"/>
      <c r="H249" s="80"/>
      <c r="I249" s="81"/>
      <c r="J249" s="82"/>
      <c r="K249" s="83"/>
      <c r="L249" s="84"/>
      <c r="M249" s="79"/>
      <c r="N249" s="80"/>
      <c r="O249" s="81"/>
      <c r="P249" s="82"/>
      <c r="Q249" s="83"/>
      <c r="R249" s="84"/>
      <c r="S249" s="84"/>
      <c r="T249" s="84"/>
      <c r="U249" s="84"/>
      <c r="V249" s="84"/>
      <c r="W249" s="84"/>
      <c r="X249" s="84"/>
      <c r="Y249" s="84"/>
      <c r="Z249" s="84"/>
      <c r="AA249" s="84"/>
      <c r="AB249" s="84"/>
      <c r="AC249" s="84"/>
      <c r="AD249" s="84"/>
      <c r="AE249" s="85"/>
      <c r="AF249" s="86"/>
      <c r="AG249" s="87"/>
      <c r="AH249" s="88"/>
    </row>
    <row r="250" spans="1:34" x14ac:dyDescent="0.25">
      <c r="A250" s="7"/>
      <c r="B250" s="25"/>
      <c r="C250" s="91"/>
      <c r="D250" s="91"/>
      <c r="E250" s="78"/>
      <c r="F250" s="133"/>
      <c r="G250" s="38"/>
      <c r="H250" s="80"/>
      <c r="I250" s="81"/>
      <c r="J250" s="82"/>
      <c r="K250" s="83"/>
      <c r="L250" s="84"/>
      <c r="M250" s="79"/>
      <c r="N250" s="80"/>
      <c r="O250" s="81"/>
      <c r="P250" s="82"/>
      <c r="Q250" s="83"/>
      <c r="R250" s="84"/>
      <c r="S250" s="84"/>
      <c r="T250" s="84"/>
      <c r="U250" s="84"/>
      <c r="V250" s="84"/>
      <c r="W250" s="84"/>
      <c r="X250" s="84"/>
      <c r="Y250" s="84"/>
      <c r="Z250" s="84"/>
      <c r="AA250" s="84"/>
      <c r="AB250" s="84"/>
      <c r="AC250" s="84"/>
      <c r="AD250" s="84"/>
      <c r="AE250" s="85"/>
      <c r="AF250" s="86"/>
      <c r="AG250" s="87"/>
      <c r="AH250" s="88"/>
    </row>
    <row r="251" spans="1:34" x14ac:dyDescent="0.25">
      <c r="A251" s="7"/>
      <c r="B251" s="25"/>
      <c r="C251" s="91"/>
      <c r="D251" s="91"/>
      <c r="E251" s="78"/>
      <c r="F251" s="133"/>
      <c r="G251" s="38"/>
      <c r="H251" s="80"/>
      <c r="I251" s="81"/>
      <c r="J251" s="82"/>
      <c r="K251" s="83"/>
      <c r="L251" s="84"/>
      <c r="M251" s="79"/>
      <c r="N251" s="80"/>
      <c r="O251" s="81"/>
      <c r="P251" s="82"/>
      <c r="Q251" s="83"/>
      <c r="R251" s="84"/>
      <c r="S251" s="84"/>
      <c r="T251" s="84"/>
      <c r="U251" s="84"/>
      <c r="V251" s="84"/>
      <c r="W251" s="84"/>
      <c r="X251" s="84"/>
      <c r="Y251" s="84"/>
      <c r="Z251" s="84"/>
      <c r="AA251" s="84"/>
      <c r="AB251" s="84"/>
      <c r="AC251" s="84"/>
      <c r="AD251" s="84"/>
      <c r="AE251" s="85"/>
      <c r="AF251" s="86"/>
      <c r="AG251" s="87"/>
      <c r="AH251" s="88"/>
    </row>
    <row r="252" spans="1:34" x14ac:dyDescent="0.25">
      <c r="A252" s="7"/>
      <c r="B252" s="25"/>
      <c r="C252" s="91"/>
      <c r="D252" s="91"/>
      <c r="E252" s="78"/>
      <c r="F252" s="133"/>
      <c r="G252" s="38"/>
      <c r="H252" s="80"/>
      <c r="I252" s="81"/>
      <c r="J252" s="82"/>
      <c r="K252" s="83"/>
      <c r="L252" s="84"/>
      <c r="M252" s="79"/>
      <c r="N252" s="80"/>
      <c r="O252" s="81"/>
      <c r="P252" s="82"/>
      <c r="Q252" s="83"/>
      <c r="R252" s="84"/>
      <c r="S252" s="84"/>
      <c r="T252" s="84"/>
      <c r="U252" s="84"/>
      <c r="V252" s="84"/>
      <c r="W252" s="84"/>
      <c r="X252" s="84"/>
      <c r="Y252" s="84"/>
      <c r="Z252" s="84"/>
      <c r="AA252" s="84"/>
      <c r="AB252" s="84"/>
      <c r="AC252" s="84"/>
      <c r="AD252" s="84"/>
      <c r="AE252" s="85"/>
      <c r="AF252" s="86"/>
      <c r="AG252" s="87"/>
      <c r="AH252" s="88"/>
    </row>
    <row r="253" spans="1:34" x14ac:dyDescent="0.25">
      <c r="A253" s="7"/>
      <c r="B253" s="25"/>
      <c r="C253" s="91"/>
      <c r="D253" s="91"/>
      <c r="E253" s="78"/>
      <c r="F253" s="133"/>
      <c r="G253" s="38"/>
      <c r="H253" s="80"/>
      <c r="I253" s="81"/>
      <c r="J253" s="82"/>
      <c r="K253" s="83"/>
      <c r="L253" s="84"/>
      <c r="M253" s="79"/>
      <c r="N253" s="80"/>
      <c r="O253" s="81"/>
      <c r="P253" s="82"/>
      <c r="Q253" s="83"/>
      <c r="R253" s="84"/>
      <c r="S253" s="84"/>
      <c r="T253" s="84"/>
      <c r="U253" s="84"/>
      <c r="V253" s="84"/>
      <c r="W253" s="84"/>
      <c r="X253" s="84"/>
      <c r="Y253" s="84"/>
      <c r="Z253" s="84"/>
      <c r="AA253" s="84"/>
      <c r="AB253" s="84"/>
      <c r="AC253" s="84"/>
      <c r="AD253" s="84"/>
      <c r="AE253" s="85"/>
      <c r="AF253" s="86"/>
      <c r="AG253" s="87"/>
      <c r="AH253" s="88"/>
    </row>
    <row r="254" spans="1:34" x14ac:dyDescent="0.25">
      <c r="A254" s="7"/>
      <c r="B254" s="25"/>
      <c r="C254" s="91"/>
      <c r="D254" s="91"/>
      <c r="E254" s="78"/>
      <c r="F254" s="133"/>
      <c r="G254" s="38"/>
      <c r="H254" s="80"/>
      <c r="I254" s="81"/>
      <c r="J254" s="82"/>
      <c r="K254" s="83"/>
      <c r="L254" s="84"/>
      <c r="M254" s="79"/>
      <c r="N254" s="80"/>
      <c r="O254" s="81"/>
      <c r="P254" s="82"/>
      <c r="Q254" s="83"/>
      <c r="R254" s="84"/>
      <c r="S254" s="84"/>
      <c r="T254" s="84"/>
      <c r="U254" s="84"/>
      <c r="V254" s="84"/>
      <c r="W254" s="84"/>
      <c r="X254" s="84"/>
      <c r="Y254" s="84"/>
      <c r="Z254" s="84"/>
      <c r="AA254" s="84"/>
      <c r="AB254" s="84"/>
      <c r="AC254" s="84"/>
      <c r="AD254" s="84"/>
      <c r="AE254" s="85"/>
      <c r="AF254" s="86"/>
      <c r="AG254" s="87"/>
      <c r="AH254" s="88"/>
    </row>
    <row r="255" spans="1:34" x14ac:dyDescent="0.25">
      <c r="A255" s="7"/>
      <c r="B255" s="25"/>
      <c r="C255" s="91"/>
      <c r="D255" s="91"/>
      <c r="E255" s="78"/>
      <c r="F255" s="133"/>
      <c r="G255" s="38"/>
      <c r="H255" s="80"/>
      <c r="I255" s="81"/>
      <c r="J255" s="82"/>
      <c r="K255" s="83"/>
      <c r="L255" s="84"/>
      <c r="M255" s="79"/>
      <c r="N255" s="80"/>
      <c r="O255" s="81"/>
      <c r="P255" s="82"/>
      <c r="Q255" s="83"/>
      <c r="R255" s="84"/>
      <c r="S255" s="84"/>
      <c r="T255" s="84"/>
      <c r="U255" s="84"/>
      <c r="V255" s="84"/>
      <c r="W255" s="84"/>
      <c r="X255" s="84"/>
      <c r="Y255" s="84"/>
      <c r="Z255" s="84"/>
      <c r="AA255" s="84"/>
      <c r="AB255" s="84"/>
      <c r="AC255" s="84"/>
      <c r="AD255" s="84"/>
      <c r="AE255" s="85"/>
      <c r="AF255" s="86"/>
      <c r="AG255" s="87"/>
      <c r="AH255" s="88"/>
    </row>
    <row r="256" spans="1:34" x14ac:dyDescent="0.25">
      <c r="A256" s="7"/>
      <c r="B256" s="25"/>
      <c r="C256" s="91"/>
      <c r="D256" s="91"/>
      <c r="E256" s="78"/>
      <c r="F256" s="133"/>
      <c r="G256" s="38"/>
      <c r="H256" s="80"/>
      <c r="I256" s="81"/>
      <c r="J256" s="82"/>
      <c r="K256" s="83"/>
      <c r="L256" s="84"/>
      <c r="M256" s="79"/>
      <c r="N256" s="80"/>
      <c r="O256" s="81"/>
      <c r="P256" s="82"/>
      <c r="Q256" s="83"/>
      <c r="R256" s="84"/>
      <c r="S256" s="84"/>
      <c r="T256" s="84"/>
      <c r="U256" s="84"/>
      <c r="V256" s="84"/>
      <c r="W256" s="84"/>
      <c r="X256" s="84"/>
      <c r="Y256" s="84"/>
      <c r="Z256" s="84"/>
      <c r="AA256" s="84"/>
      <c r="AB256" s="84"/>
      <c r="AC256" s="84"/>
      <c r="AD256" s="84"/>
      <c r="AE256" s="85"/>
      <c r="AF256" s="86"/>
      <c r="AG256" s="87"/>
      <c r="AH256" s="88"/>
    </row>
    <row r="257" spans="1:34" x14ac:dyDescent="0.25">
      <c r="A257" s="7"/>
      <c r="B257" s="25"/>
      <c r="C257" s="91"/>
      <c r="D257" s="91"/>
      <c r="E257" s="78"/>
      <c r="F257" s="133"/>
      <c r="G257" s="38"/>
      <c r="H257" s="80"/>
      <c r="I257" s="81"/>
      <c r="J257" s="82"/>
      <c r="K257" s="83"/>
      <c r="L257" s="84"/>
      <c r="M257" s="79"/>
      <c r="N257" s="80"/>
      <c r="O257" s="81"/>
      <c r="P257" s="82"/>
      <c r="Q257" s="83"/>
      <c r="R257" s="84"/>
      <c r="S257" s="84"/>
      <c r="T257" s="84"/>
      <c r="U257" s="84"/>
      <c r="V257" s="84"/>
      <c r="W257" s="84"/>
      <c r="X257" s="84"/>
      <c r="Y257" s="84"/>
      <c r="Z257" s="84"/>
      <c r="AA257" s="84"/>
      <c r="AB257" s="84"/>
      <c r="AC257" s="84"/>
      <c r="AD257" s="84"/>
      <c r="AE257" s="85"/>
      <c r="AF257" s="86"/>
      <c r="AG257" s="87"/>
      <c r="AH257" s="88"/>
    </row>
    <row r="258" spans="1:34" x14ac:dyDescent="0.25">
      <c r="A258" s="7"/>
      <c r="B258" s="25"/>
      <c r="C258" s="91"/>
      <c r="D258" s="91"/>
      <c r="E258" s="78"/>
      <c r="F258" s="133"/>
      <c r="G258" s="38"/>
      <c r="H258" s="80"/>
      <c r="I258" s="81"/>
      <c r="J258" s="82"/>
      <c r="K258" s="83"/>
      <c r="L258" s="84"/>
      <c r="M258" s="79"/>
      <c r="N258" s="80"/>
      <c r="O258" s="81"/>
      <c r="P258" s="82"/>
      <c r="Q258" s="83"/>
      <c r="R258" s="84"/>
      <c r="S258" s="84"/>
      <c r="T258" s="84"/>
      <c r="U258" s="84"/>
      <c r="V258" s="84"/>
      <c r="W258" s="84"/>
      <c r="X258" s="84"/>
      <c r="Y258" s="84"/>
      <c r="Z258" s="84"/>
      <c r="AA258" s="84"/>
      <c r="AB258" s="84"/>
      <c r="AC258" s="84"/>
      <c r="AD258" s="84"/>
      <c r="AE258" s="85"/>
      <c r="AF258" s="86"/>
      <c r="AG258" s="87"/>
      <c r="AH258" s="88"/>
    </row>
    <row r="259" spans="1:34" x14ac:dyDescent="0.25">
      <c r="A259" s="7"/>
      <c r="B259" s="25"/>
      <c r="C259" s="91"/>
      <c r="D259" s="91"/>
      <c r="E259" s="78"/>
      <c r="F259" s="133"/>
      <c r="G259" s="38"/>
      <c r="H259" s="80"/>
      <c r="I259" s="81"/>
      <c r="J259" s="82"/>
      <c r="K259" s="83"/>
      <c r="L259" s="84"/>
      <c r="M259" s="79"/>
      <c r="N259" s="80"/>
      <c r="O259" s="81"/>
      <c r="P259" s="82"/>
      <c r="Q259" s="83"/>
      <c r="R259" s="84"/>
      <c r="S259" s="84"/>
      <c r="T259" s="84"/>
      <c r="U259" s="84"/>
      <c r="V259" s="84"/>
      <c r="W259" s="84"/>
      <c r="X259" s="84"/>
      <c r="Y259" s="84"/>
      <c r="Z259" s="84"/>
      <c r="AA259" s="84"/>
      <c r="AB259" s="84"/>
      <c r="AC259" s="84"/>
      <c r="AD259" s="84"/>
      <c r="AE259" s="85"/>
      <c r="AF259" s="86"/>
      <c r="AG259" s="87"/>
      <c r="AH259" s="88"/>
    </row>
    <row r="260" spans="1:34" x14ac:dyDescent="0.25">
      <c r="A260" s="7"/>
      <c r="B260" s="25"/>
      <c r="C260" s="91"/>
      <c r="D260" s="91"/>
      <c r="E260" s="78"/>
      <c r="F260" s="133"/>
      <c r="G260" s="38"/>
      <c r="H260" s="80"/>
      <c r="I260" s="81"/>
      <c r="J260" s="82"/>
      <c r="K260" s="83"/>
      <c r="L260" s="84"/>
      <c r="M260" s="79"/>
      <c r="N260" s="80"/>
      <c r="O260" s="81"/>
      <c r="P260" s="82"/>
      <c r="Q260" s="83"/>
      <c r="R260" s="84"/>
      <c r="S260" s="84"/>
      <c r="T260" s="84"/>
      <c r="U260" s="84"/>
      <c r="V260" s="84"/>
      <c r="W260" s="84"/>
      <c r="X260" s="84"/>
      <c r="Y260" s="84"/>
      <c r="Z260" s="84"/>
      <c r="AA260" s="84"/>
      <c r="AB260" s="84"/>
      <c r="AC260" s="84"/>
      <c r="AD260" s="84"/>
      <c r="AE260" s="85"/>
      <c r="AF260" s="86"/>
      <c r="AG260" s="87"/>
      <c r="AH260" s="88"/>
    </row>
    <row r="261" spans="1:34" x14ac:dyDescent="0.25">
      <c r="A261" s="7"/>
      <c r="B261" s="25"/>
      <c r="C261" s="91"/>
      <c r="D261" s="91"/>
      <c r="E261" s="78"/>
      <c r="F261" s="133"/>
      <c r="G261" s="38"/>
      <c r="H261" s="80"/>
      <c r="I261" s="81"/>
      <c r="J261" s="82"/>
      <c r="K261" s="83"/>
      <c r="L261" s="84"/>
      <c r="M261" s="79"/>
      <c r="N261" s="80"/>
      <c r="O261" s="81"/>
      <c r="P261" s="82"/>
      <c r="Q261" s="83"/>
      <c r="R261" s="84"/>
      <c r="S261" s="84"/>
      <c r="T261" s="84"/>
      <c r="U261" s="84"/>
      <c r="V261" s="84"/>
      <c r="W261" s="84"/>
      <c r="X261" s="84"/>
      <c r="Y261" s="84"/>
      <c r="Z261" s="84"/>
      <c r="AA261" s="84"/>
      <c r="AB261" s="84"/>
      <c r="AC261" s="84"/>
      <c r="AD261" s="84"/>
      <c r="AE261" s="85"/>
      <c r="AF261" s="86"/>
      <c r="AG261" s="87"/>
      <c r="AH261" s="88"/>
    </row>
    <row r="262" spans="1:34" x14ac:dyDescent="0.25">
      <c r="A262" s="7"/>
      <c r="B262" s="25"/>
      <c r="C262" s="91"/>
      <c r="D262" s="91"/>
      <c r="E262" s="78"/>
      <c r="F262" s="133"/>
      <c r="G262" s="38"/>
      <c r="H262" s="80"/>
      <c r="I262" s="81"/>
      <c r="J262" s="82"/>
      <c r="K262" s="83"/>
      <c r="L262" s="84"/>
      <c r="M262" s="79"/>
      <c r="N262" s="80"/>
      <c r="O262" s="81"/>
      <c r="P262" s="82"/>
      <c r="Q262" s="83"/>
      <c r="R262" s="84"/>
      <c r="S262" s="84"/>
      <c r="T262" s="84"/>
      <c r="U262" s="84"/>
      <c r="V262" s="84"/>
      <c r="W262" s="84"/>
      <c r="X262" s="84"/>
      <c r="Y262" s="84"/>
      <c r="Z262" s="84"/>
      <c r="AA262" s="84"/>
      <c r="AB262" s="84"/>
      <c r="AC262" s="84"/>
      <c r="AD262" s="84"/>
      <c r="AE262" s="85"/>
      <c r="AF262" s="86"/>
      <c r="AG262" s="87"/>
      <c r="AH262" s="88"/>
    </row>
    <row r="263" spans="1:34" x14ac:dyDescent="0.25">
      <c r="A263" s="7"/>
      <c r="B263" s="25"/>
      <c r="C263" s="91"/>
      <c r="D263" s="91"/>
      <c r="E263" s="78"/>
      <c r="F263" s="133"/>
      <c r="G263" s="38"/>
      <c r="H263" s="80"/>
      <c r="I263" s="81"/>
      <c r="J263" s="82"/>
      <c r="K263" s="83"/>
      <c r="L263" s="84"/>
      <c r="M263" s="79"/>
      <c r="N263" s="80"/>
      <c r="O263" s="81"/>
      <c r="P263" s="82"/>
      <c r="Q263" s="83"/>
      <c r="R263" s="84"/>
      <c r="S263" s="84"/>
      <c r="T263" s="84"/>
      <c r="U263" s="84"/>
      <c r="V263" s="84"/>
      <c r="W263" s="84"/>
      <c r="X263" s="84"/>
      <c r="Y263" s="84"/>
      <c r="Z263" s="84"/>
      <c r="AA263" s="84"/>
      <c r="AB263" s="84"/>
      <c r="AC263" s="84"/>
      <c r="AD263" s="84"/>
      <c r="AE263" s="85"/>
      <c r="AF263" s="86"/>
      <c r="AG263" s="87"/>
      <c r="AH263" s="88"/>
    </row>
    <row r="264" spans="1:34" x14ac:dyDescent="0.25">
      <c r="A264" s="7"/>
      <c r="B264" s="25"/>
      <c r="C264" s="91"/>
      <c r="D264" s="91"/>
      <c r="E264" s="78"/>
      <c r="F264" s="133"/>
      <c r="G264" s="38"/>
      <c r="H264" s="80"/>
      <c r="I264" s="81"/>
      <c r="J264" s="82"/>
      <c r="K264" s="83"/>
      <c r="L264" s="84"/>
      <c r="M264" s="79"/>
      <c r="N264" s="80"/>
      <c r="O264" s="81"/>
      <c r="P264" s="82"/>
      <c r="Q264" s="83"/>
      <c r="R264" s="84"/>
      <c r="S264" s="84"/>
      <c r="T264" s="84"/>
      <c r="U264" s="84"/>
      <c r="V264" s="84"/>
      <c r="W264" s="84"/>
      <c r="X264" s="84"/>
      <c r="Y264" s="84"/>
      <c r="Z264" s="84"/>
      <c r="AA264" s="84"/>
      <c r="AB264" s="84"/>
      <c r="AC264" s="84"/>
      <c r="AD264" s="84"/>
      <c r="AE264" s="85"/>
      <c r="AF264" s="86"/>
      <c r="AG264" s="87"/>
      <c r="AH264" s="88"/>
    </row>
    <row r="265" spans="1:34" x14ac:dyDescent="0.25">
      <c r="A265" s="7"/>
      <c r="B265" s="25"/>
      <c r="C265" s="91"/>
      <c r="D265" s="91"/>
      <c r="E265" s="78"/>
      <c r="F265" s="133"/>
      <c r="G265" s="38"/>
      <c r="H265" s="80"/>
      <c r="I265" s="81"/>
      <c r="J265" s="82"/>
      <c r="K265" s="83"/>
      <c r="L265" s="84"/>
      <c r="M265" s="79"/>
      <c r="N265" s="80"/>
      <c r="O265" s="81"/>
      <c r="P265" s="82"/>
      <c r="Q265" s="83"/>
      <c r="R265" s="84"/>
      <c r="S265" s="84"/>
      <c r="T265" s="84"/>
      <c r="U265" s="84"/>
      <c r="V265" s="84"/>
      <c r="W265" s="84"/>
      <c r="X265" s="84"/>
      <c r="Y265" s="84"/>
      <c r="Z265" s="84"/>
      <c r="AA265" s="84"/>
      <c r="AB265" s="84"/>
      <c r="AC265" s="84"/>
      <c r="AD265" s="84"/>
      <c r="AE265" s="85"/>
      <c r="AF265" s="86"/>
      <c r="AG265" s="87"/>
      <c r="AH265" s="88"/>
    </row>
    <row r="266" spans="1:34" x14ac:dyDescent="0.25">
      <c r="A266" s="7"/>
      <c r="B266" s="25"/>
      <c r="C266" s="91"/>
      <c r="D266" s="91"/>
      <c r="E266" s="78"/>
      <c r="F266" s="133"/>
      <c r="G266" s="38"/>
      <c r="H266" s="80"/>
      <c r="I266" s="81"/>
      <c r="J266" s="82"/>
      <c r="K266" s="83"/>
      <c r="L266" s="84"/>
      <c r="M266" s="79"/>
      <c r="N266" s="80"/>
      <c r="O266" s="81"/>
      <c r="P266" s="82"/>
      <c r="Q266" s="83"/>
      <c r="R266" s="84"/>
      <c r="S266" s="84"/>
      <c r="T266" s="84"/>
      <c r="U266" s="84"/>
      <c r="V266" s="84"/>
      <c r="W266" s="84"/>
      <c r="X266" s="84"/>
      <c r="Y266" s="84"/>
      <c r="Z266" s="84"/>
      <c r="AA266" s="84"/>
      <c r="AB266" s="84"/>
      <c r="AC266" s="84"/>
      <c r="AD266" s="84"/>
      <c r="AE266" s="85"/>
      <c r="AF266" s="86"/>
      <c r="AG266" s="87"/>
      <c r="AH266" s="88"/>
    </row>
    <row r="267" spans="1:34" x14ac:dyDescent="0.25">
      <c r="A267" s="7"/>
      <c r="B267" s="25"/>
      <c r="C267" s="91"/>
      <c r="D267" s="91"/>
      <c r="E267" s="78"/>
      <c r="F267" s="133"/>
      <c r="G267" s="38"/>
      <c r="H267" s="80"/>
      <c r="I267" s="81"/>
      <c r="J267" s="82"/>
      <c r="K267" s="83"/>
      <c r="L267" s="84"/>
      <c r="M267" s="79"/>
      <c r="N267" s="80"/>
      <c r="O267" s="81"/>
      <c r="P267" s="82"/>
      <c r="Q267" s="83"/>
      <c r="R267" s="84"/>
      <c r="S267" s="84"/>
      <c r="T267" s="84"/>
      <c r="U267" s="84"/>
      <c r="V267" s="84"/>
      <c r="W267" s="84"/>
      <c r="X267" s="84"/>
      <c r="Y267" s="84"/>
      <c r="Z267" s="84"/>
      <c r="AA267" s="84"/>
      <c r="AB267" s="84"/>
      <c r="AC267" s="84"/>
      <c r="AD267" s="84"/>
      <c r="AE267" s="85"/>
      <c r="AF267" s="86"/>
      <c r="AG267" s="87"/>
      <c r="AH267" s="88"/>
    </row>
    <row r="268" spans="1:34" x14ac:dyDescent="0.25">
      <c r="A268" s="7"/>
      <c r="B268" s="25"/>
      <c r="C268" s="91"/>
      <c r="D268" s="91"/>
      <c r="E268" s="78"/>
      <c r="F268" s="133"/>
      <c r="G268" s="38"/>
      <c r="H268" s="80"/>
      <c r="I268" s="81"/>
      <c r="J268" s="82"/>
      <c r="K268" s="83"/>
      <c r="L268" s="84"/>
      <c r="M268" s="79"/>
      <c r="N268" s="80"/>
      <c r="O268" s="81"/>
      <c r="P268" s="82"/>
      <c r="Q268" s="83"/>
      <c r="R268" s="84"/>
      <c r="S268" s="84"/>
      <c r="T268" s="84"/>
      <c r="U268" s="84"/>
      <c r="V268" s="84"/>
      <c r="W268" s="84"/>
      <c r="X268" s="84"/>
      <c r="Y268" s="84"/>
      <c r="Z268" s="84"/>
      <c r="AA268" s="84"/>
      <c r="AB268" s="84"/>
      <c r="AC268" s="84"/>
      <c r="AD268" s="84"/>
      <c r="AE268" s="85"/>
      <c r="AF268" s="86"/>
      <c r="AG268" s="87"/>
      <c r="AH268" s="88"/>
    </row>
    <row r="269" spans="1:34" x14ac:dyDescent="0.25">
      <c r="A269" s="7"/>
      <c r="B269" s="25"/>
      <c r="C269" s="91"/>
      <c r="D269" s="91"/>
      <c r="E269" s="78"/>
      <c r="F269" s="133"/>
      <c r="G269" s="38"/>
      <c r="H269" s="80"/>
      <c r="I269" s="81"/>
      <c r="J269" s="82"/>
      <c r="K269" s="83"/>
      <c r="L269" s="84"/>
      <c r="M269" s="79"/>
      <c r="N269" s="80"/>
      <c r="O269" s="81"/>
      <c r="P269" s="82"/>
      <c r="Q269" s="83"/>
      <c r="R269" s="84"/>
      <c r="S269" s="84"/>
      <c r="T269" s="84"/>
      <c r="U269" s="84"/>
      <c r="V269" s="84"/>
      <c r="W269" s="84"/>
      <c r="X269" s="84"/>
      <c r="Y269" s="84"/>
      <c r="Z269" s="84"/>
      <c r="AA269" s="84"/>
      <c r="AB269" s="84"/>
      <c r="AC269" s="84"/>
      <c r="AD269" s="84"/>
      <c r="AE269" s="85"/>
      <c r="AF269" s="86"/>
      <c r="AG269" s="87"/>
      <c r="AH269" s="88"/>
    </row>
    <row r="270" spans="1:34" x14ac:dyDescent="0.25">
      <c r="A270" s="7"/>
      <c r="B270" s="25"/>
      <c r="C270" s="91"/>
      <c r="D270" s="91"/>
      <c r="E270" s="78"/>
      <c r="F270" s="133"/>
      <c r="G270" s="38"/>
      <c r="H270" s="80"/>
      <c r="I270" s="81"/>
      <c r="J270" s="82"/>
      <c r="K270" s="83"/>
      <c r="L270" s="84"/>
      <c r="M270" s="79"/>
      <c r="N270" s="80"/>
      <c r="O270" s="81"/>
      <c r="P270" s="82"/>
      <c r="Q270" s="83"/>
      <c r="R270" s="84"/>
      <c r="S270" s="84"/>
      <c r="T270" s="84"/>
      <c r="U270" s="84"/>
      <c r="V270" s="84"/>
      <c r="W270" s="84"/>
      <c r="X270" s="84"/>
      <c r="Y270" s="84"/>
      <c r="Z270" s="84"/>
      <c r="AA270" s="84"/>
      <c r="AB270" s="84"/>
      <c r="AC270" s="84"/>
      <c r="AD270" s="84"/>
      <c r="AE270" s="85"/>
      <c r="AF270" s="86"/>
      <c r="AG270" s="87"/>
      <c r="AH270" s="88"/>
    </row>
    <row r="271" spans="1:34" x14ac:dyDescent="0.25">
      <c r="A271" s="7"/>
      <c r="B271" s="25"/>
      <c r="C271" s="91"/>
      <c r="D271" s="91"/>
      <c r="E271" s="78"/>
      <c r="F271" s="133"/>
      <c r="G271" s="38"/>
      <c r="H271" s="80"/>
      <c r="I271" s="81"/>
      <c r="J271" s="82"/>
      <c r="K271" s="83"/>
      <c r="L271" s="84"/>
      <c r="M271" s="79"/>
      <c r="N271" s="80"/>
      <c r="O271" s="81"/>
      <c r="P271" s="82"/>
      <c r="Q271" s="83"/>
      <c r="R271" s="84"/>
      <c r="S271" s="84"/>
      <c r="T271" s="84"/>
      <c r="U271" s="84"/>
      <c r="V271" s="84"/>
      <c r="W271" s="84"/>
      <c r="X271" s="84"/>
      <c r="Y271" s="84"/>
      <c r="Z271" s="84"/>
      <c r="AA271" s="84"/>
      <c r="AB271" s="84"/>
      <c r="AC271" s="84"/>
      <c r="AD271" s="84"/>
      <c r="AE271" s="85"/>
      <c r="AF271" s="86"/>
      <c r="AG271" s="87"/>
      <c r="AH271" s="88"/>
    </row>
    <row r="272" spans="1:34" x14ac:dyDescent="0.25">
      <c r="A272" s="7"/>
      <c r="B272" s="25"/>
      <c r="C272" s="91"/>
      <c r="D272" s="91"/>
      <c r="E272" s="78"/>
      <c r="F272" s="133"/>
      <c r="G272" s="38"/>
      <c r="H272" s="80"/>
      <c r="I272" s="81"/>
      <c r="J272" s="82"/>
      <c r="K272" s="83"/>
      <c r="L272" s="84"/>
      <c r="M272" s="79"/>
      <c r="N272" s="80"/>
      <c r="O272" s="81"/>
      <c r="P272" s="82"/>
      <c r="Q272" s="83"/>
      <c r="R272" s="84"/>
      <c r="S272" s="84"/>
      <c r="T272" s="84"/>
      <c r="U272" s="84"/>
      <c r="V272" s="84"/>
      <c r="W272" s="84"/>
      <c r="X272" s="84"/>
      <c r="Y272" s="84"/>
      <c r="Z272" s="84"/>
      <c r="AA272" s="84"/>
      <c r="AB272" s="84"/>
      <c r="AC272" s="84"/>
      <c r="AD272" s="84"/>
      <c r="AE272" s="85"/>
      <c r="AF272" s="86"/>
      <c r="AG272" s="87"/>
      <c r="AH272" s="88"/>
    </row>
    <row r="273" spans="1:34" x14ac:dyDescent="0.25">
      <c r="A273" s="7"/>
      <c r="B273" s="25"/>
      <c r="C273" s="91"/>
      <c r="D273" s="91"/>
      <c r="E273" s="78"/>
      <c r="F273" s="133"/>
      <c r="G273" s="38"/>
      <c r="H273" s="80"/>
      <c r="I273" s="81"/>
      <c r="J273" s="82"/>
      <c r="K273" s="83"/>
      <c r="L273" s="84"/>
      <c r="M273" s="79"/>
      <c r="N273" s="80"/>
      <c r="O273" s="81"/>
      <c r="P273" s="82"/>
      <c r="Q273" s="83"/>
      <c r="R273" s="84"/>
      <c r="S273" s="84"/>
      <c r="T273" s="84"/>
      <c r="U273" s="84"/>
      <c r="V273" s="84"/>
      <c r="W273" s="84"/>
      <c r="X273" s="84"/>
      <c r="Y273" s="84"/>
      <c r="Z273" s="84"/>
      <c r="AA273" s="84"/>
      <c r="AB273" s="84"/>
      <c r="AC273" s="84"/>
      <c r="AD273" s="84"/>
      <c r="AE273" s="85"/>
      <c r="AF273" s="86"/>
      <c r="AG273" s="87"/>
      <c r="AH273" s="88"/>
    </row>
    <row r="274" spans="1:34" x14ac:dyDescent="0.25">
      <c r="A274" s="7"/>
      <c r="B274" s="25"/>
      <c r="C274" s="91"/>
      <c r="D274" s="91"/>
      <c r="E274" s="78"/>
      <c r="F274" s="133"/>
      <c r="G274" s="38"/>
      <c r="H274" s="80"/>
      <c r="I274" s="81"/>
      <c r="J274" s="82"/>
      <c r="K274" s="83"/>
      <c r="L274" s="84"/>
      <c r="M274" s="79"/>
      <c r="N274" s="80"/>
      <c r="O274" s="81"/>
      <c r="P274" s="82"/>
      <c r="Q274" s="83"/>
      <c r="R274" s="84"/>
      <c r="S274" s="84"/>
      <c r="T274" s="84"/>
      <c r="U274" s="84"/>
      <c r="V274" s="84"/>
      <c r="W274" s="84"/>
      <c r="X274" s="84"/>
      <c r="Y274" s="84"/>
      <c r="Z274" s="84"/>
      <c r="AA274" s="84"/>
      <c r="AB274" s="84"/>
      <c r="AC274" s="84"/>
      <c r="AD274" s="84"/>
      <c r="AE274" s="85"/>
      <c r="AF274" s="86"/>
      <c r="AG274" s="87"/>
      <c r="AH274" s="88"/>
    </row>
    <row r="275" spans="1:34" x14ac:dyDescent="0.25">
      <c r="A275" s="7"/>
      <c r="B275" s="25"/>
      <c r="C275" s="91"/>
      <c r="D275" s="91"/>
      <c r="E275" s="78"/>
      <c r="F275" s="133"/>
      <c r="G275" s="38"/>
      <c r="H275" s="80"/>
      <c r="I275" s="81"/>
      <c r="J275" s="82"/>
      <c r="K275" s="83"/>
      <c r="L275" s="84"/>
      <c r="M275" s="79"/>
      <c r="N275" s="80"/>
      <c r="O275" s="81"/>
      <c r="P275" s="82"/>
      <c r="Q275" s="83"/>
      <c r="R275" s="84"/>
      <c r="S275" s="84"/>
      <c r="T275" s="84"/>
      <c r="U275" s="84"/>
      <c r="V275" s="84"/>
      <c r="W275" s="84"/>
      <c r="X275" s="84"/>
      <c r="Y275" s="84"/>
      <c r="Z275" s="84"/>
      <c r="AA275" s="84"/>
      <c r="AB275" s="84"/>
      <c r="AC275" s="84"/>
      <c r="AD275" s="84"/>
      <c r="AE275" s="85"/>
      <c r="AF275" s="86"/>
      <c r="AG275" s="87"/>
      <c r="AH275" s="88"/>
    </row>
    <row r="276" spans="1:34" x14ac:dyDescent="0.25">
      <c r="A276" s="7"/>
      <c r="B276" s="25"/>
      <c r="C276" s="91"/>
      <c r="D276" s="91"/>
      <c r="E276" s="78"/>
      <c r="F276" s="133"/>
      <c r="G276" s="38"/>
      <c r="H276" s="80"/>
      <c r="I276" s="81"/>
      <c r="J276" s="82"/>
      <c r="K276" s="83"/>
      <c r="L276" s="84"/>
      <c r="M276" s="79"/>
      <c r="N276" s="80"/>
      <c r="O276" s="81"/>
      <c r="P276" s="82"/>
      <c r="Q276" s="83"/>
      <c r="R276" s="84"/>
      <c r="S276" s="84"/>
      <c r="T276" s="84"/>
      <c r="U276" s="84"/>
      <c r="V276" s="84"/>
      <c r="W276" s="84"/>
      <c r="X276" s="84"/>
      <c r="Y276" s="84"/>
      <c r="Z276" s="84"/>
      <c r="AA276" s="84"/>
      <c r="AB276" s="84"/>
      <c r="AC276" s="84"/>
      <c r="AD276" s="84"/>
      <c r="AE276" s="85"/>
      <c r="AF276" s="86"/>
      <c r="AG276" s="87"/>
      <c r="AH276" s="88"/>
    </row>
    <row r="277" spans="1:34" x14ac:dyDescent="0.25">
      <c r="A277" s="7"/>
      <c r="B277" s="25"/>
      <c r="C277" s="91"/>
      <c r="D277" s="91"/>
      <c r="E277" s="78"/>
      <c r="F277" s="133"/>
      <c r="G277" s="38"/>
      <c r="H277" s="80"/>
      <c r="I277" s="81"/>
      <c r="J277" s="82"/>
      <c r="K277" s="83"/>
      <c r="L277" s="84"/>
      <c r="M277" s="79"/>
      <c r="N277" s="80"/>
      <c r="O277" s="81"/>
      <c r="P277" s="82"/>
      <c r="Q277" s="83"/>
      <c r="R277" s="84"/>
      <c r="S277" s="84"/>
      <c r="T277" s="84"/>
      <c r="U277" s="84"/>
      <c r="V277" s="84"/>
      <c r="W277" s="84"/>
      <c r="X277" s="84"/>
      <c r="Y277" s="84"/>
      <c r="Z277" s="84"/>
      <c r="AA277" s="84"/>
      <c r="AB277" s="84"/>
      <c r="AC277" s="84"/>
      <c r="AD277" s="84"/>
      <c r="AE277" s="85"/>
      <c r="AF277" s="86"/>
      <c r="AG277" s="87"/>
      <c r="AH277" s="88"/>
    </row>
    <row r="278" spans="1:34" x14ac:dyDescent="0.25">
      <c r="A278" s="7"/>
      <c r="B278" s="25"/>
      <c r="C278" s="91"/>
      <c r="D278" s="91"/>
      <c r="E278" s="78"/>
      <c r="F278" s="133"/>
      <c r="G278" s="38"/>
      <c r="H278" s="80"/>
      <c r="I278" s="81"/>
      <c r="J278" s="82"/>
      <c r="K278" s="83"/>
      <c r="L278" s="84"/>
      <c r="M278" s="79"/>
      <c r="N278" s="80"/>
      <c r="O278" s="81"/>
      <c r="P278" s="82"/>
      <c r="Q278" s="83"/>
      <c r="R278" s="84"/>
      <c r="S278" s="84"/>
      <c r="T278" s="84"/>
      <c r="U278" s="84"/>
      <c r="V278" s="84"/>
      <c r="W278" s="84"/>
      <c r="X278" s="84"/>
      <c r="Y278" s="84"/>
      <c r="Z278" s="84"/>
      <c r="AA278" s="84"/>
      <c r="AB278" s="84"/>
      <c r="AC278" s="84"/>
      <c r="AD278" s="84"/>
      <c r="AE278" s="85"/>
      <c r="AF278" s="86"/>
      <c r="AG278" s="87"/>
      <c r="AH278" s="88"/>
    </row>
    <row r="279" spans="1:34" x14ac:dyDescent="0.25">
      <c r="A279" s="7"/>
      <c r="B279" s="25"/>
      <c r="C279" s="91"/>
      <c r="D279" s="91"/>
      <c r="E279" s="78"/>
      <c r="F279" s="133"/>
      <c r="G279" s="38"/>
      <c r="H279" s="80"/>
      <c r="I279" s="81"/>
      <c r="J279" s="82"/>
      <c r="K279" s="83"/>
      <c r="L279" s="84"/>
      <c r="M279" s="79"/>
      <c r="N279" s="80"/>
      <c r="O279" s="81"/>
      <c r="P279" s="82"/>
      <c r="Q279" s="83"/>
      <c r="R279" s="84"/>
      <c r="S279" s="84"/>
      <c r="T279" s="84"/>
      <c r="U279" s="84"/>
      <c r="V279" s="84"/>
      <c r="W279" s="84"/>
      <c r="X279" s="84"/>
      <c r="Y279" s="84"/>
      <c r="Z279" s="84"/>
      <c r="AA279" s="84"/>
      <c r="AB279" s="84"/>
      <c r="AC279" s="84"/>
      <c r="AD279" s="84"/>
      <c r="AE279" s="85"/>
      <c r="AF279" s="86"/>
      <c r="AG279" s="87"/>
      <c r="AH279" s="88"/>
    </row>
    <row r="280" spans="1:34" x14ac:dyDescent="0.25">
      <c r="A280" s="7"/>
      <c r="B280" s="25"/>
      <c r="C280" s="91"/>
      <c r="D280" s="91"/>
      <c r="E280" s="78"/>
      <c r="F280" s="133"/>
      <c r="G280" s="38"/>
      <c r="H280" s="80"/>
      <c r="I280" s="81"/>
      <c r="J280" s="82"/>
      <c r="K280" s="83"/>
      <c r="L280" s="84"/>
      <c r="M280" s="79"/>
      <c r="N280" s="80"/>
      <c r="O280" s="81"/>
      <c r="P280" s="82"/>
      <c r="Q280" s="83"/>
      <c r="R280" s="84"/>
      <c r="S280" s="84"/>
      <c r="T280" s="84"/>
      <c r="U280" s="84"/>
      <c r="V280" s="84"/>
      <c r="W280" s="84"/>
      <c r="X280" s="84"/>
      <c r="Y280" s="84"/>
      <c r="Z280" s="84"/>
      <c r="AA280" s="84"/>
      <c r="AB280" s="84"/>
      <c r="AC280" s="84"/>
      <c r="AD280" s="84"/>
      <c r="AE280" s="85"/>
      <c r="AF280" s="86"/>
      <c r="AG280" s="87"/>
      <c r="AH280" s="88"/>
    </row>
    <row r="281" spans="1:34" x14ac:dyDescent="0.25">
      <c r="A281" s="7"/>
      <c r="B281" s="25"/>
      <c r="C281" s="91"/>
      <c r="D281" s="91"/>
      <c r="E281" s="78"/>
      <c r="F281" s="133"/>
      <c r="G281" s="38"/>
      <c r="H281" s="80"/>
      <c r="I281" s="81"/>
      <c r="J281" s="82"/>
      <c r="K281" s="83"/>
      <c r="L281" s="84"/>
      <c r="M281" s="79"/>
      <c r="N281" s="80"/>
      <c r="O281" s="81"/>
      <c r="P281" s="82"/>
      <c r="Q281" s="83"/>
      <c r="R281" s="84"/>
      <c r="S281" s="84"/>
      <c r="T281" s="84"/>
      <c r="U281" s="84"/>
      <c r="V281" s="84"/>
      <c r="W281" s="84"/>
      <c r="X281" s="84"/>
      <c r="Y281" s="84"/>
      <c r="Z281" s="84"/>
      <c r="AA281" s="84"/>
      <c r="AB281" s="84"/>
      <c r="AC281" s="84"/>
      <c r="AD281" s="84"/>
      <c r="AE281" s="85"/>
      <c r="AF281" s="86"/>
      <c r="AG281" s="87"/>
      <c r="AH281" s="88"/>
    </row>
    <row r="282" spans="1:34" x14ac:dyDescent="0.25">
      <c r="A282" s="7"/>
      <c r="B282" s="25"/>
      <c r="C282" s="91"/>
      <c r="D282" s="91"/>
      <c r="E282" s="78"/>
      <c r="F282" s="133"/>
      <c r="G282" s="38"/>
      <c r="H282" s="80"/>
      <c r="I282" s="81"/>
      <c r="J282" s="82"/>
      <c r="K282" s="83"/>
      <c r="L282" s="84"/>
      <c r="M282" s="79"/>
      <c r="N282" s="80"/>
      <c r="O282" s="81"/>
      <c r="P282" s="82"/>
      <c r="Q282" s="83"/>
      <c r="R282" s="84"/>
      <c r="S282" s="84"/>
      <c r="T282" s="84"/>
      <c r="U282" s="84"/>
      <c r="V282" s="84"/>
      <c r="W282" s="84"/>
      <c r="X282" s="84"/>
      <c r="Y282" s="84"/>
      <c r="Z282" s="84"/>
      <c r="AA282" s="84"/>
      <c r="AB282" s="84"/>
      <c r="AC282" s="84"/>
      <c r="AD282" s="84"/>
      <c r="AE282" s="85"/>
      <c r="AF282" s="86"/>
      <c r="AG282" s="87"/>
      <c r="AH282" s="88"/>
    </row>
    <row r="283" spans="1:34" x14ac:dyDescent="0.25">
      <c r="A283" s="7"/>
      <c r="B283" s="25"/>
      <c r="C283" s="91"/>
      <c r="D283" s="91"/>
      <c r="E283" s="78"/>
      <c r="F283" s="133"/>
      <c r="G283" s="38"/>
      <c r="H283" s="80"/>
      <c r="I283" s="81"/>
      <c r="J283" s="82"/>
      <c r="K283" s="83"/>
      <c r="L283" s="84"/>
      <c r="M283" s="79"/>
      <c r="N283" s="80"/>
      <c r="O283" s="81"/>
      <c r="P283" s="82"/>
      <c r="Q283" s="83"/>
      <c r="R283" s="84"/>
      <c r="S283" s="84"/>
      <c r="T283" s="84"/>
      <c r="U283" s="84"/>
      <c r="V283" s="84"/>
      <c r="W283" s="84"/>
      <c r="X283" s="84"/>
      <c r="Y283" s="84"/>
      <c r="Z283" s="84"/>
      <c r="AA283" s="84"/>
      <c r="AB283" s="84"/>
      <c r="AC283" s="84"/>
      <c r="AD283" s="84"/>
      <c r="AE283" s="85"/>
      <c r="AF283" s="86"/>
      <c r="AG283" s="87"/>
      <c r="AH283" s="88"/>
    </row>
    <row r="284" spans="1:34" x14ac:dyDescent="0.25">
      <c r="A284" s="7"/>
      <c r="B284" s="25"/>
      <c r="C284" s="91"/>
      <c r="D284" s="91"/>
      <c r="E284" s="78"/>
      <c r="F284" s="133"/>
      <c r="G284" s="38"/>
      <c r="H284" s="80"/>
      <c r="I284" s="81"/>
      <c r="J284" s="82"/>
      <c r="K284" s="83"/>
      <c r="L284" s="84"/>
      <c r="M284" s="79"/>
      <c r="N284" s="80"/>
      <c r="O284" s="81"/>
      <c r="P284" s="82"/>
      <c r="Q284" s="83"/>
      <c r="R284" s="84"/>
      <c r="S284" s="84"/>
      <c r="T284" s="84"/>
      <c r="U284" s="84"/>
      <c r="V284" s="84"/>
      <c r="W284" s="84"/>
      <c r="X284" s="84"/>
      <c r="Y284" s="84"/>
      <c r="Z284" s="84"/>
      <c r="AA284" s="84"/>
      <c r="AB284" s="84"/>
      <c r="AC284" s="84"/>
      <c r="AD284" s="84"/>
      <c r="AE284" s="85"/>
      <c r="AF284" s="86"/>
      <c r="AG284" s="87"/>
      <c r="AH284" s="88"/>
    </row>
    <row r="285" spans="1:34" x14ac:dyDescent="0.25">
      <c r="A285" s="7"/>
      <c r="B285" s="25"/>
      <c r="C285" s="91"/>
      <c r="D285" s="91"/>
      <c r="E285" s="78"/>
      <c r="F285" s="133"/>
      <c r="G285" s="38"/>
      <c r="H285" s="80"/>
      <c r="I285" s="81"/>
      <c r="J285" s="82"/>
      <c r="K285" s="83"/>
      <c r="L285" s="84"/>
      <c r="M285" s="79"/>
      <c r="N285" s="80"/>
      <c r="O285" s="81"/>
      <c r="P285" s="82"/>
      <c r="Q285" s="83"/>
      <c r="R285" s="84"/>
      <c r="S285" s="84"/>
      <c r="T285" s="84"/>
      <c r="U285" s="84"/>
      <c r="V285" s="84"/>
      <c r="W285" s="84"/>
      <c r="X285" s="84"/>
      <c r="Y285" s="84"/>
      <c r="Z285" s="84"/>
      <c r="AA285" s="84"/>
      <c r="AB285" s="84"/>
      <c r="AC285" s="84"/>
      <c r="AD285" s="84"/>
      <c r="AE285" s="85"/>
      <c r="AF285" s="86"/>
      <c r="AG285" s="87"/>
      <c r="AH285" s="88"/>
    </row>
    <row r="286" spans="1:34" x14ac:dyDescent="0.25">
      <c r="A286" s="7"/>
      <c r="B286" s="25"/>
      <c r="C286" s="91"/>
      <c r="D286" s="91"/>
      <c r="E286" s="78"/>
      <c r="F286" s="133"/>
      <c r="G286" s="38"/>
      <c r="H286" s="80"/>
      <c r="I286" s="81"/>
      <c r="J286" s="82"/>
      <c r="K286" s="83"/>
      <c r="L286" s="84"/>
      <c r="M286" s="79"/>
      <c r="N286" s="80"/>
      <c r="O286" s="81"/>
      <c r="P286" s="82"/>
      <c r="Q286" s="83"/>
      <c r="R286" s="84"/>
      <c r="S286" s="84"/>
      <c r="T286" s="84"/>
      <c r="U286" s="84"/>
      <c r="V286" s="84"/>
      <c r="W286" s="84"/>
      <c r="X286" s="84"/>
      <c r="Y286" s="84"/>
      <c r="Z286" s="84"/>
      <c r="AA286" s="84"/>
      <c r="AB286" s="84"/>
      <c r="AC286" s="84"/>
      <c r="AD286" s="84"/>
      <c r="AE286" s="85"/>
      <c r="AF286" s="86"/>
      <c r="AG286" s="87"/>
      <c r="AH286" s="88"/>
    </row>
    <row r="287" spans="1:34" x14ac:dyDescent="0.25">
      <c r="A287" s="7"/>
      <c r="B287" s="25"/>
      <c r="C287" s="91"/>
      <c r="D287" s="91"/>
      <c r="E287" s="78"/>
      <c r="F287" s="133"/>
      <c r="G287" s="38"/>
      <c r="H287" s="80"/>
      <c r="I287" s="81"/>
      <c r="J287" s="82"/>
      <c r="K287" s="83"/>
      <c r="L287" s="84"/>
      <c r="M287" s="79"/>
      <c r="N287" s="80"/>
      <c r="O287" s="81"/>
      <c r="P287" s="82"/>
      <c r="Q287" s="83"/>
      <c r="R287" s="84"/>
      <c r="S287" s="84"/>
      <c r="T287" s="84"/>
      <c r="U287" s="84"/>
      <c r="V287" s="84"/>
      <c r="W287" s="84"/>
      <c r="X287" s="84"/>
      <c r="Y287" s="84"/>
      <c r="Z287" s="84"/>
      <c r="AA287" s="84"/>
      <c r="AB287" s="84"/>
      <c r="AC287" s="84"/>
      <c r="AD287" s="84"/>
      <c r="AE287" s="85"/>
      <c r="AF287" s="86"/>
      <c r="AG287" s="87"/>
      <c r="AH287" s="88"/>
    </row>
    <row r="288" spans="1:34" x14ac:dyDescent="0.25">
      <c r="A288" s="7"/>
      <c r="B288" s="25"/>
      <c r="C288" s="91"/>
      <c r="D288" s="91"/>
      <c r="E288" s="78"/>
      <c r="F288" s="133"/>
      <c r="G288" s="38"/>
      <c r="H288" s="80"/>
      <c r="I288" s="81"/>
      <c r="J288" s="82"/>
      <c r="K288" s="83"/>
      <c r="L288" s="84"/>
      <c r="M288" s="79"/>
      <c r="N288" s="80"/>
      <c r="O288" s="81"/>
      <c r="P288" s="82"/>
      <c r="Q288" s="83"/>
      <c r="R288" s="84"/>
      <c r="S288" s="84"/>
      <c r="T288" s="84"/>
      <c r="U288" s="84"/>
      <c r="V288" s="84"/>
      <c r="W288" s="84"/>
      <c r="X288" s="84"/>
      <c r="Y288" s="84"/>
      <c r="Z288" s="84"/>
      <c r="AA288" s="84"/>
      <c r="AB288" s="84"/>
      <c r="AC288" s="84"/>
      <c r="AD288" s="84"/>
      <c r="AE288" s="85"/>
      <c r="AF288" s="86"/>
      <c r="AG288" s="87"/>
      <c r="AH288" s="88"/>
    </row>
    <row r="289" spans="1:34" x14ac:dyDescent="0.25">
      <c r="A289" s="7"/>
      <c r="B289" s="25"/>
      <c r="C289" s="91"/>
      <c r="D289" s="91"/>
      <c r="E289" s="78"/>
      <c r="F289" s="133"/>
      <c r="G289" s="38"/>
      <c r="H289" s="80"/>
      <c r="I289" s="81"/>
      <c r="J289" s="82"/>
      <c r="K289" s="83"/>
      <c r="L289" s="84"/>
      <c r="M289" s="79"/>
      <c r="N289" s="80"/>
      <c r="O289" s="81"/>
      <c r="P289" s="82"/>
      <c r="Q289" s="83"/>
      <c r="R289" s="84"/>
      <c r="S289" s="84"/>
      <c r="T289" s="84"/>
      <c r="U289" s="84"/>
      <c r="V289" s="84"/>
      <c r="W289" s="84"/>
      <c r="X289" s="84"/>
      <c r="Y289" s="84"/>
      <c r="Z289" s="84"/>
      <c r="AA289" s="84"/>
      <c r="AB289" s="84"/>
      <c r="AC289" s="84"/>
      <c r="AD289" s="84"/>
      <c r="AE289" s="85"/>
      <c r="AF289" s="86"/>
      <c r="AG289" s="87"/>
      <c r="AH289" s="88"/>
    </row>
    <row r="290" spans="1:34" x14ac:dyDescent="0.25">
      <c r="A290" s="7"/>
      <c r="B290" s="25"/>
      <c r="C290" s="91"/>
      <c r="D290" s="91"/>
      <c r="E290" s="78"/>
      <c r="F290" s="133"/>
      <c r="G290" s="38"/>
      <c r="H290" s="80"/>
      <c r="I290" s="81"/>
      <c r="J290" s="82"/>
      <c r="K290" s="83"/>
      <c r="L290" s="84"/>
      <c r="M290" s="79"/>
      <c r="N290" s="80"/>
      <c r="O290" s="81"/>
      <c r="P290" s="82"/>
      <c r="Q290" s="83"/>
      <c r="R290" s="84"/>
      <c r="S290" s="84"/>
      <c r="T290" s="84"/>
      <c r="U290" s="84"/>
      <c r="V290" s="84"/>
      <c r="W290" s="84"/>
      <c r="X290" s="84"/>
      <c r="Y290" s="84"/>
      <c r="Z290" s="84"/>
      <c r="AA290" s="84"/>
      <c r="AB290" s="84"/>
      <c r="AC290" s="84"/>
      <c r="AD290" s="84"/>
      <c r="AE290" s="85"/>
      <c r="AF290" s="86"/>
      <c r="AG290" s="87"/>
      <c r="AH290" s="88"/>
    </row>
    <row r="291" spans="1:34" x14ac:dyDescent="0.25">
      <c r="A291" s="7"/>
      <c r="B291" s="25"/>
      <c r="C291" s="91"/>
      <c r="D291" s="91"/>
      <c r="E291" s="78"/>
      <c r="F291" s="133"/>
      <c r="G291" s="38"/>
      <c r="H291" s="80"/>
      <c r="I291" s="81"/>
      <c r="J291" s="82"/>
      <c r="K291" s="83"/>
      <c r="L291" s="84"/>
      <c r="M291" s="79"/>
      <c r="N291" s="80"/>
      <c r="O291" s="81"/>
      <c r="P291" s="82"/>
      <c r="Q291" s="83"/>
      <c r="R291" s="84"/>
      <c r="S291" s="84"/>
      <c r="T291" s="84"/>
      <c r="U291" s="84"/>
      <c r="V291" s="84"/>
      <c r="W291" s="84"/>
      <c r="X291" s="84"/>
      <c r="Y291" s="84"/>
      <c r="Z291" s="84"/>
      <c r="AA291" s="84"/>
      <c r="AB291" s="84"/>
      <c r="AC291" s="84"/>
      <c r="AD291" s="84"/>
      <c r="AE291" s="85"/>
      <c r="AF291" s="86"/>
      <c r="AG291" s="87"/>
      <c r="AH291" s="88"/>
    </row>
    <row r="292" spans="1:34" x14ac:dyDescent="0.25">
      <c r="A292" s="7"/>
      <c r="B292" s="25"/>
      <c r="C292" s="91"/>
      <c r="D292" s="91"/>
      <c r="E292" s="78"/>
      <c r="F292" s="133"/>
      <c r="G292" s="38"/>
      <c r="H292" s="80"/>
      <c r="I292" s="81"/>
      <c r="J292" s="82"/>
      <c r="K292" s="83"/>
      <c r="L292" s="84"/>
      <c r="M292" s="79"/>
      <c r="N292" s="80"/>
      <c r="O292" s="81"/>
      <c r="P292" s="82"/>
      <c r="Q292" s="83"/>
      <c r="R292" s="84"/>
      <c r="S292" s="84"/>
      <c r="T292" s="84"/>
      <c r="U292" s="84"/>
      <c r="V292" s="84"/>
      <c r="W292" s="84"/>
      <c r="X292" s="84"/>
      <c r="Y292" s="84"/>
      <c r="Z292" s="84"/>
      <c r="AA292" s="84"/>
      <c r="AB292" s="84"/>
      <c r="AC292" s="84"/>
      <c r="AD292" s="84"/>
      <c r="AE292" s="85"/>
      <c r="AF292" s="86"/>
      <c r="AG292" s="87"/>
      <c r="AH292" s="88"/>
    </row>
    <row r="293" spans="1:34" x14ac:dyDescent="0.25">
      <c r="A293" s="7"/>
      <c r="B293" s="25"/>
      <c r="C293" s="91"/>
      <c r="D293" s="91"/>
      <c r="E293" s="78"/>
      <c r="F293" s="133"/>
      <c r="G293" s="38"/>
      <c r="H293" s="80"/>
      <c r="I293" s="81"/>
      <c r="J293" s="82"/>
      <c r="K293" s="83"/>
      <c r="L293" s="84"/>
      <c r="M293" s="79"/>
      <c r="N293" s="80"/>
      <c r="O293" s="81"/>
      <c r="P293" s="82"/>
      <c r="Q293" s="83"/>
      <c r="R293" s="84"/>
      <c r="S293" s="84"/>
      <c r="T293" s="84"/>
      <c r="U293" s="84"/>
      <c r="V293" s="84"/>
      <c r="W293" s="84"/>
      <c r="X293" s="84"/>
      <c r="Y293" s="84"/>
      <c r="Z293" s="84"/>
      <c r="AA293" s="84"/>
      <c r="AB293" s="84"/>
      <c r="AC293" s="84"/>
      <c r="AD293" s="84"/>
      <c r="AE293" s="85"/>
      <c r="AF293" s="86"/>
      <c r="AG293" s="87"/>
      <c r="AH293" s="88"/>
    </row>
    <row r="294" spans="1:34" x14ac:dyDescent="0.25">
      <c r="A294" s="7"/>
      <c r="B294" s="25"/>
      <c r="C294" s="91"/>
      <c r="D294" s="91"/>
      <c r="E294" s="78"/>
      <c r="F294" s="133"/>
      <c r="G294" s="38"/>
      <c r="H294" s="80"/>
      <c r="I294" s="81"/>
      <c r="J294" s="82"/>
      <c r="K294" s="83"/>
      <c r="L294" s="84"/>
      <c r="M294" s="79"/>
      <c r="N294" s="80"/>
      <c r="O294" s="81"/>
      <c r="P294" s="82"/>
      <c r="Q294" s="83"/>
      <c r="R294" s="84"/>
      <c r="S294" s="84"/>
      <c r="T294" s="84"/>
      <c r="U294" s="84"/>
      <c r="V294" s="84"/>
      <c r="W294" s="84"/>
      <c r="X294" s="84"/>
      <c r="Y294" s="84"/>
      <c r="Z294" s="84"/>
      <c r="AA294" s="84"/>
      <c r="AB294" s="84"/>
      <c r="AC294" s="84"/>
      <c r="AD294" s="84"/>
      <c r="AE294" s="85"/>
      <c r="AF294" s="86"/>
      <c r="AG294" s="87"/>
      <c r="AH294" s="88"/>
    </row>
    <row r="295" spans="1:34" x14ac:dyDescent="0.25">
      <c r="A295" s="7"/>
      <c r="B295" s="25"/>
      <c r="C295" s="91"/>
      <c r="D295" s="91"/>
      <c r="E295" s="78"/>
      <c r="F295" s="133"/>
      <c r="G295" s="38"/>
      <c r="H295" s="80"/>
      <c r="I295" s="81"/>
      <c r="J295" s="82"/>
      <c r="K295" s="83"/>
      <c r="L295" s="84"/>
      <c r="M295" s="79"/>
      <c r="N295" s="80"/>
      <c r="O295" s="81"/>
      <c r="P295" s="82"/>
      <c r="Q295" s="83"/>
      <c r="R295" s="84"/>
      <c r="S295" s="84"/>
      <c r="T295" s="84"/>
      <c r="U295" s="84"/>
      <c r="V295" s="84"/>
      <c r="W295" s="84"/>
      <c r="X295" s="84"/>
      <c r="Y295" s="84"/>
      <c r="Z295" s="84"/>
      <c r="AA295" s="84"/>
      <c r="AB295" s="84"/>
      <c r="AC295" s="84"/>
      <c r="AD295" s="84"/>
      <c r="AE295" s="85"/>
      <c r="AF295" s="86"/>
      <c r="AG295" s="87"/>
      <c r="AH295" s="88"/>
    </row>
    <row r="296" spans="1:34" x14ac:dyDescent="0.25">
      <c r="A296" s="7"/>
      <c r="B296" s="25"/>
      <c r="C296" s="91"/>
      <c r="D296" s="91"/>
      <c r="E296" s="78"/>
      <c r="F296" s="133"/>
      <c r="G296" s="38"/>
      <c r="H296" s="80"/>
      <c r="I296" s="81"/>
      <c r="J296" s="82"/>
      <c r="K296" s="83"/>
      <c r="L296" s="84"/>
      <c r="M296" s="79"/>
      <c r="N296" s="80"/>
      <c r="O296" s="81"/>
      <c r="P296" s="82"/>
      <c r="Q296" s="83"/>
      <c r="R296" s="84"/>
      <c r="S296" s="84"/>
      <c r="T296" s="84"/>
      <c r="U296" s="84"/>
      <c r="V296" s="84"/>
      <c r="W296" s="84"/>
      <c r="X296" s="84"/>
      <c r="Y296" s="84"/>
      <c r="Z296" s="84"/>
      <c r="AA296" s="84"/>
      <c r="AB296" s="84"/>
      <c r="AC296" s="84"/>
      <c r="AD296" s="84"/>
      <c r="AE296" s="85"/>
      <c r="AF296" s="86"/>
      <c r="AG296" s="87"/>
      <c r="AH296" s="88"/>
    </row>
    <row r="297" spans="1:34" x14ac:dyDescent="0.25">
      <c r="A297" s="7"/>
      <c r="B297" s="25"/>
      <c r="C297" s="91"/>
      <c r="D297" s="91"/>
      <c r="E297" s="78"/>
      <c r="F297" s="133"/>
      <c r="G297" s="38"/>
      <c r="H297" s="80"/>
      <c r="I297" s="81"/>
      <c r="J297" s="82"/>
      <c r="K297" s="83"/>
      <c r="L297" s="84"/>
      <c r="M297" s="79"/>
      <c r="N297" s="80"/>
      <c r="O297" s="81"/>
      <c r="P297" s="82"/>
      <c r="Q297" s="83"/>
      <c r="R297" s="84"/>
      <c r="S297" s="84"/>
      <c r="T297" s="84"/>
      <c r="U297" s="84"/>
      <c r="V297" s="84"/>
      <c r="W297" s="84"/>
      <c r="X297" s="84"/>
      <c r="Y297" s="84"/>
      <c r="Z297" s="84"/>
      <c r="AA297" s="84"/>
      <c r="AB297" s="84"/>
      <c r="AC297" s="84"/>
      <c r="AD297" s="84"/>
      <c r="AE297" s="85"/>
      <c r="AF297" s="86"/>
      <c r="AG297" s="87"/>
      <c r="AH297" s="88"/>
    </row>
    <row r="298" spans="1:34" x14ac:dyDescent="0.25">
      <c r="A298" s="7"/>
      <c r="B298" s="25"/>
      <c r="C298" s="91"/>
      <c r="D298" s="91"/>
      <c r="E298" s="78"/>
      <c r="F298" s="133"/>
      <c r="G298" s="38"/>
      <c r="H298" s="80"/>
      <c r="I298" s="81"/>
      <c r="J298" s="82"/>
      <c r="K298" s="83"/>
      <c r="L298" s="84"/>
      <c r="M298" s="79"/>
      <c r="N298" s="80"/>
      <c r="O298" s="81"/>
      <c r="P298" s="82"/>
      <c r="Q298" s="83"/>
      <c r="R298" s="84"/>
      <c r="S298" s="84"/>
      <c r="T298" s="84"/>
      <c r="U298" s="84"/>
      <c r="V298" s="84"/>
      <c r="W298" s="84"/>
      <c r="X298" s="84"/>
      <c r="Y298" s="84"/>
      <c r="Z298" s="84"/>
      <c r="AA298" s="84"/>
      <c r="AB298" s="84"/>
      <c r="AC298" s="84"/>
      <c r="AD298" s="84"/>
      <c r="AE298" s="85"/>
      <c r="AF298" s="86"/>
      <c r="AG298" s="87"/>
      <c r="AH298" s="88"/>
    </row>
    <row r="299" spans="1:34" x14ac:dyDescent="0.25">
      <c r="A299" s="7"/>
      <c r="B299" s="25"/>
      <c r="C299" s="91"/>
      <c r="D299" s="91"/>
      <c r="E299" s="78"/>
      <c r="F299" s="133"/>
      <c r="G299" s="38"/>
      <c r="H299" s="80"/>
      <c r="I299" s="81"/>
      <c r="J299" s="82"/>
      <c r="K299" s="83"/>
      <c r="L299" s="84"/>
      <c r="M299" s="79"/>
      <c r="N299" s="80"/>
      <c r="O299" s="81"/>
      <c r="P299" s="82"/>
      <c r="Q299" s="83"/>
      <c r="R299" s="84"/>
      <c r="S299" s="84"/>
      <c r="T299" s="84"/>
      <c r="U299" s="84"/>
      <c r="V299" s="84"/>
      <c r="W299" s="84"/>
      <c r="X299" s="84"/>
      <c r="Y299" s="84"/>
      <c r="Z299" s="84"/>
      <c r="AA299" s="84"/>
      <c r="AB299" s="84"/>
      <c r="AC299" s="84"/>
      <c r="AD299" s="84"/>
      <c r="AE299" s="85"/>
      <c r="AF299" s="86"/>
      <c r="AG299" s="87"/>
      <c r="AH299" s="88"/>
    </row>
    <row r="300" spans="1:34" x14ac:dyDescent="0.25">
      <c r="A300" s="7"/>
      <c r="B300" s="25"/>
      <c r="C300" s="91"/>
      <c r="D300" s="91"/>
      <c r="E300" s="78"/>
      <c r="F300" s="133"/>
      <c r="G300" s="38"/>
      <c r="H300" s="80"/>
      <c r="I300" s="81"/>
      <c r="J300" s="82"/>
      <c r="K300" s="83"/>
      <c r="L300" s="84"/>
      <c r="M300" s="79"/>
      <c r="N300" s="80"/>
      <c r="O300" s="81"/>
      <c r="P300" s="82"/>
      <c r="Q300" s="83"/>
      <c r="R300" s="84"/>
      <c r="S300" s="84"/>
      <c r="T300" s="84"/>
      <c r="U300" s="84"/>
      <c r="V300" s="84"/>
      <c r="W300" s="84"/>
      <c r="X300" s="84"/>
      <c r="Y300" s="84"/>
      <c r="Z300" s="84"/>
      <c r="AA300" s="84"/>
      <c r="AB300" s="84"/>
      <c r="AC300" s="84"/>
      <c r="AD300" s="84"/>
      <c r="AE300" s="85"/>
      <c r="AF300" s="86"/>
      <c r="AG300" s="87"/>
      <c r="AH300" s="88"/>
    </row>
    <row r="301" spans="1:34" x14ac:dyDescent="0.25">
      <c r="A301" s="7"/>
      <c r="B301" s="25"/>
      <c r="C301" s="91"/>
      <c r="D301" s="91"/>
      <c r="E301" s="78"/>
      <c r="F301" s="133"/>
      <c r="G301" s="38"/>
      <c r="H301" s="80"/>
      <c r="I301" s="81"/>
      <c r="J301" s="82"/>
      <c r="K301" s="83"/>
      <c r="L301" s="84"/>
      <c r="M301" s="79"/>
      <c r="N301" s="80"/>
      <c r="O301" s="81"/>
      <c r="P301" s="82"/>
      <c r="Q301" s="83"/>
      <c r="R301" s="84"/>
      <c r="S301" s="84"/>
      <c r="T301" s="84"/>
      <c r="U301" s="84"/>
      <c r="V301" s="84"/>
      <c r="W301" s="84"/>
      <c r="X301" s="84"/>
      <c r="Y301" s="84"/>
      <c r="Z301" s="84"/>
      <c r="AA301" s="84"/>
      <c r="AB301" s="84"/>
      <c r="AC301" s="84"/>
      <c r="AD301" s="84"/>
      <c r="AE301" s="85"/>
      <c r="AF301" s="86"/>
      <c r="AG301" s="87"/>
      <c r="AH301" s="88"/>
    </row>
    <row r="302" spans="1:34" x14ac:dyDescent="0.25">
      <c r="A302" s="7"/>
      <c r="B302" s="25"/>
      <c r="C302" s="91"/>
      <c r="D302" s="91"/>
      <c r="E302" s="78"/>
      <c r="F302" s="133"/>
      <c r="G302" s="38"/>
      <c r="H302" s="80"/>
      <c r="I302" s="81"/>
      <c r="J302" s="82"/>
      <c r="K302" s="83"/>
      <c r="L302" s="84"/>
      <c r="M302" s="79"/>
      <c r="N302" s="80"/>
      <c r="O302" s="81"/>
      <c r="P302" s="82"/>
      <c r="Q302" s="83"/>
      <c r="R302" s="84"/>
      <c r="S302" s="84"/>
      <c r="T302" s="84"/>
      <c r="U302" s="84"/>
      <c r="V302" s="84"/>
      <c r="W302" s="84"/>
      <c r="X302" s="84"/>
      <c r="Y302" s="84"/>
      <c r="Z302" s="84"/>
      <c r="AA302" s="84"/>
      <c r="AB302" s="84"/>
      <c r="AC302" s="84"/>
      <c r="AD302" s="84"/>
      <c r="AE302" s="85"/>
      <c r="AF302" s="86"/>
      <c r="AG302" s="87"/>
      <c r="AH302" s="88"/>
    </row>
    <row r="303" spans="1:34" x14ac:dyDescent="0.25">
      <c r="A303" s="7"/>
      <c r="B303" s="25"/>
      <c r="C303" s="91"/>
      <c r="D303" s="91"/>
      <c r="E303" s="78"/>
      <c r="F303" s="133"/>
      <c r="G303" s="38"/>
      <c r="H303" s="80"/>
      <c r="I303" s="81"/>
      <c r="J303" s="82"/>
      <c r="K303" s="83"/>
      <c r="L303" s="84"/>
      <c r="M303" s="79"/>
      <c r="N303" s="80"/>
      <c r="O303" s="81"/>
      <c r="P303" s="82"/>
      <c r="Q303" s="83"/>
      <c r="R303" s="84"/>
      <c r="S303" s="84"/>
      <c r="T303" s="84"/>
      <c r="U303" s="84"/>
      <c r="V303" s="84"/>
      <c r="W303" s="84"/>
      <c r="X303" s="84"/>
      <c r="Y303" s="84"/>
      <c r="Z303" s="84"/>
      <c r="AA303" s="84"/>
      <c r="AB303" s="84"/>
      <c r="AC303" s="84"/>
      <c r="AD303" s="84"/>
      <c r="AE303" s="85"/>
      <c r="AF303" s="86"/>
      <c r="AG303" s="87"/>
      <c r="AH303" s="88"/>
    </row>
    <row r="304" spans="1:34" x14ac:dyDescent="0.25">
      <c r="A304" s="7"/>
      <c r="B304" s="25"/>
      <c r="C304" s="91"/>
      <c r="D304" s="91"/>
      <c r="E304" s="78"/>
      <c r="F304" s="133"/>
      <c r="G304" s="38"/>
      <c r="H304" s="80"/>
      <c r="I304" s="81"/>
      <c r="J304" s="82"/>
      <c r="K304" s="83"/>
      <c r="L304" s="84"/>
      <c r="M304" s="79"/>
      <c r="N304" s="80"/>
      <c r="O304" s="81"/>
      <c r="P304" s="82"/>
      <c r="Q304" s="83"/>
      <c r="R304" s="84"/>
      <c r="S304" s="84"/>
      <c r="T304" s="84"/>
      <c r="U304" s="84"/>
      <c r="V304" s="84"/>
      <c r="W304" s="84"/>
      <c r="X304" s="84"/>
      <c r="Y304" s="84"/>
      <c r="Z304" s="84"/>
      <c r="AA304" s="84"/>
      <c r="AB304" s="84"/>
      <c r="AC304" s="84"/>
      <c r="AD304" s="84"/>
      <c r="AE304" s="85"/>
      <c r="AF304" s="86"/>
      <c r="AG304" s="87"/>
      <c r="AH304" s="88"/>
    </row>
    <row r="305" spans="1:34" x14ac:dyDescent="0.25">
      <c r="A305" s="7"/>
      <c r="B305" s="25"/>
      <c r="C305" s="91"/>
      <c r="D305" s="91"/>
      <c r="E305" s="78"/>
      <c r="F305" s="133"/>
      <c r="G305" s="38"/>
      <c r="H305" s="80"/>
      <c r="I305" s="81"/>
      <c r="J305" s="82"/>
      <c r="K305" s="83"/>
      <c r="L305" s="84"/>
      <c r="M305" s="79"/>
      <c r="N305" s="80"/>
      <c r="O305" s="81"/>
      <c r="P305" s="82"/>
      <c r="Q305" s="83"/>
      <c r="R305" s="84"/>
      <c r="S305" s="84"/>
      <c r="T305" s="84"/>
      <c r="U305" s="84"/>
      <c r="V305" s="84"/>
      <c r="W305" s="84"/>
      <c r="X305" s="84"/>
      <c r="Y305" s="84"/>
      <c r="Z305" s="84"/>
      <c r="AA305" s="84"/>
      <c r="AB305" s="84"/>
      <c r="AC305" s="84"/>
      <c r="AD305" s="84"/>
      <c r="AE305" s="85"/>
      <c r="AF305" s="86"/>
      <c r="AG305" s="87"/>
      <c r="AH305" s="88"/>
    </row>
    <row r="306" spans="1:34" x14ac:dyDescent="0.25">
      <c r="A306" s="7"/>
      <c r="B306" s="25"/>
      <c r="C306" s="91"/>
      <c r="D306" s="91"/>
      <c r="E306" s="78"/>
      <c r="F306" s="133"/>
      <c r="G306" s="38"/>
      <c r="H306" s="80"/>
      <c r="I306" s="81"/>
      <c r="J306" s="82"/>
      <c r="K306" s="83"/>
      <c r="L306" s="84"/>
      <c r="M306" s="79"/>
      <c r="N306" s="80"/>
      <c r="O306" s="81"/>
      <c r="P306" s="82"/>
      <c r="Q306" s="83"/>
      <c r="R306" s="84"/>
      <c r="S306" s="84"/>
      <c r="T306" s="84"/>
      <c r="U306" s="84"/>
      <c r="V306" s="84"/>
      <c r="W306" s="84"/>
      <c r="X306" s="84"/>
      <c r="Y306" s="84"/>
      <c r="Z306" s="84"/>
      <c r="AA306" s="84"/>
      <c r="AB306" s="84"/>
      <c r="AC306" s="84"/>
      <c r="AD306" s="84"/>
      <c r="AE306" s="85"/>
      <c r="AF306" s="86"/>
      <c r="AG306" s="87"/>
      <c r="AH306" s="88"/>
    </row>
    <row r="307" spans="1:34" x14ac:dyDescent="0.25">
      <c r="A307" s="7"/>
      <c r="B307" s="25"/>
      <c r="C307" s="91"/>
      <c r="D307" s="91"/>
      <c r="E307" s="78"/>
      <c r="F307" s="133"/>
      <c r="G307" s="38"/>
      <c r="H307" s="80"/>
      <c r="I307" s="81"/>
      <c r="J307" s="82"/>
      <c r="K307" s="83"/>
      <c r="L307" s="84"/>
      <c r="M307" s="79"/>
      <c r="N307" s="80"/>
      <c r="O307" s="81"/>
      <c r="P307" s="82"/>
      <c r="Q307" s="83"/>
      <c r="R307" s="84"/>
      <c r="S307" s="84"/>
      <c r="T307" s="84"/>
      <c r="U307" s="84"/>
      <c r="V307" s="84"/>
      <c r="W307" s="84"/>
      <c r="X307" s="84"/>
      <c r="Y307" s="84"/>
      <c r="Z307" s="84"/>
      <c r="AA307" s="84"/>
      <c r="AB307" s="84"/>
      <c r="AC307" s="84"/>
      <c r="AD307" s="84"/>
      <c r="AE307" s="85"/>
      <c r="AF307" s="86"/>
      <c r="AG307" s="87"/>
      <c r="AH307" s="88"/>
    </row>
    <row r="308" spans="1:34" x14ac:dyDescent="0.25">
      <c r="A308" s="7"/>
      <c r="B308" s="25"/>
      <c r="C308" s="91"/>
      <c r="D308" s="91"/>
      <c r="E308" s="78"/>
      <c r="F308" s="133"/>
      <c r="G308" s="38"/>
      <c r="H308" s="80"/>
      <c r="I308" s="81"/>
      <c r="J308" s="82"/>
      <c r="K308" s="83"/>
      <c r="L308" s="84"/>
      <c r="M308" s="79"/>
      <c r="N308" s="80"/>
      <c r="O308" s="81"/>
      <c r="P308" s="82"/>
      <c r="Q308" s="83"/>
      <c r="R308" s="84"/>
      <c r="S308" s="84"/>
      <c r="T308" s="84"/>
      <c r="U308" s="84"/>
      <c r="V308" s="84"/>
      <c r="W308" s="84"/>
      <c r="X308" s="84"/>
      <c r="Y308" s="84"/>
      <c r="Z308" s="84"/>
      <c r="AA308" s="84"/>
      <c r="AB308" s="84"/>
      <c r="AC308" s="84"/>
      <c r="AD308" s="84"/>
      <c r="AE308" s="85"/>
      <c r="AF308" s="86"/>
      <c r="AG308" s="87"/>
      <c r="AH308" s="88"/>
    </row>
    <row r="309" spans="1:34" x14ac:dyDescent="0.25">
      <c r="A309" s="7"/>
      <c r="B309" s="25"/>
      <c r="C309" s="91"/>
      <c r="D309" s="91"/>
      <c r="E309" s="78"/>
      <c r="F309" s="133"/>
      <c r="G309" s="38"/>
      <c r="H309" s="80"/>
      <c r="I309" s="81"/>
      <c r="J309" s="82"/>
      <c r="K309" s="83"/>
      <c r="L309" s="84"/>
      <c r="M309" s="79"/>
      <c r="N309" s="80"/>
      <c r="O309" s="81"/>
      <c r="P309" s="82"/>
      <c r="Q309" s="83"/>
      <c r="R309" s="84"/>
      <c r="S309" s="84"/>
      <c r="T309" s="84"/>
      <c r="U309" s="84"/>
      <c r="V309" s="84"/>
      <c r="W309" s="84"/>
      <c r="X309" s="84"/>
      <c r="Y309" s="84"/>
      <c r="Z309" s="84"/>
      <c r="AA309" s="84"/>
      <c r="AB309" s="84"/>
      <c r="AC309" s="84"/>
      <c r="AD309" s="84"/>
      <c r="AE309" s="85"/>
      <c r="AF309" s="86"/>
      <c r="AG309" s="87"/>
      <c r="AH309" s="88"/>
    </row>
    <row r="310" spans="1:34" x14ac:dyDescent="0.25">
      <c r="A310" s="7"/>
      <c r="B310" s="25"/>
      <c r="C310" s="91"/>
      <c r="D310" s="91"/>
      <c r="E310" s="78"/>
      <c r="F310" s="133"/>
      <c r="G310" s="38"/>
      <c r="H310" s="80"/>
      <c r="I310" s="81"/>
      <c r="J310" s="82"/>
      <c r="K310" s="83"/>
      <c r="L310" s="84"/>
      <c r="M310" s="79"/>
      <c r="N310" s="80"/>
      <c r="O310" s="81"/>
      <c r="P310" s="82"/>
      <c r="Q310" s="83"/>
      <c r="R310" s="84"/>
      <c r="S310" s="84"/>
      <c r="T310" s="84"/>
      <c r="U310" s="84"/>
      <c r="V310" s="84"/>
      <c r="W310" s="84"/>
      <c r="X310" s="84"/>
      <c r="Y310" s="84"/>
      <c r="Z310" s="84"/>
      <c r="AA310" s="84"/>
      <c r="AB310" s="84"/>
      <c r="AC310" s="84"/>
      <c r="AD310" s="84"/>
      <c r="AE310" s="85"/>
      <c r="AF310" s="86"/>
      <c r="AG310" s="87"/>
      <c r="AH310" s="88"/>
    </row>
    <row r="311" spans="1:34" x14ac:dyDescent="0.25">
      <c r="A311" s="7"/>
      <c r="B311" s="25"/>
      <c r="C311" s="91"/>
      <c r="D311" s="91"/>
      <c r="E311" s="78"/>
      <c r="F311" s="133"/>
      <c r="G311" s="38"/>
      <c r="H311" s="80"/>
      <c r="I311" s="81"/>
      <c r="J311" s="82"/>
      <c r="K311" s="83"/>
      <c r="L311" s="84"/>
      <c r="M311" s="79"/>
      <c r="N311" s="80"/>
      <c r="O311" s="81"/>
      <c r="P311" s="82"/>
      <c r="Q311" s="83"/>
      <c r="R311" s="84"/>
      <c r="S311" s="84"/>
      <c r="T311" s="84"/>
      <c r="U311" s="84"/>
      <c r="V311" s="84"/>
      <c r="W311" s="84"/>
      <c r="X311" s="84"/>
      <c r="Y311" s="84"/>
      <c r="Z311" s="84"/>
      <c r="AA311" s="84"/>
      <c r="AB311" s="84"/>
      <c r="AC311" s="84"/>
      <c r="AD311" s="84"/>
      <c r="AE311" s="85"/>
      <c r="AF311" s="86"/>
      <c r="AG311" s="87"/>
      <c r="AH311" s="88"/>
    </row>
    <row r="312" spans="1:34" x14ac:dyDescent="0.25">
      <c r="A312" s="7"/>
      <c r="B312" s="25"/>
      <c r="C312" s="91"/>
      <c r="D312" s="91"/>
      <c r="E312" s="78"/>
      <c r="F312" s="133"/>
      <c r="G312" s="38"/>
      <c r="H312" s="80"/>
      <c r="I312" s="81"/>
      <c r="J312" s="82"/>
      <c r="K312" s="83"/>
      <c r="L312" s="84"/>
      <c r="M312" s="79"/>
      <c r="N312" s="80"/>
      <c r="O312" s="81"/>
      <c r="P312" s="82"/>
      <c r="Q312" s="83"/>
      <c r="R312" s="84"/>
      <c r="S312" s="84"/>
      <c r="T312" s="84"/>
      <c r="U312" s="84"/>
      <c r="V312" s="84"/>
      <c r="W312" s="84"/>
      <c r="X312" s="84"/>
      <c r="Y312" s="84"/>
      <c r="Z312" s="84"/>
      <c r="AA312" s="84"/>
      <c r="AB312" s="84"/>
      <c r="AC312" s="84"/>
      <c r="AD312" s="84"/>
      <c r="AE312" s="85"/>
      <c r="AF312" s="86"/>
      <c r="AG312" s="87"/>
      <c r="AH312" s="88"/>
    </row>
    <row r="313" spans="1:34" x14ac:dyDescent="0.25">
      <c r="A313" s="7"/>
      <c r="B313" s="25"/>
      <c r="C313" s="91"/>
      <c r="D313" s="91"/>
      <c r="E313" s="78"/>
      <c r="F313" s="133"/>
      <c r="G313" s="38"/>
      <c r="H313" s="80"/>
      <c r="I313" s="81"/>
      <c r="J313" s="82"/>
      <c r="K313" s="83"/>
      <c r="L313" s="84"/>
      <c r="M313" s="79"/>
      <c r="N313" s="80"/>
      <c r="O313" s="81"/>
      <c r="P313" s="82"/>
      <c r="Q313" s="83"/>
      <c r="R313" s="84"/>
      <c r="S313" s="84"/>
      <c r="T313" s="84"/>
      <c r="U313" s="84"/>
      <c r="V313" s="84"/>
      <c r="W313" s="84"/>
      <c r="X313" s="84"/>
      <c r="Y313" s="84"/>
      <c r="Z313" s="84"/>
      <c r="AA313" s="84"/>
      <c r="AB313" s="84"/>
      <c r="AC313" s="84"/>
      <c r="AD313" s="84"/>
      <c r="AE313" s="85"/>
      <c r="AF313" s="86"/>
      <c r="AG313" s="87"/>
      <c r="AH313" s="88"/>
    </row>
    <row r="314" spans="1:34" x14ac:dyDescent="0.25">
      <c r="A314" s="7"/>
      <c r="B314" s="25"/>
      <c r="C314" s="91"/>
      <c r="D314" s="91"/>
      <c r="E314" s="78"/>
      <c r="F314" s="133"/>
      <c r="G314" s="38"/>
      <c r="H314" s="80"/>
      <c r="I314" s="81"/>
      <c r="J314" s="82"/>
      <c r="K314" s="83"/>
      <c r="L314" s="84"/>
      <c r="M314" s="79"/>
      <c r="N314" s="80"/>
      <c r="O314" s="81"/>
      <c r="P314" s="82"/>
      <c r="Q314" s="83"/>
      <c r="R314" s="84"/>
      <c r="S314" s="84"/>
      <c r="T314" s="84"/>
      <c r="U314" s="84"/>
      <c r="V314" s="84"/>
      <c r="W314" s="84"/>
      <c r="X314" s="84"/>
      <c r="Y314" s="84"/>
      <c r="Z314" s="84"/>
      <c r="AA314" s="84"/>
      <c r="AB314" s="84"/>
      <c r="AC314" s="84"/>
      <c r="AD314" s="84"/>
      <c r="AE314" s="85"/>
      <c r="AF314" s="86"/>
      <c r="AG314" s="87"/>
      <c r="AH314" s="88"/>
    </row>
    <row r="315" spans="1:34" x14ac:dyDescent="0.25">
      <c r="A315" s="7"/>
      <c r="B315" s="25"/>
      <c r="C315" s="91"/>
      <c r="D315" s="91"/>
      <c r="E315" s="78"/>
      <c r="F315" s="133"/>
      <c r="G315" s="38"/>
      <c r="H315" s="80"/>
      <c r="I315" s="81"/>
      <c r="J315" s="82"/>
      <c r="K315" s="83"/>
      <c r="L315" s="84"/>
      <c r="M315" s="79"/>
      <c r="N315" s="80"/>
      <c r="O315" s="81"/>
      <c r="P315" s="82"/>
      <c r="Q315" s="83"/>
      <c r="R315" s="84"/>
      <c r="S315" s="84"/>
      <c r="T315" s="84"/>
      <c r="U315" s="84"/>
      <c r="V315" s="84"/>
      <c r="W315" s="84"/>
      <c r="X315" s="84"/>
      <c r="Y315" s="84"/>
      <c r="Z315" s="84"/>
      <c r="AA315" s="84"/>
      <c r="AB315" s="84"/>
      <c r="AC315" s="84"/>
      <c r="AD315" s="84"/>
      <c r="AE315" s="85"/>
      <c r="AF315" s="86"/>
      <c r="AG315" s="87"/>
      <c r="AH315" s="88"/>
    </row>
    <row r="316" spans="1:34" x14ac:dyDescent="0.25">
      <c r="A316" s="7"/>
      <c r="B316" s="25"/>
      <c r="C316" s="91"/>
      <c r="D316" s="91"/>
      <c r="E316" s="78"/>
      <c r="F316" s="133"/>
      <c r="G316" s="38"/>
      <c r="H316" s="80"/>
      <c r="I316" s="81"/>
      <c r="J316" s="82"/>
      <c r="K316" s="83"/>
      <c r="L316" s="84"/>
      <c r="M316" s="79"/>
      <c r="N316" s="80"/>
      <c r="O316" s="81"/>
      <c r="P316" s="82"/>
      <c r="Q316" s="83"/>
      <c r="R316" s="84"/>
      <c r="S316" s="84"/>
      <c r="T316" s="84"/>
      <c r="U316" s="84"/>
      <c r="V316" s="84"/>
      <c r="W316" s="84"/>
      <c r="X316" s="84"/>
      <c r="Y316" s="84"/>
      <c r="Z316" s="84"/>
      <c r="AA316" s="84"/>
      <c r="AB316" s="84"/>
      <c r="AC316" s="84"/>
      <c r="AD316" s="84"/>
      <c r="AE316" s="85"/>
      <c r="AF316" s="86"/>
      <c r="AG316" s="87"/>
      <c r="AH316" s="88"/>
    </row>
    <row r="317" spans="1:34" x14ac:dyDescent="0.25">
      <c r="A317" s="7"/>
      <c r="B317" s="25"/>
      <c r="C317" s="91"/>
      <c r="D317" s="91"/>
      <c r="E317" s="78"/>
      <c r="F317" s="133"/>
      <c r="G317" s="38"/>
      <c r="H317" s="80"/>
      <c r="I317" s="81"/>
      <c r="J317" s="82"/>
      <c r="K317" s="83"/>
      <c r="L317" s="84"/>
      <c r="M317" s="79"/>
      <c r="N317" s="80"/>
      <c r="O317" s="81"/>
      <c r="P317" s="82"/>
      <c r="Q317" s="83"/>
      <c r="R317" s="84"/>
      <c r="S317" s="84"/>
      <c r="T317" s="84"/>
      <c r="U317" s="84"/>
      <c r="V317" s="84"/>
      <c r="W317" s="84"/>
      <c r="X317" s="84"/>
      <c r="Y317" s="84"/>
      <c r="Z317" s="84"/>
      <c r="AA317" s="84"/>
      <c r="AB317" s="84"/>
      <c r="AC317" s="84"/>
      <c r="AD317" s="84"/>
      <c r="AE317" s="85"/>
      <c r="AF317" s="86"/>
      <c r="AG317" s="87"/>
      <c r="AH317" s="88"/>
    </row>
    <row r="318" spans="1:34" x14ac:dyDescent="0.25">
      <c r="A318" s="7"/>
      <c r="B318" s="25"/>
      <c r="C318" s="91"/>
      <c r="D318" s="91"/>
      <c r="E318" s="78"/>
      <c r="F318" s="133"/>
      <c r="G318" s="38"/>
      <c r="H318" s="80"/>
      <c r="I318" s="81"/>
      <c r="J318" s="82"/>
      <c r="K318" s="83"/>
      <c r="L318" s="84"/>
      <c r="M318" s="79"/>
      <c r="N318" s="80"/>
      <c r="O318" s="81"/>
      <c r="P318" s="82"/>
      <c r="Q318" s="83"/>
      <c r="R318" s="84"/>
      <c r="S318" s="84"/>
      <c r="T318" s="84"/>
      <c r="U318" s="84"/>
      <c r="V318" s="84"/>
      <c r="W318" s="84"/>
      <c r="X318" s="84"/>
      <c r="Y318" s="84"/>
      <c r="Z318" s="84"/>
      <c r="AA318" s="84"/>
      <c r="AB318" s="84"/>
      <c r="AC318" s="84"/>
      <c r="AD318" s="84"/>
      <c r="AE318" s="85"/>
      <c r="AF318" s="86"/>
      <c r="AG318" s="87"/>
      <c r="AH318" s="88"/>
    </row>
    <row r="319" spans="1:34" x14ac:dyDescent="0.25">
      <c r="A319" s="7"/>
      <c r="B319" s="25"/>
      <c r="C319" s="91"/>
      <c r="D319" s="91"/>
      <c r="E319" s="78"/>
      <c r="F319" s="133"/>
      <c r="G319" s="38"/>
      <c r="H319" s="80"/>
      <c r="I319" s="81"/>
      <c r="J319" s="82"/>
      <c r="K319" s="83"/>
      <c r="L319" s="84"/>
      <c r="M319" s="79"/>
      <c r="N319" s="80"/>
      <c r="O319" s="81"/>
      <c r="P319" s="82"/>
      <c r="Q319" s="83"/>
      <c r="R319" s="84"/>
      <c r="S319" s="84"/>
      <c r="T319" s="84"/>
      <c r="U319" s="84"/>
      <c r="V319" s="84"/>
      <c r="W319" s="84"/>
      <c r="X319" s="84"/>
      <c r="Y319" s="84"/>
      <c r="Z319" s="84"/>
      <c r="AA319" s="84"/>
      <c r="AB319" s="84"/>
      <c r="AC319" s="84"/>
      <c r="AD319" s="84"/>
      <c r="AE319" s="85"/>
      <c r="AF319" s="86"/>
      <c r="AG319" s="87"/>
      <c r="AH319" s="88"/>
    </row>
    <row r="320" spans="1:34" x14ac:dyDescent="0.25">
      <c r="A320" s="7"/>
      <c r="B320" s="25"/>
      <c r="C320" s="91"/>
      <c r="D320" s="91"/>
      <c r="E320" s="78"/>
      <c r="F320" s="133"/>
      <c r="G320" s="38"/>
      <c r="H320" s="80"/>
      <c r="I320" s="81"/>
      <c r="J320" s="82"/>
      <c r="K320" s="83"/>
      <c r="L320" s="84"/>
      <c r="M320" s="79"/>
      <c r="N320" s="80"/>
      <c r="O320" s="81"/>
      <c r="P320" s="82"/>
      <c r="Q320" s="83"/>
      <c r="R320" s="84"/>
      <c r="S320" s="84"/>
      <c r="T320" s="84"/>
      <c r="U320" s="84"/>
      <c r="V320" s="84"/>
      <c r="W320" s="84"/>
      <c r="X320" s="84"/>
      <c r="Y320" s="84"/>
      <c r="Z320" s="84"/>
      <c r="AA320" s="84"/>
      <c r="AB320" s="84"/>
      <c r="AC320" s="84"/>
      <c r="AD320" s="84"/>
      <c r="AE320" s="85"/>
      <c r="AF320" s="86"/>
      <c r="AG320" s="87"/>
      <c r="AH320" s="88"/>
    </row>
    <row r="321" spans="1:34" x14ac:dyDescent="0.25">
      <c r="A321" s="7"/>
      <c r="B321" s="25"/>
      <c r="C321" s="91"/>
      <c r="D321" s="91"/>
      <c r="E321" s="78"/>
      <c r="F321" s="133"/>
      <c r="G321" s="38"/>
      <c r="H321" s="80"/>
      <c r="I321" s="81"/>
      <c r="J321" s="82"/>
      <c r="K321" s="83"/>
      <c r="L321" s="84"/>
      <c r="M321" s="79"/>
      <c r="N321" s="80"/>
      <c r="O321" s="81"/>
      <c r="P321" s="82"/>
      <c r="Q321" s="83"/>
      <c r="R321" s="84"/>
      <c r="S321" s="84"/>
      <c r="T321" s="84"/>
      <c r="U321" s="84"/>
      <c r="V321" s="84"/>
      <c r="W321" s="84"/>
      <c r="X321" s="84"/>
      <c r="Y321" s="84"/>
      <c r="Z321" s="84"/>
      <c r="AA321" s="84"/>
      <c r="AB321" s="84"/>
      <c r="AC321" s="84"/>
      <c r="AD321" s="84"/>
      <c r="AE321" s="85"/>
      <c r="AF321" s="86"/>
      <c r="AG321" s="87"/>
      <c r="AH321" s="88"/>
    </row>
    <row r="322" spans="1:34" x14ac:dyDescent="0.25">
      <c r="A322" s="7"/>
      <c r="B322" s="25"/>
      <c r="C322" s="91"/>
      <c r="D322" s="91"/>
      <c r="E322" s="78"/>
      <c r="F322" s="133"/>
      <c r="G322" s="38"/>
      <c r="H322" s="80"/>
      <c r="I322" s="81"/>
      <c r="J322" s="82"/>
      <c r="K322" s="83"/>
      <c r="L322" s="84"/>
      <c r="M322" s="79"/>
      <c r="N322" s="80"/>
      <c r="O322" s="81"/>
      <c r="P322" s="82"/>
      <c r="Q322" s="83"/>
      <c r="R322" s="84"/>
      <c r="S322" s="84"/>
      <c r="T322" s="84"/>
      <c r="U322" s="84"/>
      <c r="V322" s="84"/>
      <c r="W322" s="84"/>
      <c r="X322" s="84"/>
      <c r="Y322" s="84"/>
      <c r="Z322" s="84"/>
      <c r="AA322" s="84"/>
      <c r="AB322" s="84"/>
      <c r="AC322" s="84"/>
      <c r="AD322" s="84"/>
      <c r="AE322" s="85"/>
      <c r="AF322" s="86"/>
      <c r="AG322" s="87"/>
      <c r="AH322" s="88"/>
    </row>
    <row r="323" spans="1:34" x14ac:dyDescent="0.25">
      <c r="A323" s="7"/>
      <c r="B323" s="25"/>
      <c r="C323" s="91"/>
      <c r="D323" s="91"/>
      <c r="E323" s="78"/>
      <c r="F323" s="133"/>
      <c r="G323" s="38"/>
      <c r="H323" s="80"/>
      <c r="I323" s="81"/>
      <c r="J323" s="82"/>
      <c r="K323" s="83"/>
      <c r="L323" s="84"/>
      <c r="M323" s="79"/>
      <c r="N323" s="80"/>
      <c r="O323" s="81"/>
      <c r="P323" s="82"/>
      <c r="Q323" s="83"/>
      <c r="R323" s="84"/>
      <c r="S323" s="84"/>
      <c r="T323" s="84"/>
      <c r="U323" s="84"/>
      <c r="V323" s="84"/>
      <c r="W323" s="84"/>
      <c r="X323" s="84"/>
      <c r="Y323" s="84"/>
      <c r="Z323" s="84"/>
      <c r="AA323" s="84"/>
      <c r="AB323" s="84"/>
      <c r="AC323" s="84"/>
      <c r="AD323" s="84"/>
      <c r="AE323" s="85"/>
      <c r="AF323" s="86"/>
      <c r="AG323" s="87"/>
      <c r="AH323" s="88"/>
    </row>
    <row r="324" spans="1:34" x14ac:dyDescent="0.25">
      <c r="A324" s="7"/>
      <c r="B324" s="25"/>
      <c r="C324" s="91"/>
      <c r="D324" s="91"/>
      <c r="E324" s="78"/>
      <c r="F324" s="133"/>
      <c r="G324" s="38"/>
      <c r="H324" s="80"/>
      <c r="I324" s="81"/>
      <c r="J324" s="82"/>
      <c r="K324" s="83"/>
      <c r="L324" s="84"/>
      <c r="M324" s="79"/>
      <c r="N324" s="80"/>
      <c r="O324" s="81"/>
      <c r="P324" s="82"/>
      <c r="Q324" s="83"/>
      <c r="R324" s="84"/>
      <c r="S324" s="84"/>
      <c r="T324" s="84"/>
      <c r="U324" s="84"/>
      <c r="V324" s="84"/>
      <c r="W324" s="84"/>
      <c r="X324" s="84"/>
      <c r="Y324" s="84"/>
      <c r="Z324" s="84"/>
      <c r="AA324" s="84"/>
      <c r="AB324" s="84"/>
      <c r="AC324" s="84"/>
      <c r="AD324" s="84"/>
      <c r="AE324" s="85"/>
      <c r="AF324" s="86"/>
      <c r="AG324" s="87"/>
      <c r="AH324" s="88"/>
    </row>
    <row r="325" spans="1:34" x14ac:dyDescent="0.25">
      <c r="A325" s="7"/>
      <c r="B325" s="25"/>
      <c r="C325" s="91"/>
      <c r="D325" s="91"/>
      <c r="E325" s="78"/>
      <c r="F325" s="133"/>
      <c r="G325" s="38"/>
      <c r="H325" s="80"/>
      <c r="I325" s="81"/>
      <c r="J325" s="82"/>
      <c r="K325" s="83"/>
      <c r="L325" s="84"/>
      <c r="M325" s="79"/>
      <c r="N325" s="80"/>
      <c r="O325" s="81"/>
      <c r="P325" s="82"/>
      <c r="Q325" s="83"/>
      <c r="R325" s="84"/>
      <c r="S325" s="84"/>
      <c r="T325" s="84"/>
      <c r="U325" s="84"/>
      <c r="V325" s="84"/>
      <c r="W325" s="84"/>
      <c r="X325" s="84"/>
      <c r="Y325" s="84"/>
      <c r="Z325" s="84"/>
      <c r="AA325" s="84"/>
      <c r="AB325" s="84"/>
      <c r="AC325" s="84"/>
      <c r="AD325" s="84"/>
      <c r="AE325" s="85"/>
      <c r="AF325" s="86"/>
      <c r="AG325" s="87"/>
      <c r="AH325" s="88"/>
    </row>
    <row r="326" spans="1:34" x14ac:dyDescent="0.25">
      <c r="A326" s="7"/>
      <c r="B326" s="25"/>
      <c r="C326" s="91"/>
      <c r="D326" s="91"/>
      <c r="E326" s="78"/>
      <c r="F326" s="133"/>
      <c r="G326" s="38"/>
      <c r="H326" s="80"/>
      <c r="I326" s="81"/>
      <c r="J326" s="82"/>
      <c r="K326" s="83"/>
      <c r="L326" s="84"/>
      <c r="M326" s="79"/>
      <c r="N326" s="80"/>
      <c r="O326" s="81"/>
      <c r="P326" s="82"/>
      <c r="Q326" s="83"/>
      <c r="R326" s="84"/>
      <c r="S326" s="84"/>
      <c r="T326" s="84"/>
      <c r="U326" s="84"/>
      <c r="V326" s="84"/>
      <c r="W326" s="84"/>
      <c r="X326" s="84"/>
      <c r="Y326" s="84"/>
      <c r="Z326" s="84"/>
      <c r="AA326" s="84"/>
      <c r="AB326" s="84"/>
      <c r="AC326" s="84"/>
      <c r="AD326" s="84"/>
      <c r="AE326" s="85"/>
      <c r="AF326" s="86"/>
      <c r="AG326" s="87"/>
      <c r="AH326" s="88"/>
    </row>
    <row r="327" spans="1:34" x14ac:dyDescent="0.25">
      <c r="A327" s="7"/>
      <c r="B327" s="25"/>
      <c r="C327" s="91"/>
      <c r="D327" s="91"/>
      <c r="E327" s="78"/>
      <c r="F327" s="133"/>
      <c r="G327" s="38"/>
      <c r="H327" s="80"/>
      <c r="I327" s="81"/>
      <c r="J327" s="82"/>
      <c r="K327" s="83"/>
      <c r="L327" s="84"/>
      <c r="M327" s="79"/>
      <c r="N327" s="80"/>
      <c r="O327" s="81"/>
      <c r="P327" s="82"/>
      <c r="Q327" s="83"/>
      <c r="R327" s="84"/>
      <c r="S327" s="84"/>
      <c r="T327" s="84"/>
      <c r="U327" s="84"/>
      <c r="V327" s="84"/>
      <c r="W327" s="84"/>
      <c r="X327" s="84"/>
      <c r="Y327" s="84"/>
      <c r="Z327" s="84"/>
      <c r="AA327" s="84"/>
      <c r="AB327" s="84"/>
      <c r="AC327" s="84"/>
      <c r="AD327" s="84"/>
      <c r="AE327" s="85"/>
      <c r="AF327" s="86"/>
      <c r="AG327" s="87"/>
      <c r="AH327" s="88"/>
    </row>
    <row r="328" spans="1:34" x14ac:dyDescent="0.25">
      <c r="A328" s="7"/>
      <c r="B328" s="25"/>
      <c r="C328" s="91"/>
      <c r="D328" s="91"/>
      <c r="E328" s="78"/>
      <c r="F328" s="133"/>
      <c r="G328" s="38"/>
      <c r="H328" s="80"/>
      <c r="I328" s="81"/>
      <c r="J328" s="82"/>
      <c r="K328" s="83"/>
      <c r="L328" s="84"/>
      <c r="M328" s="79"/>
      <c r="N328" s="80"/>
      <c r="O328" s="81"/>
      <c r="P328" s="82"/>
      <c r="Q328" s="83"/>
      <c r="R328" s="84"/>
      <c r="S328" s="84"/>
      <c r="T328" s="84"/>
      <c r="U328" s="84"/>
      <c r="V328" s="84"/>
      <c r="W328" s="84"/>
      <c r="X328" s="84"/>
      <c r="Y328" s="84"/>
      <c r="Z328" s="84"/>
      <c r="AA328" s="84"/>
      <c r="AB328" s="84"/>
      <c r="AC328" s="84"/>
      <c r="AD328" s="84"/>
      <c r="AE328" s="85"/>
      <c r="AF328" s="86"/>
      <c r="AG328" s="87"/>
      <c r="AH328" s="88"/>
    </row>
    <row r="329" spans="1:34" x14ac:dyDescent="0.25">
      <c r="A329" s="7"/>
      <c r="B329" s="25"/>
      <c r="C329" s="91"/>
      <c r="D329" s="91"/>
      <c r="E329" s="78"/>
      <c r="F329" s="133"/>
      <c r="G329" s="38"/>
      <c r="H329" s="80"/>
      <c r="I329" s="81"/>
      <c r="J329" s="82"/>
      <c r="K329" s="83"/>
      <c r="L329" s="84"/>
      <c r="M329" s="79"/>
      <c r="N329" s="80"/>
      <c r="O329" s="81"/>
      <c r="P329" s="82"/>
      <c r="Q329" s="83"/>
      <c r="R329" s="84"/>
      <c r="S329" s="84"/>
      <c r="T329" s="84"/>
      <c r="U329" s="84"/>
      <c r="V329" s="84"/>
      <c r="W329" s="84"/>
      <c r="X329" s="84"/>
      <c r="Y329" s="84"/>
      <c r="Z329" s="84"/>
      <c r="AA329" s="84"/>
      <c r="AB329" s="84"/>
      <c r="AC329" s="84"/>
      <c r="AD329" s="84"/>
      <c r="AE329" s="85"/>
      <c r="AF329" s="86"/>
      <c r="AG329" s="87"/>
      <c r="AH329" s="88"/>
    </row>
    <row r="330" spans="1:34" x14ac:dyDescent="0.25">
      <c r="A330" s="7"/>
      <c r="B330" s="25"/>
      <c r="C330" s="91"/>
      <c r="D330" s="91"/>
      <c r="E330" s="78"/>
      <c r="F330" s="133"/>
      <c r="G330" s="38"/>
      <c r="H330" s="80"/>
      <c r="I330" s="81"/>
      <c r="J330" s="82"/>
      <c r="K330" s="83"/>
      <c r="L330" s="84"/>
      <c r="M330" s="79"/>
      <c r="N330" s="80"/>
      <c r="O330" s="81"/>
      <c r="P330" s="82"/>
      <c r="Q330" s="83"/>
      <c r="R330" s="84"/>
      <c r="S330" s="84"/>
      <c r="T330" s="84"/>
      <c r="U330" s="84"/>
      <c r="V330" s="84"/>
      <c r="W330" s="84"/>
      <c r="X330" s="84"/>
      <c r="Y330" s="84"/>
      <c r="Z330" s="84"/>
      <c r="AA330" s="84"/>
      <c r="AB330" s="84"/>
      <c r="AC330" s="84"/>
      <c r="AD330" s="84"/>
      <c r="AE330" s="85"/>
      <c r="AF330" s="86"/>
      <c r="AG330" s="87"/>
      <c r="AH330" s="88"/>
    </row>
    <row r="331" spans="1:34" x14ac:dyDescent="0.25">
      <c r="A331" s="7"/>
      <c r="B331" s="25"/>
      <c r="C331" s="91"/>
      <c r="D331" s="91"/>
      <c r="E331" s="78"/>
      <c r="F331" s="133"/>
      <c r="G331" s="38"/>
      <c r="H331" s="80"/>
      <c r="I331" s="81"/>
      <c r="J331" s="82"/>
      <c r="K331" s="83"/>
      <c r="L331" s="84"/>
      <c r="M331" s="79"/>
      <c r="N331" s="80"/>
      <c r="O331" s="81"/>
      <c r="P331" s="82"/>
      <c r="Q331" s="83"/>
      <c r="R331" s="84"/>
      <c r="S331" s="84"/>
      <c r="T331" s="84"/>
      <c r="U331" s="84"/>
      <c r="V331" s="84"/>
      <c r="W331" s="84"/>
      <c r="X331" s="84"/>
      <c r="Y331" s="84"/>
      <c r="Z331" s="84"/>
      <c r="AA331" s="84"/>
      <c r="AB331" s="84"/>
      <c r="AC331" s="84"/>
      <c r="AD331" s="84"/>
      <c r="AE331" s="85"/>
      <c r="AF331" s="86"/>
      <c r="AG331" s="87"/>
      <c r="AH331" s="88"/>
    </row>
    <row r="332" spans="1:34" x14ac:dyDescent="0.25">
      <c r="A332" s="7"/>
      <c r="B332" s="25"/>
      <c r="C332" s="91"/>
      <c r="D332" s="91"/>
      <c r="E332" s="78"/>
      <c r="F332" s="133"/>
      <c r="G332" s="38"/>
      <c r="H332" s="80"/>
      <c r="I332" s="81"/>
      <c r="J332" s="82"/>
      <c r="K332" s="83"/>
      <c r="L332" s="84"/>
      <c r="M332" s="79"/>
      <c r="N332" s="80"/>
      <c r="O332" s="81"/>
      <c r="P332" s="82"/>
      <c r="Q332" s="83"/>
      <c r="R332" s="84"/>
      <c r="S332" s="84"/>
      <c r="T332" s="84"/>
      <c r="U332" s="84"/>
      <c r="V332" s="84"/>
      <c r="W332" s="84"/>
      <c r="X332" s="84"/>
      <c r="Y332" s="84"/>
      <c r="Z332" s="84"/>
      <c r="AA332" s="84"/>
      <c r="AB332" s="84"/>
      <c r="AC332" s="84"/>
      <c r="AD332" s="84"/>
      <c r="AE332" s="85"/>
      <c r="AF332" s="86"/>
      <c r="AG332" s="87"/>
      <c r="AH332" s="88"/>
    </row>
    <row r="333" spans="1:34" x14ac:dyDescent="0.25">
      <c r="A333" s="7"/>
      <c r="B333" s="25"/>
      <c r="C333" s="91"/>
      <c r="D333" s="91"/>
      <c r="E333" s="78"/>
      <c r="F333" s="133"/>
      <c r="G333" s="38"/>
      <c r="H333" s="80"/>
      <c r="I333" s="81"/>
      <c r="J333" s="82"/>
      <c r="K333" s="83"/>
      <c r="L333" s="84"/>
      <c r="M333" s="79"/>
      <c r="N333" s="80"/>
      <c r="O333" s="81"/>
      <c r="P333" s="82"/>
      <c r="Q333" s="83"/>
      <c r="R333" s="84"/>
      <c r="S333" s="84"/>
      <c r="T333" s="84"/>
      <c r="U333" s="84"/>
      <c r="V333" s="84"/>
      <c r="W333" s="84"/>
      <c r="X333" s="84"/>
      <c r="Y333" s="84"/>
      <c r="Z333" s="84"/>
      <c r="AA333" s="84"/>
      <c r="AB333" s="84"/>
      <c r="AC333" s="84"/>
      <c r="AD333" s="84"/>
      <c r="AE333" s="85"/>
      <c r="AF333" s="86"/>
      <c r="AG333" s="87"/>
      <c r="AH333" s="88"/>
    </row>
    <row r="334" spans="1:34" x14ac:dyDescent="0.25">
      <c r="A334" s="7"/>
      <c r="B334" s="25"/>
      <c r="C334" s="91"/>
      <c r="D334" s="91"/>
      <c r="E334" s="78"/>
      <c r="F334" s="133"/>
      <c r="G334" s="38"/>
      <c r="H334" s="80"/>
      <c r="I334" s="81"/>
      <c r="J334" s="82"/>
      <c r="K334" s="83"/>
      <c r="L334" s="84"/>
      <c r="M334" s="79"/>
      <c r="N334" s="80"/>
      <c r="O334" s="81"/>
      <c r="P334" s="82"/>
      <c r="Q334" s="83"/>
      <c r="R334" s="84"/>
      <c r="S334" s="84"/>
      <c r="T334" s="84"/>
      <c r="U334" s="84"/>
      <c r="V334" s="84"/>
      <c r="W334" s="84"/>
      <c r="X334" s="84"/>
      <c r="Y334" s="84"/>
      <c r="Z334" s="84"/>
      <c r="AA334" s="84"/>
      <c r="AB334" s="84"/>
      <c r="AC334" s="84"/>
      <c r="AD334" s="84"/>
      <c r="AE334" s="85"/>
      <c r="AF334" s="86"/>
      <c r="AG334" s="87"/>
      <c r="AH334" s="88"/>
    </row>
    <row r="335" spans="1:34" x14ac:dyDescent="0.25">
      <c r="A335" s="7"/>
      <c r="B335" s="25"/>
      <c r="C335" s="91"/>
      <c r="D335" s="91"/>
      <c r="E335" s="78"/>
      <c r="F335" s="133"/>
      <c r="G335" s="38"/>
      <c r="H335" s="80"/>
      <c r="I335" s="81"/>
      <c r="J335" s="82"/>
      <c r="K335" s="83"/>
      <c r="L335" s="84"/>
      <c r="M335" s="79"/>
      <c r="N335" s="80"/>
      <c r="O335" s="81"/>
      <c r="P335" s="82"/>
      <c r="Q335" s="83"/>
      <c r="R335" s="84"/>
      <c r="S335" s="84"/>
      <c r="T335" s="84"/>
      <c r="U335" s="84"/>
      <c r="V335" s="84"/>
      <c r="W335" s="84"/>
      <c r="X335" s="84"/>
      <c r="Y335" s="84"/>
      <c r="Z335" s="84"/>
      <c r="AA335" s="84"/>
      <c r="AB335" s="84"/>
      <c r="AC335" s="84"/>
      <c r="AD335" s="84"/>
      <c r="AE335" s="85"/>
      <c r="AF335" s="86"/>
      <c r="AG335" s="87"/>
      <c r="AH335" s="88"/>
    </row>
    <row r="336" spans="1:34" x14ac:dyDescent="0.25">
      <c r="A336" s="7"/>
      <c r="B336" s="25"/>
      <c r="C336" s="91"/>
      <c r="D336" s="91"/>
      <c r="E336" s="78"/>
      <c r="F336" s="133"/>
      <c r="G336" s="38"/>
      <c r="H336" s="80"/>
      <c r="I336" s="81"/>
      <c r="J336" s="82"/>
      <c r="K336" s="83"/>
      <c r="L336" s="84"/>
      <c r="M336" s="79"/>
      <c r="N336" s="80"/>
      <c r="O336" s="81"/>
      <c r="P336" s="82"/>
      <c r="Q336" s="83"/>
      <c r="R336" s="84"/>
      <c r="S336" s="84"/>
      <c r="T336" s="84"/>
      <c r="U336" s="84"/>
      <c r="V336" s="84"/>
      <c r="W336" s="84"/>
      <c r="X336" s="84"/>
      <c r="Y336" s="84"/>
      <c r="Z336" s="84"/>
      <c r="AA336" s="84"/>
      <c r="AB336" s="84"/>
      <c r="AC336" s="84"/>
      <c r="AD336" s="84"/>
      <c r="AE336" s="85"/>
      <c r="AF336" s="86"/>
      <c r="AG336" s="87"/>
      <c r="AH336" s="88"/>
    </row>
    <row r="337" spans="1:34" x14ac:dyDescent="0.25">
      <c r="A337" s="7"/>
      <c r="B337" s="25"/>
      <c r="C337" s="91"/>
      <c r="D337" s="91"/>
      <c r="E337" s="78"/>
      <c r="F337" s="133"/>
      <c r="G337" s="38"/>
      <c r="H337" s="80"/>
      <c r="I337" s="81"/>
      <c r="J337" s="82"/>
      <c r="K337" s="83"/>
      <c r="L337" s="84"/>
      <c r="M337" s="79"/>
      <c r="N337" s="80"/>
      <c r="O337" s="81"/>
      <c r="P337" s="82"/>
      <c r="Q337" s="83"/>
      <c r="R337" s="84"/>
      <c r="S337" s="84"/>
      <c r="T337" s="84"/>
      <c r="U337" s="84"/>
      <c r="V337" s="84"/>
      <c r="W337" s="84"/>
      <c r="X337" s="84"/>
      <c r="Y337" s="84"/>
      <c r="Z337" s="84"/>
      <c r="AA337" s="84"/>
      <c r="AB337" s="84"/>
      <c r="AC337" s="84"/>
      <c r="AD337" s="84"/>
      <c r="AE337" s="85"/>
      <c r="AF337" s="86"/>
      <c r="AG337" s="87"/>
      <c r="AH337" s="88"/>
    </row>
    <row r="338" spans="1:34" x14ac:dyDescent="0.25">
      <c r="A338" s="7"/>
      <c r="B338" s="25"/>
      <c r="C338" s="91"/>
      <c r="D338" s="91"/>
      <c r="E338" s="78"/>
      <c r="F338" s="133"/>
      <c r="G338" s="38"/>
      <c r="H338" s="80"/>
      <c r="I338" s="81"/>
      <c r="J338" s="82"/>
      <c r="K338" s="83"/>
      <c r="L338" s="84"/>
      <c r="M338" s="79"/>
      <c r="N338" s="80"/>
      <c r="O338" s="81"/>
      <c r="P338" s="82"/>
      <c r="Q338" s="83"/>
      <c r="R338" s="84"/>
      <c r="S338" s="84"/>
      <c r="T338" s="84"/>
      <c r="U338" s="84"/>
      <c r="V338" s="84"/>
      <c r="W338" s="84"/>
      <c r="X338" s="84"/>
      <c r="Y338" s="84"/>
      <c r="Z338" s="84"/>
      <c r="AA338" s="84"/>
      <c r="AB338" s="84"/>
      <c r="AC338" s="84"/>
      <c r="AD338" s="84"/>
      <c r="AE338" s="85"/>
      <c r="AF338" s="86"/>
      <c r="AG338" s="87"/>
      <c r="AH338" s="88"/>
    </row>
    <row r="339" spans="1:34" x14ac:dyDescent="0.25">
      <c r="A339" s="7"/>
      <c r="B339" s="25"/>
      <c r="C339" s="91"/>
      <c r="D339" s="91"/>
      <c r="E339" s="78"/>
      <c r="F339" s="133"/>
      <c r="G339" s="38"/>
      <c r="H339" s="80"/>
      <c r="I339" s="81"/>
      <c r="J339" s="82"/>
      <c r="K339" s="83"/>
      <c r="L339" s="84"/>
      <c r="M339" s="79"/>
      <c r="N339" s="80"/>
      <c r="O339" s="81"/>
      <c r="P339" s="82"/>
      <c r="Q339" s="83"/>
      <c r="R339" s="84"/>
      <c r="S339" s="84"/>
      <c r="T339" s="84"/>
      <c r="U339" s="84"/>
      <c r="V339" s="84"/>
      <c r="W339" s="84"/>
      <c r="X339" s="84"/>
      <c r="Y339" s="84"/>
      <c r="Z339" s="84"/>
      <c r="AA339" s="84"/>
      <c r="AB339" s="84"/>
      <c r="AC339" s="84"/>
      <c r="AD339" s="84"/>
      <c r="AE339" s="85"/>
      <c r="AF339" s="86"/>
      <c r="AG339" s="87"/>
      <c r="AH339" s="88"/>
    </row>
    <row r="340" spans="1:34" x14ac:dyDescent="0.25">
      <c r="A340" s="7"/>
      <c r="B340" s="25"/>
      <c r="C340" s="91"/>
      <c r="D340" s="91"/>
      <c r="E340" s="78"/>
      <c r="F340" s="133"/>
      <c r="G340" s="38"/>
      <c r="H340" s="80"/>
      <c r="I340" s="81"/>
      <c r="J340" s="82"/>
      <c r="K340" s="83"/>
      <c r="L340" s="84"/>
      <c r="M340" s="79"/>
      <c r="N340" s="80"/>
      <c r="O340" s="81"/>
      <c r="P340" s="82"/>
      <c r="Q340" s="83"/>
      <c r="R340" s="84"/>
      <c r="S340" s="84"/>
      <c r="T340" s="84"/>
      <c r="U340" s="84"/>
      <c r="V340" s="84"/>
      <c r="W340" s="84"/>
      <c r="X340" s="84"/>
      <c r="Y340" s="84"/>
      <c r="Z340" s="84"/>
      <c r="AA340" s="84"/>
      <c r="AB340" s="84"/>
      <c r="AC340" s="84"/>
      <c r="AD340" s="84"/>
      <c r="AE340" s="85"/>
      <c r="AF340" s="86"/>
      <c r="AG340" s="87"/>
      <c r="AH340" s="88"/>
    </row>
    <row r="341" spans="1:34" x14ac:dyDescent="0.25">
      <c r="A341" s="7"/>
      <c r="B341" s="25"/>
      <c r="C341" s="91"/>
      <c r="D341" s="91"/>
      <c r="E341" s="78"/>
      <c r="F341" s="133"/>
      <c r="G341" s="38"/>
      <c r="H341" s="80"/>
      <c r="I341" s="81"/>
      <c r="J341" s="82"/>
      <c r="K341" s="83"/>
      <c r="L341" s="84"/>
      <c r="M341" s="79"/>
      <c r="N341" s="80"/>
      <c r="O341" s="81"/>
      <c r="P341" s="82"/>
      <c r="Q341" s="83"/>
      <c r="R341" s="84"/>
      <c r="S341" s="84"/>
      <c r="T341" s="84"/>
      <c r="U341" s="84"/>
      <c r="V341" s="84"/>
      <c r="W341" s="84"/>
      <c r="X341" s="84"/>
      <c r="Y341" s="84"/>
      <c r="Z341" s="84"/>
      <c r="AA341" s="84"/>
      <c r="AB341" s="84"/>
      <c r="AC341" s="84"/>
      <c r="AD341" s="84"/>
      <c r="AE341" s="85"/>
      <c r="AF341" s="86"/>
      <c r="AG341" s="87"/>
      <c r="AH341" s="88"/>
    </row>
    <row r="342" spans="1:34" x14ac:dyDescent="0.25">
      <c r="A342" s="7"/>
      <c r="B342" s="25"/>
      <c r="C342" s="91"/>
      <c r="D342" s="91"/>
      <c r="E342" s="78"/>
      <c r="F342" s="133"/>
      <c r="G342" s="38"/>
      <c r="H342" s="80"/>
      <c r="I342" s="81"/>
      <c r="J342" s="82"/>
      <c r="K342" s="83"/>
      <c r="L342" s="84"/>
      <c r="M342" s="79"/>
      <c r="N342" s="80"/>
      <c r="O342" s="81"/>
      <c r="P342" s="82"/>
      <c r="Q342" s="83"/>
      <c r="R342" s="84"/>
      <c r="S342" s="84"/>
      <c r="T342" s="84"/>
      <c r="U342" s="84"/>
      <c r="V342" s="84"/>
      <c r="W342" s="84"/>
      <c r="X342" s="84"/>
      <c r="Y342" s="84"/>
      <c r="Z342" s="84"/>
      <c r="AA342" s="84"/>
      <c r="AB342" s="84"/>
      <c r="AC342" s="84"/>
      <c r="AD342" s="84"/>
      <c r="AE342" s="85"/>
      <c r="AF342" s="86"/>
      <c r="AG342" s="87"/>
      <c r="AH342" s="88"/>
    </row>
    <row r="343" spans="1:34" x14ac:dyDescent="0.25">
      <c r="A343" s="7"/>
      <c r="B343" s="25"/>
      <c r="C343" s="91"/>
      <c r="D343" s="91"/>
      <c r="E343" s="78"/>
      <c r="F343" s="133"/>
      <c r="G343" s="38"/>
      <c r="H343" s="80"/>
      <c r="I343" s="81"/>
      <c r="J343" s="82"/>
      <c r="K343" s="83"/>
      <c r="L343" s="84"/>
      <c r="M343" s="79"/>
      <c r="N343" s="80"/>
      <c r="O343" s="81"/>
      <c r="P343" s="82"/>
      <c r="Q343" s="83"/>
      <c r="R343" s="84"/>
      <c r="S343" s="84"/>
      <c r="T343" s="84"/>
      <c r="U343" s="84"/>
      <c r="V343" s="84"/>
      <c r="W343" s="84"/>
      <c r="X343" s="84"/>
      <c r="Y343" s="84"/>
      <c r="Z343" s="84"/>
      <c r="AA343" s="84"/>
      <c r="AB343" s="84"/>
      <c r="AC343" s="84"/>
      <c r="AD343" s="84"/>
      <c r="AE343" s="85"/>
      <c r="AF343" s="86"/>
      <c r="AG343" s="87"/>
      <c r="AH343" s="88"/>
    </row>
    <row r="344" spans="1:34" x14ac:dyDescent="0.25">
      <c r="A344" s="7"/>
      <c r="B344" s="25"/>
      <c r="C344" s="91"/>
      <c r="D344" s="91"/>
      <c r="E344" s="78"/>
      <c r="F344" s="133"/>
      <c r="G344" s="38"/>
      <c r="H344" s="80"/>
      <c r="I344" s="81"/>
      <c r="J344" s="82"/>
      <c r="K344" s="83"/>
      <c r="L344" s="84"/>
      <c r="M344" s="79"/>
      <c r="N344" s="80"/>
      <c r="O344" s="81"/>
      <c r="P344" s="82"/>
      <c r="Q344" s="83"/>
      <c r="R344" s="84"/>
      <c r="S344" s="84"/>
      <c r="T344" s="84"/>
      <c r="U344" s="84"/>
      <c r="V344" s="84"/>
      <c r="W344" s="84"/>
      <c r="X344" s="84"/>
      <c r="Y344" s="84"/>
      <c r="Z344" s="84"/>
      <c r="AA344" s="84"/>
      <c r="AB344" s="84"/>
      <c r="AC344" s="84"/>
      <c r="AD344" s="84"/>
      <c r="AE344" s="85"/>
      <c r="AF344" s="86"/>
      <c r="AG344" s="87"/>
      <c r="AH344" s="88"/>
    </row>
    <row r="345" spans="1:34" x14ac:dyDescent="0.25">
      <c r="A345" s="7"/>
      <c r="B345" s="25"/>
      <c r="C345" s="91"/>
      <c r="D345" s="91"/>
      <c r="E345" s="78"/>
      <c r="F345" s="133"/>
      <c r="G345" s="38"/>
      <c r="H345" s="80"/>
      <c r="I345" s="81"/>
      <c r="J345" s="82"/>
      <c r="K345" s="83"/>
      <c r="L345" s="84"/>
      <c r="M345" s="79"/>
      <c r="N345" s="80"/>
      <c r="O345" s="81"/>
      <c r="P345" s="82"/>
      <c r="Q345" s="83"/>
      <c r="R345" s="84"/>
      <c r="S345" s="84"/>
      <c r="T345" s="84"/>
      <c r="U345" s="84"/>
      <c r="V345" s="84"/>
      <c r="W345" s="84"/>
      <c r="X345" s="84"/>
      <c r="Y345" s="84"/>
      <c r="Z345" s="84"/>
      <c r="AA345" s="84"/>
      <c r="AB345" s="84"/>
      <c r="AC345" s="84"/>
      <c r="AD345" s="84"/>
      <c r="AE345" s="85"/>
      <c r="AF345" s="86"/>
      <c r="AG345" s="87"/>
      <c r="AH345" s="88"/>
    </row>
    <row r="346" spans="1:34" x14ac:dyDescent="0.25">
      <c r="A346" s="7"/>
      <c r="B346" s="25"/>
      <c r="C346" s="91"/>
      <c r="D346" s="91"/>
      <c r="E346" s="78"/>
      <c r="F346" s="133"/>
      <c r="G346" s="38"/>
      <c r="H346" s="80"/>
      <c r="I346" s="81"/>
      <c r="J346" s="82"/>
      <c r="K346" s="83"/>
      <c r="L346" s="84"/>
      <c r="M346" s="79"/>
      <c r="N346" s="80"/>
      <c r="O346" s="81"/>
      <c r="P346" s="82"/>
      <c r="Q346" s="83"/>
      <c r="R346" s="84"/>
      <c r="S346" s="84"/>
      <c r="T346" s="84"/>
      <c r="U346" s="84"/>
      <c r="V346" s="84"/>
      <c r="W346" s="84"/>
      <c r="X346" s="84"/>
      <c r="Y346" s="84"/>
      <c r="Z346" s="84"/>
      <c r="AA346" s="84"/>
      <c r="AB346" s="84"/>
      <c r="AC346" s="84"/>
      <c r="AD346" s="84"/>
      <c r="AE346" s="85"/>
      <c r="AF346" s="86"/>
      <c r="AG346" s="87"/>
      <c r="AH346" s="88"/>
    </row>
    <row r="347" spans="1:34" x14ac:dyDescent="0.25">
      <c r="A347" s="7"/>
      <c r="B347" s="25"/>
      <c r="C347" s="91"/>
      <c r="D347" s="91"/>
      <c r="E347" s="78"/>
      <c r="F347" s="133"/>
      <c r="G347" s="38"/>
      <c r="H347" s="80"/>
      <c r="I347" s="81"/>
      <c r="J347" s="82"/>
      <c r="K347" s="83"/>
      <c r="L347" s="84"/>
      <c r="M347" s="79"/>
      <c r="N347" s="80"/>
      <c r="O347" s="81"/>
      <c r="P347" s="82"/>
      <c r="Q347" s="83"/>
      <c r="R347" s="84"/>
      <c r="S347" s="84"/>
      <c r="T347" s="84"/>
      <c r="U347" s="84"/>
      <c r="V347" s="84"/>
      <c r="W347" s="84"/>
      <c r="X347" s="84"/>
      <c r="Y347" s="84"/>
      <c r="Z347" s="84"/>
      <c r="AA347" s="84"/>
      <c r="AB347" s="84"/>
      <c r="AC347" s="84"/>
      <c r="AD347" s="84"/>
      <c r="AE347" s="85"/>
      <c r="AF347" s="86"/>
      <c r="AG347" s="87"/>
      <c r="AH347" s="88"/>
    </row>
    <row r="348" spans="1:34" x14ac:dyDescent="0.25">
      <c r="A348" s="7"/>
      <c r="B348" s="25"/>
      <c r="C348" s="91"/>
      <c r="D348" s="91"/>
      <c r="E348" s="78"/>
      <c r="F348" s="133"/>
      <c r="G348" s="38"/>
      <c r="H348" s="80"/>
      <c r="I348" s="81"/>
      <c r="J348" s="82"/>
      <c r="K348" s="83"/>
      <c r="L348" s="84"/>
      <c r="M348" s="79"/>
      <c r="N348" s="80"/>
      <c r="O348" s="81"/>
      <c r="P348" s="82"/>
      <c r="Q348" s="83"/>
      <c r="R348" s="84"/>
      <c r="S348" s="84"/>
      <c r="T348" s="84"/>
      <c r="U348" s="84"/>
      <c r="V348" s="84"/>
      <c r="W348" s="84"/>
      <c r="X348" s="84"/>
      <c r="Y348" s="84"/>
      <c r="Z348" s="84"/>
      <c r="AA348" s="84"/>
      <c r="AB348" s="84"/>
      <c r="AC348" s="84"/>
      <c r="AD348" s="84"/>
      <c r="AE348" s="85"/>
      <c r="AF348" s="86"/>
      <c r="AG348" s="87"/>
      <c r="AH348" s="88"/>
    </row>
    <row r="349" spans="1:34" x14ac:dyDescent="0.25">
      <c r="A349" s="7"/>
      <c r="B349" s="25"/>
      <c r="C349" s="91"/>
      <c r="D349" s="91"/>
      <c r="E349" s="78"/>
      <c r="F349" s="133"/>
      <c r="G349" s="38"/>
      <c r="H349" s="80"/>
      <c r="I349" s="81"/>
      <c r="J349" s="82"/>
      <c r="K349" s="83"/>
      <c r="L349" s="84"/>
      <c r="M349" s="79"/>
      <c r="N349" s="80"/>
      <c r="O349" s="81"/>
      <c r="P349" s="82"/>
      <c r="Q349" s="83"/>
      <c r="R349" s="84"/>
      <c r="S349" s="84"/>
      <c r="T349" s="84"/>
      <c r="U349" s="84"/>
      <c r="V349" s="84"/>
      <c r="W349" s="84"/>
      <c r="X349" s="84"/>
      <c r="Y349" s="84"/>
      <c r="Z349" s="84"/>
      <c r="AA349" s="84"/>
      <c r="AB349" s="84"/>
      <c r="AC349" s="84"/>
      <c r="AD349" s="84"/>
      <c r="AE349" s="85"/>
      <c r="AF349" s="86"/>
      <c r="AG349" s="87"/>
      <c r="AH349" s="88"/>
    </row>
    <row r="350" spans="1:34" x14ac:dyDescent="0.25">
      <c r="A350" s="7"/>
      <c r="B350" s="25"/>
      <c r="C350" s="91"/>
      <c r="D350" s="91"/>
      <c r="E350" s="78"/>
      <c r="F350" s="133"/>
      <c r="G350" s="38"/>
      <c r="H350" s="80"/>
      <c r="I350" s="81"/>
      <c r="J350" s="82"/>
      <c r="K350" s="83"/>
      <c r="L350" s="84"/>
      <c r="M350" s="79"/>
      <c r="N350" s="80"/>
      <c r="O350" s="81"/>
      <c r="P350" s="82"/>
      <c r="Q350" s="83"/>
      <c r="R350" s="84"/>
      <c r="S350" s="84"/>
      <c r="T350" s="84"/>
      <c r="U350" s="84"/>
      <c r="V350" s="84"/>
      <c r="W350" s="84"/>
      <c r="X350" s="84"/>
      <c r="Y350" s="84"/>
      <c r="Z350" s="84"/>
      <c r="AA350" s="84"/>
      <c r="AB350" s="84"/>
      <c r="AC350" s="84"/>
      <c r="AD350" s="84"/>
      <c r="AE350" s="85"/>
      <c r="AF350" s="86"/>
      <c r="AG350" s="87"/>
      <c r="AH350" s="88"/>
    </row>
    <row r="351" spans="1:34" x14ac:dyDescent="0.25">
      <c r="A351" s="7"/>
      <c r="B351" s="25"/>
      <c r="C351" s="91"/>
      <c r="D351" s="91"/>
      <c r="E351" s="78"/>
      <c r="F351" s="133"/>
      <c r="G351" s="38"/>
      <c r="H351" s="80"/>
      <c r="I351" s="81"/>
      <c r="J351" s="82"/>
      <c r="K351" s="83"/>
      <c r="L351" s="84"/>
      <c r="M351" s="79"/>
      <c r="N351" s="80"/>
      <c r="O351" s="81"/>
      <c r="P351" s="82"/>
      <c r="Q351" s="83"/>
      <c r="R351" s="84"/>
      <c r="S351" s="84"/>
      <c r="T351" s="84"/>
      <c r="U351" s="84"/>
      <c r="V351" s="84"/>
      <c r="W351" s="84"/>
      <c r="X351" s="84"/>
      <c r="Y351" s="84"/>
      <c r="Z351" s="84"/>
      <c r="AA351" s="84"/>
      <c r="AB351" s="84"/>
      <c r="AC351" s="84"/>
      <c r="AD351" s="84"/>
      <c r="AE351" s="85"/>
      <c r="AF351" s="86"/>
      <c r="AG351" s="87"/>
      <c r="AH351" s="88"/>
    </row>
    <row r="352" spans="1:34" x14ac:dyDescent="0.25">
      <c r="A352" s="7"/>
      <c r="B352" s="25"/>
      <c r="C352" s="91"/>
      <c r="D352" s="91"/>
      <c r="E352" s="78"/>
      <c r="F352" s="133"/>
      <c r="G352" s="38"/>
      <c r="H352" s="80"/>
      <c r="I352" s="81"/>
      <c r="J352" s="82"/>
      <c r="K352" s="83"/>
      <c r="L352" s="84"/>
      <c r="M352" s="79"/>
      <c r="N352" s="80"/>
      <c r="O352" s="81"/>
      <c r="P352" s="82"/>
      <c r="Q352" s="83"/>
      <c r="R352" s="84"/>
      <c r="S352" s="84"/>
      <c r="T352" s="84"/>
      <c r="U352" s="84"/>
      <c r="V352" s="84"/>
      <c r="W352" s="84"/>
      <c r="X352" s="84"/>
      <c r="Y352" s="84"/>
      <c r="Z352" s="84"/>
      <c r="AA352" s="84"/>
      <c r="AB352" s="84"/>
      <c r="AC352" s="84"/>
      <c r="AD352" s="84"/>
      <c r="AE352" s="85"/>
      <c r="AF352" s="86"/>
      <c r="AG352" s="87"/>
      <c r="AH352" s="88"/>
    </row>
    <row r="353" spans="1:34" x14ac:dyDescent="0.25">
      <c r="A353" s="7"/>
      <c r="B353" s="25"/>
      <c r="C353" s="91"/>
      <c r="D353" s="91"/>
      <c r="E353" s="78"/>
      <c r="F353" s="133"/>
      <c r="G353" s="38"/>
      <c r="H353" s="80"/>
      <c r="I353" s="81"/>
      <c r="J353" s="82"/>
      <c r="K353" s="83"/>
      <c r="L353" s="84"/>
      <c r="M353" s="79"/>
      <c r="N353" s="80"/>
      <c r="O353" s="81"/>
      <c r="P353" s="82"/>
      <c r="Q353" s="83"/>
      <c r="R353" s="84"/>
      <c r="S353" s="84"/>
      <c r="T353" s="84"/>
      <c r="U353" s="84"/>
      <c r="V353" s="84"/>
      <c r="W353" s="84"/>
      <c r="X353" s="84"/>
      <c r="Y353" s="84"/>
      <c r="Z353" s="84"/>
      <c r="AA353" s="84"/>
      <c r="AB353" s="84"/>
      <c r="AC353" s="84"/>
      <c r="AD353" s="84"/>
      <c r="AE353" s="85"/>
      <c r="AF353" s="86"/>
      <c r="AG353" s="87"/>
      <c r="AH353" s="88"/>
    </row>
    <row r="354" spans="1:34" x14ac:dyDescent="0.25">
      <c r="A354" s="7"/>
      <c r="B354" s="25"/>
      <c r="C354" s="91"/>
      <c r="D354" s="91"/>
      <c r="E354" s="78"/>
      <c r="F354" s="133"/>
      <c r="G354" s="38"/>
      <c r="H354" s="80"/>
      <c r="I354" s="81"/>
      <c r="J354" s="82"/>
      <c r="K354" s="83"/>
      <c r="L354" s="84"/>
      <c r="M354" s="79"/>
      <c r="N354" s="80"/>
      <c r="O354" s="81"/>
      <c r="P354" s="82"/>
      <c r="Q354" s="83"/>
      <c r="R354" s="84"/>
      <c r="S354" s="84"/>
      <c r="T354" s="84"/>
      <c r="U354" s="84"/>
      <c r="V354" s="84"/>
      <c r="W354" s="84"/>
      <c r="X354" s="84"/>
      <c r="Y354" s="84"/>
      <c r="Z354" s="84"/>
      <c r="AA354" s="84"/>
      <c r="AB354" s="84"/>
      <c r="AC354" s="84"/>
      <c r="AD354" s="84"/>
      <c r="AE354" s="85"/>
      <c r="AF354" s="86"/>
      <c r="AG354" s="87"/>
      <c r="AH354" s="88"/>
    </row>
    <row r="355" spans="1:34" x14ac:dyDescent="0.25">
      <c r="A355" s="7"/>
      <c r="B355" s="25"/>
      <c r="C355" s="91"/>
      <c r="D355" s="91"/>
      <c r="E355" s="78"/>
      <c r="F355" s="133"/>
      <c r="G355" s="38"/>
      <c r="H355" s="80"/>
      <c r="I355" s="81"/>
      <c r="J355" s="82"/>
      <c r="K355" s="83"/>
      <c r="L355" s="84"/>
      <c r="M355" s="79"/>
      <c r="N355" s="80"/>
      <c r="O355" s="81"/>
      <c r="P355" s="82"/>
      <c r="Q355" s="83"/>
      <c r="R355" s="84"/>
      <c r="S355" s="84"/>
      <c r="T355" s="84"/>
      <c r="U355" s="84"/>
      <c r="V355" s="84"/>
      <c r="W355" s="84"/>
      <c r="X355" s="84"/>
      <c r="Y355" s="84"/>
      <c r="Z355" s="84"/>
      <c r="AA355" s="84"/>
      <c r="AB355" s="84"/>
      <c r="AC355" s="84"/>
      <c r="AD355" s="84"/>
      <c r="AE355" s="85"/>
      <c r="AF355" s="86"/>
      <c r="AG355" s="87"/>
      <c r="AH355" s="88"/>
    </row>
    <row r="356" spans="1:34" x14ac:dyDescent="0.25">
      <c r="A356" s="7"/>
      <c r="B356" s="25"/>
      <c r="C356" s="91"/>
      <c r="D356" s="91"/>
      <c r="E356" s="78"/>
      <c r="F356" s="133"/>
      <c r="G356" s="38"/>
      <c r="H356" s="80"/>
      <c r="I356" s="81"/>
      <c r="J356" s="82"/>
      <c r="K356" s="83"/>
      <c r="L356" s="84"/>
      <c r="M356" s="79"/>
      <c r="N356" s="80"/>
      <c r="O356" s="81"/>
      <c r="P356" s="82"/>
      <c r="Q356" s="83"/>
      <c r="R356" s="84"/>
      <c r="S356" s="84"/>
      <c r="T356" s="84"/>
      <c r="U356" s="84"/>
      <c r="V356" s="84"/>
      <c r="W356" s="84"/>
      <c r="X356" s="84"/>
      <c r="Y356" s="84"/>
      <c r="Z356" s="84"/>
      <c r="AA356" s="84"/>
      <c r="AB356" s="84"/>
      <c r="AC356" s="84"/>
      <c r="AD356" s="84"/>
      <c r="AE356" s="85"/>
      <c r="AF356" s="86"/>
      <c r="AG356" s="87"/>
      <c r="AH356" s="88"/>
    </row>
    <row r="357" spans="1:34" x14ac:dyDescent="0.25">
      <c r="A357" s="7"/>
      <c r="B357" s="25"/>
      <c r="C357" s="91"/>
      <c r="D357" s="91"/>
      <c r="E357" s="78"/>
      <c r="F357" s="133"/>
      <c r="G357" s="38"/>
      <c r="H357" s="80"/>
      <c r="I357" s="81"/>
      <c r="J357" s="82"/>
      <c r="K357" s="83"/>
      <c r="L357" s="84"/>
      <c r="M357" s="79"/>
      <c r="N357" s="80"/>
      <c r="O357" s="81"/>
      <c r="P357" s="82"/>
      <c r="Q357" s="83"/>
      <c r="R357" s="84"/>
      <c r="S357" s="84"/>
      <c r="T357" s="84"/>
      <c r="U357" s="84"/>
      <c r="V357" s="84"/>
      <c r="W357" s="84"/>
      <c r="X357" s="84"/>
      <c r="Y357" s="84"/>
      <c r="Z357" s="84"/>
      <c r="AA357" s="84"/>
      <c r="AB357" s="84"/>
      <c r="AC357" s="84"/>
      <c r="AD357" s="84"/>
      <c r="AE357" s="85"/>
      <c r="AF357" s="86"/>
      <c r="AG357" s="87"/>
      <c r="AH357" s="88"/>
    </row>
    <row r="358" spans="1:34" x14ac:dyDescent="0.25">
      <c r="A358" s="7"/>
      <c r="B358" s="25"/>
      <c r="C358" s="91"/>
      <c r="D358" s="91"/>
      <c r="E358" s="78"/>
      <c r="F358" s="133"/>
      <c r="G358" s="38"/>
      <c r="H358" s="80"/>
      <c r="I358" s="81"/>
      <c r="J358" s="82"/>
      <c r="K358" s="83"/>
      <c r="L358" s="84"/>
      <c r="M358" s="79"/>
      <c r="N358" s="80"/>
      <c r="O358" s="81"/>
      <c r="P358" s="82"/>
      <c r="Q358" s="83"/>
      <c r="R358" s="84"/>
      <c r="S358" s="84"/>
      <c r="T358" s="84"/>
      <c r="U358" s="84"/>
      <c r="V358" s="84"/>
      <c r="W358" s="84"/>
      <c r="X358" s="84"/>
      <c r="Y358" s="84"/>
      <c r="Z358" s="84"/>
      <c r="AA358" s="84"/>
      <c r="AB358" s="84"/>
      <c r="AC358" s="84"/>
      <c r="AD358" s="84"/>
      <c r="AE358" s="85"/>
      <c r="AF358" s="86"/>
      <c r="AG358" s="87"/>
      <c r="AH358" s="88"/>
    </row>
    <row r="359" spans="1:34" x14ac:dyDescent="0.25">
      <c r="A359" s="7"/>
      <c r="B359" s="25"/>
      <c r="C359" s="91"/>
      <c r="D359" s="91"/>
      <c r="E359" s="78"/>
      <c r="F359" s="133"/>
      <c r="G359" s="38"/>
      <c r="H359" s="80"/>
      <c r="I359" s="81"/>
      <c r="J359" s="82"/>
      <c r="K359" s="83"/>
      <c r="L359" s="84"/>
      <c r="M359" s="79"/>
      <c r="N359" s="80"/>
      <c r="O359" s="81"/>
      <c r="P359" s="82"/>
      <c r="Q359" s="83"/>
      <c r="R359" s="84"/>
      <c r="S359" s="84"/>
      <c r="T359" s="84"/>
      <c r="U359" s="84"/>
      <c r="V359" s="84"/>
      <c r="W359" s="84"/>
      <c r="X359" s="84"/>
      <c r="Y359" s="84"/>
      <c r="Z359" s="84"/>
      <c r="AA359" s="84"/>
      <c r="AB359" s="84"/>
      <c r="AC359" s="84"/>
      <c r="AD359" s="84"/>
      <c r="AE359" s="85"/>
      <c r="AF359" s="86"/>
      <c r="AG359" s="87"/>
      <c r="AH359" s="88"/>
    </row>
    <row r="360" spans="1:34" x14ac:dyDescent="0.25">
      <c r="A360" s="7"/>
      <c r="B360" s="25"/>
      <c r="C360" s="91"/>
      <c r="D360" s="91"/>
      <c r="E360" s="78"/>
      <c r="F360" s="133"/>
      <c r="G360" s="38"/>
      <c r="H360" s="80"/>
      <c r="I360" s="81"/>
      <c r="J360" s="82"/>
      <c r="K360" s="83"/>
      <c r="L360" s="84"/>
      <c r="M360" s="79"/>
      <c r="N360" s="80"/>
      <c r="O360" s="81"/>
      <c r="P360" s="82"/>
      <c r="Q360" s="83"/>
      <c r="R360" s="84"/>
      <c r="S360" s="84"/>
      <c r="T360" s="84"/>
      <c r="U360" s="84"/>
      <c r="V360" s="84"/>
      <c r="W360" s="84"/>
      <c r="X360" s="84"/>
      <c r="Y360" s="84"/>
      <c r="Z360" s="84"/>
      <c r="AA360" s="84"/>
      <c r="AB360" s="84"/>
      <c r="AC360" s="84"/>
      <c r="AD360" s="84"/>
      <c r="AE360" s="85"/>
      <c r="AF360" s="86"/>
      <c r="AG360" s="87"/>
      <c r="AH360" s="88"/>
    </row>
    <row r="361" spans="1:34" x14ac:dyDescent="0.25">
      <c r="A361" s="7"/>
      <c r="B361" s="25"/>
      <c r="C361" s="91"/>
      <c r="D361" s="91"/>
      <c r="E361" s="78"/>
      <c r="F361" s="133"/>
      <c r="G361" s="38"/>
      <c r="H361" s="80"/>
      <c r="I361" s="81"/>
      <c r="J361" s="82"/>
      <c r="K361" s="83"/>
      <c r="L361" s="84"/>
      <c r="M361" s="79"/>
      <c r="N361" s="80"/>
      <c r="O361" s="81"/>
      <c r="P361" s="82"/>
      <c r="Q361" s="83"/>
      <c r="R361" s="84"/>
      <c r="S361" s="84"/>
      <c r="T361" s="84"/>
      <c r="U361" s="84"/>
      <c r="V361" s="84"/>
      <c r="W361" s="84"/>
      <c r="X361" s="84"/>
      <c r="Y361" s="84"/>
      <c r="Z361" s="84"/>
      <c r="AA361" s="84"/>
      <c r="AB361" s="84"/>
      <c r="AC361" s="84"/>
      <c r="AD361" s="84"/>
      <c r="AE361" s="85"/>
      <c r="AF361" s="86"/>
      <c r="AG361" s="87"/>
      <c r="AH361" s="88"/>
    </row>
    <row r="362" spans="1:34" x14ac:dyDescent="0.25">
      <c r="A362" s="7"/>
      <c r="B362" s="25"/>
      <c r="C362" s="91"/>
      <c r="D362" s="91"/>
      <c r="E362" s="78"/>
      <c r="F362" s="133"/>
      <c r="G362" s="38"/>
      <c r="H362" s="80"/>
      <c r="I362" s="81"/>
      <c r="J362" s="82"/>
      <c r="K362" s="83"/>
      <c r="L362" s="84"/>
      <c r="M362" s="79"/>
      <c r="N362" s="80"/>
      <c r="O362" s="81"/>
      <c r="P362" s="82"/>
      <c r="Q362" s="83"/>
      <c r="R362" s="84"/>
      <c r="S362" s="84"/>
      <c r="T362" s="84"/>
      <c r="U362" s="84"/>
      <c r="V362" s="84"/>
      <c r="W362" s="84"/>
      <c r="X362" s="84"/>
      <c r="Y362" s="84"/>
      <c r="Z362" s="84"/>
      <c r="AA362" s="84"/>
      <c r="AB362" s="84"/>
      <c r="AC362" s="84"/>
      <c r="AD362" s="84"/>
      <c r="AE362" s="85"/>
      <c r="AF362" s="86"/>
      <c r="AG362" s="87"/>
      <c r="AH362" s="88"/>
    </row>
    <row r="363" spans="1:34" x14ac:dyDescent="0.25">
      <c r="A363" s="7"/>
      <c r="B363" s="25"/>
      <c r="C363" s="91"/>
      <c r="D363" s="91"/>
      <c r="E363" s="78"/>
      <c r="F363" s="133"/>
      <c r="G363" s="38"/>
      <c r="H363" s="80"/>
      <c r="I363" s="81"/>
      <c r="J363" s="82"/>
      <c r="K363" s="83"/>
      <c r="L363" s="84"/>
      <c r="M363" s="79"/>
      <c r="N363" s="80"/>
      <c r="O363" s="81"/>
      <c r="P363" s="82"/>
      <c r="Q363" s="83"/>
      <c r="R363" s="84"/>
      <c r="S363" s="84"/>
      <c r="T363" s="84"/>
      <c r="U363" s="84"/>
      <c r="V363" s="84"/>
      <c r="W363" s="84"/>
      <c r="X363" s="84"/>
      <c r="Y363" s="84"/>
      <c r="Z363" s="84"/>
      <c r="AA363" s="84"/>
      <c r="AB363" s="84"/>
      <c r="AC363" s="84"/>
      <c r="AD363" s="84"/>
      <c r="AE363" s="85"/>
      <c r="AF363" s="86"/>
      <c r="AG363" s="87"/>
      <c r="AH363" s="88"/>
    </row>
    <row r="364" spans="1:34" x14ac:dyDescent="0.25">
      <c r="A364" s="7"/>
      <c r="B364" s="25"/>
      <c r="C364" s="91"/>
      <c r="D364" s="91"/>
      <c r="E364" s="78"/>
      <c r="F364" s="133"/>
      <c r="G364" s="38"/>
      <c r="H364" s="80"/>
      <c r="I364" s="81"/>
      <c r="J364" s="82"/>
      <c r="K364" s="83"/>
      <c r="L364" s="84"/>
      <c r="M364" s="79"/>
      <c r="N364" s="80"/>
      <c r="O364" s="81"/>
      <c r="P364" s="82"/>
      <c r="Q364" s="83"/>
      <c r="R364" s="84"/>
      <c r="S364" s="84"/>
      <c r="T364" s="84"/>
      <c r="U364" s="84"/>
      <c r="V364" s="84"/>
      <c r="W364" s="84"/>
      <c r="X364" s="84"/>
      <c r="Y364" s="84"/>
      <c r="Z364" s="84"/>
      <c r="AA364" s="84"/>
      <c r="AB364" s="84"/>
      <c r="AC364" s="84"/>
      <c r="AD364" s="84"/>
      <c r="AE364" s="85"/>
      <c r="AF364" s="86"/>
      <c r="AG364" s="87"/>
      <c r="AH364" s="88"/>
    </row>
    <row r="365" spans="1:34" x14ac:dyDescent="0.25">
      <c r="A365" s="7"/>
      <c r="B365" s="25"/>
      <c r="C365" s="91"/>
      <c r="D365" s="91"/>
      <c r="E365" s="78"/>
      <c r="F365" s="133"/>
      <c r="G365" s="38"/>
      <c r="H365" s="80"/>
      <c r="I365" s="81"/>
      <c r="J365" s="82"/>
      <c r="K365" s="83"/>
      <c r="L365" s="84"/>
      <c r="M365" s="79"/>
      <c r="N365" s="80"/>
      <c r="O365" s="81"/>
      <c r="P365" s="82"/>
      <c r="Q365" s="83"/>
      <c r="R365" s="84"/>
      <c r="S365" s="84"/>
      <c r="T365" s="84"/>
      <c r="U365" s="84"/>
      <c r="V365" s="84"/>
      <c r="W365" s="84"/>
      <c r="X365" s="84"/>
      <c r="Y365" s="84"/>
      <c r="Z365" s="84"/>
      <c r="AA365" s="84"/>
      <c r="AB365" s="84"/>
      <c r="AC365" s="84"/>
      <c r="AD365" s="84"/>
      <c r="AE365" s="85"/>
      <c r="AF365" s="86"/>
      <c r="AG365" s="87"/>
      <c r="AH365" s="88"/>
    </row>
    <row r="366" spans="1:34" x14ac:dyDescent="0.25">
      <c r="A366" s="7"/>
      <c r="B366" s="25"/>
      <c r="C366" s="91"/>
      <c r="D366" s="91"/>
      <c r="E366" s="78"/>
      <c r="F366" s="133"/>
      <c r="G366" s="38"/>
      <c r="H366" s="80"/>
      <c r="I366" s="81"/>
      <c r="J366" s="82"/>
      <c r="K366" s="83"/>
      <c r="L366" s="84"/>
      <c r="M366" s="79"/>
      <c r="N366" s="80"/>
      <c r="O366" s="81"/>
      <c r="P366" s="82"/>
      <c r="Q366" s="83"/>
      <c r="R366" s="84"/>
      <c r="S366" s="84"/>
      <c r="T366" s="84"/>
      <c r="U366" s="84"/>
      <c r="V366" s="84"/>
      <c r="W366" s="84"/>
      <c r="X366" s="84"/>
      <c r="Y366" s="84"/>
      <c r="Z366" s="84"/>
      <c r="AA366" s="84"/>
      <c r="AB366" s="84"/>
      <c r="AC366" s="84"/>
      <c r="AD366" s="84"/>
      <c r="AE366" s="85"/>
      <c r="AF366" s="86"/>
      <c r="AG366" s="87"/>
      <c r="AH366" s="88"/>
    </row>
    <row r="367" spans="1:34" x14ac:dyDescent="0.25">
      <c r="A367" s="7"/>
      <c r="B367" s="25"/>
      <c r="C367" s="91"/>
      <c r="D367" s="91"/>
      <c r="E367" s="78"/>
      <c r="F367" s="133"/>
      <c r="G367" s="38"/>
      <c r="H367" s="80"/>
      <c r="I367" s="81"/>
      <c r="J367" s="82"/>
      <c r="K367" s="83"/>
      <c r="L367" s="84"/>
      <c r="M367" s="79"/>
      <c r="N367" s="80"/>
      <c r="O367" s="81"/>
      <c r="P367" s="82"/>
      <c r="Q367" s="83"/>
      <c r="R367" s="84"/>
      <c r="S367" s="84"/>
      <c r="T367" s="84"/>
      <c r="U367" s="84"/>
      <c r="V367" s="84"/>
      <c r="W367" s="84"/>
      <c r="X367" s="84"/>
      <c r="Y367" s="84"/>
      <c r="Z367" s="84"/>
      <c r="AA367" s="84"/>
      <c r="AB367" s="84"/>
      <c r="AC367" s="84"/>
      <c r="AD367" s="84"/>
      <c r="AE367" s="85"/>
      <c r="AF367" s="86"/>
      <c r="AG367" s="87"/>
      <c r="AH367" s="88"/>
    </row>
    <row r="368" spans="1:34" x14ac:dyDescent="0.25">
      <c r="A368" s="7"/>
      <c r="B368" s="25"/>
      <c r="C368" s="91"/>
      <c r="D368" s="91"/>
      <c r="E368" s="78"/>
      <c r="F368" s="133"/>
      <c r="G368" s="38"/>
      <c r="H368" s="80"/>
      <c r="I368" s="81"/>
      <c r="J368" s="82"/>
      <c r="K368" s="83"/>
      <c r="L368" s="84"/>
      <c r="M368" s="79"/>
      <c r="N368" s="80"/>
      <c r="O368" s="81"/>
      <c r="P368" s="82"/>
      <c r="Q368" s="83"/>
      <c r="R368" s="84"/>
      <c r="S368" s="84"/>
      <c r="T368" s="84"/>
      <c r="U368" s="84"/>
      <c r="V368" s="84"/>
      <c r="W368" s="84"/>
      <c r="X368" s="84"/>
      <c r="Y368" s="84"/>
      <c r="Z368" s="84"/>
      <c r="AA368" s="84"/>
      <c r="AB368" s="84"/>
      <c r="AC368" s="84"/>
      <c r="AD368" s="84"/>
      <c r="AE368" s="85"/>
      <c r="AF368" s="86"/>
      <c r="AG368" s="87"/>
      <c r="AH368" s="88"/>
    </row>
    <row r="369" spans="1:34" x14ac:dyDescent="0.25">
      <c r="A369" s="7"/>
      <c r="B369" s="25"/>
      <c r="C369" s="91"/>
      <c r="D369" s="91"/>
      <c r="E369" s="78"/>
      <c r="F369" s="133"/>
      <c r="G369" s="38"/>
      <c r="H369" s="80"/>
      <c r="I369" s="81"/>
      <c r="J369" s="82"/>
      <c r="K369" s="83"/>
      <c r="L369" s="84"/>
      <c r="M369" s="79"/>
      <c r="N369" s="80"/>
      <c r="O369" s="81"/>
      <c r="P369" s="82"/>
      <c r="Q369" s="83"/>
      <c r="R369" s="84"/>
      <c r="S369" s="84"/>
      <c r="T369" s="84"/>
      <c r="U369" s="84"/>
      <c r="V369" s="84"/>
      <c r="W369" s="84"/>
      <c r="X369" s="84"/>
      <c r="Y369" s="84"/>
      <c r="Z369" s="84"/>
      <c r="AA369" s="84"/>
      <c r="AB369" s="84"/>
      <c r="AC369" s="84"/>
      <c r="AD369" s="84"/>
      <c r="AE369" s="85"/>
      <c r="AF369" s="86"/>
      <c r="AG369" s="87"/>
      <c r="AH369" s="88"/>
    </row>
    <row r="370" spans="1:34" x14ac:dyDescent="0.25">
      <c r="A370" s="7"/>
      <c r="B370" s="25"/>
      <c r="C370" s="91"/>
      <c r="D370" s="91"/>
      <c r="E370" s="78"/>
      <c r="F370" s="133"/>
      <c r="G370" s="38"/>
      <c r="H370" s="80"/>
      <c r="I370" s="81"/>
      <c r="J370" s="82"/>
      <c r="K370" s="83"/>
      <c r="L370" s="84"/>
      <c r="M370" s="79"/>
      <c r="N370" s="80"/>
      <c r="O370" s="81"/>
      <c r="P370" s="82"/>
      <c r="Q370" s="83"/>
      <c r="R370" s="84"/>
      <c r="S370" s="84"/>
      <c r="T370" s="84"/>
      <c r="U370" s="84"/>
      <c r="V370" s="84"/>
      <c r="W370" s="84"/>
      <c r="X370" s="84"/>
      <c r="Y370" s="84"/>
      <c r="Z370" s="84"/>
      <c r="AA370" s="84"/>
      <c r="AB370" s="84"/>
      <c r="AC370" s="84"/>
      <c r="AD370" s="84"/>
      <c r="AE370" s="85"/>
      <c r="AF370" s="86"/>
      <c r="AG370" s="87"/>
      <c r="AH370" s="88"/>
    </row>
    <row r="371" spans="1:34" x14ac:dyDescent="0.25">
      <c r="A371" s="7"/>
      <c r="B371" s="25"/>
      <c r="C371" s="91"/>
      <c r="D371" s="91"/>
      <c r="E371" s="78"/>
      <c r="F371" s="133"/>
      <c r="G371" s="38"/>
      <c r="H371" s="80"/>
      <c r="I371" s="81"/>
      <c r="J371" s="82"/>
      <c r="K371" s="83"/>
      <c r="L371" s="84"/>
      <c r="M371" s="79"/>
      <c r="N371" s="80"/>
      <c r="O371" s="81"/>
      <c r="P371" s="82"/>
      <c r="Q371" s="83"/>
      <c r="R371" s="84"/>
      <c r="S371" s="84"/>
      <c r="T371" s="84"/>
      <c r="U371" s="84"/>
      <c r="V371" s="84"/>
      <c r="W371" s="84"/>
      <c r="X371" s="84"/>
      <c r="Y371" s="84"/>
      <c r="Z371" s="84"/>
      <c r="AA371" s="84"/>
      <c r="AB371" s="84"/>
      <c r="AC371" s="84"/>
      <c r="AD371" s="84"/>
      <c r="AE371" s="85"/>
      <c r="AF371" s="86"/>
      <c r="AG371" s="87"/>
      <c r="AH371" s="88"/>
    </row>
    <row r="372" spans="1:34" x14ac:dyDescent="0.25">
      <c r="A372" s="7"/>
      <c r="B372" s="25"/>
      <c r="C372" s="91"/>
      <c r="D372" s="91"/>
      <c r="E372" s="78"/>
      <c r="F372" s="133"/>
      <c r="G372" s="38"/>
      <c r="H372" s="80"/>
      <c r="I372" s="81"/>
      <c r="J372" s="82"/>
      <c r="K372" s="83"/>
      <c r="L372" s="84"/>
      <c r="M372" s="79"/>
      <c r="N372" s="80"/>
      <c r="O372" s="81"/>
      <c r="P372" s="82"/>
      <c r="Q372" s="83"/>
      <c r="R372" s="84"/>
      <c r="S372" s="84"/>
      <c r="T372" s="84"/>
      <c r="U372" s="84"/>
      <c r="V372" s="84"/>
      <c r="W372" s="84"/>
      <c r="X372" s="84"/>
      <c r="Y372" s="84"/>
      <c r="Z372" s="84"/>
      <c r="AA372" s="84"/>
      <c r="AB372" s="84"/>
      <c r="AC372" s="84"/>
      <c r="AD372" s="84"/>
      <c r="AE372" s="85"/>
      <c r="AF372" s="86"/>
      <c r="AG372" s="87"/>
      <c r="AH372" s="88"/>
    </row>
    <row r="373" spans="1:34" x14ac:dyDescent="0.25">
      <c r="A373" s="7"/>
      <c r="B373" s="25"/>
      <c r="C373" s="91"/>
      <c r="D373" s="91"/>
      <c r="E373" s="78"/>
      <c r="F373" s="133"/>
      <c r="G373" s="38"/>
      <c r="H373" s="80"/>
      <c r="I373" s="81"/>
      <c r="J373" s="82"/>
      <c r="K373" s="83"/>
      <c r="L373" s="84"/>
      <c r="M373" s="79"/>
      <c r="N373" s="80"/>
      <c r="O373" s="81"/>
      <c r="P373" s="82"/>
      <c r="Q373" s="83"/>
      <c r="R373" s="84"/>
      <c r="S373" s="84"/>
      <c r="T373" s="84"/>
      <c r="U373" s="84"/>
      <c r="V373" s="84"/>
      <c r="W373" s="84"/>
      <c r="X373" s="84"/>
      <c r="Y373" s="84"/>
      <c r="Z373" s="84"/>
      <c r="AA373" s="84"/>
      <c r="AB373" s="84"/>
      <c r="AC373" s="84"/>
      <c r="AD373" s="84"/>
      <c r="AE373" s="85"/>
      <c r="AF373" s="86"/>
      <c r="AG373" s="87"/>
      <c r="AH373" s="88"/>
    </row>
    <row r="374" spans="1:34" x14ac:dyDescent="0.25">
      <c r="A374" s="7"/>
      <c r="B374" s="25"/>
      <c r="C374" s="91"/>
      <c r="D374" s="91"/>
      <c r="E374" s="78"/>
      <c r="F374" s="133"/>
      <c r="G374" s="38"/>
      <c r="H374" s="80"/>
      <c r="I374" s="81"/>
      <c r="J374" s="82"/>
      <c r="K374" s="83"/>
      <c r="L374" s="84"/>
      <c r="M374" s="79"/>
      <c r="N374" s="80"/>
      <c r="O374" s="81"/>
      <c r="P374" s="82"/>
      <c r="Q374" s="83"/>
      <c r="R374" s="84"/>
      <c r="S374" s="84"/>
      <c r="T374" s="84"/>
      <c r="U374" s="84"/>
      <c r="V374" s="84"/>
      <c r="W374" s="84"/>
      <c r="X374" s="84"/>
      <c r="Y374" s="84"/>
      <c r="Z374" s="84"/>
      <c r="AA374" s="84"/>
      <c r="AB374" s="84"/>
      <c r="AC374" s="84"/>
      <c r="AD374" s="84"/>
      <c r="AE374" s="85"/>
      <c r="AF374" s="86"/>
      <c r="AG374" s="87"/>
      <c r="AH374" s="88"/>
    </row>
    <row r="375" spans="1:34" x14ac:dyDescent="0.25">
      <c r="A375" s="7"/>
      <c r="B375" s="25"/>
      <c r="C375" s="91"/>
      <c r="D375" s="91"/>
      <c r="E375" s="78"/>
      <c r="F375" s="133"/>
      <c r="G375" s="38"/>
      <c r="H375" s="80"/>
      <c r="I375" s="81"/>
      <c r="J375" s="82"/>
      <c r="K375" s="83"/>
      <c r="L375" s="84"/>
      <c r="M375" s="79"/>
      <c r="N375" s="80"/>
      <c r="O375" s="81"/>
      <c r="P375" s="82"/>
      <c r="Q375" s="83"/>
      <c r="R375" s="84"/>
      <c r="S375" s="84"/>
      <c r="T375" s="84"/>
      <c r="U375" s="84"/>
      <c r="V375" s="84"/>
      <c r="W375" s="84"/>
      <c r="X375" s="84"/>
      <c r="Y375" s="84"/>
      <c r="Z375" s="84"/>
      <c r="AA375" s="84"/>
      <c r="AB375" s="84"/>
      <c r="AC375" s="84"/>
      <c r="AD375" s="84"/>
      <c r="AE375" s="85"/>
      <c r="AF375" s="86"/>
      <c r="AG375" s="87"/>
      <c r="AH375" s="88"/>
    </row>
    <row r="376" spans="1:34" x14ac:dyDescent="0.25">
      <c r="A376" s="7"/>
      <c r="B376" s="25"/>
      <c r="C376" s="91"/>
      <c r="D376" s="91"/>
      <c r="E376" s="78"/>
      <c r="F376" s="133"/>
      <c r="G376" s="38"/>
      <c r="H376" s="80"/>
      <c r="I376" s="81"/>
      <c r="J376" s="82"/>
      <c r="K376" s="83"/>
      <c r="L376" s="84"/>
      <c r="M376" s="79"/>
      <c r="N376" s="80"/>
      <c r="O376" s="81"/>
      <c r="P376" s="82"/>
      <c r="Q376" s="83"/>
      <c r="R376" s="84"/>
      <c r="S376" s="84"/>
      <c r="T376" s="84"/>
      <c r="U376" s="84"/>
      <c r="V376" s="84"/>
      <c r="W376" s="84"/>
      <c r="X376" s="84"/>
      <c r="Y376" s="84"/>
      <c r="Z376" s="84"/>
      <c r="AA376" s="84"/>
      <c r="AB376" s="84"/>
      <c r="AC376" s="84"/>
      <c r="AD376" s="84"/>
      <c r="AE376" s="85"/>
      <c r="AF376" s="86"/>
      <c r="AG376" s="87"/>
      <c r="AH376" s="88"/>
    </row>
    <row r="377" spans="1:34" x14ac:dyDescent="0.25">
      <c r="A377" s="7"/>
      <c r="B377" s="25"/>
      <c r="C377" s="91"/>
      <c r="D377" s="91"/>
      <c r="E377" s="78"/>
      <c r="F377" s="133"/>
      <c r="G377" s="38"/>
      <c r="H377" s="80"/>
      <c r="I377" s="81"/>
      <c r="J377" s="82"/>
      <c r="K377" s="83"/>
      <c r="L377" s="84"/>
      <c r="M377" s="79"/>
      <c r="N377" s="80"/>
      <c r="O377" s="81"/>
      <c r="P377" s="82"/>
      <c r="Q377" s="83"/>
      <c r="R377" s="84"/>
      <c r="S377" s="84"/>
      <c r="T377" s="84"/>
      <c r="U377" s="84"/>
      <c r="V377" s="84"/>
      <c r="W377" s="84"/>
      <c r="X377" s="84"/>
      <c r="Y377" s="84"/>
      <c r="Z377" s="84"/>
      <c r="AA377" s="84"/>
      <c r="AB377" s="84"/>
      <c r="AC377" s="84"/>
      <c r="AD377" s="84"/>
      <c r="AE377" s="85"/>
      <c r="AF377" s="86"/>
      <c r="AG377" s="87"/>
      <c r="AH377" s="88"/>
    </row>
    <row r="378" spans="1:34" x14ac:dyDescent="0.25">
      <c r="A378" s="7"/>
      <c r="B378" s="25"/>
      <c r="C378" s="91"/>
      <c r="D378" s="91"/>
      <c r="E378" s="78"/>
      <c r="F378" s="133"/>
      <c r="G378" s="38"/>
      <c r="H378" s="80"/>
      <c r="I378" s="81"/>
      <c r="J378" s="82"/>
      <c r="K378" s="83"/>
      <c r="L378" s="84"/>
      <c r="M378" s="79"/>
      <c r="N378" s="80"/>
      <c r="O378" s="81"/>
      <c r="P378" s="82"/>
      <c r="Q378" s="83"/>
      <c r="R378" s="84"/>
      <c r="S378" s="84"/>
      <c r="T378" s="84"/>
      <c r="U378" s="84"/>
      <c r="V378" s="84"/>
      <c r="W378" s="84"/>
      <c r="X378" s="84"/>
      <c r="Y378" s="84"/>
      <c r="Z378" s="84"/>
      <c r="AA378" s="84"/>
      <c r="AB378" s="84"/>
      <c r="AC378" s="84"/>
      <c r="AD378" s="84"/>
      <c r="AE378" s="85"/>
      <c r="AF378" s="86"/>
      <c r="AG378" s="87"/>
      <c r="AH378" s="88"/>
    </row>
    <row r="379" spans="1:34" x14ac:dyDescent="0.25">
      <c r="A379" s="7"/>
      <c r="B379" s="25"/>
      <c r="C379" s="91"/>
      <c r="D379" s="91"/>
      <c r="E379" s="78"/>
      <c r="F379" s="133"/>
      <c r="G379" s="38"/>
      <c r="H379" s="80"/>
      <c r="I379" s="81"/>
      <c r="J379" s="82"/>
      <c r="K379" s="83"/>
      <c r="L379" s="84"/>
      <c r="M379" s="79"/>
      <c r="N379" s="80"/>
      <c r="O379" s="81"/>
      <c r="P379" s="82"/>
      <c r="Q379" s="83"/>
      <c r="R379" s="84"/>
      <c r="S379" s="84"/>
      <c r="T379" s="84"/>
      <c r="U379" s="84"/>
      <c r="V379" s="84"/>
      <c r="W379" s="84"/>
      <c r="X379" s="84"/>
      <c r="Y379" s="84"/>
      <c r="Z379" s="84"/>
      <c r="AA379" s="84"/>
      <c r="AB379" s="84"/>
      <c r="AC379" s="84"/>
      <c r="AD379" s="84"/>
      <c r="AE379" s="85"/>
      <c r="AF379" s="86"/>
      <c r="AG379" s="87"/>
      <c r="AH379" s="88"/>
    </row>
    <row r="380" spans="1:34" x14ac:dyDescent="0.25">
      <c r="A380" s="7"/>
      <c r="B380" s="25"/>
      <c r="C380" s="91"/>
      <c r="D380" s="91"/>
      <c r="E380" s="78"/>
      <c r="F380" s="133"/>
      <c r="G380" s="38"/>
      <c r="H380" s="80"/>
      <c r="I380" s="81"/>
      <c r="J380" s="82"/>
      <c r="K380" s="83"/>
      <c r="L380" s="84"/>
      <c r="M380" s="79"/>
      <c r="N380" s="80"/>
      <c r="O380" s="81"/>
      <c r="P380" s="82"/>
      <c r="Q380" s="83"/>
      <c r="R380" s="84"/>
      <c r="S380" s="84"/>
      <c r="T380" s="84"/>
      <c r="U380" s="84"/>
      <c r="V380" s="84"/>
      <c r="W380" s="84"/>
      <c r="X380" s="84"/>
      <c r="Y380" s="84"/>
      <c r="Z380" s="84"/>
      <c r="AA380" s="84"/>
      <c r="AB380" s="84"/>
      <c r="AC380" s="84"/>
      <c r="AD380" s="84"/>
      <c r="AE380" s="85"/>
      <c r="AF380" s="86"/>
      <c r="AG380" s="87"/>
      <c r="AH380" s="88"/>
    </row>
    <row r="381" spans="1:34" x14ac:dyDescent="0.25">
      <c r="A381" s="7"/>
      <c r="B381" s="25"/>
      <c r="C381" s="91"/>
      <c r="D381" s="91"/>
      <c r="E381" s="78"/>
      <c r="F381" s="133"/>
      <c r="G381" s="38"/>
      <c r="H381" s="80"/>
      <c r="I381" s="81"/>
      <c r="J381" s="82"/>
      <c r="K381" s="83"/>
      <c r="L381" s="84"/>
      <c r="M381" s="79"/>
      <c r="N381" s="80"/>
      <c r="O381" s="81"/>
      <c r="P381" s="82"/>
      <c r="Q381" s="83"/>
      <c r="R381" s="84"/>
      <c r="S381" s="84"/>
      <c r="T381" s="84"/>
      <c r="U381" s="84"/>
      <c r="V381" s="84"/>
      <c r="W381" s="84"/>
      <c r="X381" s="84"/>
      <c r="Y381" s="84"/>
      <c r="Z381" s="84"/>
      <c r="AA381" s="84"/>
      <c r="AB381" s="84"/>
      <c r="AC381" s="84"/>
      <c r="AD381" s="84"/>
      <c r="AE381" s="85"/>
      <c r="AF381" s="86"/>
      <c r="AG381" s="87"/>
      <c r="AH381" s="88"/>
    </row>
    <row r="382" spans="1:34" x14ac:dyDescent="0.25">
      <c r="A382" s="7"/>
      <c r="B382" s="25"/>
      <c r="C382" s="91"/>
      <c r="D382" s="91"/>
      <c r="E382" s="78"/>
      <c r="F382" s="133"/>
      <c r="G382" s="38"/>
      <c r="H382" s="80"/>
      <c r="I382" s="81"/>
      <c r="J382" s="82"/>
      <c r="K382" s="83"/>
      <c r="L382" s="84"/>
      <c r="M382" s="79"/>
      <c r="N382" s="80"/>
      <c r="O382" s="81"/>
      <c r="P382" s="82"/>
      <c r="Q382" s="83"/>
      <c r="R382" s="84"/>
      <c r="S382" s="84"/>
      <c r="T382" s="84"/>
      <c r="U382" s="84"/>
      <c r="V382" s="84"/>
      <c r="W382" s="84"/>
      <c r="X382" s="84"/>
      <c r="Y382" s="84"/>
      <c r="Z382" s="84"/>
      <c r="AA382" s="84"/>
      <c r="AB382" s="84"/>
      <c r="AC382" s="84"/>
      <c r="AD382" s="84"/>
      <c r="AE382" s="85"/>
      <c r="AF382" s="86"/>
      <c r="AG382" s="87"/>
      <c r="AH382" s="88"/>
    </row>
    <row r="383" spans="1:34" x14ac:dyDescent="0.25">
      <c r="A383" s="7"/>
      <c r="B383" s="25"/>
      <c r="C383" s="91"/>
      <c r="D383" s="91"/>
      <c r="E383" s="78"/>
      <c r="F383" s="133"/>
      <c r="G383" s="38"/>
      <c r="H383" s="80"/>
      <c r="I383" s="81"/>
      <c r="J383" s="82"/>
      <c r="K383" s="83"/>
      <c r="L383" s="84"/>
      <c r="M383" s="79"/>
      <c r="N383" s="80"/>
      <c r="O383" s="81"/>
      <c r="P383" s="82"/>
      <c r="Q383" s="83"/>
      <c r="R383" s="84"/>
      <c r="S383" s="84"/>
      <c r="T383" s="84"/>
      <c r="U383" s="84"/>
      <c r="V383" s="84"/>
      <c r="W383" s="84"/>
      <c r="X383" s="84"/>
      <c r="Y383" s="84"/>
      <c r="Z383" s="84"/>
      <c r="AA383" s="84"/>
      <c r="AB383" s="84"/>
      <c r="AC383" s="84"/>
      <c r="AD383" s="84"/>
      <c r="AE383" s="85"/>
      <c r="AF383" s="86"/>
      <c r="AG383" s="87"/>
      <c r="AH383" s="88"/>
    </row>
    <row r="384" spans="1:34" x14ac:dyDescent="0.25">
      <c r="A384" s="7"/>
      <c r="B384" s="25"/>
      <c r="C384" s="91"/>
      <c r="D384" s="91"/>
      <c r="E384" s="78"/>
      <c r="F384" s="133"/>
      <c r="G384" s="38"/>
      <c r="H384" s="80"/>
      <c r="I384" s="81"/>
      <c r="J384" s="82"/>
      <c r="K384" s="83"/>
      <c r="L384" s="84"/>
      <c r="M384" s="79"/>
      <c r="N384" s="80"/>
      <c r="O384" s="81"/>
      <c r="P384" s="82"/>
      <c r="Q384" s="83"/>
      <c r="R384" s="84"/>
      <c r="S384" s="84"/>
      <c r="T384" s="84"/>
      <c r="U384" s="84"/>
      <c r="V384" s="84"/>
      <c r="W384" s="84"/>
      <c r="X384" s="84"/>
      <c r="Y384" s="84"/>
      <c r="Z384" s="84"/>
      <c r="AA384" s="84"/>
      <c r="AB384" s="84"/>
      <c r="AC384" s="84"/>
      <c r="AD384" s="84"/>
      <c r="AE384" s="85"/>
      <c r="AF384" s="86"/>
      <c r="AG384" s="87"/>
      <c r="AH384" s="88"/>
    </row>
    <row r="385" spans="1:34" x14ac:dyDescent="0.25">
      <c r="A385" s="7"/>
      <c r="B385" s="25"/>
      <c r="C385" s="91"/>
      <c r="D385" s="91"/>
      <c r="E385" s="78"/>
      <c r="F385" s="133"/>
      <c r="G385" s="38"/>
      <c r="H385" s="80"/>
      <c r="I385" s="81"/>
      <c r="J385" s="82"/>
      <c r="K385" s="83"/>
      <c r="L385" s="84"/>
      <c r="M385" s="79"/>
      <c r="N385" s="80"/>
      <c r="O385" s="81"/>
      <c r="P385" s="82"/>
      <c r="Q385" s="83"/>
      <c r="R385" s="84"/>
      <c r="S385" s="84"/>
      <c r="T385" s="84"/>
      <c r="U385" s="84"/>
      <c r="V385" s="84"/>
      <c r="W385" s="84"/>
      <c r="X385" s="84"/>
      <c r="Y385" s="84"/>
      <c r="Z385" s="84"/>
      <c r="AA385" s="84"/>
      <c r="AB385" s="84"/>
      <c r="AC385" s="84"/>
      <c r="AD385" s="84"/>
      <c r="AE385" s="85"/>
      <c r="AF385" s="86"/>
      <c r="AG385" s="87"/>
      <c r="AH385" s="88"/>
    </row>
    <row r="386" spans="1:34" x14ac:dyDescent="0.25">
      <c r="A386" s="7"/>
      <c r="B386" s="25"/>
      <c r="C386" s="91"/>
      <c r="D386" s="91"/>
      <c r="E386" s="78"/>
      <c r="F386" s="133"/>
      <c r="G386" s="38"/>
      <c r="H386" s="80"/>
      <c r="I386" s="81"/>
      <c r="J386" s="82"/>
      <c r="K386" s="83"/>
      <c r="L386" s="84"/>
      <c r="M386" s="79"/>
      <c r="N386" s="80"/>
      <c r="O386" s="81"/>
      <c r="P386" s="82"/>
      <c r="Q386" s="83"/>
      <c r="R386" s="84"/>
      <c r="S386" s="84"/>
      <c r="T386" s="84"/>
      <c r="U386" s="84"/>
      <c r="V386" s="84"/>
      <c r="W386" s="84"/>
      <c r="X386" s="84"/>
      <c r="Y386" s="84"/>
      <c r="Z386" s="84"/>
      <c r="AA386" s="84"/>
      <c r="AB386" s="84"/>
      <c r="AC386" s="84"/>
      <c r="AD386" s="84"/>
      <c r="AE386" s="85"/>
      <c r="AF386" s="86"/>
      <c r="AG386" s="87"/>
      <c r="AH386" s="88"/>
    </row>
    <row r="387" spans="1:34" x14ac:dyDescent="0.25">
      <c r="A387" s="7"/>
      <c r="B387" s="25"/>
      <c r="C387" s="91"/>
      <c r="D387" s="91"/>
      <c r="E387" s="78"/>
      <c r="F387" s="133"/>
      <c r="G387" s="38"/>
      <c r="H387" s="80"/>
      <c r="I387" s="81"/>
      <c r="J387" s="82"/>
      <c r="K387" s="83"/>
      <c r="L387" s="84"/>
      <c r="M387" s="79"/>
      <c r="N387" s="80"/>
      <c r="O387" s="81"/>
      <c r="P387" s="82"/>
      <c r="Q387" s="83"/>
      <c r="R387" s="84"/>
      <c r="S387" s="84"/>
      <c r="T387" s="84"/>
      <c r="U387" s="84"/>
      <c r="V387" s="84"/>
      <c r="W387" s="84"/>
      <c r="X387" s="84"/>
      <c r="Y387" s="84"/>
      <c r="Z387" s="84"/>
      <c r="AA387" s="84"/>
      <c r="AB387" s="84"/>
      <c r="AC387" s="84"/>
      <c r="AD387" s="84"/>
      <c r="AE387" s="85"/>
      <c r="AF387" s="86"/>
      <c r="AG387" s="87"/>
      <c r="AH387" s="88"/>
    </row>
    <row r="388" spans="1:34" x14ac:dyDescent="0.25">
      <c r="A388" s="7"/>
      <c r="B388" s="25"/>
      <c r="C388" s="91"/>
      <c r="D388" s="91"/>
      <c r="E388" s="78"/>
      <c r="F388" s="133"/>
      <c r="G388" s="38"/>
      <c r="H388" s="80"/>
      <c r="I388" s="81"/>
      <c r="J388" s="82"/>
      <c r="K388" s="83"/>
      <c r="L388" s="84"/>
      <c r="M388" s="79"/>
      <c r="N388" s="80"/>
      <c r="O388" s="81"/>
      <c r="P388" s="82"/>
      <c r="Q388" s="83"/>
      <c r="R388" s="84"/>
      <c r="S388" s="84"/>
      <c r="T388" s="84"/>
      <c r="U388" s="84"/>
      <c r="V388" s="84"/>
      <c r="W388" s="84"/>
      <c r="X388" s="84"/>
      <c r="Y388" s="84"/>
      <c r="Z388" s="84"/>
      <c r="AA388" s="84"/>
      <c r="AB388" s="84"/>
      <c r="AC388" s="84"/>
      <c r="AD388" s="84"/>
      <c r="AE388" s="85"/>
      <c r="AF388" s="86"/>
      <c r="AG388" s="87"/>
      <c r="AH388" s="88"/>
    </row>
    <row r="389" spans="1:34" x14ac:dyDescent="0.25">
      <c r="A389" s="7"/>
      <c r="B389" s="25"/>
      <c r="C389" s="91"/>
      <c r="D389" s="91"/>
      <c r="E389" s="78"/>
      <c r="F389" s="133"/>
      <c r="G389" s="38"/>
      <c r="H389" s="80"/>
      <c r="I389" s="81"/>
      <c r="J389" s="82"/>
      <c r="K389" s="83"/>
      <c r="L389" s="84"/>
      <c r="M389" s="79"/>
      <c r="N389" s="80"/>
      <c r="O389" s="81"/>
      <c r="P389" s="82"/>
      <c r="Q389" s="83"/>
      <c r="R389" s="84"/>
      <c r="S389" s="84"/>
      <c r="T389" s="84"/>
      <c r="U389" s="84"/>
      <c r="V389" s="84"/>
      <c r="W389" s="84"/>
      <c r="X389" s="84"/>
      <c r="Y389" s="84"/>
      <c r="Z389" s="84"/>
      <c r="AA389" s="84"/>
      <c r="AB389" s="84"/>
      <c r="AC389" s="84"/>
      <c r="AD389" s="84"/>
      <c r="AE389" s="85"/>
      <c r="AF389" s="86"/>
      <c r="AG389" s="87"/>
      <c r="AH389" s="88"/>
    </row>
    <row r="390" spans="1:34" x14ac:dyDescent="0.25">
      <c r="A390" s="7"/>
      <c r="B390" s="25"/>
      <c r="C390" s="91"/>
      <c r="D390" s="91"/>
      <c r="E390" s="78"/>
      <c r="F390" s="133"/>
      <c r="G390" s="38"/>
      <c r="H390" s="80"/>
      <c r="I390" s="81"/>
      <c r="J390" s="82"/>
      <c r="K390" s="83"/>
      <c r="L390" s="84"/>
      <c r="M390" s="79"/>
      <c r="N390" s="80"/>
      <c r="O390" s="81"/>
      <c r="P390" s="82"/>
      <c r="Q390" s="83"/>
      <c r="R390" s="84"/>
      <c r="S390" s="84"/>
      <c r="T390" s="84"/>
      <c r="U390" s="84"/>
      <c r="V390" s="84"/>
      <c r="W390" s="84"/>
      <c r="X390" s="84"/>
      <c r="Y390" s="84"/>
      <c r="Z390" s="84"/>
      <c r="AA390" s="84"/>
      <c r="AB390" s="84"/>
      <c r="AC390" s="84"/>
      <c r="AD390" s="84"/>
      <c r="AE390" s="85"/>
      <c r="AF390" s="86"/>
      <c r="AG390" s="87"/>
      <c r="AH390" s="88"/>
    </row>
    <row r="391" spans="1:34" x14ac:dyDescent="0.25">
      <c r="A391" s="7"/>
      <c r="B391" s="25"/>
      <c r="C391" s="91"/>
      <c r="D391" s="91"/>
      <c r="E391" s="78"/>
      <c r="F391" s="133"/>
      <c r="G391" s="38"/>
      <c r="H391" s="80"/>
      <c r="I391" s="81"/>
      <c r="J391" s="82"/>
      <c r="K391" s="83"/>
      <c r="L391" s="84"/>
      <c r="M391" s="79"/>
      <c r="N391" s="80"/>
      <c r="O391" s="81"/>
      <c r="P391" s="82"/>
      <c r="Q391" s="83"/>
      <c r="R391" s="84"/>
      <c r="S391" s="84"/>
      <c r="T391" s="84"/>
      <c r="U391" s="84"/>
      <c r="V391" s="84"/>
      <c r="W391" s="84"/>
      <c r="X391" s="84"/>
      <c r="Y391" s="84"/>
      <c r="Z391" s="84"/>
      <c r="AA391" s="84"/>
      <c r="AB391" s="84"/>
      <c r="AC391" s="84"/>
      <c r="AD391" s="84"/>
      <c r="AE391" s="85"/>
      <c r="AF391" s="86"/>
      <c r="AG391" s="87"/>
      <c r="AH391" s="88"/>
    </row>
    <row r="392" spans="1:34" x14ac:dyDescent="0.25">
      <c r="A392" s="7"/>
      <c r="B392" s="25"/>
      <c r="C392" s="91"/>
      <c r="D392" s="91"/>
      <c r="E392" s="78"/>
      <c r="F392" s="133"/>
      <c r="G392" s="38"/>
      <c r="H392" s="80"/>
      <c r="I392" s="81"/>
      <c r="J392" s="82"/>
      <c r="K392" s="83"/>
      <c r="L392" s="84"/>
      <c r="M392" s="79"/>
      <c r="N392" s="80"/>
      <c r="O392" s="81"/>
      <c r="P392" s="82"/>
      <c r="Q392" s="83"/>
      <c r="R392" s="84"/>
      <c r="S392" s="84"/>
      <c r="T392" s="84"/>
      <c r="U392" s="84"/>
      <c r="V392" s="84"/>
      <c r="W392" s="84"/>
      <c r="X392" s="84"/>
      <c r="Y392" s="84"/>
      <c r="Z392" s="84"/>
      <c r="AA392" s="84"/>
      <c r="AB392" s="84"/>
      <c r="AC392" s="84"/>
      <c r="AD392" s="84"/>
      <c r="AE392" s="85"/>
      <c r="AF392" s="86"/>
      <c r="AG392" s="87"/>
      <c r="AH392" s="88"/>
    </row>
    <row r="393" spans="1:34" x14ac:dyDescent="0.25">
      <c r="A393" s="7"/>
      <c r="B393" s="25"/>
      <c r="C393" s="91"/>
      <c r="D393" s="91"/>
      <c r="E393" s="78"/>
      <c r="F393" s="133"/>
      <c r="G393" s="38"/>
      <c r="H393" s="80"/>
      <c r="I393" s="81"/>
      <c r="J393" s="82"/>
      <c r="K393" s="83"/>
      <c r="L393" s="84"/>
      <c r="M393" s="79"/>
      <c r="N393" s="80"/>
      <c r="O393" s="81"/>
      <c r="P393" s="82"/>
      <c r="Q393" s="83"/>
      <c r="R393" s="84"/>
      <c r="S393" s="84"/>
      <c r="T393" s="84"/>
      <c r="U393" s="84"/>
      <c r="V393" s="84"/>
      <c r="W393" s="84"/>
      <c r="X393" s="84"/>
      <c r="Y393" s="84"/>
      <c r="Z393" s="84"/>
      <c r="AA393" s="84"/>
      <c r="AB393" s="84"/>
      <c r="AC393" s="84"/>
      <c r="AD393" s="84"/>
      <c r="AE393" s="85"/>
      <c r="AF393" s="86"/>
      <c r="AG393" s="87"/>
      <c r="AH393" s="88"/>
    </row>
    <row r="394" spans="1:34" x14ac:dyDescent="0.25">
      <c r="A394" s="7"/>
      <c r="B394" s="25"/>
      <c r="C394" s="91"/>
      <c r="D394" s="91"/>
      <c r="E394" s="78"/>
      <c r="F394" s="133"/>
      <c r="G394" s="38"/>
      <c r="H394" s="80"/>
      <c r="I394" s="81"/>
      <c r="J394" s="82"/>
      <c r="K394" s="83"/>
      <c r="L394" s="84"/>
      <c r="M394" s="79"/>
      <c r="N394" s="80"/>
      <c r="O394" s="81"/>
      <c r="P394" s="82"/>
      <c r="Q394" s="83"/>
      <c r="R394" s="84"/>
      <c r="S394" s="84"/>
      <c r="T394" s="84"/>
      <c r="U394" s="84"/>
      <c r="V394" s="84"/>
      <c r="W394" s="84"/>
      <c r="X394" s="84"/>
      <c r="Y394" s="84"/>
      <c r="Z394" s="84"/>
      <c r="AA394" s="84"/>
      <c r="AB394" s="84"/>
      <c r="AC394" s="84"/>
      <c r="AD394" s="84"/>
      <c r="AE394" s="85"/>
      <c r="AF394" s="86"/>
      <c r="AG394" s="87"/>
      <c r="AH394" s="88"/>
    </row>
    <row r="395" spans="1:34" x14ac:dyDescent="0.25">
      <c r="A395" s="7"/>
      <c r="B395" s="25"/>
      <c r="C395" s="91"/>
      <c r="D395" s="91"/>
      <c r="E395" s="78"/>
      <c r="F395" s="133"/>
      <c r="G395" s="38"/>
      <c r="H395" s="80"/>
      <c r="I395" s="81"/>
      <c r="J395" s="82"/>
      <c r="K395" s="83"/>
      <c r="L395" s="84"/>
      <c r="M395" s="79"/>
      <c r="N395" s="80"/>
      <c r="O395" s="81"/>
      <c r="P395" s="82"/>
      <c r="Q395" s="83"/>
      <c r="R395" s="84"/>
      <c r="S395" s="84"/>
      <c r="T395" s="84"/>
      <c r="U395" s="84"/>
      <c r="V395" s="84"/>
      <c r="W395" s="84"/>
      <c r="X395" s="84"/>
      <c r="Y395" s="84"/>
      <c r="Z395" s="84"/>
      <c r="AA395" s="84"/>
      <c r="AB395" s="84"/>
      <c r="AC395" s="84"/>
      <c r="AD395" s="84"/>
      <c r="AE395" s="85"/>
      <c r="AF395" s="86"/>
      <c r="AG395" s="87"/>
      <c r="AH395" s="88"/>
    </row>
    <row r="396" spans="1:34" x14ac:dyDescent="0.25">
      <c r="A396" s="7"/>
      <c r="B396" s="25"/>
      <c r="C396" s="91"/>
      <c r="D396" s="91"/>
      <c r="E396" s="78"/>
      <c r="F396" s="133"/>
      <c r="G396" s="38"/>
      <c r="H396" s="80"/>
      <c r="I396" s="81"/>
      <c r="J396" s="82"/>
      <c r="K396" s="83"/>
      <c r="L396" s="84"/>
      <c r="M396" s="79"/>
      <c r="N396" s="80"/>
      <c r="O396" s="81"/>
      <c r="P396" s="82"/>
      <c r="Q396" s="83"/>
      <c r="R396" s="84"/>
      <c r="S396" s="84"/>
      <c r="T396" s="84"/>
      <c r="U396" s="84"/>
      <c r="V396" s="84"/>
      <c r="W396" s="84"/>
      <c r="X396" s="84"/>
      <c r="Y396" s="84"/>
      <c r="Z396" s="84"/>
      <c r="AA396" s="84"/>
      <c r="AB396" s="84"/>
      <c r="AC396" s="84"/>
      <c r="AD396" s="84"/>
      <c r="AE396" s="85"/>
      <c r="AF396" s="86"/>
      <c r="AG396" s="87"/>
      <c r="AH396" s="88"/>
    </row>
    <row r="397" spans="1:34" x14ac:dyDescent="0.25">
      <c r="A397" s="7"/>
      <c r="B397" s="25"/>
      <c r="C397" s="91"/>
      <c r="D397" s="91"/>
      <c r="E397" s="78"/>
      <c r="F397" s="133"/>
      <c r="G397" s="38"/>
      <c r="H397" s="80"/>
      <c r="I397" s="81"/>
      <c r="J397" s="82"/>
      <c r="K397" s="83"/>
      <c r="L397" s="84"/>
      <c r="M397" s="79"/>
      <c r="N397" s="80"/>
      <c r="O397" s="81"/>
      <c r="P397" s="82"/>
      <c r="Q397" s="83"/>
      <c r="R397" s="84"/>
      <c r="S397" s="84"/>
      <c r="T397" s="84"/>
      <c r="U397" s="84"/>
      <c r="V397" s="84"/>
      <c r="W397" s="84"/>
      <c r="X397" s="84"/>
      <c r="Y397" s="84"/>
      <c r="Z397" s="84"/>
      <c r="AA397" s="84"/>
      <c r="AB397" s="84"/>
      <c r="AC397" s="84"/>
      <c r="AD397" s="84"/>
      <c r="AE397" s="85"/>
      <c r="AF397" s="86"/>
      <c r="AG397" s="87"/>
      <c r="AH397" s="88"/>
    </row>
    <row r="398" spans="1:34" x14ac:dyDescent="0.25">
      <c r="A398" s="7"/>
      <c r="B398" s="25"/>
      <c r="C398" s="91"/>
      <c r="D398" s="91"/>
      <c r="E398" s="78"/>
      <c r="F398" s="133"/>
      <c r="G398" s="38"/>
      <c r="H398" s="80"/>
      <c r="I398" s="81"/>
      <c r="J398" s="82"/>
      <c r="K398" s="83"/>
      <c r="L398" s="84"/>
      <c r="M398" s="79"/>
      <c r="N398" s="80"/>
      <c r="O398" s="81"/>
      <c r="P398" s="82"/>
      <c r="Q398" s="83"/>
      <c r="R398" s="84"/>
      <c r="S398" s="84"/>
      <c r="T398" s="84"/>
      <c r="U398" s="84"/>
      <c r="V398" s="84"/>
      <c r="W398" s="84"/>
      <c r="X398" s="84"/>
      <c r="Y398" s="84"/>
      <c r="Z398" s="84"/>
      <c r="AA398" s="84"/>
      <c r="AB398" s="84"/>
      <c r="AC398" s="84"/>
      <c r="AD398" s="84"/>
      <c r="AE398" s="85"/>
      <c r="AF398" s="86"/>
      <c r="AG398" s="87"/>
      <c r="AH398" s="88"/>
    </row>
    <row r="399" spans="1:34" x14ac:dyDescent="0.25">
      <c r="A399" s="7"/>
      <c r="B399" s="25"/>
      <c r="C399" s="91"/>
      <c r="D399" s="91"/>
      <c r="E399" s="78"/>
      <c r="F399" s="133"/>
      <c r="G399" s="38"/>
      <c r="H399" s="80"/>
      <c r="I399" s="81"/>
      <c r="J399" s="82"/>
      <c r="K399" s="83"/>
      <c r="L399" s="84"/>
      <c r="M399" s="79"/>
      <c r="N399" s="80"/>
      <c r="O399" s="81"/>
      <c r="P399" s="82"/>
      <c r="Q399" s="83"/>
      <c r="R399" s="84"/>
      <c r="S399" s="84"/>
      <c r="T399" s="84"/>
      <c r="U399" s="84"/>
      <c r="V399" s="84"/>
      <c r="W399" s="84"/>
      <c r="X399" s="84"/>
      <c r="Y399" s="84"/>
      <c r="Z399" s="84"/>
      <c r="AA399" s="84"/>
      <c r="AB399" s="84"/>
      <c r="AC399" s="84"/>
      <c r="AD399" s="84"/>
      <c r="AE399" s="85"/>
      <c r="AF399" s="86"/>
      <c r="AG399" s="87"/>
      <c r="AH399" s="88"/>
    </row>
    <row r="400" spans="1:34" x14ac:dyDescent="0.25">
      <c r="A400" s="7"/>
      <c r="B400" s="25"/>
      <c r="C400" s="91"/>
      <c r="D400" s="91"/>
      <c r="E400" s="78"/>
      <c r="F400" s="133"/>
      <c r="G400" s="38"/>
      <c r="H400" s="80"/>
      <c r="I400" s="81"/>
      <c r="J400" s="82"/>
      <c r="K400" s="83"/>
      <c r="L400" s="84"/>
      <c r="M400" s="79"/>
      <c r="N400" s="80"/>
      <c r="O400" s="81"/>
      <c r="P400" s="82"/>
      <c r="Q400" s="83"/>
      <c r="R400" s="84"/>
      <c r="S400" s="84"/>
      <c r="T400" s="84"/>
      <c r="U400" s="84"/>
      <c r="V400" s="84"/>
      <c r="W400" s="84"/>
      <c r="X400" s="84"/>
      <c r="Y400" s="84"/>
      <c r="Z400" s="84"/>
      <c r="AA400" s="84"/>
      <c r="AB400" s="84"/>
      <c r="AC400" s="84"/>
      <c r="AD400" s="84"/>
      <c r="AE400" s="85"/>
      <c r="AF400" s="86"/>
      <c r="AG400" s="87"/>
      <c r="AH400" s="88"/>
    </row>
    <row r="401" spans="1:34" x14ac:dyDescent="0.25">
      <c r="A401" s="7"/>
      <c r="B401" s="25"/>
      <c r="C401" s="91"/>
      <c r="D401" s="91"/>
      <c r="E401" s="78"/>
      <c r="F401" s="133"/>
      <c r="G401" s="38"/>
      <c r="H401" s="80"/>
      <c r="I401" s="81"/>
      <c r="J401" s="82"/>
      <c r="K401" s="83"/>
      <c r="L401" s="84"/>
      <c r="M401" s="79"/>
      <c r="N401" s="80"/>
      <c r="O401" s="81"/>
      <c r="P401" s="82"/>
      <c r="Q401" s="83"/>
      <c r="R401" s="84"/>
      <c r="S401" s="84"/>
      <c r="T401" s="84"/>
      <c r="U401" s="84"/>
      <c r="V401" s="84"/>
      <c r="W401" s="84"/>
      <c r="X401" s="84"/>
      <c r="Y401" s="84"/>
      <c r="Z401" s="84"/>
      <c r="AA401" s="84"/>
      <c r="AB401" s="84"/>
      <c r="AC401" s="84"/>
      <c r="AD401" s="84"/>
      <c r="AE401" s="85"/>
      <c r="AF401" s="86"/>
      <c r="AG401" s="87"/>
      <c r="AH401" s="88"/>
    </row>
    <row r="402" spans="1:34" x14ac:dyDescent="0.25">
      <c r="A402" s="7"/>
      <c r="B402" s="25"/>
      <c r="C402" s="91"/>
      <c r="D402" s="91"/>
      <c r="E402" s="78"/>
      <c r="F402" s="133"/>
      <c r="G402" s="38"/>
      <c r="H402" s="80"/>
      <c r="I402" s="81"/>
      <c r="J402" s="82"/>
      <c r="K402" s="83"/>
      <c r="L402" s="84"/>
      <c r="M402" s="79"/>
      <c r="N402" s="80"/>
      <c r="O402" s="81"/>
      <c r="P402" s="82"/>
      <c r="Q402" s="83"/>
      <c r="R402" s="84"/>
      <c r="S402" s="84"/>
      <c r="T402" s="84"/>
      <c r="U402" s="84"/>
      <c r="V402" s="84"/>
      <c r="W402" s="84"/>
      <c r="X402" s="84"/>
      <c r="Y402" s="84"/>
      <c r="Z402" s="84"/>
      <c r="AA402" s="84"/>
      <c r="AB402" s="84"/>
      <c r="AC402" s="84"/>
      <c r="AD402" s="84"/>
      <c r="AE402" s="85"/>
      <c r="AF402" s="86"/>
      <c r="AG402" s="87"/>
      <c r="AH402" s="88"/>
    </row>
    <row r="403" spans="1:34" x14ac:dyDescent="0.25">
      <c r="A403" s="7"/>
      <c r="B403" s="25"/>
      <c r="C403" s="91"/>
      <c r="D403" s="91"/>
      <c r="E403" s="78"/>
      <c r="F403" s="133"/>
      <c r="G403" s="38"/>
      <c r="H403" s="80"/>
      <c r="I403" s="81"/>
      <c r="J403" s="82"/>
      <c r="K403" s="83"/>
      <c r="L403" s="84"/>
      <c r="M403" s="79"/>
      <c r="N403" s="80"/>
      <c r="O403" s="81"/>
      <c r="P403" s="82"/>
      <c r="Q403" s="83"/>
      <c r="R403" s="84"/>
      <c r="S403" s="84"/>
      <c r="T403" s="84"/>
      <c r="U403" s="84"/>
      <c r="V403" s="84"/>
      <c r="W403" s="84"/>
      <c r="X403" s="84"/>
      <c r="Y403" s="84"/>
      <c r="Z403" s="84"/>
      <c r="AA403" s="84"/>
      <c r="AB403" s="84"/>
      <c r="AC403" s="84"/>
      <c r="AD403" s="84"/>
      <c r="AE403" s="85"/>
      <c r="AF403" s="86"/>
      <c r="AG403" s="87"/>
      <c r="AH403" s="88"/>
    </row>
    <row r="404" spans="1:34" x14ac:dyDescent="0.25">
      <c r="A404" s="7"/>
      <c r="B404" s="25"/>
      <c r="C404" s="91"/>
      <c r="D404" s="91"/>
      <c r="E404" s="78"/>
      <c r="F404" s="133"/>
      <c r="G404" s="38"/>
      <c r="H404" s="80"/>
      <c r="I404" s="81"/>
      <c r="J404" s="82"/>
      <c r="K404" s="83"/>
      <c r="L404" s="84"/>
      <c r="M404" s="79"/>
      <c r="N404" s="80"/>
      <c r="O404" s="81"/>
      <c r="P404" s="82"/>
      <c r="Q404" s="83"/>
      <c r="R404" s="84"/>
      <c r="S404" s="84"/>
      <c r="T404" s="84"/>
      <c r="U404" s="84"/>
      <c r="V404" s="84"/>
      <c r="W404" s="84"/>
      <c r="X404" s="84"/>
      <c r="Y404" s="84"/>
      <c r="Z404" s="84"/>
      <c r="AA404" s="84"/>
      <c r="AB404" s="84"/>
      <c r="AC404" s="84"/>
      <c r="AD404" s="84"/>
      <c r="AE404" s="85"/>
      <c r="AF404" s="86"/>
      <c r="AG404" s="87"/>
      <c r="AH404" s="88"/>
    </row>
    <row r="405" spans="1:34" x14ac:dyDescent="0.25">
      <c r="A405" s="7"/>
      <c r="B405" s="25"/>
      <c r="C405" s="91"/>
      <c r="D405" s="91"/>
      <c r="E405" s="78"/>
      <c r="F405" s="133"/>
      <c r="G405" s="38"/>
      <c r="H405" s="80"/>
      <c r="I405" s="81"/>
      <c r="J405" s="82"/>
      <c r="K405" s="83"/>
      <c r="L405" s="84"/>
      <c r="M405" s="79"/>
      <c r="N405" s="80"/>
      <c r="O405" s="81"/>
      <c r="P405" s="82"/>
      <c r="Q405" s="83"/>
      <c r="R405" s="84"/>
      <c r="S405" s="84"/>
      <c r="T405" s="84"/>
      <c r="U405" s="84"/>
      <c r="V405" s="84"/>
      <c r="W405" s="84"/>
      <c r="X405" s="84"/>
      <c r="Y405" s="84"/>
      <c r="Z405" s="84"/>
      <c r="AA405" s="84"/>
      <c r="AB405" s="84"/>
      <c r="AC405" s="84"/>
      <c r="AD405" s="84"/>
      <c r="AE405" s="85"/>
      <c r="AF405" s="86"/>
      <c r="AG405" s="87"/>
      <c r="AH405" s="88"/>
    </row>
    <row r="406" spans="1:34" x14ac:dyDescent="0.25">
      <c r="A406" s="7"/>
      <c r="B406" s="25"/>
      <c r="C406" s="91"/>
      <c r="D406" s="91"/>
      <c r="E406" s="78"/>
      <c r="F406" s="133"/>
      <c r="G406" s="38"/>
      <c r="H406" s="80"/>
      <c r="I406" s="81"/>
      <c r="J406" s="82"/>
      <c r="K406" s="83"/>
      <c r="L406" s="84"/>
      <c r="M406" s="79"/>
      <c r="N406" s="80"/>
      <c r="O406" s="81"/>
      <c r="P406" s="82"/>
      <c r="Q406" s="83"/>
      <c r="R406" s="84"/>
      <c r="S406" s="84"/>
      <c r="T406" s="84"/>
      <c r="U406" s="84"/>
      <c r="V406" s="84"/>
      <c r="W406" s="84"/>
      <c r="X406" s="84"/>
      <c r="Y406" s="84"/>
      <c r="Z406" s="84"/>
      <c r="AA406" s="84"/>
      <c r="AB406" s="84"/>
      <c r="AC406" s="84"/>
      <c r="AD406" s="84"/>
      <c r="AE406" s="85"/>
      <c r="AF406" s="86"/>
      <c r="AG406" s="87"/>
      <c r="AH406" s="88"/>
    </row>
    <row r="407" spans="1:34" x14ac:dyDescent="0.25">
      <c r="A407" s="7"/>
      <c r="B407" s="25"/>
      <c r="C407" s="91"/>
      <c r="D407" s="91"/>
      <c r="E407" s="78"/>
      <c r="F407" s="133"/>
      <c r="G407" s="38"/>
      <c r="H407" s="80"/>
      <c r="I407" s="81"/>
      <c r="J407" s="82"/>
      <c r="K407" s="83"/>
      <c r="L407" s="84"/>
      <c r="M407" s="79"/>
      <c r="N407" s="80"/>
      <c r="O407" s="81"/>
      <c r="P407" s="82"/>
      <c r="Q407" s="83"/>
      <c r="R407" s="84"/>
      <c r="S407" s="84"/>
      <c r="T407" s="84"/>
      <c r="U407" s="84"/>
      <c r="V407" s="84"/>
      <c r="W407" s="84"/>
      <c r="X407" s="84"/>
      <c r="Y407" s="84"/>
      <c r="Z407" s="84"/>
      <c r="AA407" s="84"/>
      <c r="AB407" s="84"/>
      <c r="AC407" s="84"/>
      <c r="AD407" s="84"/>
      <c r="AE407" s="85"/>
      <c r="AF407" s="86"/>
      <c r="AG407" s="87"/>
      <c r="AH407" s="88"/>
    </row>
    <row r="408" spans="1:34" x14ac:dyDescent="0.25">
      <c r="A408" s="7"/>
      <c r="B408" s="25"/>
      <c r="C408" s="91"/>
      <c r="D408" s="91"/>
      <c r="E408" s="78"/>
      <c r="F408" s="133"/>
      <c r="G408" s="38"/>
      <c r="H408" s="80"/>
      <c r="I408" s="81"/>
      <c r="J408" s="82"/>
      <c r="K408" s="83"/>
      <c r="L408" s="84"/>
      <c r="M408" s="79"/>
      <c r="N408" s="80"/>
      <c r="O408" s="81"/>
      <c r="P408" s="82"/>
      <c r="Q408" s="83"/>
      <c r="R408" s="84"/>
      <c r="S408" s="84"/>
      <c r="T408" s="84"/>
      <c r="U408" s="84"/>
      <c r="V408" s="84"/>
      <c r="W408" s="84"/>
      <c r="X408" s="84"/>
      <c r="Y408" s="84"/>
      <c r="Z408" s="84"/>
      <c r="AA408" s="84"/>
      <c r="AB408" s="84"/>
      <c r="AC408" s="84"/>
      <c r="AD408" s="84"/>
      <c r="AE408" s="85"/>
      <c r="AF408" s="86"/>
      <c r="AG408" s="87"/>
      <c r="AH408" s="88"/>
    </row>
    <row r="409" spans="1:34" x14ac:dyDescent="0.25">
      <c r="A409" s="7"/>
      <c r="B409" s="25"/>
      <c r="C409" s="91"/>
      <c r="D409" s="91"/>
      <c r="E409" s="78"/>
      <c r="F409" s="133"/>
      <c r="G409" s="38"/>
      <c r="H409" s="80"/>
      <c r="I409" s="81"/>
      <c r="J409" s="82"/>
      <c r="K409" s="83"/>
      <c r="L409" s="84"/>
      <c r="M409" s="79"/>
      <c r="N409" s="80"/>
      <c r="O409" s="81"/>
      <c r="P409" s="82"/>
      <c r="Q409" s="83"/>
      <c r="R409" s="84"/>
      <c r="S409" s="84"/>
      <c r="T409" s="84"/>
      <c r="U409" s="84"/>
      <c r="V409" s="84"/>
      <c r="W409" s="84"/>
      <c r="X409" s="84"/>
      <c r="Y409" s="84"/>
      <c r="Z409" s="84"/>
      <c r="AA409" s="84"/>
      <c r="AB409" s="84"/>
      <c r="AC409" s="84"/>
      <c r="AD409" s="84"/>
      <c r="AE409" s="85"/>
      <c r="AF409" s="86"/>
      <c r="AG409" s="87"/>
      <c r="AH409" s="88"/>
    </row>
    <row r="410" spans="1:34" x14ac:dyDescent="0.25">
      <c r="A410" s="7"/>
      <c r="B410" s="25"/>
      <c r="C410" s="91"/>
      <c r="D410" s="91"/>
      <c r="E410" s="78"/>
      <c r="F410" s="133"/>
      <c r="G410" s="38"/>
      <c r="H410" s="80"/>
      <c r="I410" s="81"/>
      <c r="J410" s="82"/>
      <c r="K410" s="83"/>
      <c r="L410" s="84"/>
      <c r="M410" s="79"/>
      <c r="N410" s="80"/>
      <c r="O410" s="81"/>
      <c r="P410" s="82"/>
      <c r="Q410" s="83"/>
      <c r="R410" s="84"/>
      <c r="S410" s="84"/>
      <c r="T410" s="84"/>
      <c r="U410" s="84"/>
      <c r="V410" s="84"/>
      <c r="W410" s="84"/>
      <c r="X410" s="84"/>
      <c r="Y410" s="84"/>
      <c r="Z410" s="84"/>
      <c r="AA410" s="84"/>
      <c r="AB410" s="84"/>
      <c r="AC410" s="84"/>
      <c r="AD410" s="84"/>
      <c r="AE410" s="85"/>
      <c r="AF410" s="86"/>
      <c r="AG410" s="87"/>
      <c r="AH410" s="88"/>
    </row>
    <row r="411" spans="1:34" x14ac:dyDescent="0.25">
      <c r="A411" s="7"/>
      <c r="B411" s="25"/>
      <c r="C411" s="91"/>
      <c r="D411" s="91"/>
      <c r="E411" s="78"/>
      <c r="F411" s="133"/>
      <c r="G411" s="38"/>
      <c r="H411" s="80"/>
      <c r="I411" s="81"/>
      <c r="J411" s="82"/>
      <c r="K411" s="83"/>
      <c r="L411" s="84"/>
      <c r="M411" s="79"/>
      <c r="N411" s="80"/>
      <c r="O411" s="81"/>
      <c r="P411" s="82"/>
      <c r="Q411" s="83"/>
      <c r="R411" s="84"/>
      <c r="S411" s="84"/>
      <c r="T411" s="84"/>
      <c r="U411" s="84"/>
      <c r="V411" s="84"/>
      <c r="W411" s="84"/>
      <c r="X411" s="84"/>
      <c r="Y411" s="84"/>
      <c r="Z411" s="84"/>
      <c r="AA411" s="84"/>
      <c r="AB411" s="84"/>
      <c r="AC411" s="84"/>
      <c r="AD411" s="84"/>
      <c r="AE411" s="85"/>
      <c r="AF411" s="86"/>
      <c r="AG411" s="87"/>
      <c r="AH411" s="88"/>
    </row>
    <row r="412" spans="1:34" x14ac:dyDescent="0.25">
      <c r="A412" s="7"/>
      <c r="B412" s="25"/>
      <c r="C412" s="91"/>
      <c r="D412" s="91"/>
      <c r="E412" s="78"/>
      <c r="F412" s="133"/>
      <c r="G412" s="38"/>
      <c r="H412" s="80"/>
      <c r="I412" s="81"/>
      <c r="J412" s="82"/>
      <c r="K412" s="83"/>
      <c r="L412" s="84"/>
      <c r="M412" s="79"/>
      <c r="N412" s="80"/>
      <c r="O412" s="81"/>
      <c r="P412" s="82"/>
      <c r="Q412" s="83"/>
      <c r="R412" s="84"/>
      <c r="S412" s="84"/>
      <c r="T412" s="84"/>
      <c r="U412" s="84"/>
      <c r="V412" s="84"/>
      <c r="W412" s="84"/>
      <c r="X412" s="84"/>
      <c r="Y412" s="84"/>
      <c r="Z412" s="84"/>
      <c r="AA412" s="84"/>
      <c r="AB412" s="84"/>
      <c r="AC412" s="84"/>
      <c r="AD412" s="84"/>
      <c r="AE412" s="85"/>
      <c r="AF412" s="86"/>
      <c r="AG412" s="87"/>
      <c r="AH412" s="88"/>
    </row>
    <row r="413" spans="1:34" x14ac:dyDescent="0.25">
      <c r="A413" s="7"/>
      <c r="B413" s="25"/>
      <c r="C413" s="91"/>
      <c r="D413" s="91"/>
      <c r="E413" s="78"/>
      <c r="F413" s="133"/>
      <c r="G413" s="38"/>
      <c r="H413" s="80"/>
      <c r="I413" s="81"/>
      <c r="J413" s="82"/>
      <c r="K413" s="83"/>
      <c r="L413" s="84"/>
      <c r="M413" s="79"/>
      <c r="N413" s="80"/>
      <c r="O413" s="81"/>
      <c r="P413" s="82"/>
      <c r="Q413" s="83"/>
      <c r="R413" s="84"/>
      <c r="S413" s="84"/>
      <c r="T413" s="84"/>
      <c r="U413" s="84"/>
      <c r="V413" s="84"/>
      <c r="W413" s="84"/>
      <c r="X413" s="84"/>
      <c r="Y413" s="84"/>
      <c r="Z413" s="84"/>
      <c r="AA413" s="84"/>
      <c r="AB413" s="84"/>
      <c r="AC413" s="84"/>
      <c r="AD413" s="84"/>
      <c r="AE413" s="85"/>
      <c r="AF413" s="86"/>
      <c r="AG413" s="87"/>
      <c r="AH413" s="88"/>
    </row>
    <row r="414" spans="1:34" x14ac:dyDescent="0.25">
      <c r="A414" s="7"/>
      <c r="B414" s="25"/>
      <c r="C414" s="91"/>
      <c r="D414" s="91"/>
      <c r="E414" s="78"/>
      <c r="F414" s="133"/>
      <c r="G414" s="38"/>
      <c r="H414" s="80"/>
      <c r="I414" s="81"/>
      <c r="J414" s="82"/>
      <c r="K414" s="83"/>
      <c r="L414" s="84"/>
      <c r="M414" s="79"/>
      <c r="N414" s="80"/>
      <c r="O414" s="81"/>
      <c r="P414" s="82"/>
      <c r="Q414" s="83"/>
      <c r="R414" s="84"/>
      <c r="S414" s="84"/>
      <c r="T414" s="84"/>
      <c r="U414" s="84"/>
      <c r="V414" s="84"/>
      <c r="W414" s="84"/>
      <c r="X414" s="84"/>
      <c r="Y414" s="84"/>
      <c r="Z414" s="84"/>
      <c r="AA414" s="84"/>
      <c r="AB414" s="84"/>
      <c r="AC414" s="84"/>
      <c r="AD414" s="84"/>
      <c r="AE414" s="85"/>
      <c r="AF414" s="86"/>
      <c r="AG414" s="87"/>
      <c r="AH414" s="88"/>
    </row>
    <row r="415" spans="1:34" x14ac:dyDescent="0.25">
      <c r="A415" s="7"/>
      <c r="B415" s="25"/>
      <c r="C415" s="91"/>
      <c r="D415" s="91"/>
      <c r="E415" s="78"/>
      <c r="F415" s="133"/>
      <c r="G415" s="38"/>
      <c r="H415" s="80"/>
      <c r="I415" s="81"/>
      <c r="J415" s="82"/>
      <c r="K415" s="83"/>
      <c r="L415" s="84"/>
      <c r="M415" s="79"/>
      <c r="N415" s="80"/>
      <c r="O415" s="81"/>
      <c r="P415" s="82"/>
      <c r="Q415" s="83"/>
      <c r="R415" s="84"/>
      <c r="S415" s="84"/>
      <c r="T415" s="84"/>
      <c r="U415" s="84"/>
      <c r="V415" s="84"/>
      <c r="W415" s="84"/>
      <c r="X415" s="84"/>
      <c r="Y415" s="84"/>
      <c r="Z415" s="84"/>
      <c r="AA415" s="84"/>
      <c r="AB415" s="84"/>
      <c r="AC415" s="84"/>
      <c r="AD415" s="84"/>
      <c r="AE415" s="85"/>
      <c r="AF415" s="86"/>
      <c r="AG415" s="87"/>
      <c r="AH415" s="88"/>
    </row>
    <row r="416" spans="1:34" x14ac:dyDescent="0.25">
      <c r="A416" s="7"/>
      <c r="B416" s="25"/>
      <c r="C416" s="91"/>
      <c r="D416" s="91"/>
      <c r="E416" s="78"/>
      <c r="F416" s="133"/>
      <c r="G416" s="38"/>
      <c r="H416" s="80"/>
      <c r="I416" s="81"/>
      <c r="J416" s="82"/>
      <c r="K416" s="83"/>
      <c r="L416" s="84"/>
      <c r="M416" s="79"/>
      <c r="N416" s="80"/>
      <c r="O416" s="81"/>
      <c r="P416" s="82"/>
      <c r="Q416" s="83"/>
      <c r="R416" s="84"/>
      <c r="S416" s="84"/>
      <c r="T416" s="84"/>
      <c r="U416" s="84"/>
      <c r="V416" s="84"/>
      <c r="W416" s="84"/>
      <c r="X416" s="84"/>
      <c r="Y416" s="84"/>
      <c r="Z416" s="84"/>
      <c r="AA416" s="84"/>
      <c r="AB416" s="84"/>
      <c r="AC416" s="84"/>
      <c r="AD416" s="84"/>
      <c r="AE416" s="85"/>
      <c r="AF416" s="86"/>
      <c r="AG416" s="87"/>
      <c r="AH416" s="88"/>
    </row>
    <row r="417" spans="1:34" x14ac:dyDescent="0.25">
      <c r="A417" s="7"/>
      <c r="B417" s="25"/>
      <c r="C417" s="91"/>
      <c r="D417" s="91"/>
      <c r="E417" s="78"/>
      <c r="F417" s="133"/>
      <c r="G417" s="38"/>
      <c r="H417" s="80"/>
      <c r="I417" s="81"/>
      <c r="J417" s="82"/>
      <c r="K417" s="83"/>
      <c r="L417" s="84"/>
      <c r="M417" s="79"/>
      <c r="N417" s="80"/>
      <c r="O417" s="81"/>
      <c r="P417" s="82"/>
      <c r="Q417" s="83"/>
      <c r="R417" s="84"/>
      <c r="S417" s="84"/>
      <c r="T417" s="84"/>
      <c r="U417" s="84"/>
      <c r="V417" s="84"/>
      <c r="W417" s="84"/>
      <c r="X417" s="84"/>
      <c r="Y417" s="84"/>
      <c r="Z417" s="84"/>
      <c r="AA417" s="84"/>
      <c r="AB417" s="84"/>
      <c r="AC417" s="84"/>
      <c r="AD417" s="84"/>
      <c r="AE417" s="85"/>
      <c r="AF417" s="86"/>
      <c r="AG417" s="87"/>
      <c r="AH417" s="88"/>
    </row>
    <row r="418" spans="1:34" x14ac:dyDescent="0.25">
      <c r="A418" s="7"/>
      <c r="B418" s="25"/>
      <c r="C418" s="91"/>
      <c r="D418" s="91"/>
      <c r="E418" s="78"/>
      <c r="F418" s="133"/>
      <c r="G418" s="38"/>
      <c r="H418" s="80"/>
      <c r="I418" s="81"/>
      <c r="J418" s="82"/>
      <c r="K418" s="83"/>
      <c r="L418" s="84"/>
      <c r="M418" s="79"/>
      <c r="N418" s="80"/>
      <c r="O418" s="81"/>
      <c r="P418" s="82"/>
      <c r="Q418" s="83"/>
      <c r="R418" s="84"/>
      <c r="S418" s="84"/>
      <c r="T418" s="84"/>
      <c r="U418" s="84"/>
      <c r="V418" s="84"/>
      <c r="W418" s="84"/>
      <c r="X418" s="84"/>
      <c r="Y418" s="84"/>
      <c r="Z418" s="84"/>
      <c r="AA418" s="84"/>
      <c r="AB418" s="84"/>
      <c r="AC418" s="84"/>
      <c r="AD418" s="84"/>
      <c r="AE418" s="85"/>
      <c r="AF418" s="86"/>
      <c r="AG418" s="87"/>
      <c r="AH418" s="88"/>
    </row>
    <row r="419" spans="1:34" x14ac:dyDescent="0.25">
      <c r="A419" s="7"/>
      <c r="B419" s="25"/>
      <c r="C419" s="91"/>
      <c r="D419" s="91"/>
      <c r="E419" s="78"/>
      <c r="F419" s="133"/>
      <c r="G419" s="38"/>
      <c r="H419" s="80"/>
      <c r="I419" s="81"/>
      <c r="J419" s="82"/>
      <c r="K419" s="83"/>
      <c r="L419" s="84"/>
      <c r="M419" s="79"/>
      <c r="N419" s="80"/>
      <c r="O419" s="81"/>
      <c r="P419" s="82"/>
      <c r="Q419" s="83"/>
      <c r="R419" s="84"/>
      <c r="S419" s="84"/>
      <c r="T419" s="84"/>
      <c r="U419" s="84"/>
      <c r="V419" s="84"/>
      <c r="W419" s="84"/>
      <c r="X419" s="84"/>
      <c r="Y419" s="84"/>
      <c r="Z419" s="84"/>
      <c r="AA419" s="84"/>
      <c r="AB419" s="84"/>
      <c r="AC419" s="84"/>
      <c r="AD419" s="84"/>
      <c r="AE419" s="85"/>
      <c r="AF419" s="86"/>
      <c r="AG419" s="87"/>
      <c r="AH419" s="88"/>
    </row>
    <row r="420" spans="1:34" x14ac:dyDescent="0.25">
      <c r="A420" s="7"/>
      <c r="B420" s="25"/>
      <c r="C420" s="91"/>
      <c r="D420" s="91"/>
      <c r="E420" s="78"/>
      <c r="F420" s="133"/>
      <c r="G420" s="38"/>
      <c r="H420" s="80"/>
      <c r="I420" s="81"/>
      <c r="J420" s="82"/>
      <c r="K420" s="83"/>
      <c r="L420" s="84"/>
      <c r="M420" s="79"/>
      <c r="N420" s="80"/>
      <c r="O420" s="81"/>
      <c r="P420" s="82"/>
      <c r="Q420" s="83"/>
      <c r="R420" s="84"/>
      <c r="S420" s="84"/>
      <c r="T420" s="84"/>
      <c r="U420" s="84"/>
      <c r="V420" s="84"/>
      <c r="W420" s="84"/>
      <c r="X420" s="84"/>
      <c r="Y420" s="84"/>
      <c r="Z420" s="84"/>
      <c r="AA420" s="84"/>
      <c r="AB420" s="84"/>
      <c r="AC420" s="84"/>
      <c r="AD420" s="84"/>
      <c r="AE420" s="85"/>
      <c r="AF420" s="86"/>
      <c r="AG420" s="87"/>
      <c r="AH420" s="88"/>
    </row>
    <row r="421" spans="1:34" x14ac:dyDescent="0.25">
      <c r="A421" s="7"/>
      <c r="B421" s="25"/>
      <c r="C421" s="91"/>
      <c r="D421" s="91"/>
      <c r="E421" s="78"/>
      <c r="F421" s="133"/>
      <c r="G421" s="38"/>
      <c r="H421" s="80"/>
      <c r="I421" s="81"/>
      <c r="J421" s="82"/>
      <c r="K421" s="83"/>
      <c r="L421" s="84"/>
      <c r="M421" s="79"/>
      <c r="N421" s="80"/>
      <c r="O421" s="81"/>
      <c r="P421" s="82"/>
      <c r="Q421" s="83"/>
      <c r="R421" s="84"/>
      <c r="S421" s="84"/>
      <c r="T421" s="84"/>
      <c r="U421" s="84"/>
      <c r="V421" s="84"/>
      <c r="W421" s="84"/>
      <c r="X421" s="84"/>
      <c r="Y421" s="84"/>
      <c r="Z421" s="84"/>
      <c r="AA421" s="84"/>
      <c r="AB421" s="84"/>
      <c r="AC421" s="84"/>
      <c r="AD421" s="84"/>
      <c r="AE421" s="85"/>
      <c r="AF421" s="86"/>
      <c r="AG421" s="87"/>
      <c r="AH421" s="88"/>
    </row>
    <row r="422" spans="1:34" x14ac:dyDescent="0.25">
      <c r="A422" s="7"/>
      <c r="B422" s="25"/>
      <c r="C422" s="91"/>
      <c r="D422" s="91"/>
      <c r="E422" s="78"/>
      <c r="F422" s="133"/>
      <c r="G422" s="38"/>
      <c r="H422" s="80"/>
      <c r="I422" s="81"/>
      <c r="J422" s="82"/>
      <c r="K422" s="83"/>
      <c r="L422" s="84"/>
      <c r="M422" s="79"/>
      <c r="N422" s="80"/>
      <c r="O422" s="81"/>
      <c r="P422" s="82"/>
      <c r="Q422" s="83"/>
      <c r="R422" s="84"/>
      <c r="S422" s="84"/>
      <c r="T422" s="84"/>
      <c r="U422" s="84"/>
      <c r="V422" s="84"/>
      <c r="W422" s="84"/>
      <c r="X422" s="84"/>
      <c r="Y422" s="84"/>
      <c r="Z422" s="84"/>
      <c r="AA422" s="84"/>
      <c r="AB422" s="84"/>
      <c r="AC422" s="84"/>
      <c r="AD422" s="84"/>
      <c r="AE422" s="85"/>
      <c r="AF422" s="86"/>
      <c r="AG422" s="87"/>
      <c r="AH422" s="88"/>
    </row>
    <row r="423" spans="1:34" x14ac:dyDescent="0.25">
      <c r="A423" s="7"/>
      <c r="B423" s="25"/>
      <c r="C423" s="91"/>
      <c r="D423" s="91"/>
      <c r="E423" s="78"/>
      <c r="F423" s="133"/>
      <c r="G423" s="38"/>
      <c r="H423" s="80"/>
      <c r="I423" s="81"/>
      <c r="J423" s="82"/>
      <c r="K423" s="83"/>
      <c r="L423" s="84"/>
      <c r="M423" s="79"/>
      <c r="N423" s="80"/>
      <c r="O423" s="81"/>
      <c r="P423" s="82"/>
      <c r="Q423" s="83"/>
      <c r="R423" s="84"/>
      <c r="S423" s="84"/>
      <c r="T423" s="84"/>
      <c r="U423" s="84"/>
      <c r="V423" s="84"/>
      <c r="W423" s="84"/>
      <c r="X423" s="84"/>
      <c r="Y423" s="84"/>
      <c r="Z423" s="84"/>
      <c r="AA423" s="84"/>
      <c r="AB423" s="84"/>
      <c r="AC423" s="84"/>
      <c r="AD423" s="84"/>
      <c r="AE423" s="85"/>
      <c r="AF423" s="86"/>
      <c r="AG423" s="87"/>
      <c r="AH423" s="88"/>
    </row>
    <row r="424" spans="1:34" x14ac:dyDescent="0.25">
      <c r="A424" s="7"/>
      <c r="B424" s="25"/>
      <c r="C424" s="91"/>
      <c r="D424" s="91"/>
      <c r="E424" s="78"/>
      <c r="F424" s="133"/>
      <c r="G424" s="38"/>
      <c r="H424" s="80"/>
      <c r="I424" s="81"/>
      <c r="J424" s="82"/>
      <c r="K424" s="83"/>
      <c r="L424" s="84"/>
      <c r="M424" s="79"/>
      <c r="N424" s="80"/>
      <c r="O424" s="81"/>
      <c r="P424" s="82"/>
      <c r="Q424" s="83"/>
      <c r="R424" s="84"/>
      <c r="S424" s="84"/>
      <c r="T424" s="84"/>
      <c r="U424" s="84"/>
      <c r="V424" s="84"/>
      <c r="W424" s="84"/>
      <c r="X424" s="84"/>
      <c r="Y424" s="84"/>
      <c r="Z424" s="84"/>
      <c r="AA424" s="84"/>
      <c r="AB424" s="84"/>
      <c r="AC424" s="84"/>
      <c r="AD424" s="84"/>
      <c r="AE424" s="85"/>
      <c r="AF424" s="86"/>
      <c r="AG424" s="87"/>
      <c r="AH424" s="88"/>
    </row>
    <row r="425" spans="1:34" x14ac:dyDescent="0.25">
      <c r="A425" s="7"/>
      <c r="B425" s="25"/>
      <c r="C425" s="91"/>
      <c r="D425" s="91"/>
      <c r="E425" s="78"/>
      <c r="F425" s="133"/>
      <c r="G425" s="38"/>
      <c r="H425" s="80"/>
      <c r="I425" s="81"/>
      <c r="J425" s="82"/>
      <c r="K425" s="83"/>
      <c r="L425" s="84"/>
      <c r="M425" s="79"/>
      <c r="N425" s="80"/>
      <c r="O425" s="81"/>
      <c r="P425" s="82"/>
      <c r="Q425" s="83"/>
      <c r="R425" s="84"/>
      <c r="S425" s="84"/>
      <c r="T425" s="84"/>
      <c r="U425" s="84"/>
      <c r="V425" s="84"/>
      <c r="W425" s="84"/>
      <c r="X425" s="84"/>
      <c r="Y425" s="84"/>
      <c r="Z425" s="84"/>
      <c r="AA425" s="84"/>
      <c r="AB425" s="84"/>
      <c r="AC425" s="84"/>
      <c r="AD425" s="84"/>
      <c r="AE425" s="85"/>
      <c r="AF425" s="86"/>
      <c r="AG425" s="87"/>
      <c r="AH425" s="88"/>
    </row>
    <row r="426" spans="1:34" x14ac:dyDescent="0.25">
      <c r="A426" s="7"/>
      <c r="B426" s="25"/>
      <c r="C426" s="91"/>
      <c r="D426" s="91"/>
      <c r="E426" s="78"/>
      <c r="F426" s="133"/>
      <c r="G426" s="38"/>
      <c r="H426" s="80"/>
      <c r="I426" s="81"/>
      <c r="J426" s="82"/>
      <c r="K426" s="83"/>
      <c r="L426" s="84"/>
      <c r="M426" s="79"/>
      <c r="N426" s="80"/>
      <c r="O426" s="81"/>
      <c r="P426" s="82"/>
      <c r="Q426" s="83"/>
      <c r="R426" s="84"/>
      <c r="S426" s="84"/>
      <c r="T426" s="84"/>
      <c r="U426" s="84"/>
      <c r="V426" s="84"/>
      <c r="W426" s="84"/>
      <c r="X426" s="84"/>
      <c r="Y426" s="84"/>
      <c r="Z426" s="84"/>
      <c r="AA426" s="84"/>
      <c r="AB426" s="84"/>
      <c r="AC426" s="84"/>
      <c r="AD426" s="84"/>
      <c r="AE426" s="85"/>
      <c r="AF426" s="86"/>
      <c r="AG426" s="87"/>
      <c r="AH426" s="88"/>
    </row>
    <row r="427" spans="1:34" x14ac:dyDescent="0.25">
      <c r="A427" s="7"/>
      <c r="B427" s="25"/>
      <c r="C427" s="91"/>
      <c r="D427" s="91"/>
      <c r="E427" s="78"/>
      <c r="F427" s="133"/>
      <c r="G427" s="38"/>
      <c r="H427" s="80"/>
      <c r="I427" s="81"/>
      <c r="J427" s="82"/>
      <c r="K427" s="83"/>
      <c r="L427" s="84"/>
      <c r="M427" s="79"/>
      <c r="N427" s="80"/>
      <c r="O427" s="81"/>
      <c r="P427" s="82"/>
      <c r="Q427" s="83"/>
      <c r="R427" s="84"/>
      <c r="S427" s="84"/>
      <c r="T427" s="84"/>
      <c r="U427" s="84"/>
      <c r="V427" s="84"/>
      <c r="W427" s="84"/>
      <c r="X427" s="84"/>
      <c r="Y427" s="84"/>
      <c r="Z427" s="84"/>
      <c r="AA427" s="84"/>
      <c r="AB427" s="84"/>
      <c r="AC427" s="84"/>
      <c r="AD427" s="84"/>
      <c r="AE427" s="85"/>
      <c r="AF427" s="86"/>
      <c r="AG427" s="87"/>
      <c r="AH427" s="88"/>
    </row>
    <row r="428" spans="1:34" x14ac:dyDescent="0.25">
      <c r="A428" s="7"/>
      <c r="B428" s="25"/>
      <c r="C428" s="91"/>
      <c r="D428" s="91"/>
      <c r="E428" s="78"/>
      <c r="F428" s="133"/>
      <c r="G428" s="38"/>
      <c r="H428" s="80"/>
      <c r="I428" s="81"/>
      <c r="J428" s="82"/>
      <c r="K428" s="83"/>
      <c r="L428" s="84"/>
      <c r="M428" s="79"/>
      <c r="N428" s="80"/>
      <c r="O428" s="81"/>
      <c r="P428" s="82"/>
      <c r="Q428" s="83"/>
      <c r="R428" s="84"/>
      <c r="S428" s="84"/>
      <c r="T428" s="84"/>
      <c r="U428" s="84"/>
      <c r="V428" s="84"/>
      <c r="W428" s="84"/>
      <c r="X428" s="84"/>
      <c r="Y428" s="84"/>
      <c r="Z428" s="84"/>
      <c r="AA428" s="84"/>
      <c r="AB428" s="84"/>
      <c r="AC428" s="84"/>
      <c r="AD428" s="84"/>
      <c r="AE428" s="85"/>
      <c r="AF428" s="86"/>
      <c r="AG428" s="87"/>
      <c r="AH428" s="88"/>
    </row>
    <row r="429" spans="1:34" x14ac:dyDescent="0.25">
      <c r="A429" s="7"/>
      <c r="B429" s="25"/>
      <c r="C429" s="91"/>
      <c r="D429" s="91"/>
      <c r="E429" s="78"/>
      <c r="F429" s="133"/>
      <c r="G429" s="38"/>
      <c r="H429" s="80"/>
      <c r="I429" s="81"/>
      <c r="J429" s="82"/>
      <c r="K429" s="83"/>
      <c r="L429" s="84"/>
      <c r="M429" s="79"/>
      <c r="N429" s="80"/>
      <c r="O429" s="81"/>
      <c r="P429" s="82"/>
      <c r="Q429" s="83"/>
      <c r="R429" s="84"/>
      <c r="S429" s="84"/>
      <c r="T429" s="84"/>
      <c r="U429" s="84"/>
      <c r="V429" s="84"/>
      <c r="W429" s="84"/>
      <c r="X429" s="84"/>
      <c r="Y429" s="84"/>
      <c r="Z429" s="84"/>
      <c r="AA429" s="84"/>
      <c r="AB429" s="84"/>
      <c r="AC429" s="84"/>
      <c r="AD429" s="84"/>
      <c r="AE429" s="85"/>
      <c r="AF429" s="86"/>
      <c r="AG429" s="87"/>
      <c r="AH429" s="88"/>
    </row>
    <row r="430" spans="1:34" x14ac:dyDescent="0.25">
      <c r="A430" s="7"/>
      <c r="B430" s="25"/>
      <c r="C430" s="91"/>
      <c r="D430" s="91"/>
      <c r="E430" s="78"/>
      <c r="F430" s="133"/>
      <c r="G430" s="38"/>
      <c r="H430" s="80"/>
      <c r="I430" s="81"/>
      <c r="J430" s="82"/>
      <c r="K430" s="83"/>
      <c r="L430" s="84"/>
      <c r="M430" s="79"/>
      <c r="N430" s="80"/>
      <c r="O430" s="81"/>
      <c r="P430" s="82"/>
      <c r="Q430" s="83"/>
      <c r="R430" s="84"/>
      <c r="S430" s="84"/>
      <c r="T430" s="84"/>
      <c r="U430" s="84"/>
      <c r="V430" s="84"/>
      <c r="W430" s="84"/>
      <c r="X430" s="84"/>
      <c r="Y430" s="84"/>
      <c r="Z430" s="84"/>
      <c r="AA430" s="84"/>
      <c r="AB430" s="84"/>
      <c r="AC430" s="84"/>
      <c r="AD430" s="84"/>
      <c r="AE430" s="85"/>
      <c r="AF430" s="86"/>
      <c r="AG430" s="87"/>
      <c r="AH430" s="88"/>
    </row>
    <row r="431" spans="1:34" x14ac:dyDescent="0.25">
      <c r="A431" s="7"/>
      <c r="B431" s="25"/>
      <c r="C431" s="91"/>
      <c r="D431" s="91"/>
      <c r="E431" s="78"/>
      <c r="F431" s="133"/>
      <c r="G431" s="38"/>
      <c r="H431" s="80"/>
      <c r="I431" s="81"/>
      <c r="J431" s="82"/>
      <c r="K431" s="83"/>
      <c r="L431" s="84"/>
      <c r="M431" s="79"/>
      <c r="N431" s="80"/>
      <c r="O431" s="81"/>
      <c r="P431" s="82"/>
      <c r="Q431" s="83"/>
      <c r="R431" s="84"/>
      <c r="S431" s="84"/>
      <c r="T431" s="84"/>
      <c r="U431" s="84"/>
      <c r="V431" s="84"/>
      <c r="W431" s="84"/>
      <c r="X431" s="84"/>
      <c r="Y431" s="84"/>
      <c r="Z431" s="84"/>
      <c r="AA431" s="84"/>
      <c r="AB431" s="84"/>
      <c r="AC431" s="84"/>
      <c r="AD431" s="84"/>
      <c r="AE431" s="85"/>
      <c r="AF431" s="86"/>
      <c r="AG431" s="87"/>
      <c r="AH431" s="88"/>
    </row>
    <row r="432" spans="1:34" x14ac:dyDescent="0.25">
      <c r="A432" s="7"/>
      <c r="B432" s="25"/>
      <c r="C432" s="91"/>
      <c r="D432" s="91"/>
      <c r="E432" s="78"/>
      <c r="F432" s="133"/>
      <c r="G432" s="38"/>
      <c r="H432" s="80"/>
      <c r="I432" s="81"/>
      <c r="J432" s="82"/>
      <c r="K432" s="83"/>
      <c r="L432" s="84"/>
      <c r="M432" s="79"/>
      <c r="N432" s="80"/>
      <c r="O432" s="81"/>
      <c r="P432" s="82"/>
      <c r="Q432" s="83"/>
      <c r="R432" s="84"/>
      <c r="S432" s="84"/>
      <c r="T432" s="84"/>
      <c r="U432" s="84"/>
      <c r="V432" s="84"/>
      <c r="W432" s="84"/>
      <c r="X432" s="84"/>
      <c r="Y432" s="84"/>
      <c r="Z432" s="84"/>
      <c r="AA432" s="84"/>
      <c r="AB432" s="84"/>
      <c r="AC432" s="84"/>
      <c r="AD432" s="84"/>
      <c r="AE432" s="85"/>
      <c r="AF432" s="86"/>
      <c r="AG432" s="87"/>
      <c r="AH432" s="88"/>
    </row>
    <row r="433" spans="1:34" x14ac:dyDescent="0.25">
      <c r="A433" s="7"/>
      <c r="B433" s="25"/>
      <c r="C433" s="91"/>
      <c r="D433" s="91"/>
      <c r="E433" s="78"/>
      <c r="F433" s="133"/>
      <c r="G433" s="38"/>
      <c r="H433" s="80"/>
      <c r="I433" s="81"/>
      <c r="J433" s="82"/>
      <c r="K433" s="83"/>
      <c r="L433" s="84"/>
      <c r="M433" s="79"/>
      <c r="N433" s="80"/>
      <c r="O433" s="81"/>
      <c r="P433" s="82"/>
      <c r="Q433" s="83"/>
      <c r="R433" s="84"/>
      <c r="S433" s="84"/>
      <c r="T433" s="84"/>
      <c r="U433" s="84"/>
      <c r="V433" s="84"/>
      <c r="W433" s="84"/>
      <c r="X433" s="84"/>
      <c r="Y433" s="84"/>
      <c r="Z433" s="84"/>
      <c r="AA433" s="84"/>
      <c r="AB433" s="84"/>
      <c r="AC433" s="84"/>
      <c r="AD433" s="84"/>
      <c r="AE433" s="85"/>
      <c r="AF433" s="86"/>
      <c r="AG433" s="87"/>
      <c r="AH433" s="88"/>
    </row>
    <row r="434" spans="1:34" x14ac:dyDescent="0.25">
      <c r="A434" s="7"/>
      <c r="B434" s="25"/>
      <c r="C434" s="91"/>
      <c r="D434" s="91"/>
      <c r="E434" s="78"/>
      <c r="F434" s="133"/>
      <c r="G434" s="38"/>
      <c r="H434" s="80"/>
      <c r="I434" s="81"/>
      <c r="J434" s="82"/>
      <c r="K434" s="83"/>
      <c r="L434" s="84"/>
      <c r="M434" s="79"/>
      <c r="N434" s="80"/>
      <c r="O434" s="81"/>
      <c r="P434" s="82"/>
      <c r="Q434" s="83"/>
      <c r="R434" s="84"/>
      <c r="S434" s="84"/>
      <c r="T434" s="84"/>
      <c r="U434" s="84"/>
      <c r="V434" s="84"/>
      <c r="W434" s="84"/>
      <c r="X434" s="84"/>
      <c r="Y434" s="84"/>
      <c r="Z434" s="84"/>
      <c r="AA434" s="84"/>
      <c r="AB434" s="84"/>
      <c r="AC434" s="84"/>
      <c r="AD434" s="84"/>
      <c r="AE434" s="85"/>
      <c r="AF434" s="86"/>
      <c r="AG434" s="87"/>
      <c r="AH434" s="88"/>
    </row>
    <row r="435" spans="1:34" x14ac:dyDescent="0.25">
      <c r="A435" s="7"/>
      <c r="B435" s="25"/>
      <c r="C435" s="91"/>
      <c r="D435" s="91"/>
      <c r="E435" s="78"/>
      <c r="F435" s="133"/>
      <c r="G435" s="38"/>
      <c r="H435" s="80"/>
      <c r="I435" s="81"/>
      <c r="J435" s="82"/>
      <c r="K435" s="83"/>
      <c r="L435" s="84"/>
      <c r="M435" s="79"/>
      <c r="N435" s="80"/>
      <c r="O435" s="81"/>
      <c r="P435" s="82"/>
      <c r="Q435" s="83"/>
      <c r="R435" s="84"/>
      <c r="S435" s="84"/>
      <c r="T435" s="84"/>
      <c r="U435" s="84"/>
      <c r="V435" s="84"/>
      <c r="W435" s="84"/>
      <c r="X435" s="84"/>
      <c r="Y435" s="84"/>
      <c r="Z435" s="84"/>
      <c r="AA435" s="84"/>
      <c r="AB435" s="84"/>
      <c r="AC435" s="84"/>
      <c r="AD435" s="84"/>
      <c r="AE435" s="85"/>
      <c r="AF435" s="86"/>
      <c r="AG435" s="87"/>
      <c r="AH435" s="88"/>
    </row>
    <row r="436" spans="1:34" x14ac:dyDescent="0.25">
      <c r="A436" s="7"/>
      <c r="B436" s="25"/>
      <c r="C436" s="91"/>
      <c r="D436" s="91"/>
      <c r="E436" s="78"/>
      <c r="F436" s="133"/>
      <c r="G436" s="38"/>
      <c r="H436" s="80"/>
      <c r="I436" s="81"/>
      <c r="J436" s="82"/>
      <c r="K436" s="83"/>
      <c r="L436" s="84"/>
      <c r="M436" s="79"/>
      <c r="N436" s="80"/>
      <c r="O436" s="81"/>
      <c r="P436" s="82"/>
      <c r="Q436" s="83"/>
      <c r="R436" s="84"/>
      <c r="S436" s="84"/>
      <c r="T436" s="84"/>
      <c r="U436" s="84"/>
      <c r="V436" s="84"/>
      <c r="W436" s="84"/>
      <c r="X436" s="84"/>
      <c r="Y436" s="84"/>
      <c r="Z436" s="84"/>
      <c r="AA436" s="84"/>
      <c r="AB436" s="84"/>
      <c r="AC436" s="84"/>
      <c r="AD436" s="84"/>
      <c r="AE436" s="85"/>
      <c r="AF436" s="86"/>
      <c r="AG436" s="87"/>
      <c r="AH436" s="88"/>
    </row>
    <row r="437" spans="1:34" x14ac:dyDescent="0.25">
      <c r="A437" s="7"/>
      <c r="B437" s="25"/>
      <c r="C437" s="91"/>
      <c r="D437" s="91"/>
      <c r="E437" s="78"/>
      <c r="F437" s="133"/>
      <c r="G437" s="38"/>
      <c r="H437" s="80"/>
      <c r="I437" s="81"/>
      <c r="J437" s="82"/>
      <c r="K437" s="83"/>
      <c r="L437" s="84"/>
      <c r="M437" s="79"/>
      <c r="N437" s="80"/>
      <c r="O437" s="81"/>
      <c r="P437" s="82"/>
      <c r="Q437" s="83"/>
      <c r="R437" s="84"/>
      <c r="S437" s="84"/>
      <c r="T437" s="84"/>
      <c r="U437" s="84"/>
      <c r="V437" s="84"/>
      <c r="W437" s="84"/>
      <c r="X437" s="84"/>
      <c r="Y437" s="84"/>
      <c r="Z437" s="84"/>
      <c r="AA437" s="84"/>
      <c r="AB437" s="84"/>
      <c r="AC437" s="84"/>
      <c r="AD437" s="84"/>
      <c r="AE437" s="85"/>
      <c r="AF437" s="86"/>
      <c r="AG437" s="87"/>
      <c r="AH437" s="88"/>
    </row>
    <row r="438" spans="1:34" x14ac:dyDescent="0.25">
      <c r="A438" s="7"/>
      <c r="B438" s="25"/>
      <c r="C438" s="91"/>
      <c r="D438" s="91"/>
      <c r="E438" s="78"/>
      <c r="F438" s="133"/>
      <c r="G438" s="38"/>
      <c r="H438" s="80"/>
      <c r="I438" s="81"/>
      <c r="J438" s="82"/>
      <c r="K438" s="83"/>
      <c r="L438" s="84"/>
      <c r="M438" s="79"/>
      <c r="N438" s="80"/>
      <c r="O438" s="81"/>
      <c r="P438" s="82"/>
      <c r="Q438" s="83"/>
      <c r="R438" s="84"/>
      <c r="S438" s="84"/>
      <c r="T438" s="84"/>
      <c r="U438" s="84"/>
      <c r="V438" s="84"/>
      <c r="W438" s="84"/>
      <c r="X438" s="84"/>
      <c r="Y438" s="84"/>
      <c r="Z438" s="84"/>
      <c r="AA438" s="84"/>
      <c r="AB438" s="84"/>
      <c r="AC438" s="84"/>
      <c r="AD438" s="84"/>
      <c r="AE438" s="85"/>
      <c r="AF438" s="86"/>
      <c r="AG438" s="87"/>
      <c r="AH438" s="88"/>
    </row>
    <row r="439" spans="1:34" x14ac:dyDescent="0.25">
      <c r="A439" s="7"/>
      <c r="B439" s="25"/>
      <c r="C439" s="91"/>
      <c r="D439" s="91"/>
      <c r="E439" s="78"/>
      <c r="F439" s="133"/>
      <c r="G439" s="38"/>
      <c r="H439" s="80"/>
      <c r="I439" s="81"/>
      <c r="J439" s="82"/>
      <c r="K439" s="83"/>
      <c r="L439" s="84"/>
      <c r="M439" s="79"/>
      <c r="N439" s="80"/>
      <c r="O439" s="81"/>
      <c r="P439" s="82"/>
      <c r="Q439" s="83"/>
      <c r="R439" s="84"/>
      <c r="S439" s="84"/>
      <c r="T439" s="84"/>
      <c r="U439" s="84"/>
      <c r="V439" s="84"/>
      <c r="W439" s="84"/>
      <c r="X439" s="84"/>
      <c r="Y439" s="84"/>
      <c r="Z439" s="84"/>
      <c r="AA439" s="84"/>
      <c r="AB439" s="84"/>
      <c r="AC439" s="84"/>
      <c r="AD439" s="84"/>
      <c r="AE439" s="85"/>
      <c r="AF439" s="86"/>
      <c r="AG439" s="87"/>
      <c r="AH439" s="88"/>
    </row>
    <row r="440" spans="1:34" x14ac:dyDescent="0.25">
      <c r="A440" s="7"/>
      <c r="B440" s="25"/>
      <c r="C440" s="91"/>
      <c r="D440" s="91"/>
      <c r="E440" s="78"/>
      <c r="F440" s="133"/>
      <c r="G440" s="38"/>
      <c r="H440" s="80"/>
      <c r="I440" s="81"/>
      <c r="J440" s="82"/>
      <c r="K440" s="83"/>
      <c r="L440" s="84"/>
      <c r="M440" s="79"/>
      <c r="N440" s="80"/>
      <c r="O440" s="81"/>
      <c r="P440" s="82"/>
      <c r="Q440" s="83"/>
      <c r="R440" s="84"/>
      <c r="S440" s="84"/>
      <c r="T440" s="84"/>
      <c r="U440" s="84"/>
      <c r="V440" s="84"/>
      <c r="W440" s="84"/>
      <c r="X440" s="84"/>
      <c r="Y440" s="84"/>
      <c r="Z440" s="84"/>
      <c r="AA440" s="84"/>
      <c r="AB440" s="84"/>
      <c r="AC440" s="84"/>
      <c r="AD440" s="84"/>
      <c r="AE440" s="85"/>
      <c r="AF440" s="86"/>
      <c r="AG440" s="87"/>
      <c r="AH440" s="88"/>
    </row>
    <row r="441" spans="1:34" x14ac:dyDescent="0.25">
      <c r="A441" s="7"/>
      <c r="B441" s="25"/>
      <c r="C441" s="91"/>
      <c r="D441" s="91"/>
      <c r="E441" s="78"/>
      <c r="F441" s="133"/>
      <c r="G441" s="38"/>
      <c r="H441" s="80"/>
      <c r="I441" s="81"/>
      <c r="J441" s="82"/>
      <c r="K441" s="83"/>
      <c r="L441" s="84"/>
      <c r="M441" s="79"/>
      <c r="N441" s="80"/>
      <c r="O441" s="81"/>
      <c r="P441" s="82"/>
      <c r="Q441" s="83"/>
      <c r="R441" s="84"/>
      <c r="S441" s="84"/>
      <c r="T441" s="84"/>
      <c r="U441" s="84"/>
      <c r="V441" s="84"/>
      <c r="W441" s="84"/>
      <c r="X441" s="84"/>
      <c r="Y441" s="84"/>
      <c r="Z441" s="84"/>
      <c r="AA441" s="84"/>
      <c r="AB441" s="84"/>
      <c r="AC441" s="84"/>
      <c r="AD441" s="84"/>
      <c r="AE441" s="85"/>
      <c r="AF441" s="86"/>
      <c r="AG441" s="87"/>
      <c r="AH441" s="88"/>
    </row>
    <row r="442" spans="1:34" x14ac:dyDescent="0.25">
      <c r="A442" s="7"/>
      <c r="B442" s="25"/>
      <c r="C442" s="91"/>
      <c r="D442" s="91"/>
      <c r="E442" s="78"/>
      <c r="F442" s="133"/>
      <c r="G442" s="38"/>
      <c r="H442" s="80"/>
      <c r="I442" s="81"/>
      <c r="J442" s="82"/>
      <c r="K442" s="83"/>
      <c r="L442" s="84"/>
      <c r="M442" s="79"/>
      <c r="N442" s="80"/>
      <c r="O442" s="81"/>
      <c r="P442" s="82"/>
      <c r="Q442" s="83"/>
      <c r="R442" s="84"/>
      <c r="S442" s="84"/>
      <c r="T442" s="84"/>
      <c r="U442" s="84"/>
      <c r="V442" s="84"/>
      <c r="W442" s="84"/>
      <c r="X442" s="84"/>
      <c r="Y442" s="84"/>
      <c r="Z442" s="84"/>
      <c r="AA442" s="84"/>
      <c r="AB442" s="84"/>
      <c r="AC442" s="84"/>
      <c r="AD442" s="84"/>
      <c r="AE442" s="85"/>
      <c r="AF442" s="86"/>
      <c r="AG442" s="87"/>
      <c r="AH442" s="88"/>
    </row>
    <row r="443" spans="1:34" x14ac:dyDescent="0.25">
      <c r="A443" s="7"/>
      <c r="B443" s="25"/>
      <c r="C443" s="91"/>
      <c r="D443" s="91"/>
      <c r="E443" s="78"/>
      <c r="F443" s="133"/>
      <c r="G443" s="38"/>
      <c r="H443" s="80"/>
      <c r="I443" s="81"/>
      <c r="J443" s="82"/>
      <c r="K443" s="83"/>
      <c r="L443" s="84"/>
      <c r="M443" s="79"/>
      <c r="N443" s="80"/>
      <c r="O443" s="81"/>
      <c r="P443" s="82"/>
      <c r="Q443" s="83"/>
      <c r="R443" s="84"/>
      <c r="S443" s="84"/>
      <c r="T443" s="84"/>
      <c r="U443" s="84"/>
      <c r="V443" s="84"/>
      <c r="W443" s="84"/>
      <c r="X443" s="84"/>
      <c r="Y443" s="84"/>
      <c r="Z443" s="84"/>
      <c r="AA443" s="84"/>
      <c r="AB443" s="84"/>
      <c r="AC443" s="84"/>
      <c r="AD443" s="84"/>
      <c r="AE443" s="85"/>
      <c r="AF443" s="86"/>
      <c r="AG443" s="87"/>
      <c r="AH443" s="88"/>
    </row>
    <row r="444" spans="1:34" x14ac:dyDescent="0.25">
      <c r="A444" s="7"/>
      <c r="B444" s="25"/>
      <c r="C444" s="91"/>
      <c r="D444" s="91"/>
      <c r="E444" s="78"/>
      <c r="F444" s="133"/>
      <c r="G444" s="38"/>
      <c r="H444" s="80"/>
      <c r="I444" s="81"/>
      <c r="J444" s="82"/>
      <c r="K444" s="83"/>
      <c r="L444" s="84"/>
      <c r="M444" s="79"/>
      <c r="N444" s="80"/>
      <c r="O444" s="81"/>
      <c r="P444" s="82"/>
      <c r="Q444" s="83"/>
      <c r="R444" s="84"/>
      <c r="S444" s="84"/>
      <c r="T444" s="84"/>
      <c r="U444" s="84"/>
      <c r="V444" s="84"/>
      <c r="W444" s="84"/>
      <c r="X444" s="84"/>
      <c r="Y444" s="84"/>
      <c r="Z444" s="84"/>
      <c r="AA444" s="84"/>
      <c r="AB444" s="84"/>
      <c r="AC444" s="84"/>
      <c r="AD444" s="84"/>
      <c r="AE444" s="85"/>
      <c r="AF444" s="86"/>
      <c r="AG444" s="87"/>
      <c r="AH444" s="88"/>
    </row>
    <row r="445" spans="1:34" x14ac:dyDescent="0.25">
      <c r="A445" s="7"/>
      <c r="B445" s="25"/>
      <c r="C445" s="91"/>
      <c r="D445" s="91"/>
      <c r="E445" s="78"/>
      <c r="F445" s="133"/>
      <c r="G445" s="38"/>
      <c r="H445" s="80"/>
      <c r="I445" s="81"/>
      <c r="J445" s="82"/>
      <c r="K445" s="83"/>
      <c r="L445" s="84"/>
      <c r="M445" s="79"/>
      <c r="N445" s="80"/>
      <c r="O445" s="81"/>
      <c r="P445" s="82"/>
      <c r="Q445" s="83"/>
      <c r="R445" s="84"/>
      <c r="S445" s="84"/>
      <c r="T445" s="84"/>
      <c r="U445" s="84"/>
      <c r="V445" s="84"/>
      <c r="W445" s="84"/>
      <c r="X445" s="84"/>
      <c r="Y445" s="84"/>
      <c r="Z445" s="84"/>
      <c r="AA445" s="84"/>
      <c r="AB445" s="84"/>
      <c r="AC445" s="84"/>
      <c r="AD445" s="84"/>
      <c r="AE445" s="85"/>
      <c r="AF445" s="86"/>
      <c r="AG445" s="87"/>
      <c r="AH445" s="88"/>
    </row>
    <row r="446" spans="1:34" x14ac:dyDescent="0.25">
      <c r="A446" s="7"/>
      <c r="B446" s="25"/>
      <c r="C446" s="91"/>
      <c r="D446" s="91"/>
      <c r="E446" s="78"/>
      <c r="F446" s="133"/>
      <c r="G446" s="38"/>
      <c r="H446" s="80"/>
      <c r="I446" s="81"/>
      <c r="J446" s="82"/>
      <c r="K446" s="83"/>
      <c r="L446" s="84"/>
      <c r="M446" s="79"/>
      <c r="N446" s="80"/>
      <c r="O446" s="81"/>
      <c r="P446" s="82"/>
      <c r="Q446" s="83"/>
      <c r="R446" s="84"/>
      <c r="S446" s="84"/>
      <c r="T446" s="84"/>
      <c r="U446" s="84"/>
      <c r="V446" s="84"/>
      <c r="W446" s="84"/>
      <c r="X446" s="84"/>
      <c r="Y446" s="84"/>
      <c r="Z446" s="84"/>
      <c r="AA446" s="84"/>
      <c r="AB446" s="84"/>
      <c r="AC446" s="84"/>
      <c r="AD446" s="84"/>
      <c r="AE446" s="85"/>
      <c r="AF446" s="86"/>
      <c r="AG446" s="87"/>
      <c r="AH446" s="88"/>
    </row>
    <row r="447" spans="1:34" x14ac:dyDescent="0.25">
      <c r="A447" s="7"/>
      <c r="B447" s="25"/>
      <c r="C447" s="91"/>
      <c r="D447" s="91"/>
      <c r="E447" s="78"/>
      <c r="F447" s="133"/>
      <c r="G447" s="38"/>
      <c r="H447" s="80"/>
      <c r="I447" s="81"/>
      <c r="J447" s="82"/>
      <c r="K447" s="83"/>
      <c r="L447" s="84"/>
      <c r="M447" s="79"/>
      <c r="N447" s="80"/>
      <c r="O447" s="81"/>
      <c r="P447" s="82"/>
      <c r="Q447" s="83"/>
      <c r="R447" s="84"/>
      <c r="S447" s="84"/>
      <c r="T447" s="84"/>
      <c r="U447" s="84"/>
      <c r="V447" s="84"/>
      <c r="W447" s="84"/>
      <c r="X447" s="84"/>
      <c r="Y447" s="84"/>
      <c r="Z447" s="84"/>
      <c r="AA447" s="84"/>
      <c r="AB447" s="84"/>
      <c r="AC447" s="84"/>
      <c r="AD447" s="84"/>
      <c r="AE447" s="85"/>
      <c r="AF447" s="86"/>
      <c r="AG447" s="87"/>
      <c r="AH447" s="88"/>
    </row>
    <row r="448" spans="1:34" x14ac:dyDescent="0.25">
      <c r="A448" s="7"/>
      <c r="B448" s="25"/>
      <c r="C448" s="91"/>
      <c r="D448" s="91"/>
      <c r="E448" s="78"/>
      <c r="F448" s="133"/>
      <c r="G448" s="38"/>
      <c r="H448" s="80"/>
      <c r="I448" s="81"/>
      <c r="J448" s="82"/>
      <c r="K448" s="83"/>
      <c r="L448" s="84"/>
      <c r="M448" s="79"/>
      <c r="N448" s="80"/>
      <c r="O448" s="81"/>
      <c r="P448" s="82"/>
      <c r="Q448" s="83"/>
      <c r="R448" s="84"/>
      <c r="S448" s="84"/>
      <c r="T448" s="84"/>
      <c r="U448" s="84"/>
      <c r="V448" s="84"/>
      <c r="W448" s="84"/>
      <c r="X448" s="84"/>
      <c r="Y448" s="84"/>
      <c r="Z448" s="84"/>
      <c r="AA448" s="84"/>
      <c r="AB448" s="84"/>
      <c r="AC448" s="84"/>
      <c r="AD448" s="84"/>
      <c r="AE448" s="85"/>
      <c r="AF448" s="86"/>
      <c r="AG448" s="87"/>
      <c r="AH448" s="88"/>
    </row>
    <row r="449" spans="1:34" x14ac:dyDescent="0.25">
      <c r="A449" s="7"/>
      <c r="B449" s="25"/>
      <c r="C449" s="91"/>
      <c r="D449" s="91"/>
      <c r="E449" s="78"/>
      <c r="F449" s="133"/>
      <c r="G449" s="38"/>
      <c r="H449" s="80"/>
      <c r="I449" s="81"/>
      <c r="J449" s="82"/>
      <c r="K449" s="83"/>
      <c r="L449" s="84"/>
      <c r="M449" s="79"/>
      <c r="N449" s="80"/>
      <c r="O449" s="81"/>
      <c r="P449" s="82"/>
      <c r="Q449" s="83"/>
      <c r="R449" s="84"/>
      <c r="S449" s="84"/>
      <c r="T449" s="84"/>
      <c r="U449" s="84"/>
      <c r="V449" s="84"/>
      <c r="W449" s="84"/>
      <c r="X449" s="84"/>
      <c r="Y449" s="84"/>
      <c r="Z449" s="84"/>
      <c r="AA449" s="84"/>
      <c r="AB449" s="84"/>
      <c r="AC449" s="84"/>
      <c r="AD449" s="84"/>
      <c r="AE449" s="85"/>
      <c r="AF449" s="86"/>
      <c r="AG449" s="87"/>
      <c r="AH449" s="88"/>
    </row>
    <row r="450" spans="1:34" x14ac:dyDescent="0.25">
      <c r="A450" s="7"/>
      <c r="B450" s="25"/>
      <c r="C450" s="91"/>
      <c r="D450" s="91"/>
      <c r="E450" s="78"/>
      <c r="F450" s="133"/>
      <c r="G450" s="38"/>
      <c r="H450" s="80"/>
      <c r="I450" s="81"/>
      <c r="J450" s="82"/>
      <c r="K450" s="83"/>
      <c r="L450" s="84"/>
      <c r="M450" s="79"/>
      <c r="N450" s="80"/>
      <c r="O450" s="81"/>
      <c r="P450" s="82"/>
      <c r="Q450" s="83"/>
      <c r="R450" s="84"/>
      <c r="S450" s="84"/>
      <c r="T450" s="84"/>
      <c r="U450" s="84"/>
      <c r="V450" s="84"/>
      <c r="W450" s="84"/>
      <c r="X450" s="84"/>
      <c r="Y450" s="84"/>
      <c r="Z450" s="84"/>
      <c r="AA450" s="84"/>
      <c r="AB450" s="84"/>
      <c r="AC450" s="84"/>
      <c r="AD450" s="84"/>
      <c r="AE450" s="85"/>
      <c r="AF450" s="86"/>
      <c r="AG450" s="87"/>
      <c r="AH450" s="88"/>
    </row>
    <row r="451" spans="1:34" x14ac:dyDescent="0.25">
      <c r="A451" s="7"/>
      <c r="B451" s="25"/>
      <c r="C451" s="91"/>
      <c r="D451" s="91"/>
      <c r="E451" s="78"/>
      <c r="F451" s="133"/>
      <c r="G451" s="38"/>
      <c r="H451" s="80"/>
      <c r="I451" s="81"/>
      <c r="J451" s="82"/>
      <c r="K451" s="83"/>
      <c r="L451" s="84"/>
      <c r="M451" s="79"/>
      <c r="N451" s="80"/>
      <c r="O451" s="81"/>
      <c r="P451" s="82"/>
      <c r="Q451" s="83"/>
      <c r="R451" s="84"/>
      <c r="S451" s="84"/>
      <c r="T451" s="84"/>
      <c r="U451" s="84"/>
      <c r="V451" s="84"/>
      <c r="W451" s="84"/>
      <c r="X451" s="84"/>
      <c r="Y451" s="84"/>
      <c r="Z451" s="84"/>
      <c r="AA451" s="84"/>
      <c r="AB451" s="84"/>
      <c r="AC451" s="84"/>
      <c r="AD451" s="84"/>
      <c r="AE451" s="85"/>
      <c r="AF451" s="86"/>
      <c r="AG451" s="87"/>
      <c r="AH451" s="88"/>
    </row>
    <row r="452" spans="1:34" x14ac:dyDescent="0.25">
      <c r="A452" s="7"/>
      <c r="B452" s="25"/>
      <c r="C452" s="91"/>
      <c r="D452" s="91"/>
      <c r="E452" s="78"/>
      <c r="F452" s="133"/>
      <c r="G452" s="38"/>
      <c r="H452" s="80"/>
      <c r="I452" s="81"/>
      <c r="J452" s="82"/>
      <c r="K452" s="83"/>
      <c r="L452" s="84"/>
      <c r="M452" s="79"/>
      <c r="N452" s="80"/>
      <c r="O452" s="81"/>
      <c r="P452" s="82"/>
      <c r="Q452" s="83"/>
      <c r="R452" s="84"/>
      <c r="S452" s="84"/>
      <c r="T452" s="84"/>
      <c r="U452" s="84"/>
      <c r="V452" s="84"/>
      <c r="W452" s="84"/>
      <c r="X452" s="84"/>
      <c r="Y452" s="84"/>
      <c r="Z452" s="84"/>
      <c r="AA452" s="84"/>
      <c r="AB452" s="84"/>
      <c r="AC452" s="84"/>
      <c r="AD452" s="84"/>
      <c r="AE452" s="85"/>
      <c r="AF452" s="86"/>
      <c r="AG452" s="87"/>
      <c r="AH452" s="88"/>
    </row>
    <row r="453" spans="1:34" x14ac:dyDescent="0.25">
      <c r="A453" s="7"/>
      <c r="B453" s="25"/>
      <c r="C453" s="91"/>
      <c r="D453" s="91"/>
      <c r="E453" s="78"/>
      <c r="F453" s="133"/>
      <c r="G453" s="38"/>
      <c r="H453" s="80"/>
      <c r="I453" s="81"/>
      <c r="J453" s="82"/>
      <c r="K453" s="83"/>
      <c r="L453" s="84"/>
      <c r="M453" s="79"/>
      <c r="N453" s="80"/>
      <c r="O453" s="81"/>
      <c r="P453" s="82"/>
      <c r="Q453" s="83"/>
      <c r="R453" s="84"/>
      <c r="S453" s="84"/>
      <c r="T453" s="84"/>
      <c r="U453" s="84"/>
      <c r="V453" s="84"/>
      <c r="W453" s="84"/>
      <c r="X453" s="84"/>
      <c r="Y453" s="84"/>
      <c r="Z453" s="84"/>
      <c r="AA453" s="84"/>
      <c r="AB453" s="84"/>
      <c r="AC453" s="84"/>
      <c r="AD453" s="84"/>
      <c r="AE453" s="85"/>
      <c r="AF453" s="86"/>
      <c r="AG453" s="87"/>
      <c r="AH453" s="88"/>
    </row>
    <row r="454" spans="1:34" x14ac:dyDescent="0.25">
      <c r="A454" s="7"/>
      <c r="B454" s="25"/>
      <c r="C454" s="91"/>
      <c r="D454" s="91"/>
      <c r="E454" s="78"/>
      <c r="F454" s="133"/>
      <c r="G454" s="38"/>
      <c r="H454" s="80"/>
      <c r="I454" s="81"/>
      <c r="J454" s="82"/>
      <c r="K454" s="83"/>
      <c r="L454" s="84"/>
      <c r="M454" s="79"/>
      <c r="N454" s="80"/>
      <c r="O454" s="81"/>
      <c r="P454" s="82"/>
      <c r="Q454" s="83"/>
      <c r="R454" s="84"/>
      <c r="S454" s="84"/>
      <c r="T454" s="84"/>
      <c r="U454" s="84"/>
      <c r="V454" s="84"/>
      <c r="W454" s="84"/>
      <c r="X454" s="84"/>
      <c r="Y454" s="84"/>
      <c r="Z454" s="84"/>
      <c r="AA454" s="84"/>
      <c r="AB454" s="84"/>
      <c r="AC454" s="84"/>
      <c r="AD454" s="84"/>
      <c r="AE454" s="85"/>
      <c r="AF454" s="86"/>
      <c r="AG454" s="87"/>
      <c r="AH454" s="88"/>
    </row>
    <row r="455" spans="1:34" x14ac:dyDescent="0.25">
      <c r="A455" s="7"/>
      <c r="B455" s="25"/>
      <c r="C455" s="91"/>
      <c r="D455" s="91"/>
      <c r="E455" s="78"/>
      <c r="F455" s="133"/>
      <c r="G455" s="38"/>
      <c r="H455" s="80"/>
      <c r="I455" s="81"/>
      <c r="J455" s="82"/>
      <c r="K455" s="83"/>
      <c r="L455" s="84"/>
      <c r="M455" s="79"/>
      <c r="N455" s="80"/>
      <c r="O455" s="81"/>
      <c r="P455" s="82"/>
      <c r="Q455" s="83"/>
      <c r="R455" s="84"/>
      <c r="S455" s="84"/>
      <c r="T455" s="84"/>
      <c r="U455" s="84"/>
      <c r="V455" s="84"/>
      <c r="W455" s="84"/>
      <c r="X455" s="84"/>
      <c r="Y455" s="84"/>
      <c r="Z455" s="84"/>
      <c r="AA455" s="84"/>
      <c r="AB455" s="84"/>
      <c r="AC455" s="84"/>
      <c r="AD455" s="84"/>
      <c r="AE455" s="85"/>
      <c r="AF455" s="86"/>
      <c r="AG455" s="87"/>
      <c r="AH455" s="88"/>
    </row>
    <row r="456" spans="1:34" x14ac:dyDescent="0.25">
      <c r="A456" s="7"/>
      <c r="B456" s="25"/>
      <c r="C456" s="91"/>
      <c r="D456" s="91"/>
      <c r="E456" s="78"/>
      <c r="F456" s="133"/>
      <c r="G456" s="38"/>
      <c r="H456" s="80"/>
      <c r="I456" s="81"/>
      <c r="J456" s="82"/>
      <c r="K456" s="83"/>
      <c r="L456" s="84"/>
      <c r="M456" s="79"/>
      <c r="N456" s="80"/>
      <c r="O456" s="81"/>
      <c r="P456" s="82"/>
      <c r="Q456" s="83"/>
      <c r="R456" s="84"/>
      <c r="S456" s="84"/>
      <c r="T456" s="84"/>
      <c r="U456" s="84"/>
      <c r="V456" s="84"/>
      <c r="W456" s="84"/>
      <c r="X456" s="84"/>
      <c r="Y456" s="84"/>
      <c r="Z456" s="84"/>
      <c r="AA456" s="84"/>
      <c r="AB456" s="84"/>
      <c r="AC456" s="84"/>
      <c r="AD456" s="84"/>
      <c r="AE456" s="85"/>
      <c r="AF456" s="86"/>
      <c r="AG456" s="87"/>
      <c r="AH456" s="88"/>
    </row>
    <row r="457" spans="1:34" x14ac:dyDescent="0.25">
      <c r="A457" s="7"/>
      <c r="B457" s="25"/>
      <c r="C457" s="91"/>
      <c r="D457" s="91"/>
      <c r="E457" s="78"/>
      <c r="F457" s="133"/>
      <c r="G457" s="38"/>
      <c r="H457" s="80"/>
      <c r="I457" s="81"/>
      <c r="J457" s="82"/>
      <c r="K457" s="83"/>
      <c r="L457" s="84"/>
      <c r="M457" s="79"/>
      <c r="N457" s="80"/>
      <c r="O457" s="81"/>
      <c r="P457" s="82"/>
      <c r="Q457" s="83"/>
      <c r="R457" s="84"/>
      <c r="S457" s="84"/>
      <c r="T457" s="84"/>
      <c r="U457" s="84"/>
      <c r="V457" s="84"/>
      <c r="W457" s="84"/>
      <c r="X457" s="84"/>
      <c r="Y457" s="84"/>
      <c r="Z457" s="84"/>
      <c r="AA457" s="84"/>
      <c r="AB457" s="84"/>
      <c r="AC457" s="84"/>
      <c r="AD457" s="84"/>
      <c r="AE457" s="85"/>
      <c r="AF457" s="86"/>
      <c r="AG457" s="87"/>
      <c r="AH457" s="88"/>
    </row>
    <row r="458" spans="1:34" x14ac:dyDescent="0.25">
      <c r="A458" s="7"/>
      <c r="B458" s="25"/>
      <c r="C458" s="91"/>
      <c r="D458" s="91"/>
      <c r="E458" s="78"/>
      <c r="F458" s="133"/>
      <c r="G458" s="38"/>
      <c r="H458" s="80"/>
      <c r="I458" s="81"/>
      <c r="J458" s="82"/>
      <c r="K458" s="83"/>
      <c r="L458" s="84"/>
      <c r="M458" s="79"/>
      <c r="N458" s="80"/>
      <c r="O458" s="81"/>
      <c r="P458" s="82"/>
      <c r="Q458" s="83"/>
      <c r="R458" s="84"/>
      <c r="S458" s="84"/>
      <c r="T458" s="84"/>
      <c r="U458" s="84"/>
      <c r="V458" s="84"/>
      <c r="W458" s="84"/>
      <c r="X458" s="84"/>
      <c r="Y458" s="84"/>
      <c r="Z458" s="84"/>
      <c r="AA458" s="84"/>
      <c r="AB458" s="84"/>
      <c r="AC458" s="84"/>
      <c r="AD458" s="84"/>
      <c r="AE458" s="85"/>
      <c r="AF458" s="86"/>
      <c r="AG458" s="87"/>
      <c r="AH458" s="88"/>
    </row>
    <row r="459" spans="1:34" x14ac:dyDescent="0.25">
      <c r="A459" s="7"/>
      <c r="B459" s="25"/>
      <c r="C459" s="91"/>
      <c r="D459" s="91"/>
      <c r="E459" s="78"/>
      <c r="F459" s="133"/>
      <c r="G459" s="38"/>
      <c r="H459" s="80"/>
      <c r="I459" s="81"/>
      <c r="J459" s="82"/>
      <c r="K459" s="83"/>
      <c r="L459" s="84"/>
      <c r="M459" s="79"/>
      <c r="N459" s="80"/>
      <c r="O459" s="81"/>
      <c r="P459" s="82"/>
      <c r="Q459" s="83"/>
      <c r="R459" s="84"/>
      <c r="S459" s="84"/>
      <c r="T459" s="84"/>
      <c r="U459" s="84"/>
      <c r="V459" s="84"/>
      <c r="W459" s="84"/>
      <c r="X459" s="84"/>
      <c r="Y459" s="84"/>
      <c r="Z459" s="84"/>
      <c r="AA459" s="84"/>
      <c r="AB459" s="84"/>
      <c r="AC459" s="84"/>
      <c r="AD459" s="84"/>
      <c r="AE459" s="85"/>
      <c r="AF459" s="86"/>
      <c r="AG459" s="87"/>
      <c r="AH459" s="88"/>
    </row>
    <row r="460" spans="1:34" x14ac:dyDescent="0.25">
      <c r="A460" s="7"/>
      <c r="B460" s="25"/>
      <c r="C460" s="91"/>
      <c r="D460" s="91"/>
      <c r="E460" s="78"/>
      <c r="F460" s="133"/>
      <c r="G460" s="38"/>
      <c r="H460" s="80"/>
      <c r="I460" s="81"/>
      <c r="J460" s="82"/>
      <c r="K460" s="83"/>
      <c r="L460" s="84"/>
      <c r="M460" s="79"/>
      <c r="N460" s="80"/>
      <c r="O460" s="81"/>
      <c r="P460" s="82"/>
      <c r="Q460" s="83"/>
      <c r="R460" s="84"/>
      <c r="S460" s="84"/>
      <c r="T460" s="84"/>
      <c r="U460" s="84"/>
      <c r="V460" s="84"/>
      <c r="W460" s="84"/>
      <c r="X460" s="84"/>
      <c r="Y460" s="84"/>
      <c r="Z460" s="84"/>
      <c r="AA460" s="84"/>
      <c r="AB460" s="84"/>
      <c r="AC460" s="84"/>
      <c r="AD460" s="84"/>
      <c r="AE460" s="85"/>
      <c r="AF460" s="86"/>
      <c r="AG460" s="87"/>
      <c r="AH460" s="88"/>
    </row>
    <row r="461" spans="1:34" x14ac:dyDescent="0.25">
      <c r="A461" s="7"/>
      <c r="B461" s="25"/>
      <c r="C461" s="91"/>
      <c r="D461" s="91"/>
      <c r="E461" s="78"/>
      <c r="F461" s="133"/>
      <c r="G461" s="38"/>
      <c r="H461" s="80"/>
      <c r="I461" s="81"/>
      <c r="J461" s="82"/>
      <c r="K461" s="83"/>
      <c r="L461" s="84"/>
      <c r="M461" s="79"/>
      <c r="N461" s="80"/>
      <c r="O461" s="81"/>
      <c r="P461" s="82"/>
      <c r="Q461" s="83"/>
      <c r="R461" s="84"/>
      <c r="S461" s="84"/>
      <c r="T461" s="84"/>
      <c r="U461" s="84"/>
      <c r="V461" s="84"/>
      <c r="W461" s="84"/>
      <c r="X461" s="84"/>
      <c r="Y461" s="84"/>
      <c r="Z461" s="84"/>
      <c r="AA461" s="84"/>
      <c r="AB461" s="84"/>
      <c r="AC461" s="84"/>
      <c r="AD461" s="84"/>
      <c r="AE461" s="85"/>
      <c r="AF461" s="86"/>
      <c r="AG461" s="87"/>
      <c r="AH461" s="88"/>
    </row>
    <row r="462" spans="1:34" x14ac:dyDescent="0.25">
      <c r="A462" s="7"/>
      <c r="B462" s="25"/>
      <c r="C462" s="91"/>
      <c r="D462" s="91"/>
      <c r="E462" s="78"/>
      <c r="F462" s="133"/>
      <c r="G462" s="38"/>
      <c r="H462" s="80"/>
      <c r="I462" s="81"/>
      <c r="J462" s="82"/>
      <c r="K462" s="83"/>
      <c r="L462" s="84"/>
      <c r="M462" s="79"/>
      <c r="N462" s="80"/>
      <c r="O462" s="81"/>
      <c r="P462" s="82"/>
      <c r="Q462" s="83"/>
      <c r="R462" s="84"/>
      <c r="S462" s="84"/>
      <c r="T462" s="84"/>
      <c r="U462" s="84"/>
      <c r="V462" s="84"/>
      <c r="W462" s="84"/>
      <c r="X462" s="84"/>
      <c r="Y462" s="84"/>
      <c r="Z462" s="84"/>
      <c r="AA462" s="84"/>
      <c r="AB462" s="84"/>
      <c r="AC462" s="84"/>
      <c r="AD462" s="84"/>
      <c r="AE462" s="85"/>
      <c r="AF462" s="86"/>
      <c r="AG462" s="87"/>
      <c r="AH462" s="88"/>
    </row>
    <row r="463" spans="1:34" x14ac:dyDescent="0.25">
      <c r="A463" s="7"/>
      <c r="B463" s="25"/>
      <c r="C463" s="91"/>
      <c r="D463" s="91"/>
      <c r="E463" s="78"/>
      <c r="F463" s="133"/>
      <c r="G463" s="38"/>
      <c r="H463" s="80"/>
      <c r="I463" s="81"/>
      <c r="J463" s="82"/>
      <c r="K463" s="83"/>
      <c r="L463" s="84"/>
      <c r="M463" s="79"/>
      <c r="N463" s="80"/>
      <c r="O463" s="81"/>
      <c r="P463" s="82"/>
      <c r="Q463" s="83"/>
      <c r="R463" s="84"/>
      <c r="S463" s="84"/>
      <c r="T463" s="84"/>
      <c r="U463" s="84"/>
      <c r="V463" s="84"/>
      <c r="W463" s="84"/>
      <c r="X463" s="84"/>
      <c r="Y463" s="84"/>
      <c r="Z463" s="84"/>
      <c r="AA463" s="84"/>
      <c r="AB463" s="84"/>
      <c r="AC463" s="84"/>
      <c r="AD463" s="84"/>
      <c r="AE463" s="85"/>
      <c r="AF463" s="86"/>
      <c r="AG463" s="87"/>
      <c r="AH463" s="88"/>
    </row>
    <row r="464" spans="1:34" x14ac:dyDescent="0.25">
      <c r="A464" s="7"/>
      <c r="B464" s="25"/>
      <c r="C464" s="91"/>
      <c r="D464" s="91"/>
      <c r="E464" s="78"/>
      <c r="F464" s="133"/>
      <c r="G464" s="38"/>
      <c r="H464" s="80"/>
      <c r="I464" s="81"/>
      <c r="J464" s="82"/>
      <c r="K464" s="83"/>
      <c r="L464" s="84"/>
      <c r="M464" s="79"/>
      <c r="N464" s="80"/>
      <c r="O464" s="81"/>
      <c r="P464" s="82"/>
      <c r="Q464" s="83"/>
      <c r="R464" s="84"/>
      <c r="S464" s="84"/>
      <c r="T464" s="84"/>
      <c r="U464" s="84"/>
      <c r="V464" s="84"/>
      <c r="W464" s="84"/>
      <c r="X464" s="84"/>
      <c r="Y464" s="84"/>
      <c r="Z464" s="84"/>
      <c r="AA464" s="84"/>
      <c r="AB464" s="84"/>
      <c r="AC464" s="84"/>
      <c r="AD464" s="84"/>
      <c r="AE464" s="85"/>
      <c r="AF464" s="86"/>
      <c r="AG464" s="87"/>
      <c r="AH464" s="88"/>
    </row>
    <row r="465" spans="1:34" x14ac:dyDescent="0.25">
      <c r="A465" s="7"/>
      <c r="B465" s="25"/>
      <c r="C465" s="91"/>
      <c r="D465" s="91"/>
      <c r="E465" s="78"/>
      <c r="F465" s="133"/>
      <c r="G465" s="38"/>
      <c r="H465" s="80"/>
      <c r="I465" s="81"/>
      <c r="J465" s="82"/>
      <c r="K465" s="83"/>
      <c r="L465" s="84"/>
      <c r="M465" s="79"/>
      <c r="N465" s="80"/>
      <c r="O465" s="81"/>
      <c r="P465" s="82"/>
      <c r="Q465" s="83"/>
      <c r="R465" s="84"/>
      <c r="S465" s="84"/>
      <c r="T465" s="84"/>
      <c r="U465" s="84"/>
      <c r="V465" s="84"/>
      <c r="W465" s="84"/>
      <c r="X465" s="84"/>
      <c r="Y465" s="84"/>
      <c r="Z465" s="84"/>
      <c r="AA465" s="84"/>
      <c r="AB465" s="84"/>
      <c r="AC465" s="84"/>
      <c r="AD465" s="84"/>
      <c r="AE465" s="85"/>
      <c r="AF465" s="86"/>
      <c r="AG465" s="87"/>
      <c r="AH465" s="88"/>
    </row>
    <row r="466" spans="1:34" x14ac:dyDescent="0.25">
      <c r="A466" s="7"/>
      <c r="B466" s="25"/>
      <c r="C466" s="91"/>
      <c r="D466" s="91"/>
      <c r="E466" s="78"/>
      <c r="F466" s="133"/>
      <c r="G466" s="38"/>
      <c r="H466" s="80"/>
      <c r="I466" s="81"/>
      <c r="J466" s="82"/>
      <c r="K466" s="83"/>
      <c r="L466" s="84"/>
      <c r="M466" s="79"/>
      <c r="N466" s="80"/>
      <c r="O466" s="81"/>
      <c r="P466" s="82"/>
      <c r="Q466" s="83"/>
      <c r="R466" s="84"/>
      <c r="S466" s="84"/>
      <c r="T466" s="84"/>
      <c r="U466" s="84"/>
      <c r="V466" s="84"/>
      <c r="W466" s="84"/>
      <c r="X466" s="84"/>
      <c r="Y466" s="84"/>
      <c r="Z466" s="84"/>
      <c r="AA466" s="84"/>
      <c r="AB466" s="84"/>
      <c r="AC466" s="84"/>
      <c r="AD466" s="84"/>
      <c r="AE466" s="85"/>
      <c r="AF466" s="86"/>
      <c r="AG466" s="87"/>
      <c r="AH466" s="88"/>
    </row>
    <row r="467" spans="1:34" x14ac:dyDescent="0.25">
      <c r="A467" s="7"/>
      <c r="B467" s="25"/>
      <c r="C467" s="91"/>
      <c r="D467" s="91"/>
      <c r="E467" s="78"/>
      <c r="F467" s="133"/>
      <c r="G467" s="38"/>
      <c r="H467" s="80"/>
      <c r="I467" s="81"/>
      <c r="J467" s="82"/>
      <c r="K467" s="83"/>
      <c r="L467" s="84"/>
      <c r="M467" s="79"/>
      <c r="N467" s="80"/>
      <c r="O467" s="81"/>
      <c r="P467" s="82"/>
      <c r="Q467" s="83"/>
      <c r="R467" s="84"/>
      <c r="S467" s="84"/>
      <c r="T467" s="84"/>
      <c r="U467" s="84"/>
      <c r="V467" s="84"/>
      <c r="W467" s="84"/>
      <c r="X467" s="84"/>
      <c r="Y467" s="84"/>
      <c r="Z467" s="84"/>
      <c r="AA467" s="84"/>
      <c r="AB467" s="84"/>
      <c r="AC467" s="84"/>
      <c r="AD467" s="84"/>
      <c r="AE467" s="85"/>
      <c r="AF467" s="86"/>
      <c r="AG467" s="87"/>
      <c r="AH467" s="88"/>
    </row>
    <row r="468" spans="1:34" x14ac:dyDescent="0.25">
      <c r="A468" s="7"/>
      <c r="B468" s="25"/>
      <c r="C468" s="91"/>
      <c r="D468" s="91"/>
      <c r="E468" s="78"/>
      <c r="F468" s="133"/>
      <c r="G468" s="38"/>
      <c r="H468" s="80"/>
      <c r="I468" s="81"/>
      <c r="J468" s="82"/>
      <c r="K468" s="83"/>
      <c r="L468" s="84"/>
      <c r="M468" s="79"/>
      <c r="N468" s="80"/>
      <c r="O468" s="81"/>
      <c r="P468" s="82"/>
      <c r="Q468" s="83"/>
      <c r="R468" s="84"/>
      <c r="S468" s="84"/>
      <c r="T468" s="84"/>
      <c r="U468" s="84"/>
      <c r="V468" s="84"/>
      <c r="W468" s="84"/>
      <c r="X468" s="84"/>
      <c r="Y468" s="84"/>
      <c r="Z468" s="84"/>
      <c r="AA468" s="84"/>
      <c r="AB468" s="84"/>
      <c r="AC468" s="84"/>
      <c r="AD468" s="84"/>
      <c r="AE468" s="85"/>
      <c r="AF468" s="86"/>
      <c r="AG468" s="87"/>
      <c r="AH468" s="88"/>
    </row>
    <row r="469" spans="1:34" x14ac:dyDescent="0.25">
      <c r="A469" s="7"/>
      <c r="B469" s="25"/>
      <c r="C469" s="91"/>
      <c r="D469" s="91"/>
      <c r="E469" s="78"/>
      <c r="F469" s="133"/>
      <c r="G469" s="38"/>
      <c r="H469" s="80"/>
      <c r="I469" s="81"/>
      <c r="J469" s="82"/>
      <c r="K469" s="83"/>
      <c r="L469" s="84"/>
      <c r="M469" s="79"/>
      <c r="N469" s="80"/>
      <c r="O469" s="81"/>
      <c r="P469" s="82"/>
      <c r="Q469" s="83"/>
      <c r="R469" s="84"/>
      <c r="S469" s="84"/>
      <c r="T469" s="84"/>
      <c r="U469" s="84"/>
      <c r="V469" s="84"/>
      <c r="W469" s="84"/>
      <c r="X469" s="84"/>
      <c r="Y469" s="84"/>
      <c r="Z469" s="84"/>
      <c r="AA469" s="84"/>
      <c r="AB469" s="84"/>
      <c r="AC469" s="84"/>
      <c r="AD469" s="84"/>
      <c r="AE469" s="85"/>
      <c r="AF469" s="86"/>
      <c r="AG469" s="87"/>
      <c r="AH469" s="88"/>
    </row>
    <row r="470" spans="1:34" x14ac:dyDescent="0.25">
      <c r="A470" s="7"/>
      <c r="B470" s="25"/>
      <c r="C470" s="91"/>
      <c r="D470" s="91"/>
      <c r="E470" s="78"/>
      <c r="F470" s="133"/>
      <c r="G470" s="38"/>
      <c r="H470" s="80"/>
      <c r="I470" s="81"/>
      <c r="J470" s="82"/>
      <c r="K470" s="83"/>
      <c r="L470" s="84"/>
      <c r="M470" s="79"/>
      <c r="N470" s="80"/>
      <c r="O470" s="81"/>
      <c r="P470" s="82"/>
      <c r="Q470" s="83"/>
      <c r="R470" s="84"/>
      <c r="S470" s="84"/>
      <c r="T470" s="84"/>
      <c r="U470" s="84"/>
      <c r="V470" s="84"/>
      <c r="W470" s="84"/>
      <c r="X470" s="84"/>
      <c r="Y470" s="84"/>
      <c r="Z470" s="84"/>
      <c r="AA470" s="84"/>
      <c r="AB470" s="84"/>
      <c r="AC470" s="84"/>
      <c r="AD470" s="84"/>
      <c r="AE470" s="85"/>
      <c r="AF470" s="86"/>
      <c r="AG470" s="87"/>
      <c r="AH470" s="88"/>
    </row>
    <row r="471" spans="1:34" x14ac:dyDescent="0.25">
      <c r="A471" s="7"/>
      <c r="B471" s="25"/>
      <c r="C471" s="91"/>
      <c r="D471" s="91"/>
      <c r="E471" s="78"/>
      <c r="F471" s="133"/>
      <c r="G471" s="38"/>
      <c r="H471" s="80"/>
      <c r="I471" s="81"/>
      <c r="J471" s="82"/>
      <c r="K471" s="83"/>
      <c r="L471" s="84"/>
      <c r="M471" s="79"/>
      <c r="N471" s="80"/>
      <c r="O471" s="81"/>
      <c r="P471" s="82"/>
      <c r="Q471" s="83"/>
      <c r="R471" s="84"/>
      <c r="S471" s="84"/>
      <c r="T471" s="84"/>
      <c r="U471" s="84"/>
      <c r="V471" s="84"/>
      <c r="W471" s="84"/>
      <c r="X471" s="84"/>
      <c r="Y471" s="84"/>
      <c r="Z471" s="84"/>
      <c r="AA471" s="84"/>
      <c r="AB471" s="84"/>
      <c r="AC471" s="84"/>
      <c r="AD471" s="84"/>
      <c r="AE471" s="85"/>
      <c r="AF471" s="86"/>
      <c r="AG471" s="87"/>
      <c r="AH471" s="88"/>
    </row>
    <row r="472" spans="1:34" x14ac:dyDescent="0.25">
      <c r="A472" s="7"/>
      <c r="B472" s="25"/>
      <c r="C472" s="91"/>
      <c r="D472" s="91"/>
      <c r="E472" s="78"/>
      <c r="F472" s="133"/>
      <c r="G472" s="38"/>
      <c r="H472" s="80"/>
      <c r="I472" s="81"/>
      <c r="J472" s="82"/>
      <c r="K472" s="83"/>
      <c r="L472" s="84"/>
      <c r="M472" s="79"/>
      <c r="N472" s="80"/>
      <c r="O472" s="81"/>
      <c r="P472" s="82"/>
      <c r="Q472" s="83"/>
      <c r="R472" s="84"/>
      <c r="S472" s="84"/>
      <c r="T472" s="84"/>
      <c r="U472" s="84"/>
      <c r="V472" s="84"/>
      <c r="W472" s="84"/>
      <c r="X472" s="84"/>
      <c r="Y472" s="84"/>
      <c r="Z472" s="84"/>
      <c r="AA472" s="84"/>
      <c r="AB472" s="84"/>
      <c r="AC472" s="84"/>
      <c r="AD472" s="84"/>
      <c r="AE472" s="85"/>
      <c r="AF472" s="86"/>
      <c r="AG472" s="87"/>
      <c r="AH472" s="88"/>
    </row>
    <row r="473" spans="1:34" x14ac:dyDescent="0.25">
      <c r="A473" s="7"/>
      <c r="B473" s="25"/>
      <c r="C473" s="91"/>
      <c r="D473" s="91"/>
      <c r="E473" s="78"/>
      <c r="F473" s="133"/>
      <c r="G473" s="38"/>
      <c r="H473" s="80"/>
      <c r="I473" s="81"/>
      <c r="J473" s="82"/>
      <c r="K473" s="83"/>
      <c r="L473" s="84"/>
      <c r="M473" s="79"/>
      <c r="N473" s="80"/>
      <c r="O473" s="81"/>
      <c r="P473" s="82"/>
      <c r="Q473" s="83"/>
      <c r="R473" s="84"/>
      <c r="S473" s="84"/>
      <c r="T473" s="84"/>
      <c r="U473" s="84"/>
      <c r="V473" s="84"/>
      <c r="W473" s="84"/>
      <c r="X473" s="84"/>
      <c r="Y473" s="84"/>
      <c r="Z473" s="84"/>
      <c r="AA473" s="84"/>
      <c r="AB473" s="84"/>
      <c r="AC473" s="84"/>
      <c r="AD473" s="84"/>
      <c r="AE473" s="85"/>
      <c r="AF473" s="86"/>
      <c r="AG473" s="87"/>
      <c r="AH473" s="88"/>
    </row>
    <row r="474" spans="1:34" x14ac:dyDescent="0.25">
      <c r="A474" s="7"/>
      <c r="B474" s="25"/>
      <c r="C474" s="91"/>
      <c r="D474" s="91"/>
      <c r="E474" s="78"/>
      <c r="F474" s="133"/>
      <c r="G474" s="38"/>
      <c r="H474" s="80"/>
      <c r="I474" s="81"/>
      <c r="J474" s="82"/>
      <c r="K474" s="83"/>
      <c r="L474" s="84"/>
      <c r="M474" s="79"/>
      <c r="N474" s="80"/>
      <c r="O474" s="81"/>
      <c r="P474" s="82"/>
      <c r="Q474" s="83"/>
      <c r="R474" s="84"/>
      <c r="S474" s="84"/>
      <c r="T474" s="84"/>
      <c r="U474" s="84"/>
      <c r="V474" s="84"/>
      <c r="W474" s="84"/>
      <c r="X474" s="84"/>
      <c r="Y474" s="84"/>
      <c r="Z474" s="84"/>
      <c r="AA474" s="84"/>
      <c r="AB474" s="84"/>
      <c r="AC474" s="84"/>
      <c r="AD474" s="84"/>
      <c r="AE474" s="85"/>
      <c r="AF474" s="86"/>
      <c r="AG474" s="87"/>
      <c r="AH474" s="88"/>
    </row>
    <row r="475" spans="1:34" x14ac:dyDescent="0.25">
      <c r="A475" s="7"/>
      <c r="B475" s="25"/>
      <c r="C475" s="91"/>
      <c r="D475" s="91"/>
      <c r="E475" s="78"/>
      <c r="F475" s="133"/>
      <c r="G475" s="38"/>
      <c r="H475" s="80"/>
      <c r="I475" s="81"/>
      <c r="J475" s="82"/>
      <c r="K475" s="83"/>
      <c r="L475" s="84"/>
      <c r="M475" s="79"/>
      <c r="N475" s="80"/>
      <c r="O475" s="81"/>
      <c r="P475" s="82"/>
      <c r="Q475" s="83"/>
      <c r="R475" s="84"/>
      <c r="S475" s="84"/>
      <c r="T475" s="84"/>
      <c r="U475" s="84"/>
      <c r="V475" s="84"/>
      <c r="W475" s="84"/>
      <c r="X475" s="84"/>
      <c r="Y475" s="84"/>
      <c r="Z475" s="84"/>
      <c r="AA475" s="84"/>
      <c r="AB475" s="84"/>
      <c r="AC475" s="84"/>
      <c r="AD475" s="84"/>
      <c r="AE475" s="85"/>
      <c r="AF475" s="86"/>
      <c r="AG475" s="87"/>
      <c r="AH475" s="88"/>
    </row>
    <row r="476" spans="1:34" x14ac:dyDescent="0.25">
      <c r="A476" s="7"/>
      <c r="B476" s="25"/>
      <c r="C476" s="91"/>
      <c r="D476" s="91"/>
      <c r="E476" s="78"/>
      <c r="F476" s="133"/>
      <c r="G476" s="38"/>
      <c r="H476" s="80"/>
      <c r="I476" s="81"/>
      <c r="J476" s="82"/>
      <c r="K476" s="83"/>
      <c r="L476" s="84"/>
      <c r="M476" s="79"/>
      <c r="N476" s="80"/>
      <c r="O476" s="81"/>
      <c r="P476" s="82"/>
      <c r="Q476" s="83"/>
      <c r="R476" s="84"/>
      <c r="S476" s="84"/>
      <c r="T476" s="84"/>
      <c r="U476" s="84"/>
      <c r="V476" s="84"/>
      <c r="W476" s="84"/>
      <c r="X476" s="84"/>
      <c r="Y476" s="84"/>
      <c r="Z476" s="84"/>
      <c r="AA476" s="84"/>
      <c r="AB476" s="84"/>
      <c r="AC476" s="84"/>
      <c r="AD476" s="84"/>
      <c r="AE476" s="85"/>
      <c r="AF476" s="86"/>
      <c r="AG476" s="87"/>
      <c r="AH476" s="88"/>
    </row>
    <row r="477" spans="1:34" x14ac:dyDescent="0.25">
      <c r="A477" s="7"/>
      <c r="B477" s="25"/>
      <c r="C477" s="91"/>
      <c r="D477" s="91"/>
      <c r="E477" s="78"/>
      <c r="F477" s="133"/>
      <c r="G477" s="38"/>
      <c r="H477" s="80"/>
      <c r="I477" s="81"/>
      <c r="J477" s="82"/>
      <c r="K477" s="83"/>
      <c r="L477" s="84"/>
      <c r="M477" s="79"/>
      <c r="N477" s="80"/>
      <c r="O477" s="81"/>
      <c r="P477" s="82"/>
      <c r="Q477" s="83"/>
      <c r="R477" s="84"/>
      <c r="S477" s="84"/>
      <c r="T477" s="84"/>
      <c r="U477" s="84"/>
      <c r="V477" s="84"/>
      <c r="W477" s="84"/>
      <c r="X477" s="84"/>
      <c r="Y477" s="84"/>
      <c r="Z477" s="84"/>
      <c r="AA477" s="84"/>
      <c r="AB477" s="84"/>
      <c r="AC477" s="84"/>
      <c r="AD477" s="84"/>
      <c r="AE477" s="85"/>
      <c r="AF477" s="86"/>
      <c r="AG477" s="87"/>
      <c r="AH477" s="88"/>
    </row>
    <row r="478" spans="1:34" x14ac:dyDescent="0.25">
      <c r="A478" s="7"/>
      <c r="B478" s="25"/>
      <c r="C478" s="91"/>
      <c r="D478" s="91"/>
      <c r="E478" s="78"/>
      <c r="F478" s="133"/>
      <c r="G478" s="38"/>
      <c r="H478" s="80"/>
      <c r="I478" s="81"/>
      <c r="J478" s="82"/>
      <c r="K478" s="83"/>
      <c r="L478" s="84"/>
      <c r="M478" s="79"/>
      <c r="N478" s="80"/>
      <c r="O478" s="81"/>
      <c r="P478" s="82"/>
      <c r="Q478" s="83"/>
      <c r="R478" s="84"/>
      <c r="S478" s="84"/>
      <c r="T478" s="84"/>
      <c r="U478" s="84"/>
      <c r="V478" s="84"/>
      <c r="W478" s="84"/>
      <c r="X478" s="84"/>
      <c r="Y478" s="84"/>
      <c r="Z478" s="84"/>
      <c r="AA478" s="84"/>
      <c r="AB478" s="84"/>
      <c r="AC478" s="84"/>
      <c r="AD478" s="84"/>
      <c r="AE478" s="85"/>
      <c r="AF478" s="86"/>
      <c r="AG478" s="87"/>
      <c r="AH478" s="88"/>
    </row>
    <row r="479" spans="1:34" x14ac:dyDescent="0.25">
      <c r="A479" s="7"/>
      <c r="B479" s="25"/>
      <c r="C479" s="91"/>
      <c r="D479" s="91"/>
      <c r="E479" s="78"/>
      <c r="F479" s="133"/>
      <c r="G479" s="38"/>
      <c r="H479" s="80"/>
      <c r="I479" s="81"/>
      <c r="J479" s="82"/>
      <c r="K479" s="83"/>
      <c r="L479" s="84"/>
      <c r="M479" s="79"/>
      <c r="N479" s="80"/>
      <c r="O479" s="81"/>
      <c r="P479" s="82"/>
      <c r="Q479" s="83"/>
      <c r="R479" s="84"/>
      <c r="S479" s="84"/>
      <c r="T479" s="84"/>
      <c r="U479" s="84"/>
      <c r="V479" s="84"/>
      <c r="W479" s="84"/>
      <c r="X479" s="84"/>
      <c r="Y479" s="84"/>
      <c r="Z479" s="84"/>
      <c r="AA479" s="84"/>
      <c r="AB479" s="84"/>
      <c r="AC479" s="84"/>
      <c r="AD479" s="84"/>
      <c r="AE479" s="85"/>
      <c r="AF479" s="86"/>
      <c r="AG479" s="87"/>
      <c r="AH479" s="88"/>
    </row>
    <row r="480" spans="1:34" x14ac:dyDescent="0.25">
      <c r="A480" s="7"/>
      <c r="B480" s="25"/>
      <c r="C480" s="91"/>
      <c r="D480" s="91"/>
      <c r="E480" s="78"/>
      <c r="F480" s="133"/>
      <c r="G480" s="38"/>
      <c r="H480" s="80"/>
      <c r="I480" s="81"/>
      <c r="J480" s="82"/>
      <c r="K480" s="83"/>
      <c r="L480" s="84"/>
      <c r="M480" s="79"/>
      <c r="N480" s="80"/>
      <c r="O480" s="81"/>
      <c r="P480" s="82"/>
      <c r="Q480" s="83"/>
      <c r="R480" s="84"/>
      <c r="S480" s="84"/>
      <c r="T480" s="84"/>
      <c r="U480" s="84"/>
      <c r="V480" s="84"/>
      <c r="W480" s="84"/>
      <c r="X480" s="84"/>
      <c r="Y480" s="84"/>
      <c r="Z480" s="84"/>
      <c r="AA480" s="84"/>
      <c r="AB480" s="84"/>
      <c r="AC480" s="84"/>
      <c r="AD480" s="84"/>
      <c r="AE480" s="85"/>
      <c r="AF480" s="86"/>
      <c r="AG480" s="87"/>
      <c r="AH480" s="88"/>
    </row>
    <row r="481" spans="1:34" x14ac:dyDescent="0.25">
      <c r="A481" s="7"/>
      <c r="B481" s="25"/>
      <c r="C481" s="91"/>
      <c r="D481" s="91"/>
      <c r="E481" s="78"/>
      <c r="F481" s="133"/>
      <c r="G481" s="38"/>
      <c r="H481" s="80"/>
      <c r="I481" s="81"/>
      <c r="J481" s="82"/>
      <c r="K481" s="83"/>
      <c r="L481" s="84"/>
      <c r="M481" s="79"/>
      <c r="N481" s="80"/>
      <c r="O481" s="81"/>
      <c r="P481" s="82"/>
      <c r="Q481" s="83"/>
      <c r="R481" s="84"/>
      <c r="S481" s="84"/>
      <c r="T481" s="84"/>
      <c r="U481" s="84"/>
      <c r="V481" s="84"/>
      <c r="W481" s="84"/>
      <c r="X481" s="84"/>
      <c r="Y481" s="84"/>
      <c r="Z481" s="84"/>
      <c r="AA481" s="84"/>
      <c r="AB481" s="84"/>
      <c r="AC481" s="84"/>
      <c r="AD481" s="84"/>
      <c r="AE481" s="85"/>
      <c r="AF481" s="86"/>
      <c r="AG481" s="87"/>
      <c r="AH481" s="88"/>
    </row>
    <row r="482" spans="1:34" x14ac:dyDescent="0.25">
      <c r="A482" s="7"/>
      <c r="B482" s="25"/>
      <c r="C482" s="91"/>
      <c r="D482" s="91"/>
      <c r="E482" s="78"/>
      <c r="F482" s="133"/>
      <c r="G482" s="38"/>
      <c r="H482" s="80"/>
      <c r="I482" s="81"/>
      <c r="J482" s="82"/>
      <c r="K482" s="83"/>
      <c r="L482" s="84"/>
      <c r="M482" s="79"/>
      <c r="N482" s="80"/>
      <c r="O482" s="81"/>
      <c r="P482" s="82"/>
      <c r="Q482" s="83"/>
      <c r="R482" s="84"/>
      <c r="S482" s="84"/>
      <c r="T482" s="84"/>
      <c r="U482" s="84"/>
      <c r="V482" s="84"/>
      <c r="W482" s="84"/>
      <c r="X482" s="84"/>
      <c r="Y482" s="84"/>
      <c r="Z482" s="84"/>
      <c r="AA482" s="84"/>
      <c r="AB482" s="84"/>
      <c r="AC482" s="84"/>
      <c r="AD482" s="84"/>
      <c r="AE482" s="85"/>
      <c r="AF482" s="86"/>
      <c r="AG482" s="87"/>
      <c r="AH482" s="88"/>
    </row>
    <row r="483" spans="1:34" x14ac:dyDescent="0.25">
      <c r="A483" s="7"/>
      <c r="B483" s="25"/>
      <c r="C483" s="91"/>
      <c r="D483" s="91"/>
      <c r="E483" s="78"/>
      <c r="F483" s="133"/>
      <c r="G483" s="38"/>
      <c r="H483" s="80"/>
      <c r="I483" s="81"/>
      <c r="J483" s="82"/>
      <c r="K483" s="83"/>
      <c r="L483" s="84"/>
      <c r="M483" s="79"/>
      <c r="N483" s="80"/>
      <c r="O483" s="81"/>
      <c r="P483" s="82"/>
      <c r="Q483" s="83"/>
      <c r="R483" s="84"/>
      <c r="S483" s="84"/>
      <c r="T483" s="84"/>
      <c r="U483" s="84"/>
      <c r="V483" s="84"/>
      <c r="W483" s="84"/>
      <c r="X483" s="84"/>
      <c r="Y483" s="84"/>
      <c r="Z483" s="84"/>
      <c r="AA483" s="84"/>
      <c r="AB483" s="84"/>
      <c r="AC483" s="84"/>
      <c r="AD483" s="84"/>
      <c r="AE483" s="85"/>
      <c r="AF483" s="86"/>
      <c r="AG483" s="87"/>
      <c r="AH483" s="88"/>
    </row>
    <row r="484" spans="1:34" x14ac:dyDescent="0.25">
      <c r="A484" s="7"/>
      <c r="B484" s="25"/>
      <c r="C484" s="91"/>
      <c r="D484" s="91"/>
      <c r="E484" s="78"/>
      <c r="F484" s="133"/>
      <c r="G484" s="38"/>
      <c r="H484" s="80"/>
      <c r="I484" s="81"/>
      <c r="J484" s="82"/>
      <c r="K484" s="83"/>
      <c r="L484" s="84"/>
      <c r="M484" s="79"/>
      <c r="N484" s="80"/>
      <c r="O484" s="81"/>
      <c r="P484" s="82"/>
      <c r="Q484" s="83"/>
      <c r="R484" s="84"/>
      <c r="S484" s="84"/>
      <c r="T484" s="84"/>
      <c r="U484" s="84"/>
      <c r="V484" s="84"/>
      <c r="W484" s="84"/>
      <c r="X484" s="84"/>
      <c r="Y484" s="84"/>
      <c r="Z484" s="84"/>
      <c r="AA484" s="84"/>
      <c r="AB484" s="84"/>
      <c r="AC484" s="84"/>
      <c r="AD484" s="84"/>
      <c r="AE484" s="85"/>
      <c r="AF484" s="86"/>
      <c r="AG484" s="87"/>
      <c r="AH484" s="88"/>
    </row>
    <row r="485" spans="1:34" x14ac:dyDescent="0.25">
      <c r="A485" s="7"/>
      <c r="B485" s="25"/>
      <c r="C485" s="91"/>
      <c r="D485" s="91"/>
      <c r="E485" s="78"/>
      <c r="F485" s="133"/>
      <c r="G485" s="38"/>
      <c r="H485" s="80"/>
      <c r="I485" s="81"/>
      <c r="J485" s="82"/>
      <c r="K485" s="83"/>
      <c r="L485" s="84"/>
      <c r="M485" s="79"/>
      <c r="N485" s="80"/>
      <c r="O485" s="81"/>
      <c r="P485" s="82"/>
      <c r="Q485" s="83"/>
      <c r="R485" s="84"/>
      <c r="S485" s="84"/>
      <c r="T485" s="84"/>
      <c r="U485" s="84"/>
      <c r="V485" s="84"/>
      <c r="W485" s="84"/>
      <c r="X485" s="84"/>
      <c r="Y485" s="84"/>
      <c r="Z485" s="84"/>
      <c r="AA485" s="84"/>
      <c r="AB485" s="84"/>
      <c r="AC485" s="84"/>
      <c r="AD485" s="84"/>
      <c r="AE485" s="85"/>
      <c r="AF485" s="86"/>
      <c r="AG485" s="87"/>
      <c r="AH485" s="88"/>
    </row>
    <row r="486" spans="1:34" x14ac:dyDescent="0.25">
      <c r="A486" s="7"/>
      <c r="B486" s="25"/>
      <c r="C486" s="91"/>
      <c r="D486" s="91"/>
      <c r="E486" s="78"/>
      <c r="F486" s="133"/>
      <c r="G486" s="38"/>
      <c r="H486" s="80"/>
      <c r="I486" s="81"/>
      <c r="J486" s="82"/>
      <c r="K486" s="83"/>
      <c r="L486" s="84"/>
      <c r="M486" s="79"/>
      <c r="N486" s="80"/>
      <c r="O486" s="81"/>
      <c r="P486" s="82"/>
      <c r="Q486" s="83"/>
      <c r="R486" s="84"/>
      <c r="S486" s="84"/>
      <c r="T486" s="84"/>
      <c r="U486" s="84"/>
      <c r="V486" s="84"/>
      <c r="W486" s="84"/>
      <c r="X486" s="84"/>
      <c r="Y486" s="84"/>
      <c r="Z486" s="84"/>
      <c r="AA486" s="84"/>
      <c r="AB486" s="84"/>
      <c r="AC486" s="84"/>
      <c r="AD486" s="84"/>
      <c r="AE486" s="85"/>
      <c r="AF486" s="86"/>
      <c r="AG486" s="87"/>
      <c r="AH486" s="88"/>
    </row>
    <row r="487" spans="1:34" x14ac:dyDescent="0.25">
      <c r="A487" s="7"/>
      <c r="B487" s="25"/>
      <c r="C487" s="91"/>
      <c r="D487" s="91"/>
      <c r="E487" s="78"/>
      <c r="F487" s="133"/>
      <c r="G487" s="38"/>
      <c r="H487" s="80"/>
      <c r="I487" s="81"/>
      <c r="J487" s="82"/>
      <c r="K487" s="83"/>
      <c r="L487" s="84"/>
      <c r="M487" s="79"/>
      <c r="N487" s="80"/>
      <c r="O487" s="81"/>
      <c r="P487" s="82"/>
      <c r="Q487" s="83"/>
      <c r="R487" s="84"/>
      <c r="S487" s="84"/>
      <c r="T487" s="84"/>
      <c r="U487" s="84"/>
      <c r="V487" s="84"/>
      <c r="W487" s="84"/>
      <c r="X487" s="84"/>
      <c r="Y487" s="84"/>
      <c r="Z487" s="84"/>
      <c r="AA487" s="84"/>
      <c r="AB487" s="84"/>
      <c r="AC487" s="84"/>
      <c r="AD487" s="84"/>
      <c r="AE487" s="85"/>
      <c r="AF487" s="86"/>
      <c r="AG487" s="87"/>
      <c r="AH487" s="88"/>
    </row>
    <row r="488" spans="1:34" x14ac:dyDescent="0.25">
      <c r="A488" s="7"/>
      <c r="B488" s="25"/>
      <c r="C488" s="91"/>
      <c r="D488" s="91"/>
      <c r="E488" s="78"/>
      <c r="F488" s="133"/>
      <c r="G488" s="38"/>
      <c r="H488" s="80"/>
      <c r="I488" s="81"/>
      <c r="J488" s="82"/>
      <c r="K488" s="83"/>
      <c r="L488" s="84"/>
      <c r="M488" s="79"/>
      <c r="N488" s="80"/>
      <c r="O488" s="81"/>
      <c r="P488" s="82"/>
      <c r="Q488" s="83"/>
      <c r="R488" s="84"/>
      <c r="S488" s="84"/>
      <c r="T488" s="84"/>
      <c r="U488" s="84"/>
      <c r="V488" s="84"/>
      <c r="W488" s="84"/>
      <c r="X488" s="84"/>
      <c r="Y488" s="84"/>
      <c r="Z488" s="84"/>
      <c r="AA488" s="84"/>
      <c r="AB488" s="84"/>
      <c r="AC488" s="84"/>
      <c r="AD488" s="84"/>
      <c r="AE488" s="85"/>
      <c r="AF488" s="86"/>
      <c r="AG488" s="87"/>
      <c r="AH488" s="88"/>
    </row>
    <row r="489" spans="1:34" x14ac:dyDescent="0.25">
      <c r="A489" s="7"/>
      <c r="B489" s="25"/>
      <c r="C489" s="91"/>
      <c r="D489" s="91"/>
      <c r="E489" s="78"/>
      <c r="F489" s="133"/>
      <c r="G489" s="38"/>
      <c r="H489" s="80"/>
      <c r="I489" s="81"/>
      <c r="J489" s="82"/>
      <c r="K489" s="83"/>
      <c r="L489" s="84"/>
      <c r="M489" s="79"/>
      <c r="N489" s="80"/>
      <c r="O489" s="81"/>
      <c r="P489" s="82"/>
      <c r="Q489" s="83"/>
      <c r="R489" s="84"/>
      <c r="S489" s="84"/>
      <c r="T489" s="84"/>
      <c r="U489" s="84"/>
      <c r="V489" s="84"/>
      <c r="W489" s="84"/>
      <c r="X489" s="84"/>
      <c r="Y489" s="84"/>
      <c r="Z489" s="84"/>
      <c r="AA489" s="84"/>
      <c r="AB489" s="84"/>
      <c r="AC489" s="84"/>
      <c r="AD489" s="84"/>
      <c r="AE489" s="85"/>
      <c r="AF489" s="86"/>
      <c r="AG489" s="87"/>
      <c r="AH489" s="88"/>
    </row>
    <row r="490" spans="1:34" x14ac:dyDescent="0.25">
      <c r="A490" s="7"/>
      <c r="B490" s="25"/>
      <c r="C490" s="91"/>
      <c r="D490" s="91"/>
      <c r="E490" s="78"/>
      <c r="F490" s="133"/>
      <c r="G490" s="38"/>
      <c r="H490" s="80"/>
      <c r="I490" s="81"/>
      <c r="J490" s="82"/>
      <c r="K490" s="83"/>
      <c r="L490" s="84"/>
      <c r="M490" s="79"/>
      <c r="N490" s="80"/>
      <c r="O490" s="81"/>
      <c r="P490" s="82"/>
      <c r="Q490" s="83"/>
      <c r="R490" s="84"/>
      <c r="S490" s="84"/>
      <c r="T490" s="84"/>
      <c r="U490" s="84"/>
      <c r="V490" s="84"/>
      <c r="W490" s="84"/>
      <c r="X490" s="84"/>
      <c r="Y490" s="84"/>
      <c r="Z490" s="84"/>
      <c r="AA490" s="84"/>
      <c r="AB490" s="84"/>
      <c r="AC490" s="84"/>
      <c r="AD490" s="84"/>
      <c r="AE490" s="85"/>
      <c r="AF490" s="86"/>
      <c r="AG490" s="87"/>
      <c r="AH490" s="88"/>
    </row>
    <row r="491" spans="1:34" x14ac:dyDescent="0.25">
      <c r="A491" s="7"/>
      <c r="B491" s="25"/>
      <c r="C491" s="91"/>
      <c r="D491" s="91"/>
      <c r="E491" s="78"/>
      <c r="F491" s="133"/>
      <c r="G491" s="38"/>
      <c r="H491" s="80"/>
      <c r="I491" s="81"/>
      <c r="J491" s="82"/>
      <c r="K491" s="83"/>
      <c r="L491" s="84"/>
      <c r="M491" s="79"/>
      <c r="N491" s="80"/>
      <c r="O491" s="81"/>
      <c r="P491" s="82"/>
      <c r="Q491" s="83"/>
      <c r="R491" s="84"/>
      <c r="S491" s="84"/>
      <c r="T491" s="84"/>
      <c r="U491" s="84"/>
      <c r="V491" s="84"/>
      <c r="W491" s="84"/>
      <c r="X491" s="84"/>
      <c r="Y491" s="84"/>
      <c r="Z491" s="84"/>
      <c r="AA491" s="84"/>
      <c r="AB491" s="84"/>
      <c r="AC491" s="84"/>
      <c r="AD491" s="84"/>
      <c r="AE491" s="85"/>
      <c r="AF491" s="86"/>
      <c r="AG491" s="87"/>
      <c r="AH491" s="88"/>
    </row>
    <row r="492" spans="1:34" x14ac:dyDescent="0.25">
      <c r="A492" s="7"/>
      <c r="B492" s="25"/>
      <c r="C492" s="91"/>
      <c r="D492" s="91"/>
      <c r="E492" s="78"/>
      <c r="F492" s="133"/>
      <c r="G492" s="38"/>
      <c r="H492" s="80"/>
      <c r="I492" s="81"/>
      <c r="J492" s="82"/>
      <c r="K492" s="83"/>
      <c r="L492" s="84"/>
      <c r="M492" s="79"/>
      <c r="N492" s="80"/>
      <c r="O492" s="81"/>
      <c r="P492" s="82"/>
      <c r="Q492" s="83"/>
      <c r="R492" s="84"/>
      <c r="S492" s="84"/>
      <c r="T492" s="84"/>
      <c r="U492" s="84"/>
      <c r="V492" s="84"/>
      <c r="W492" s="84"/>
      <c r="X492" s="84"/>
      <c r="Y492" s="84"/>
      <c r="Z492" s="84"/>
      <c r="AA492" s="84"/>
      <c r="AB492" s="84"/>
      <c r="AC492" s="84"/>
      <c r="AD492" s="84"/>
      <c r="AE492" s="85"/>
      <c r="AF492" s="86"/>
      <c r="AG492" s="87"/>
      <c r="AH492" s="88"/>
    </row>
    <row r="493" spans="1:34" x14ac:dyDescent="0.25">
      <c r="A493" s="7"/>
      <c r="B493" s="25"/>
      <c r="C493" s="91"/>
      <c r="D493" s="91"/>
      <c r="E493" s="78"/>
      <c r="F493" s="133"/>
      <c r="G493" s="38"/>
      <c r="H493" s="80"/>
      <c r="I493" s="81"/>
      <c r="J493" s="82"/>
      <c r="K493" s="83"/>
      <c r="L493" s="84"/>
      <c r="M493" s="79"/>
      <c r="N493" s="80"/>
      <c r="O493" s="81"/>
      <c r="P493" s="82"/>
      <c r="Q493" s="83"/>
      <c r="R493" s="84"/>
      <c r="S493" s="84"/>
      <c r="T493" s="84"/>
      <c r="U493" s="84"/>
      <c r="V493" s="84"/>
      <c r="W493" s="84"/>
      <c r="X493" s="84"/>
      <c r="Y493" s="84"/>
      <c r="Z493" s="84"/>
      <c r="AA493" s="84"/>
      <c r="AB493" s="84"/>
      <c r="AC493" s="84"/>
      <c r="AD493" s="84"/>
      <c r="AE493" s="85"/>
      <c r="AF493" s="86"/>
      <c r="AG493" s="87"/>
      <c r="AH493" s="88"/>
    </row>
    <row r="494" spans="1:34" x14ac:dyDescent="0.25">
      <c r="A494" s="7"/>
      <c r="B494" s="25"/>
      <c r="C494" s="91"/>
      <c r="D494" s="91"/>
      <c r="E494" s="78"/>
      <c r="F494" s="133"/>
      <c r="G494" s="38"/>
      <c r="H494" s="80"/>
      <c r="I494" s="81"/>
      <c r="J494" s="82"/>
      <c r="K494" s="83"/>
      <c r="L494" s="84"/>
      <c r="M494" s="79"/>
      <c r="N494" s="80"/>
      <c r="O494" s="81"/>
      <c r="P494" s="82"/>
      <c r="Q494" s="83"/>
      <c r="R494" s="84"/>
      <c r="S494" s="84"/>
      <c r="T494" s="84"/>
      <c r="U494" s="84"/>
      <c r="V494" s="84"/>
      <c r="W494" s="84"/>
      <c r="X494" s="84"/>
      <c r="Y494" s="84"/>
      <c r="Z494" s="84"/>
      <c r="AA494" s="84"/>
      <c r="AB494" s="84"/>
      <c r="AC494" s="84"/>
      <c r="AD494" s="84"/>
      <c r="AE494" s="85"/>
      <c r="AF494" s="86"/>
      <c r="AG494" s="87"/>
      <c r="AH494" s="88"/>
    </row>
    <row r="495" spans="1:34" x14ac:dyDescent="0.25">
      <c r="A495" s="7"/>
      <c r="B495" s="25"/>
      <c r="C495" s="91"/>
      <c r="D495" s="91"/>
      <c r="E495" s="78"/>
      <c r="F495" s="133"/>
      <c r="G495" s="38"/>
      <c r="H495" s="80"/>
      <c r="I495" s="81"/>
      <c r="J495" s="82"/>
      <c r="K495" s="83"/>
      <c r="L495" s="84"/>
      <c r="M495" s="79"/>
      <c r="N495" s="80"/>
      <c r="O495" s="81"/>
      <c r="P495" s="82"/>
      <c r="Q495" s="83"/>
      <c r="R495" s="84"/>
      <c r="S495" s="84"/>
      <c r="T495" s="84"/>
      <c r="U495" s="84"/>
      <c r="V495" s="84"/>
      <c r="W495" s="84"/>
      <c r="X495" s="84"/>
      <c r="Y495" s="84"/>
      <c r="Z495" s="84"/>
      <c r="AA495" s="84"/>
      <c r="AB495" s="84"/>
      <c r="AC495" s="84"/>
      <c r="AD495" s="84"/>
      <c r="AE495" s="85"/>
      <c r="AF495" s="86"/>
      <c r="AG495" s="87"/>
      <c r="AH495" s="88"/>
    </row>
    <row r="496" spans="1:34" x14ac:dyDescent="0.25">
      <c r="A496" s="7"/>
      <c r="B496" s="25"/>
      <c r="C496" s="91"/>
      <c r="D496" s="91"/>
      <c r="E496" s="78"/>
      <c r="F496" s="133"/>
      <c r="G496" s="38"/>
      <c r="H496" s="80"/>
      <c r="I496" s="81"/>
      <c r="J496" s="82"/>
      <c r="K496" s="83"/>
      <c r="L496" s="84"/>
      <c r="M496" s="79"/>
      <c r="N496" s="80"/>
      <c r="O496" s="81"/>
      <c r="P496" s="82"/>
      <c r="Q496" s="83"/>
      <c r="R496" s="84"/>
      <c r="S496" s="84"/>
      <c r="T496" s="84"/>
      <c r="U496" s="84"/>
      <c r="V496" s="84"/>
      <c r="W496" s="84"/>
      <c r="X496" s="84"/>
      <c r="Y496" s="84"/>
      <c r="Z496" s="84"/>
      <c r="AA496" s="84"/>
      <c r="AB496" s="84"/>
      <c r="AC496" s="84"/>
      <c r="AD496" s="84"/>
      <c r="AE496" s="85"/>
      <c r="AF496" s="86"/>
      <c r="AG496" s="87"/>
      <c r="AH496" s="88"/>
    </row>
    <row r="497" spans="1:34" x14ac:dyDescent="0.25">
      <c r="A497" s="7"/>
      <c r="B497" s="25"/>
      <c r="C497" s="91"/>
      <c r="D497" s="91"/>
      <c r="E497" s="78"/>
      <c r="F497" s="133"/>
      <c r="G497" s="38"/>
      <c r="H497" s="80"/>
      <c r="I497" s="81"/>
      <c r="J497" s="82"/>
      <c r="K497" s="83"/>
      <c r="L497" s="84"/>
      <c r="M497" s="79"/>
      <c r="N497" s="80"/>
      <c r="O497" s="81"/>
      <c r="P497" s="82"/>
      <c r="Q497" s="83"/>
      <c r="R497" s="84"/>
      <c r="S497" s="84"/>
      <c r="T497" s="84"/>
      <c r="U497" s="84"/>
      <c r="V497" s="84"/>
      <c r="W497" s="84"/>
      <c r="X497" s="84"/>
      <c r="Y497" s="84"/>
      <c r="Z497" s="84"/>
      <c r="AA497" s="84"/>
      <c r="AB497" s="84"/>
      <c r="AC497" s="84"/>
      <c r="AD497" s="84"/>
      <c r="AE497" s="85"/>
      <c r="AF497" s="86"/>
      <c r="AG497" s="87"/>
      <c r="AH497" s="88"/>
    </row>
    <row r="498" spans="1:34" x14ac:dyDescent="0.25">
      <c r="A498" s="7"/>
      <c r="B498" s="25"/>
      <c r="C498" s="91"/>
      <c r="D498" s="91"/>
      <c r="E498" s="78"/>
      <c r="F498" s="133"/>
      <c r="G498" s="38"/>
      <c r="H498" s="80"/>
      <c r="I498" s="81"/>
      <c r="J498" s="82"/>
      <c r="K498" s="83"/>
      <c r="L498" s="84"/>
      <c r="M498" s="79"/>
      <c r="N498" s="80"/>
      <c r="O498" s="81"/>
      <c r="P498" s="82"/>
      <c r="Q498" s="83"/>
      <c r="R498" s="84"/>
      <c r="S498" s="84"/>
      <c r="T498" s="84"/>
      <c r="U498" s="84"/>
      <c r="V498" s="84"/>
      <c r="W498" s="84"/>
      <c r="X498" s="84"/>
      <c r="Y498" s="84"/>
      <c r="Z498" s="84"/>
      <c r="AA498" s="84"/>
      <c r="AB498" s="84"/>
      <c r="AC498" s="84"/>
      <c r="AD498" s="84"/>
      <c r="AE498" s="85"/>
      <c r="AF498" s="86"/>
      <c r="AG498" s="87"/>
      <c r="AH498" s="88"/>
    </row>
    <row r="499" spans="1:34" x14ac:dyDescent="0.25">
      <c r="A499" s="7"/>
      <c r="B499" s="25"/>
      <c r="C499" s="91"/>
      <c r="D499" s="91"/>
      <c r="E499" s="78"/>
      <c r="F499" s="133"/>
      <c r="G499" s="38"/>
      <c r="H499" s="80"/>
      <c r="I499" s="81"/>
      <c r="J499" s="82"/>
      <c r="K499" s="83"/>
      <c r="L499" s="84"/>
      <c r="M499" s="79"/>
      <c r="N499" s="80"/>
      <c r="O499" s="81"/>
      <c r="P499" s="82"/>
      <c r="Q499" s="83"/>
      <c r="R499" s="84"/>
      <c r="S499" s="84"/>
      <c r="T499" s="84"/>
      <c r="U499" s="84"/>
      <c r="V499" s="84"/>
      <c r="W499" s="84"/>
      <c r="X499" s="84"/>
      <c r="Y499" s="84"/>
      <c r="Z499" s="84"/>
      <c r="AA499" s="84"/>
      <c r="AB499" s="84"/>
      <c r="AC499" s="84"/>
      <c r="AD499" s="84"/>
      <c r="AE499" s="85"/>
      <c r="AF499" s="86"/>
      <c r="AG499" s="87"/>
      <c r="AH499" s="88"/>
    </row>
    <row r="500" spans="1:34" x14ac:dyDescent="0.25">
      <c r="A500" s="7"/>
      <c r="B500" s="25"/>
      <c r="C500" s="91"/>
      <c r="D500" s="91"/>
      <c r="E500" s="78"/>
      <c r="F500" s="133"/>
      <c r="G500" s="38"/>
      <c r="H500" s="80"/>
      <c r="I500" s="81"/>
      <c r="J500" s="82"/>
      <c r="K500" s="83"/>
      <c r="L500" s="84"/>
      <c r="M500" s="79"/>
      <c r="N500" s="80"/>
      <c r="O500" s="81"/>
      <c r="P500" s="82"/>
      <c r="Q500" s="83"/>
      <c r="R500" s="84"/>
      <c r="S500" s="84"/>
      <c r="T500" s="84"/>
      <c r="U500" s="84"/>
      <c r="V500" s="84"/>
      <c r="W500" s="84"/>
      <c r="X500" s="84"/>
      <c r="Y500" s="84"/>
      <c r="Z500" s="84"/>
      <c r="AA500" s="84"/>
      <c r="AB500" s="84"/>
      <c r="AC500" s="84"/>
      <c r="AD500" s="84"/>
      <c r="AE500" s="85"/>
      <c r="AF500" s="86"/>
      <c r="AG500" s="87"/>
      <c r="AH500" s="88"/>
    </row>
    <row r="501" spans="1:34" x14ac:dyDescent="0.25">
      <c r="A501" s="7"/>
      <c r="B501" s="25"/>
      <c r="C501" s="91"/>
      <c r="D501" s="91"/>
      <c r="E501" s="78"/>
      <c r="F501" s="133"/>
      <c r="G501" s="38"/>
      <c r="H501" s="80"/>
      <c r="I501" s="81"/>
      <c r="J501" s="82"/>
      <c r="K501" s="83"/>
      <c r="L501" s="84"/>
      <c r="M501" s="79"/>
      <c r="N501" s="80"/>
      <c r="O501" s="81"/>
      <c r="P501" s="82"/>
      <c r="Q501" s="83"/>
      <c r="R501" s="84"/>
      <c r="S501" s="84"/>
      <c r="T501" s="84"/>
      <c r="U501" s="84"/>
      <c r="V501" s="84"/>
      <c r="W501" s="84"/>
      <c r="X501" s="84"/>
      <c r="Y501" s="84"/>
      <c r="Z501" s="84"/>
      <c r="AA501" s="84"/>
      <c r="AB501" s="84"/>
      <c r="AC501" s="84"/>
      <c r="AD501" s="84"/>
      <c r="AE501" s="85"/>
      <c r="AF501" s="86"/>
      <c r="AG501" s="87"/>
      <c r="AH501" s="88"/>
    </row>
    <row r="502" spans="1:34" x14ac:dyDescent="0.25">
      <c r="A502" s="7"/>
      <c r="B502" s="25"/>
      <c r="C502" s="91"/>
      <c r="D502" s="91"/>
      <c r="E502" s="78"/>
      <c r="F502" s="133"/>
      <c r="G502" s="38"/>
      <c r="H502" s="80"/>
      <c r="I502" s="81"/>
      <c r="J502" s="82"/>
      <c r="K502" s="83"/>
      <c r="L502" s="84"/>
      <c r="M502" s="79"/>
      <c r="N502" s="80"/>
      <c r="O502" s="81"/>
      <c r="P502" s="82"/>
      <c r="Q502" s="83"/>
      <c r="R502" s="84"/>
      <c r="S502" s="84"/>
      <c r="T502" s="84"/>
      <c r="U502" s="84"/>
      <c r="V502" s="84"/>
      <c r="W502" s="84"/>
      <c r="X502" s="84"/>
      <c r="Y502" s="84"/>
      <c r="Z502" s="84"/>
      <c r="AA502" s="84"/>
      <c r="AB502" s="84"/>
      <c r="AC502" s="84"/>
      <c r="AD502" s="84"/>
      <c r="AE502" s="85"/>
      <c r="AF502" s="86"/>
      <c r="AG502" s="87"/>
      <c r="AH502" s="88"/>
    </row>
    <row r="503" spans="1:34" x14ac:dyDescent="0.25">
      <c r="A503" s="7"/>
      <c r="B503" s="25"/>
      <c r="C503" s="91"/>
      <c r="D503" s="91"/>
      <c r="E503" s="78"/>
      <c r="F503" s="133"/>
      <c r="G503" s="38"/>
      <c r="H503" s="80"/>
      <c r="I503" s="81"/>
      <c r="J503" s="82"/>
      <c r="K503" s="83"/>
      <c r="L503" s="84"/>
      <c r="M503" s="79"/>
      <c r="N503" s="80"/>
      <c r="O503" s="81"/>
      <c r="P503" s="82"/>
      <c r="Q503" s="83"/>
      <c r="R503" s="84"/>
      <c r="S503" s="84"/>
      <c r="T503" s="84"/>
      <c r="U503" s="84"/>
      <c r="V503" s="84"/>
      <c r="W503" s="84"/>
      <c r="X503" s="84"/>
      <c r="Y503" s="84"/>
      <c r="Z503" s="84"/>
      <c r="AA503" s="84"/>
      <c r="AB503" s="84"/>
      <c r="AC503" s="84"/>
      <c r="AD503" s="84"/>
      <c r="AE503" s="85"/>
      <c r="AF503" s="86"/>
      <c r="AG503" s="87"/>
      <c r="AH503" s="88"/>
    </row>
    <row r="504" spans="1:34" x14ac:dyDescent="0.25">
      <c r="A504" s="7"/>
      <c r="B504" s="25"/>
      <c r="C504" s="91"/>
      <c r="D504" s="91"/>
      <c r="E504" s="78"/>
      <c r="F504" s="133"/>
      <c r="G504" s="38"/>
      <c r="H504" s="80"/>
      <c r="I504" s="81"/>
      <c r="J504" s="82"/>
      <c r="K504" s="83"/>
      <c r="L504" s="84"/>
      <c r="M504" s="79"/>
      <c r="N504" s="80"/>
      <c r="O504" s="81"/>
      <c r="P504" s="82"/>
      <c r="Q504" s="83"/>
      <c r="R504" s="84"/>
      <c r="S504" s="84"/>
      <c r="T504" s="84"/>
      <c r="U504" s="84"/>
      <c r="V504" s="84"/>
      <c r="W504" s="84"/>
      <c r="X504" s="84"/>
      <c r="Y504" s="84"/>
      <c r="Z504" s="84"/>
      <c r="AA504" s="84"/>
      <c r="AB504" s="84"/>
      <c r="AC504" s="84"/>
      <c r="AD504" s="84"/>
      <c r="AE504" s="85"/>
      <c r="AF504" s="86"/>
      <c r="AG504" s="87"/>
      <c r="AH504" s="88"/>
    </row>
    <row r="505" spans="1:34" x14ac:dyDescent="0.25">
      <c r="A505" s="7"/>
      <c r="B505" s="25"/>
      <c r="C505" s="91"/>
      <c r="D505" s="91"/>
      <c r="E505" s="78"/>
      <c r="F505" s="133"/>
      <c r="G505" s="38"/>
      <c r="H505" s="80"/>
      <c r="I505" s="81"/>
      <c r="J505" s="82"/>
      <c r="K505" s="83"/>
      <c r="L505" s="84"/>
      <c r="M505" s="79"/>
      <c r="N505" s="80"/>
      <c r="O505" s="81"/>
      <c r="P505" s="82"/>
      <c r="Q505" s="83"/>
      <c r="R505" s="84"/>
      <c r="S505" s="84"/>
      <c r="T505" s="84"/>
      <c r="U505" s="84"/>
      <c r="V505" s="84"/>
      <c r="W505" s="84"/>
      <c r="X505" s="84"/>
      <c r="Y505" s="84"/>
      <c r="Z505" s="84"/>
      <c r="AA505" s="84"/>
      <c r="AB505" s="84"/>
      <c r="AC505" s="84"/>
      <c r="AD505" s="84"/>
      <c r="AE505" s="85"/>
      <c r="AF505" s="86"/>
      <c r="AG505" s="87"/>
      <c r="AH505" s="88"/>
    </row>
  </sheetData>
  <sheetProtection algorithmName="SHA-512" hashValue="vr9wWeR7wfAvTv3zPKJqeMPlfbwCwx2vmW09Kuua6nFUS49iHUDyswtM083/cujxTnlr7p0xNeUr41aoG4dHCw==" saltValue="mkE3USARnZnS4kzrE69MtA=="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09" r:id="rId3" name="Button 23">
              <controlPr defaultSize="0" print="0" autoFill="0" autoPict="0" macro="[0]!IR_VF">
                <anchor moveWithCells="1" sizeWithCells="1">
                  <from>
                    <xdr:col>5</xdr:col>
                    <xdr:colOff>2200275</xdr:colOff>
                    <xdr:row>0</xdr:row>
                    <xdr:rowOff>0</xdr:rowOff>
                  </from>
                  <to>
                    <xdr:col>6</xdr:col>
                    <xdr:colOff>152400</xdr:colOff>
                    <xdr:row>0</xdr:row>
                    <xdr:rowOff>152400</xdr:rowOff>
                  </to>
                </anchor>
              </controlPr>
            </control>
          </mc:Choice>
        </mc:AlternateContent>
        <mc:AlternateContent xmlns:mc="http://schemas.openxmlformats.org/markup-compatibility/2006">
          <mc:Choice Requires="x14">
            <control shapeId="2110" r:id="rId4" name="Button 24">
              <controlPr defaultSize="0" print="0" autoFill="0" autoPict="0" macro="[0]!IR_OM">
                <anchor moveWithCells="1" sizeWithCells="1">
                  <from>
                    <xdr:col>5</xdr:col>
                    <xdr:colOff>914400</xdr:colOff>
                    <xdr:row>0</xdr:row>
                    <xdr:rowOff>0</xdr:rowOff>
                  </from>
                  <to>
                    <xdr:col>5</xdr:col>
                    <xdr:colOff>2190750</xdr:colOff>
                    <xdr:row>0</xdr:row>
                    <xdr:rowOff>152400</xdr:rowOff>
                  </to>
                </anchor>
              </controlPr>
            </control>
          </mc:Choice>
        </mc:AlternateContent>
        <mc:AlternateContent xmlns:mc="http://schemas.openxmlformats.org/markup-compatibility/2006">
          <mc:Choice Requires="x14">
            <control shapeId="2111" r:id="rId5" name="Button 25">
              <controlPr defaultSize="0" print="0" autoFill="0" autoPict="0" macro="[0]!IR_RC">
                <anchor moveWithCells="1" sizeWithCells="1">
                  <from>
                    <xdr:col>5</xdr:col>
                    <xdr:colOff>914400</xdr:colOff>
                    <xdr:row>0</xdr:row>
                    <xdr:rowOff>161925</xdr:rowOff>
                  </from>
                  <to>
                    <xdr:col>5</xdr:col>
                    <xdr:colOff>2190750</xdr:colOff>
                    <xdr:row>0</xdr:row>
                    <xdr:rowOff>314325</xdr:rowOff>
                  </to>
                </anchor>
              </controlPr>
            </control>
          </mc:Choice>
        </mc:AlternateContent>
        <mc:AlternateContent xmlns:mc="http://schemas.openxmlformats.org/markup-compatibility/2006">
          <mc:Choice Requires="x14">
            <control shapeId="2112" r:id="rId6" name="Button 26">
              <controlPr defaultSize="0" print="0" autoFill="0" autoPict="0" macro="[0]!IR_E">
                <anchor moveWithCells="1" sizeWithCells="1">
                  <from>
                    <xdr:col>6</xdr:col>
                    <xdr:colOff>161925</xdr:colOff>
                    <xdr:row>0</xdr:row>
                    <xdr:rowOff>0</xdr:rowOff>
                  </from>
                  <to>
                    <xdr:col>7</xdr:col>
                    <xdr:colOff>600075</xdr:colOff>
                    <xdr:row>0</xdr:row>
                    <xdr:rowOff>152400</xdr:rowOff>
                  </to>
                </anchor>
              </controlPr>
            </control>
          </mc:Choice>
        </mc:AlternateContent>
        <mc:AlternateContent xmlns:mc="http://schemas.openxmlformats.org/markup-compatibility/2006">
          <mc:Choice Requires="x14">
            <control shapeId="2113" r:id="rId7" name="Button 27">
              <controlPr defaultSize="0" print="0" autoFill="0" autoPict="0" macro="[0]!IR_PP">
                <anchor moveWithCells="1" sizeWithCells="1">
                  <from>
                    <xdr:col>5</xdr:col>
                    <xdr:colOff>2200275</xdr:colOff>
                    <xdr:row>0</xdr:row>
                    <xdr:rowOff>161925</xdr:rowOff>
                  </from>
                  <to>
                    <xdr:col>6</xdr:col>
                    <xdr:colOff>161925</xdr:colOff>
                    <xdr:row>0</xdr:row>
                    <xdr:rowOff>314325</xdr:rowOff>
                  </to>
                </anchor>
              </controlPr>
            </control>
          </mc:Choice>
        </mc:AlternateContent>
        <mc:AlternateContent xmlns:mc="http://schemas.openxmlformats.org/markup-compatibility/2006">
          <mc:Choice Requires="x14">
            <control shapeId="2114" r:id="rId8" name="Button 28">
              <controlPr defaultSize="0" print="0" autoFill="0" autoPict="0" macro="[0]!IR_INICIO">
                <anchor moveWithCells="1" sizeWithCells="1">
                  <from>
                    <xdr:col>6</xdr:col>
                    <xdr:colOff>161925</xdr:colOff>
                    <xdr:row>0</xdr:row>
                    <xdr:rowOff>161925</xdr:rowOff>
                  </from>
                  <to>
                    <xdr:col>7</xdr:col>
                    <xdr:colOff>600075</xdr:colOff>
                    <xdr:row>0</xdr:row>
                    <xdr:rowOff>314325</xdr:rowOff>
                  </to>
                </anchor>
              </controlPr>
            </control>
          </mc:Choice>
        </mc:AlternateContent>
        <mc:AlternateContent xmlns:mc="http://schemas.openxmlformats.org/markup-compatibility/2006">
          <mc:Choice Requires="x14">
            <control shapeId="2115" r:id="rId9" name="Button 29">
              <controlPr defaultSize="0" autoFill="0" autoPict="0" macro="[0]!IR_INICIO">
                <anchor moveWithCells="1" sizeWithCells="1">
                  <from>
                    <xdr:col>5</xdr:col>
                    <xdr:colOff>361950</xdr:colOff>
                    <xdr:row>0</xdr:row>
                    <xdr:rowOff>0</xdr:rowOff>
                  </from>
                  <to>
                    <xdr:col>5</xdr:col>
                    <xdr:colOff>904875</xdr:colOff>
                    <xdr:row>0</xdr:row>
                    <xdr:rowOff>161925</xdr:rowOff>
                  </to>
                </anchor>
              </controlPr>
            </control>
          </mc:Choice>
        </mc:AlternateContent>
        <mc:AlternateContent xmlns:mc="http://schemas.openxmlformats.org/markup-compatibility/2006">
          <mc:Choice Requires="x14">
            <control shapeId="2116" r:id="rId10" name="Button 30">
              <controlPr defaultSize="0" autoFill="0" autoPict="0" macro="[0]!Copiar_Formatos">
                <anchor moveWithCells="1" sizeWithCells="1">
                  <from>
                    <xdr:col>5</xdr:col>
                    <xdr:colOff>361950</xdr:colOff>
                    <xdr:row>0</xdr:row>
                    <xdr:rowOff>161925</xdr:rowOff>
                  </from>
                  <to>
                    <xdr:col>5</xdr:col>
                    <xdr:colOff>904875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4"/>
  <dimension ref="A1:AH505"/>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E4" sqref="E4"/>
    </sheetView>
  </sheetViews>
  <sheetFormatPr baseColWidth="10" defaultColWidth="11.42578125" defaultRowHeight="15" x14ac:dyDescent="0.25"/>
  <cols>
    <col min="1" max="1" width="6" style="5" customWidth="1"/>
    <col min="2" max="2" width="3.42578125" style="5" hidden="1" customWidth="1"/>
    <col min="3" max="3" width="5.28515625" style="6" hidden="1" customWidth="1"/>
    <col min="4" max="4" width="5.7109375" style="6" hidden="1" customWidth="1"/>
    <col min="5" max="5" width="17.28515625" style="6" customWidth="1"/>
    <col min="6" max="6" width="49.7109375" style="5" customWidth="1"/>
    <col min="7" max="12" width="12.5703125" style="5" customWidth="1"/>
    <col min="13" max="27" width="14.28515625" style="5" customWidth="1"/>
    <col min="28" max="16384" width="11.42578125" style="5"/>
  </cols>
  <sheetData>
    <row r="1" spans="1:34" s="2" customFormat="1" ht="24.95" customHeight="1" thickBot="1" x14ac:dyDescent="0.3">
      <c r="B1" s="120"/>
      <c r="C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s="2" customFormat="1" ht="24.95" customHeight="1" x14ac:dyDescent="0.25">
      <c r="B2" s="3"/>
      <c r="C2" s="4"/>
      <c r="D2" s="4"/>
      <c r="F2" s="122" t="str">
        <f ca="1">'Datos OM'!F2</f>
        <v>EM                                 RC                             PP</v>
      </c>
      <c r="G2" s="119">
        <f>COUNTA(F4:F505)</f>
        <v>3</v>
      </c>
      <c r="H2" s="148" t="str">
        <f ca="1">'Datos OM'!H2</f>
        <v>Preguntas Almacenadas</v>
      </c>
    </row>
    <row r="3" spans="1:34" s="23" customFormat="1" ht="50.1" customHeight="1" x14ac:dyDescent="0.25">
      <c r="A3" s="151" t="str">
        <f ca="1">INDIRECT("Z_BP_17_"&amp;IDIOMA)</f>
        <v xml:space="preserve">Pareja </v>
      </c>
      <c r="B3" s="8"/>
      <c r="C3" s="51"/>
      <c r="D3" s="51"/>
      <c r="E3" s="66" t="str">
        <f ca="1">'Datos OM'!E3</f>
        <v>Descripción</v>
      </c>
      <c r="F3" s="121" t="str">
        <f ca="1">"FastTest PlugIn - "&amp;UPPER(INICIO!M23)&amp;"
"&amp;INDIRECT("Z_BP_03_"&amp;IDIOMA)</f>
        <v>FastTest PlugIn - EMPAREJAR
Enunciado de la pregunta</v>
      </c>
      <c r="G3" s="45" t="str">
        <f ca="1">$A$3&amp;" 01.1"</f>
        <v>Pareja  01.1</v>
      </c>
      <c r="H3" s="45" t="str">
        <f ca="1">$A$3&amp;" 01.2"</f>
        <v>Pareja  01.2</v>
      </c>
      <c r="I3" s="46" t="str">
        <f ca="1">$A$3&amp;" 02.1"</f>
        <v>Pareja  02.1</v>
      </c>
      <c r="J3" s="46" t="str">
        <f ca="1">$A$3&amp;" 02.2"</f>
        <v>Pareja  02.2</v>
      </c>
      <c r="K3" s="47" t="str">
        <f ca="1">$A$3&amp;" 03.1"</f>
        <v>Pareja  03.1</v>
      </c>
      <c r="L3" s="47" t="str">
        <f ca="1">$A$3&amp;" 03.2"</f>
        <v>Pareja  03.2</v>
      </c>
      <c r="M3" s="48" t="str">
        <f ca="1">$A$3&amp;" 04.1"</f>
        <v>Pareja  04.1</v>
      </c>
      <c r="N3" s="48" t="str">
        <f ca="1">$A$3&amp;" 04.2"</f>
        <v>Pareja  04.2</v>
      </c>
      <c r="O3" s="49" t="str">
        <f ca="1">$A$3&amp;" 05.1"</f>
        <v>Pareja  05.1</v>
      </c>
      <c r="P3" s="49" t="str">
        <f ca="1">$A$3&amp;" 05.2"</f>
        <v>Pareja  05.2</v>
      </c>
      <c r="Q3" s="50" t="str">
        <f ca="1">$A$3&amp;" 06.1"</f>
        <v>Pareja  06.1</v>
      </c>
      <c r="R3" s="50" t="str">
        <f ca="1">$A$3&amp;" 06.2"</f>
        <v>Pareja  06.2</v>
      </c>
      <c r="S3" s="45" t="str">
        <f ca="1">$A$3&amp;" 07.1"</f>
        <v>Pareja  07.1</v>
      </c>
      <c r="T3" s="45" t="str">
        <f ca="1">$A$3&amp;" 07.2"</f>
        <v>Pareja  07.2</v>
      </c>
      <c r="U3" s="46" t="str">
        <f ca="1">$A$3&amp;" 08.1"</f>
        <v>Pareja  08.1</v>
      </c>
      <c r="V3" s="46" t="str">
        <f ca="1">$A$3&amp;" 08.2"</f>
        <v>Pareja  08.2</v>
      </c>
      <c r="W3" s="47" t="str">
        <f ca="1">$A$3&amp;" 09.1"</f>
        <v>Pareja  09.1</v>
      </c>
      <c r="X3" s="47" t="str">
        <f ca="1">$A$3&amp;" 09.2"</f>
        <v>Pareja  09.2</v>
      </c>
      <c r="Y3" s="48" t="str">
        <f ca="1">$A$3&amp;" 10.1"</f>
        <v>Pareja  10.1</v>
      </c>
      <c r="Z3" s="48" t="str">
        <f ca="1">$A$3&amp;" 10.2"</f>
        <v>Pareja  10.2</v>
      </c>
      <c r="AA3" s="49" t="str">
        <f ca="1">$A$3&amp;" 11.1"</f>
        <v>Pareja  11.1</v>
      </c>
      <c r="AB3" s="49" t="str">
        <f ca="1">$A$3&amp;" 11.2"</f>
        <v>Pareja  11.2</v>
      </c>
      <c r="AC3" s="50" t="str">
        <f ca="1">$A$3&amp;" 12.1"</f>
        <v>Pareja  12.1</v>
      </c>
      <c r="AD3" s="50" t="str">
        <f ca="1">$A$3&amp;" 12.1"</f>
        <v>Pareja  12.1</v>
      </c>
      <c r="AE3" s="92" t="str">
        <f ca="1">'Datos OM'!AE3</f>
        <v>Pista 1</v>
      </c>
      <c r="AF3" s="93" t="str">
        <f ca="1">'Datos OM'!AF3</f>
        <v>Pista 2</v>
      </c>
      <c r="AG3" s="94" t="str">
        <f ca="1">'Datos OM'!AG3</f>
        <v>Pista 3</v>
      </c>
      <c r="AH3" s="95" t="str">
        <f ca="1">'Datos OM'!AH3</f>
        <v>Pista 4</v>
      </c>
    </row>
    <row r="4" spans="1:34" s="2" customFormat="1" x14ac:dyDescent="0.25">
      <c r="A4" s="9">
        <f>IF(COUNTA(G4:AD4)/2=0,"",COUNTA(G4:AD4)/2)</f>
        <v>12</v>
      </c>
      <c r="B4" s="52"/>
      <c r="C4" s="53"/>
      <c r="D4" s="53"/>
      <c r="E4" s="78" t="s">
        <v>66</v>
      </c>
      <c r="F4" s="133" t="s">
        <v>67</v>
      </c>
      <c r="G4" s="54" t="s">
        <v>68</v>
      </c>
      <c r="H4" s="54" t="s">
        <v>69</v>
      </c>
      <c r="I4" s="55" t="s">
        <v>70</v>
      </c>
      <c r="J4" s="55" t="s">
        <v>71</v>
      </c>
      <c r="K4" s="56" t="s">
        <v>72</v>
      </c>
      <c r="L4" s="56" t="s">
        <v>73</v>
      </c>
      <c r="M4" s="57" t="s">
        <v>74</v>
      </c>
      <c r="N4" s="57" t="s">
        <v>75</v>
      </c>
      <c r="O4" s="58" t="s">
        <v>76</v>
      </c>
      <c r="P4" s="58" t="s">
        <v>77</v>
      </c>
      <c r="Q4" s="59" t="s">
        <v>78</v>
      </c>
      <c r="R4" s="59" t="s">
        <v>79</v>
      </c>
      <c r="S4" s="54" t="s">
        <v>80</v>
      </c>
      <c r="T4" s="54" t="s">
        <v>81</v>
      </c>
      <c r="U4" s="55" t="s">
        <v>82</v>
      </c>
      <c r="V4" s="55" t="s">
        <v>83</v>
      </c>
      <c r="W4" s="56" t="s">
        <v>84</v>
      </c>
      <c r="X4" s="56" t="s">
        <v>85</v>
      </c>
      <c r="Y4" s="57" t="s">
        <v>86</v>
      </c>
      <c r="Z4" s="57" t="s">
        <v>87</v>
      </c>
      <c r="AA4" s="58" t="s">
        <v>88</v>
      </c>
      <c r="AB4" s="58" t="s">
        <v>89</v>
      </c>
      <c r="AC4" s="59" t="s">
        <v>90</v>
      </c>
      <c r="AD4" s="59" t="s">
        <v>91</v>
      </c>
      <c r="AE4" s="96" t="s">
        <v>0</v>
      </c>
      <c r="AF4" s="97" t="s">
        <v>1</v>
      </c>
      <c r="AG4" s="98" t="s">
        <v>2</v>
      </c>
      <c r="AH4" s="99" t="s">
        <v>3</v>
      </c>
    </row>
    <row r="5" spans="1:34" s="2" customFormat="1" x14ac:dyDescent="0.25">
      <c r="A5" s="9">
        <f t="shared" ref="A5:A68" si="0">IF(COUNTA(G5:AD5)/2=0,"",COUNTA(G5:AD5)/2)</f>
        <v>12</v>
      </c>
      <c r="B5" s="52"/>
      <c r="C5" s="53"/>
      <c r="D5" s="53"/>
      <c r="E5" s="78" t="s">
        <v>92</v>
      </c>
      <c r="F5" s="133" t="s">
        <v>93</v>
      </c>
      <c r="G5" s="54">
        <v>1</v>
      </c>
      <c r="H5" s="54" t="s">
        <v>94</v>
      </c>
      <c r="I5" s="55">
        <v>2</v>
      </c>
      <c r="J5" s="55" t="s">
        <v>95</v>
      </c>
      <c r="K5" s="56">
        <v>3</v>
      </c>
      <c r="L5" s="56" t="s">
        <v>96</v>
      </c>
      <c r="M5" s="57">
        <v>4</v>
      </c>
      <c r="N5" s="57" t="s">
        <v>97</v>
      </c>
      <c r="O5" s="58">
        <v>5</v>
      </c>
      <c r="P5" s="58" t="s">
        <v>98</v>
      </c>
      <c r="Q5" s="59">
        <v>6</v>
      </c>
      <c r="R5" s="59" t="s">
        <v>99</v>
      </c>
      <c r="S5" s="54">
        <v>7</v>
      </c>
      <c r="T5" s="54" t="s">
        <v>100</v>
      </c>
      <c r="U5" s="55">
        <v>8</v>
      </c>
      <c r="V5" s="55" t="s">
        <v>101</v>
      </c>
      <c r="W5" s="56">
        <v>9</v>
      </c>
      <c r="X5" s="56" t="s">
        <v>102</v>
      </c>
      <c r="Y5" s="57">
        <v>10</v>
      </c>
      <c r="Z5" s="57" t="s">
        <v>103</v>
      </c>
      <c r="AA5" s="58">
        <v>11</v>
      </c>
      <c r="AB5" s="58" t="s">
        <v>104</v>
      </c>
      <c r="AC5" s="59">
        <v>12</v>
      </c>
      <c r="AD5" s="59" t="s">
        <v>105</v>
      </c>
      <c r="AE5" s="96" t="s">
        <v>0</v>
      </c>
      <c r="AF5" s="97" t="s">
        <v>1</v>
      </c>
      <c r="AG5" s="98" t="s">
        <v>2</v>
      </c>
      <c r="AH5" s="99" t="s">
        <v>3</v>
      </c>
    </row>
    <row r="6" spans="1:34" s="2" customFormat="1" ht="180" x14ac:dyDescent="0.25">
      <c r="A6" s="9">
        <f t="shared" si="0"/>
        <v>12</v>
      </c>
      <c r="B6" s="52"/>
      <c r="C6" s="53"/>
      <c r="D6" s="53"/>
      <c r="E6" s="78" t="s">
        <v>92</v>
      </c>
      <c r="F6" s="133" t="s">
        <v>93</v>
      </c>
      <c r="G6" s="54" t="s">
        <v>143</v>
      </c>
      <c r="H6" s="54" t="s">
        <v>78</v>
      </c>
      <c r="I6" s="55" t="s">
        <v>144</v>
      </c>
      <c r="J6" s="55" t="s">
        <v>145</v>
      </c>
      <c r="K6" s="56" t="s">
        <v>146</v>
      </c>
      <c r="L6" s="56" t="s">
        <v>147</v>
      </c>
      <c r="M6" s="57" t="s">
        <v>148</v>
      </c>
      <c r="N6" s="57" t="s">
        <v>149</v>
      </c>
      <c r="O6" s="58" t="s">
        <v>40</v>
      </c>
      <c r="P6" s="58" t="s">
        <v>40</v>
      </c>
      <c r="Q6" s="59" t="s">
        <v>40</v>
      </c>
      <c r="R6" s="59" t="s">
        <v>40</v>
      </c>
      <c r="S6" s="54" t="s">
        <v>40</v>
      </c>
      <c r="T6" s="54" t="s">
        <v>40</v>
      </c>
      <c r="U6" s="55" t="s">
        <v>40</v>
      </c>
      <c r="V6" s="55" t="s">
        <v>40</v>
      </c>
      <c r="W6" s="56" t="s">
        <v>40</v>
      </c>
      <c r="X6" s="56" t="s">
        <v>40</v>
      </c>
      <c r="Y6" s="57" t="s">
        <v>40</v>
      </c>
      <c r="Z6" s="57" t="s">
        <v>40</v>
      </c>
      <c r="AA6" s="58" t="s">
        <v>40</v>
      </c>
      <c r="AB6" s="58" t="s">
        <v>40</v>
      </c>
      <c r="AC6" s="59" t="s">
        <v>40</v>
      </c>
      <c r="AD6" s="59" t="s">
        <v>40</v>
      </c>
      <c r="AE6" s="96" t="s">
        <v>0</v>
      </c>
      <c r="AF6" s="97" t="s">
        <v>1</v>
      </c>
      <c r="AG6" s="98" t="s">
        <v>2</v>
      </c>
      <c r="AH6" s="99" t="s">
        <v>3</v>
      </c>
    </row>
    <row r="7" spans="1:34" s="2" customFormat="1" x14ac:dyDescent="0.25">
      <c r="A7" s="9" t="str">
        <f t="shared" si="0"/>
        <v/>
      </c>
      <c r="B7" s="52"/>
      <c r="C7" s="53"/>
      <c r="D7" s="53"/>
      <c r="E7" s="78"/>
      <c r="F7" s="133"/>
      <c r="G7" s="54"/>
      <c r="H7" s="54"/>
      <c r="I7" s="55"/>
      <c r="J7" s="55"/>
      <c r="K7" s="56"/>
      <c r="L7" s="56"/>
      <c r="M7" s="57"/>
      <c r="N7" s="57"/>
      <c r="O7" s="58"/>
      <c r="P7" s="58"/>
      <c r="Q7" s="59"/>
      <c r="R7" s="59"/>
      <c r="S7" s="54"/>
      <c r="T7" s="54"/>
      <c r="U7" s="55"/>
      <c r="V7" s="55"/>
      <c r="W7" s="56"/>
      <c r="X7" s="56"/>
      <c r="Y7" s="57"/>
      <c r="Z7" s="57"/>
      <c r="AA7" s="58"/>
      <c r="AB7" s="58"/>
      <c r="AC7" s="59"/>
      <c r="AD7" s="59"/>
      <c r="AE7" s="96"/>
      <c r="AF7" s="97"/>
      <c r="AG7" s="98"/>
      <c r="AH7" s="99"/>
    </row>
    <row r="8" spans="1:34" s="2" customFormat="1" x14ac:dyDescent="0.25">
      <c r="A8" s="9" t="str">
        <f t="shared" si="0"/>
        <v/>
      </c>
      <c r="B8" s="52"/>
      <c r="C8" s="53"/>
      <c r="D8" s="53"/>
      <c r="E8" s="78"/>
      <c r="F8" s="133"/>
      <c r="G8" s="54"/>
      <c r="H8" s="54"/>
      <c r="I8" s="55"/>
      <c r="J8" s="55"/>
      <c r="K8" s="56"/>
      <c r="L8" s="56"/>
      <c r="M8" s="57"/>
      <c r="N8" s="57"/>
      <c r="O8" s="58"/>
      <c r="P8" s="58"/>
      <c r="Q8" s="59"/>
      <c r="R8" s="59"/>
      <c r="S8" s="54"/>
      <c r="T8" s="54"/>
      <c r="U8" s="55"/>
      <c r="V8" s="55"/>
      <c r="W8" s="56"/>
      <c r="X8" s="56"/>
      <c r="Y8" s="57"/>
      <c r="Z8" s="57"/>
      <c r="AA8" s="58"/>
      <c r="AB8" s="58"/>
      <c r="AC8" s="59"/>
      <c r="AD8" s="59"/>
      <c r="AE8" s="96"/>
      <c r="AF8" s="97"/>
      <c r="AG8" s="98"/>
      <c r="AH8" s="99"/>
    </row>
    <row r="9" spans="1:34" s="2" customFormat="1" x14ac:dyDescent="0.25">
      <c r="A9" s="9" t="str">
        <f t="shared" si="0"/>
        <v/>
      </c>
      <c r="B9" s="52"/>
      <c r="C9" s="53"/>
      <c r="D9" s="53"/>
      <c r="E9" s="78"/>
      <c r="F9" s="133"/>
      <c r="G9" s="54"/>
      <c r="H9" s="54"/>
      <c r="I9" s="55"/>
      <c r="J9" s="55"/>
      <c r="K9" s="56"/>
      <c r="L9" s="56"/>
      <c r="M9" s="57"/>
      <c r="N9" s="57"/>
      <c r="O9" s="58"/>
      <c r="P9" s="58"/>
      <c r="Q9" s="59"/>
      <c r="R9" s="59"/>
      <c r="S9" s="54"/>
      <c r="T9" s="54"/>
      <c r="U9" s="55"/>
      <c r="V9" s="55"/>
      <c r="W9" s="56"/>
      <c r="X9" s="56"/>
      <c r="Y9" s="57"/>
      <c r="Z9" s="57"/>
      <c r="AA9" s="58"/>
      <c r="AB9" s="58"/>
      <c r="AC9" s="59"/>
      <c r="AD9" s="59"/>
      <c r="AE9" s="96"/>
      <c r="AF9" s="97"/>
      <c r="AG9" s="98"/>
      <c r="AH9" s="99"/>
    </row>
    <row r="10" spans="1:34" s="2" customFormat="1" x14ac:dyDescent="0.25">
      <c r="A10" s="9" t="str">
        <f t="shared" si="0"/>
        <v/>
      </c>
      <c r="B10" s="52"/>
      <c r="C10" s="53"/>
      <c r="D10" s="53"/>
      <c r="E10" s="78"/>
      <c r="F10" s="133"/>
      <c r="G10" s="54"/>
      <c r="H10" s="54"/>
      <c r="I10" s="55"/>
      <c r="J10" s="55"/>
      <c r="K10" s="56"/>
      <c r="L10" s="56"/>
      <c r="M10" s="57"/>
      <c r="N10" s="57"/>
      <c r="O10" s="58"/>
      <c r="P10" s="58"/>
      <c r="Q10" s="59"/>
      <c r="R10" s="59"/>
      <c r="S10" s="54"/>
      <c r="T10" s="54"/>
      <c r="U10" s="55"/>
      <c r="V10" s="55"/>
      <c r="W10" s="56"/>
      <c r="X10" s="56"/>
      <c r="Y10" s="57"/>
      <c r="Z10" s="57"/>
      <c r="AA10" s="58"/>
      <c r="AB10" s="58"/>
      <c r="AC10" s="59"/>
      <c r="AD10" s="59"/>
      <c r="AE10" s="96"/>
      <c r="AF10" s="97"/>
      <c r="AG10" s="98"/>
      <c r="AH10" s="99"/>
    </row>
    <row r="11" spans="1:34" s="2" customFormat="1" x14ac:dyDescent="0.25">
      <c r="A11" s="9" t="str">
        <f t="shared" si="0"/>
        <v/>
      </c>
      <c r="B11" s="52"/>
      <c r="C11" s="53"/>
      <c r="D11" s="53"/>
      <c r="E11" s="78"/>
      <c r="F11" s="133"/>
      <c r="G11" s="54"/>
      <c r="H11" s="54"/>
      <c r="I11" s="55"/>
      <c r="J11" s="55"/>
      <c r="K11" s="56"/>
      <c r="L11" s="56"/>
      <c r="M11" s="57"/>
      <c r="N11" s="57"/>
      <c r="O11" s="58"/>
      <c r="P11" s="58"/>
      <c r="Q11" s="59"/>
      <c r="R11" s="59"/>
      <c r="S11" s="54"/>
      <c r="T11" s="54"/>
      <c r="U11" s="55"/>
      <c r="V11" s="55"/>
      <c r="W11" s="56"/>
      <c r="X11" s="56"/>
      <c r="Y11" s="57"/>
      <c r="Z11" s="57"/>
      <c r="AA11" s="58"/>
      <c r="AB11" s="58"/>
      <c r="AC11" s="59"/>
      <c r="AD11" s="59"/>
      <c r="AE11" s="96"/>
      <c r="AF11" s="97"/>
      <c r="AG11" s="98"/>
      <c r="AH11" s="99"/>
    </row>
    <row r="12" spans="1:34" s="2" customFormat="1" x14ac:dyDescent="0.25">
      <c r="A12" s="9" t="str">
        <f t="shared" si="0"/>
        <v/>
      </c>
      <c r="B12" s="52"/>
      <c r="C12" s="53"/>
      <c r="D12" s="53"/>
      <c r="E12" s="78"/>
      <c r="F12" s="133"/>
      <c r="G12" s="54"/>
      <c r="H12" s="54"/>
      <c r="I12" s="55"/>
      <c r="J12" s="55"/>
      <c r="K12" s="56"/>
      <c r="L12" s="56"/>
      <c r="M12" s="57"/>
      <c r="N12" s="57"/>
      <c r="O12" s="58"/>
      <c r="P12" s="58"/>
      <c r="Q12" s="59"/>
      <c r="R12" s="59"/>
      <c r="S12" s="54"/>
      <c r="T12" s="54"/>
      <c r="U12" s="55"/>
      <c r="V12" s="55"/>
      <c r="W12" s="56"/>
      <c r="X12" s="56"/>
      <c r="Y12" s="57"/>
      <c r="Z12" s="57"/>
      <c r="AA12" s="58"/>
      <c r="AB12" s="58"/>
      <c r="AC12" s="59"/>
      <c r="AD12" s="59"/>
      <c r="AE12" s="96"/>
      <c r="AF12" s="97"/>
      <c r="AG12" s="98"/>
      <c r="AH12" s="99"/>
    </row>
    <row r="13" spans="1:34" s="2" customFormat="1" x14ac:dyDescent="0.25">
      <c r="A13" s="9" t="str">
        <f t="shared" si="0"/>
        <v/>
      </c>
      <c r="B13" s="52"/>
      <c r="C13" s="53"/>
      <c r="D13" s="53"/>
      <c r="E13" s="78"/>
      <c r="F13" s="133"/>
      <c r="G13" s="54"/>
      <c r="H13" s="54"/>
      <c r="I13" s="55"/>
      <c r="J13" s="55"/>
      <c r="K13" s="56"/>
      <c r="L13" s="56"/>
      <c r="M13" s="57"/>
      <c r="N13" s="57"/>
      <c r="O13" s="58"/>
      <c r="P13" s="58"/>
      <c r="Q13" s="59"/>
      <c r="R13" s="59"/>
      <c r="S13" s="54"/>
      <c r="T13" s="54"/>
      <c r="U13" s="55"/>
      <c r="V13" s="55"/>
      <c r="W13" s="56"/>
      <c r="X13" s="56"/>
      <c r="Y13" s="57"/>
      <c r="Z13" s="57"/>
      <c r="AA13" s="58"/>
      <c r="AB13" s="58"/>
      <c r="AC13" s="59"/>
      <c r="AD13" s="59"/>
      <c r="AE13" s="96"/>
      <c r="AF13" s="97"/>
      <c r="AG13" s="98"/>
      <c r="AH13" s="99"/>
    </row>
    <row r="14" spans="1:34" s="2" customFormat="1" x14ac:dyDescent="0.25">
      <c r="A14" s="9" t="str">
        <f t="shared" si="0"/>
        <v/>
      </c>
      <c r="B14" s="52"/>
      <c r="C14" s="53"/>
      <c r="D14" s="53"/>
      <c r="E14" s="78"/>
      <c r="F14" s="133"/>
      <c r="G14" s="54"/>
      <c r="H14" s="54"/>
      <c r="I14" s="55"/>
      <c r="J14" s="55"/>
      <c r="K14" s="56"/>
      <c r="L14" s="56"/>
      <c r="M14" s="57"/>
      <c r="N14" s="57"/>
      <c r="O14" s="58"/>
      <c r="P14" s="58"/>
      <c r="Q14" s="59"/>
      <c r="R14" s="59"/>
      <c r="S14" s="54"/>
      <c r="T14" s="54"/>
      <c r="U14" s="55"/>
      <c r="V14" s="55"/>
      <c r="W14" s="56"/>
      <c r="X14" s="56"/>
      <c r="Y14" s="57"/>
      <c r="Z14" s="57"/>
      <c r="AA14" s="58"/>
      <c r="AB14" s="58"/>
      <c r="AC14" s="59"/>
      <c r="AD14" s="59"/>
      <c r="AE14" s="96"/>
      <c r="AF14" s="97"/>
      <c r="AG14" s="98"/>
      <c r="AH14" s="99"/>
    </row>
    <row r="15" spans="1:34" s="2" customFormat="1" x14ac:dyDescent="0.25">
      <c r="A15" s="9" t="str">
        <f t="shared" si="0"/>
        <v/>
      </c>
      <c r="B15" s="52"/>
      <c r="C15" s="53"/>
      <c r="D15" s="53"/>
      <c r="E15" s="78"/>
      <c r="F15" s="133"/>
      <c r="G15" s="54"/>
      <c r="H15" s="54"/>
      <c r="I15" s="55"/>
      <c r="J15" s="55"/>
      <c r="K15" s="56"/>
      <c r="L15" s="56"/>
      <c r="M15" s="57"/>
      <c r="N15" s="57"/>
      <c r="O15" s="58"/>
      <c r="P15" s="58"/>
      <c r="Q15" s="59"/>
      <c r="R15" s="59"/>
      <c r="S15" s="54"/>
      <c r="T15" s="54"/>
      <c r="U15" s="55"/>
      <c r="V15" s="55"/>
      <c r="W15" s="56"/>
      <c r="X15" s="56"/>
      <c r="Y15" s="57"/>
      <c r="Z15" s="57"/>
      <c r="AA15" s="58"/>
      <c r="AB15" s="58"/>
      <c r="AC15" s="59"/>
      <c r="AD15" s="59"/>
      <c r="AE15" s="96"/>
      <c r="AF15" s="97"/>
      <c r="AG15" s="98"/>
      <c r="AH15" s="99"/>
    </row>
    <row r="16" spans="1:34" s="2" customFormat="1" x14ac:dyDescent="0.25">
      <c r="A16" s="9" t="str">
        <f t="shared" si="0"/>
        <v/>
      </c>
      <c r="B16" s="52"/>
      <c r="C16" s="53"/>
      <c r="D16" s="53"/>
      <c r="E16" s="78"/>
      <c r="F16" s="133"/>
      <c r="G16" s="54"/>
      <c r="H16" s="54"/>
      <c r="I16" s="55"/>
      <c r="J16" s="55"/>
      <c r="K16" s="56"/>
      <c r="L16" s="56"/>
      <c r="M16" s="57"/>
      <c r="N16" s="57"/>
      <c r="O16" s="58"/>
      <c r="P16" s="58"/>
      <c r="Q16" s="59"/>
      <c r="R16" s="59"/>
      <c r="S16" s="54"/>
      <c r="T16" s="54"/>
      <c r="U16" s="55"/>
      <c r="V16" s="55"/>
      <c r="W16" s="56"/>
      <c r="X16" s="56"/>
      <c r="Y16" s="57"/>
      <c r="Z16" s="57"/>
      <c r="AA16" s="58"/>
      <c r="AB16" s="58"/>
      <c r="AC16" s="59"/>
      <c r="AD16" s="59"/>
      <c r="AE16" s="96"/>
      <c r="AF16" s="97"/>
      <c r="AG16" s="98"/>
      <c r="AH16" s="99"/>
    </row>
    <row r="17" spans="1:34" s="2" customFormat="1" x14ac:dyDescent="0.25">
      <c r="A17" s="9" t="str">
        <f t="shared" si="0"/>
        <v/>
      </c>
      <c r="B17" s="52"/>
      <c r="C17" s="53"/>
      <c r="D17" s="53"/>
      <c r="E17" s="78"/>
      <c r="F17" s="133"/>
      <c r="G17" s="54"/>
      <c r="H17" s="54"/>
      <c r="I17" s="55"/>
      <c r="J17" s="55"/>
      <c r="K17" s="56"/>
      <c r="L17" s="56"/>
      <c r="M17" s="57"/>
      <c r="N17" s="57"/>
      <c r="O17" s="58"/>
      <c r="P17" s="58"/>
      <c r="Q17" s="59"/>
      <c r="R17" s="59"/>
      <c r="S17" s="54"/>
      <c r="T17" s="54"/>
      <c r="U17" s="55"/>
      <c r="V17" s="55"/>
      <c r="W17" s="56"/>
      <c r="X17" s="56"/>
      <c r="Y17" s="57"/>
      <c r="Z17" s="57"/>
      <c r="AA17" s="58"/>
      <c r="AB17" s="58"/>
      <c r="AC17" s="59"/>
      <c r="AD17" s="59"/>
      <c r="AE17" s="96"/>
      <c r="AF17" s="97"/>
      <c r="AG17" s="98"/>
      <c r="AH17" s="99"/>
    </row>
    <row r="18" spans="1:34" s="2" customFormat="1" x14ac:dyDescent="0.25">
      <c r="A18" s="9" t="str">
        <f t="shared" si="0"/>
        <v/>
      </c>
      <c r="B18" s="52"/>
      <c r="C18" s="53"/>
      <c r="D18" s="53"/>
      <c r="E18" s="78"/>
      <c r="F18" s="133"/>
      <c r="G18" s="54"/>
      <c r="H18" s="54"/>
      <c r="I18" s="55"/>
      <c r="J18" s="55"/>
      <c r="K18" s="56"/>
      <c r="L18" s="56"/>
      <c r="M18" s="57"/>
      <c r="N18" s="57"/>
      <c r="O18" s="58"/>
      <c r="P18" s="58"/>
      <c r="Q18" s="59"/>
      <c r="R18" s="59"/>
      <c r="S18" s="54"/>
      <c r="T18" s="54"/>
      <c r="U18" s="55"/>
      <c r="V18" s="55"/>
      <c r="W18" s="56"/>
      <c r="X18" s="56"/>
      <c r="Y18" s="57"/>
      <c r="Z18" s="57"/>
      <c r="AA18" s="58"/>
      <c r="AB18" s="58"/>
      <c r="AC18" s="59"/>
      <c r="AD18" s="59"/>
      <c r="AE18" s="96"/>
      <c r="AF18" s="97"/>
      <c r="AG18" s="98"/>
      <c r="AH18" s="99"/>
    </row>
    <row r="19" spans="1:34" s="2" customFormat="1" x14ac:dyDescent="0.25">
      <c r="A19" s="9" t="str">
        <f t="shared" si="0"/>
        <v/>
      </c>
      <c r="B19" s="52"/>
      <c r="C19" s="53"/>
      <c r="D19" s="53"/>
      <c r="E19" s="78"/>
      <c r="F19" s="133"/>
      <c r="G19" s="54"/>
      <c r="H19" s="54"/>
      <c r="I19" s="55"/>
      <c r="J19" s="55"/>
      <c r="K19" s="56"/>
      <c r="L19" s="56"/>
      <c r="M19" s="57"/>
      <c r="N19" s="57"/>
      <c r="O19" s="58"/>
      <c r="P19" s="58"/>
      <c r="Q19" s="59"/>
      <c r="R19" s="59"/>
      <c r="S19" s="54"/>
      <c r="T19" s="54"/>
      <c r="U19" s="55"/>
      <c r="V19" s="55"/>
      <c r="W19" s="56"/>
      <c r="X19" s="56"/>
      <c r="Y19" s="57"/>
      <c r="Z19" s="57"/>
      <c r="AA19" s="58"/>
      <c r="AB19" s="58"/>
      <c r="AC19" s="59"/>
      <c r="AD19" s="59"/>
      <c r="AE19" s="96"/>
      <c r="AF19" s="97"/>
      <c r="AG19" s="98"/>
      <c r="AH19" s="99"/>
    </row>
    <row r="20" spans="1:34" s="2" customFormat="1" x14ac:dyDescent="0.25">
      <c r="A20" s="9" t="str">
        <f t="shared" si="0"/>
        <v/>
      </c>
      <c r="B20" s="52"/>
      <c r="C20" s="53"/>
      <c r="D20" s="53"/>
      <c r="E20" s="78"/>
      <c r="F20" s="133"/>
      <c r="G20" s="54"/>
      <c r="H20" s="54"/>
      <c r="I20" s="55"/>
      <c r="J20" s="55"/>
      <c r="K20" s="56"/>
      <c r="L20" s="56"/>
      <c r="M20" s="57"/>
      <c r="N20" s="57"/>
      <c r="O20" s="58"/>
      <c r="P20" s="58"/>
      <c r="Q20" s="59"/>
      <c r="R20" s="59"/>
      <c r="S20" s="54"/>
      <c r="T20" s="54"/>
      <c r="U20" s="55"/>
      <c r="V20" s="55"/>
      <c r="W20" s="56"/>
      <c r="X20" s="56"/>
      <c r="Y20" s="57"/>
      <c r="Z20" s="57"/>
      <c r="AA20" s="58"/>
      <c r="AB20" s="58"/>
      <c r="AC20" s="59"/>
      <c r="AD20" s="59"/>
      <c r="AE20" s="96"/>
      <c r="AF20" s="97"/>
      <c r="AG20" s="98"/>
      <c r="AH20" s="99"/>
    </row>
    <row r="21" spans="1:34" s="2" customFormat="1" x14ac:dyDescent="0.25">
      <c r="A21" s="9" t="str">
        <f t="shared" si="0"/>
        <v/>
      </c>
      <c r="B21" s="52"/>
      <c r="C21" s="53"/>
      <c r="D21" s="53"/>
      <c r="E21" s="78"/>
      <c r="F21" s="133"/>
      <c r="G21" s="54"/>
      <c r="H21" s="54"/>
      <c r="I21" s="55"/>
      <c r="J21" s="55"/>
      <c r="K21" s="56"/>
      <c r="L21" s="56"/>
      <c r="M21" s="57"/>
      <c r="N21" s="57"/>
      <c r="O21" s="58"/>
      <c r="P21" s="58"/>
      <c r="Q21" s="59"/>
      <c r="R21" s="59"/>
      <c r="S21" s="54"/>
      <c r="T21" s="54"/>
      <c r="U21" s="55"/>
      <c r="V21" s="55"/>
      <c r="W21" s="56"/>
      <c r="X21" s="56"/>
      <c r="Y21" s="57"/>
      <c r="Z21" s="57"/>
      <c r="AA21" s="58"/>
      <c r="AB21" s="58"/>
      <c r="AC21" s="59"/>
      <c r="AD21" s="59"/>
      <c r="AE21" s="96"/>
      <c r="AF21" s="97"/>
      <c r="AG21" s="98"/>
      <c r="AH21" s="99"/>
    </row>
    <row r="22" spans="1:34" s="2" customFormat="1" x14ac:dyDescent="0.25">
      <c r="A22" s="9" t="str">
        <f t="shared" si="0"/>
        <v/>
      </c>
      <c r="B22" s="52"/>
      <c r="C22" s="53"/>
      <c r="D22" s="53"/>
      <c r="E22" s="78"/>
      <c r="F22" s="133"/>
      <c r="G22" s="54"/>
      <c r="H22" s="54"/>
      <c r="I22" s="55"/>
      <c r="J22" s="55"/>
      <c r="K22" s="56"/>
      <c r="L22" s="56"/>
      <c r="M22" s="57"/>
      <c r="N22" s="57"/>
      <c r="O22" s="58"/>
      <c r="P22" s="58"/>
      <c r="Q22" s="59"/>
      <c r="R22" s="59"/>
      <c r="S22" s="54"/>
      <c r="T22" s="54"/>
      <c r="U22" s="55"/>
      <c r="V22" s="55"/>
      <c r="W22" s="56"/>
      <c r="X22" s="56"/>
      <c r="Y22" s="57"/>
      <c r="Z22" s="57"/>
      <c r="AA22" s="58"/>
      <c r="AB22" s="58"/>
      <c r="AC22" s="59"/>
      <c r="AD22" s="59"/>
      <c r="AE22" s="96"/>
      <c r="AF22" s="97"/>
      <c r="AG22" s="98"/>
      <c r="AH22" s="99"/>
    </row>
    <row r="23" spans="1:34" s="2" customFormat="1" x14ac:dyDescent="0.25">
      <c r="A23" s="9" t="str">
        <f t="shared" si="0"/>
        <v/>
      </c>
      <c r="B23" s="52"/>
      <c r="C23" s="53"/>
      <c r="D23" s="53"/>
      <c r="E23" s="78"/>
      <c r="F23" s="133"/>
      <c r="G23" s="54"/>
      <c r="H23" s="54"/>
      <c r="I23" s="55"/>
      <c r="J23" s="55"/>
      <c r="K23" s="56"/>
      <c r="L23" s="56"/>
      <c r="M23" s="57"/>
      <c r="N23" s="57"/>
      <c r="O23" s="58"/>
      <c r="P23" s="58"/>
      <c r="Q23" s="59"/>
      <c r="R23" s="59"/>
      <c r="S23" s="54"/>
      <c r="T23" s="54"/>
      <c r="U23" s="55"/>
      <c r="V23" s="55"/>
      <c r="W23" s="56"/>
      <c r="X23" s="56"/>
      <c r="Y23" s="57"/>
      <c r="Z23" s="57"/>
      <c r="AA23" s="58"/>
      <c r="AB23" s="58"/>
      <c r="AC23" s="59"/>
      <c r="AD23" s="59"/>
      <c r="AE23" s="96"/>
      <c r="AF23" s="97"/>
      <c r="AG23" s="98"/>
      <c r="AH23" s="99"/>
    </row>
    <row r="24" spans="1:34" s="2" customFormat="1" x14ac:dyDescent="0.25">
      <c r="A24" s="9" t="str">
        <f t="shared" si="0"/>
        <v/>
      </c>
      <c r="B24" s="52"/>
      <c r="C24" s="53"/>
      <c r="D24" s="53"/>
      <c r="E24" s="78"/>
      <c r="F24" s="133"/>
      <c r="G24" s="54"/>
      <c r="H24" s="54"/>
      <c r="I24" s="55"/>
      <c r="J24" s="55"/>
      <c r="K24" s="56"/>
      <c r="L24" s="56"/>
      <c r="M24" s="57"/>
      <c r="N24" s="57"/>
      <c r="O24" s="58"/>
      <c r="P24" s="58"/>
      <c r="Q24" s="59"/>
      <c r="R24" s="59"/>
      <c r="S24" s="54"/>
      <c r="T24" s="54"/>
      <c r="U24" s="55"/>
      <c r="V24" s="55"/>
      <c r="W24" s="56"/>
      <c r="X24" s="56"/>
      <c r="Y24" s="57"/>
      <c r="Z24" s="57"/>
      <c r="AA24" s="58"/>
      <c r="AB24" s="58"/>
      <c r="AC24" s="59"/>
      <c r="AD24" s="59"/>
      <c r="AE24" s="96"/>
      <c r="AF24" s="97"/>
      <c r="AG24" s="98"/>
      <c r="AH24" s="99"/>
    </row>
    <row r="25" spans="1:34" s="2" customFormat="1" x14ac:dyDescent="0.25">
      <c r="A25" s="9" t="str">
        <f t="shared" si="0"/>
        <v/>
      </c>
      <c r="B25" s="52"/>
      <c r="C25" s="53"/>
      <c r="D25" s="53"/>
      <c r="E25" s="78"/>
      <c r="F25" s="133"/>
      <c r="G25" s="54"/>
      <c r="H25" s="54"/>
      <c r="I25" s="55"/>
      <c r="J25" s="55"/>
      <c r="K25" s="56"/>
      <c r="L25" s="56"/>
      <c r="M25" s="57"/>
      <c r="N25" s="57"/>
      <c r="O25" s="58"/>
      <c r="P25" s="58"/>
      <c r="Q25" s="59"/>
      <c r="R25" s="59"/>
      <c r="S25" s="54"/>
      <c r="T25" s="54"/>
      <c r="U25" s="55"/>
      <c r="V25" s="55"/>
      <c r="W25" s="56"/>
      <c r="X25" s="56"/>
      <c r="Y25" s="57"/>
      <c r="Z25" s="57"/>
      <c r="AA25" s="58"/>
      <c r="AB25" s="58"/>
      <c r="AC25" s="59"/>
      <c r="AD25" s="59"/>
      <c r="AE25" s="96"/>
      <c r="AF25" s="97"/>
      <c r="AG25" s="98"/>
      <c r="AH25" s="99"/>
    </row>
    <row r="26" spans="1:34" s="2" customFormat="1" x14ac:dyDescent="0.25">
      <c r="A26" s="9" t="str">
        <f t="shared" si="0"/>
        <v/>
      </c>
      <c r="B26" s="52"/>
      <c r="C26" s="53"/>
      <c r="D26" s="53"/>
      <c r="E26" s="78"/>
      <c r="F26" s="133"/>
      <c r="G26" s="54"/>
      <c r="H26" s="54"/>
      <c r="I26" s="55"/>
      <c r="J26" s="55"/>
      <c r="K26" s="56"/>
      <c r="L26" s="56"/>
      <c r="M26" s="57"/>
      <c r="N26" s="57"/>
      <c r="O26" s="58"/>
      <c r="P26" s="58"/>
      <c r="Q26" s="59"/>
      <c r="R26" s="59"/>
      <c r="S26" s="54"/>
      <c r="T26" s="54"/>
      <c r="U26" s="55"/>
      <c r="V26" s="55"/>
      <c r="W26" s="56"/>
      <c r="X26" s="56"/>
      <c r="Y26" s="57"/>
      <c r="Z26" s="57"/>
      <c r="AA26" s="58"/>
      <c r="AB26" s="58"/>
      <c r="AC26" s="59"/>
      <c r="AD26" s="59"/>
      <c r="AE26" s="96"/>
      <c r="AF26" s="97"/>
      <c r="AG26" s="98"/>
      <c r="AH26" s="99"/>
    </row>
    <row r="27" spans="1:34" s="2" customFormat="1" x14ac:dyDescent="0.25">
      <c r="A27" s="9" t="str">
        <f t="shared" si="0"/>
        <v/>
      </c>
      <c r="B27" s="52"/>
      <c r="C27" s="53"/>
      <c r="D27" s="53"/>
      <c r="E27" s="78"/>
      <c r="F27" s="133"/>
      <c r="G27" s="54"/>
      <c r="H27" s="54"/>
      <c r="I27" s="55"/>
      <c r="J27" s="55"/>
      <c r="K27" s="56"/>
      <c r="L27" s="56"/>
      <c r="M27" s="57"/>
      <c r="N27" s="57"/>
      <c r="O27" s="58"/>
      <c r="P27" s="58"/>
      <c r="Q27" s="59"/>
      <c r="R27" s="59"/>
      <c r="S27" s="54"/>
      <c r="T27" s="54"/>
      <c r="U27" s="55"/>
      <c r="V27" s="55"/>
      <c r="W27" s="56"/>
      <c r="X27" s="56"/>
      <c r="Y27" s="57"/>
      <c r="Z27" s="57"/>
      <c r="AA27" s="58"/>
      <c r="AB27" s="58"/>
      <c r="AC27" s="59"/>
      <c r="AD27" s="59"/>
      <c r="AE27" s="96"/>
      <c r="AF27" s="97"/>
      <c r="AG27" s="98"/>
      <c r="AH27" s="99"/>
    </row>
    <row r="28" spans="1:34" s="2" customFormat="1" x14ac:dyDescent="0.25">
      <c r="A28" s="9" t="str">
        <f t="shared" si="0"/>
        <v/>
      </c>
      <c r="B28" s="52"/>
      <c r="C28" s="53"/>
      <c r="D28" s="53"/>
      <c r="E28" s="78"/>
      <c r="F28" s="133"/>
      <c r="G28" s="54"/>
      <c r="H28" s="54"/>
      <c r="I28" s="55"/>
      <c r="J28" s="55"/>
      <c r="K28" s="56"/>
      <c r="L28" s="56"/>
      <c r="M28" s="57"/>
      <c r="N28" s="57"/>
      <c r="O28" s="58"/>
      <c r="P28" s="58"/>
      <c r="Q28" s="59"/>
      <c r="R28" s="59"/>
      <c r="S28" s="54"/>
      <c r="T28" s="54"/>
      <c r="U28" s="55"/>
      <c r="V28" s="55"/>
      <c r="W28" s="56"/>
      <c r="X28" s="56"/>
      <c r="Y28" s="57"/>
      <c r="Z28" s="57"/>
      <c r="AA28" s="58"/>
      <c r="AB28" s="58"/>
      <c r="AC28" s="59"/>
      <c r="AD28" s="59"/>
      <c r="AE28" s="96"/>
      <c r="AF28" s="97"/>
      <c r="AG28" s="98"/>
      <c r="AH28" s="99"/>
    </row>
    <row r="29" spans="1:34" s="2" customFormat="1" x14ac:dyDescent="0.25">
      <c r="A29" s="9" t="str">
        <f t="shared" si="0"/>
        <v/>
      </c>
      <c r="B29" s="52"/>
      <c r="C29" s="53"/>
      <c r="D29" s="53"/>
      <c r="E29" s="78"/>
      <c r="F29" s="133"/>
      <c r="G29" s="54"/>
      <c r="H29" s="54"/>
      <c r="I29" s="55"/>
      <c r="J29" s="55"/>
      <c r="K29" s="56"/>
      <c r="L29" s="56"/>
      <c r="M29" s="57"/>
      <c r="N29" s="57"/>
      <c r="O29" s="58"/>
      <c r="P29" s="58"/>
      <c r="Q29" s="59"/>
      <c r="R29" s="59"/>
      <c r="S29" s="54"/>
      <c r="T29" s="54"/>
      <c r="U29" s="55"/>
      <c r="V29" s="55"/>
      <c r="W29" s="56"/>
      <c r="X29" s="56"/>
      <c r="Y29" s="57"/>
      <c r="Z29" s="57"/>
      <c r="AA29" s="58"/>
      <c r="AB29" s="58"/>
      <c r="AC29" s="59"/>
      <c r="AD29" s="59"/>
      <c r="AE29" s="96"/>
      <c r="AF29" s="97"/>
      <c r="AG29" s="98"/>
      <c r="AH29" s="99"/>
    </row>
    <row r="30" spans="1:34" s="2" customFormat="1" x14ac:dyDescent="0.25">
      <c r="A30" s="9" t="str">
        <f t="shared" si="0"/>
        <v/>
      </c>
      <c r="B30" s="52"/>
      <c r="C30" s="53"/>
      <c r="D30" s="53"/>
      <c r="E30" s="78"/>
      <c r="F30" s="133"/>
      <c r="G30" s="54"/>
      <c r="H30" s="54"/>
      <c r="I30" s="55"/>
      <c r="J30" s="55"/>
      <c r="K30" s="56"/>
      <c r="L30" s="56"/>
      <c r="M30" s="57"/>
      <c r="N30" s="57"/>
      <c r="O30" s="58"/>
      <c r="P30" s="58"/>
      <c r="Q30" s="59"/>
      <c r="R30" s="59"/>
      <c r="S30" s="54"/>
      <c r="T30" s="54"/>
      <c r="U30" s="55"/>
      <c r="V30" s="55"/>
      <c r="W30" s="56"/>
      <c r="X30" s="56"/>
      <c r="Y30" s="57"/>
      <c r="Z30" s="57"/>
      <c r="AA30" s="58"/>
      <c r="AB30" s="58"/>
      <c r="AC30" s="59"/>
      <c r="AD30" s="59"/>
      <c r="AE30" s="96"/>
      <c r="AF30" s="97"/>
      <c r="AG30" s="98"/>
      <c r="AH30" s="99"/>
    </row>
    <row r="31" spans="1:34" s="2" customFormat="1" x14ac:dyDescent="0.25">
      <c r="A31" s="9" t="str">
        <f t="shared" si="0"/>
        <v/>
      </c>
      <c r="B31" s="52"/>
      <c r="C31" s="53"/>
      <c r="D31" s="53"/>
      <c r="E31" s="78"/>
      <c r="F31" s="133"/>
      <c r="G31" s="54"/>
      <c r="H31" s="54"/>
      <c r="I31" s="55"/>
      <c r="J31" s="55"/>
      <c r="K31" s="56"/>
      <c r="L31" s="56"/>
      <c r="M31" s="57"/>
      <c r="N31" s="57"/>
      <c r="O31" s="58"/>
      <c r="P31" s="58"/>
      <c r="Q31" s="59"/>
      <c r="R31" s="59"/>
      <c r="S31" s="54"/>
      <c r="T31" s="54"/>
      <c r="U31" s="55"/>
      <c r="V31" s="55"/>
      <c r="W31" s="56"/>
      <c r="X31" s="56"/>
      <c r="Y31" s="57"/>
      <c r="Z31" s="57"/>
      <c r="AA31" s="58"/>
      <c r="AB31" s="58"/>
      <c r="AC31" s="59"/>
      <c r="AD31" s="59"/>
      <c r="AE31" s="96"/>
      <c r="AF31" s="97"/>
      <c r="AG31" s="98"/>
      <c r="AH31" s="99"/>
    </row>
    <row r="32" spans="1:34" s="2" customFormat="1" x14ac:dyDescent="0.25">
      <c r="A32" s="9" t="str">
        <f t="shared" si="0"/>
        <v/>
      </c>
      <c r="B32" s="52"/>
      <c r="C32" s="53"/>
      <c r="D32" s="53"/>
      <c r="E32" s="78"/>
      <c r="F32" s="133"/>
      <c r="G32" s="54"/>
      <c r="H32" s="54"/>
      <c r="I32" s="55"/>
      <c r="J32" s="55"/>
      <c r="K32" s="56"/>
      <c r="L32" s="56"/>
      <c r="M32" s="57"/>
      <c r="N32" s="57"/>
      <c r="O32" s="58"/>
      <c r="P32" s="58"/>
      <c r="Q32" s="59"/>
      <c r="R32" s="59"/>
      <c r="S32" s="54"/>
      <c r="T32" s="54"/>
      <c r="U32" s="55"/>
      <c r="V32" s="55"/>
      <c r="W32" s="56"/>
      <c r="X32" s="56"/>
      <c r="Y32" s="57"/>
      <c r="Z32" s="57"/>
      <c r="AA32" s="58"/>
      <c r="AB32" s="58"/>
      <c r="AC32" s="59"/>
      <c r="AD32" s="59"/>
      <c r="AE32" s="96"/>
      <c r="AF32" s="97"/>
      <c r="AG32" s="98"/>
      <c r="AH32" s="99"/>
    </row>
    <row r="33" spans="1:34" s="2" customFormat="1" x14ac:dyDescent="0.25">
      <c r="A33" s="9" t="str">
        <f t="shared" si="0"/>
        <v/>
      </c>
      <c r="B33" s="52"/>
      <c r="C33" s="53"/>
      <c r="D33" s="53"/>
      <c r="E33" s="78"/>
      <c r="F33" s="133"/>
      <c r="G33" s="54"/>
      <c r="H33" s="54"/>
      <c r="I33" s="55"/>
      <c r="J33" s="55"/>
      <c r="K33" s="56"/>
      <c r="L33" s="56"/>
      <c r="M33" s="57"/>
      <c r="N33" s="57"/>
      <c r="O33" s="58"/>
      <c r="P33" s="58"/>
      <c r="Q33" s="59"/>
      <c r="R33" s="59"/>
      <c r="S33" s="54"/>
      <c r="T33" s="54"/>
      <c r="U33" s="55"/>
      <c r="V33" s="55"/>
      <c r="W33" s="56"/>
      <c r="X33" s="56"/>
      <c r="Y33" s="57"/>
      <c r="Z33" s="57"/>
      <c r="AA33" s="58"/>
      <c r="AB33" s="58"/>
      <c r="AC33" s="59"/>
      <c r="AD33" s="59"/>
      <c r="AE33" s="96"/>
      <c r="AF33" s="97"/>
      <c r="AG33" s="98"/>
      <c r="AH33" s="99"/>
    </row>
    <row r="34" spans="1:34" s="2" customFormat="1" x14ac:dyDescent="0.25">
      <c r="A34" s="9" t="str">
        <f t="shared" si="0"/>
        <v/>
      </c>
      <c r="B34" s="52"/>
      <c r="C34" s="53"/>
      <c r="D34" s="53"/>
      <c r="E34" s="78"/>
      <c r="F34" s="133"/>
      <c r="G34" s="54"/>
      <c r="H34" s="54"/>
      <c r="I34" s="55"/>
      <c r="J34" s="55"/>
      <c r="K34" s="56"/>
      <c r="L34" s="56"/>
      <c r="M34" s="57"/>
      <c r="N34" s="57"/>
      <c r="O34" s="58"/>
      <c r="P34" s="58"/>
      <c r="Q34" s="59"/>
      <c r="R34" s="59"/>
      <c r="S34" s="54"/>
      <c r="T34" s="54"/>
      <c r="U34" s="55"/>
      <c r="V34" s="55"/>
      <c r="W34" s="56"/>
      <c r="X34" s="56"/>
      <c r="Y34" s="57"/>
      <c r="Z34" s="57"/>
      <c r="AA34" s="58"/>
      <c r="AB34" s="58"/>
      <c r="AC34" s="59"/>
      <c r="AD34" s="59"/>
      <c r="AE34" s="96"/>
      <c r="AF34" s="97"/>
      <c r="AG34" s="98"/>
      <c r="AH34" s="99"/>
    </row>
    <row r="35" spans="1:34" s="2" customFormat="1" x14ac:dyDescent="0.25">
      <c r="A35" s="9" t="str">
        <f t="shared" si="0"/>
        <v/>
      </c>
      <c r="B35" s="52"/>
      <c r="C35" s="53"/>
      <c r="D35" s="53"/>
      <c r="E35" s="78"/>
      <c r="F35" s="133"/>
      <c r="G35" s="54"/>
      <c r="H35" s="54"/>
      <c r="I35" s="55"/>
      <c r="J35" s="55"/>
      <c r="K35" s="56"/>
      <c r="L35" s="56"/>
      <c r="M35" s="57"/>
      <c r="N35" s="57"/>
      <c r="O35" s="58"/>
      <c r="P35" s="58"/>
      <c r="Q35" s="59"/>
      <c r="R35" s="59"/>
      <c r="S35" s="54"/>
      <c r="T35" s="54"/>
      <c r="U35" s="55"/>
      <c r="V35" s="55"/>
      <c r="W35" s="56"/>
      <c r="X35" s="56"/>
      <c r="Y35" s="57"/>
      <c r="Z35" s="57"/>
      <c r="AA35" s="58"/>
      <c r="AB35" s="58"/>
      <c r="AC35" s="59"/>
      <c r="AD35" s="59"/>
      <c r="AE35" s="96"/>
      <c r="AF35" s="97"/>
      <c r="AG35" s="98"/>
      <c r="AH35" s="99"/>
    </row>
    <row r="36" spans="1:34" s="2" customFormat="1" x14ac:dyDescent="0.25">
      <c r="A36" s="9" t="str">
        <f t="shared" si="0"/>
        <v/>
      </c>
      <c r="B36" s="52"/>
      <c r="C36" s="53"/>
      <c r="D36" s="53"/>
      <c r="E36" s="78"/>
      <c r="F36" s="133"/>
      <c r="G36" s="54"/>
      <c r="H36" s="54"/>
      <c r="I36" s="55"/>
      <c r="J36" s="55"/>
      <c r="K36" s="56"/>
      <c r="L36" s="56"/>
      <c r="M36" s="57"/>
      <c r="N36" s="57"/>
      <c r="O36" s="58"/>
      <c r="P36" s="58"/>
      <c r="Q36" s="59"/>
      <c r="R36" s="59"/>
      <c r="S36" s="54"/>
      <c r="T36" s="54"/>
      <c r="U36" s="55"/>
      <c r="V36" s="55"/>
      <c r="W36" s="56"/>
      <c r="X36" s="56"/>
      <c r="Y36" s="57"/>
      <c r="Z36" s="57"/>
      <c r="AA36" s="58"/>
      <c r="AB36" s="58"/>
      <c r="AC36" s="59"/>
      <c r="AD36" s="59"/>
      <c r="AE36" s="96"/>
      <c r="AF36" s="97"/>
      <c r="AG36" s="98"/>
      <c r="AH36" s="99"/>
    </row>
    <row r="37" spans="1:34" s="2" customFormat="1" x14ac:dyDescent="0.25">
      <c r="A37" s="9" t="str">
        <f t="shared" si="0"/>
        <v/>
      </c>
      <c r="B37" s="52"/>
      <c r="C37" s="53"/>
      <c r="D37" s="53"/>
      <c r="E37" s="78"/>
      <c r="F37" s="133"/>
      <c r="G37" s="54"/>
      <c r="H37" s="54"/>
      <c r="I37" s="55"/>
      <c r="J37" s="55"/>
      <c r="K37" s="56"/>
      <c r="L37" s="56"/>
      <c r="M37" s="57"/>
      <c r="N37" s="57"/>
      <c r="O37" s="58"/>
      <c r="P37" s="58"/>
      <c r="Q37" s="59"/>
      <c r="R37" s="59"/>
      <c r="S37" s="54"/>
      <c r="T37" s="54"/>
      <c r="U37" s="55"/>
      <c r="V37" s="55"/>
      <c r="W37" s="56"/>
      <c r="X37" s="56"/>
      <c r="Y37" s="57"/>
      <c r="Z37" s="57"/>
      <c r="AA37" s="58"/>
      <c r="AB37" s="58"/>
      <c r="AC37" s="59"/>
      <c r="AD37" s="59"/>
      <c r="AE37" s="96"/>
      <c r="AF37" s="97"/>
      <c r="AG37" s="98"/>
      <c r="AH37" s="99"/>
    </row>
    <row r="38" spans="1:34" s="2" customFormat="1" x14ac:dyDescent="0.25">
      <c r="A38" s="9" t="str">
        <f t="shared" si="0"/>
        <v/>
      </c>
      <c r="B38" s="52"/>
      <c r="C38" s="53"/>
      <c r="D38" s="53"/>
      <c r="E38" s="78"/>
      <c r="F38" s="133"/>
      <c r="G38" s="54"/>
      <c r="H38" s="54"/>
      <c r="I38" s="55"/>
      <c r="J38" s="55"/>
      <c r="K38" s="56"/>
      <c r="L38" s="56"/>
      <c r="M38" s="57"/>
      <c r="N38" s="57"/>
      <c r="O38" s="58"/>
      <c r="P38" s="58"/>
      <c r="Q38" s="59"/>
      <c r="R38" s="59"/>
      <c r="S38" s="54"/>
      <c r="T38" s="54"/>
      <c r="U38" s="55"/>
      <c r="V38" s="55"/>
      <c r="W38" s="56"/>
      <c r="X38" s="56"/>
      <c r="Y38" s="57"/>
      <c r="Z38" s="57"/>
      <c r="AA38" s="58"/>
      <c r="AB38" s="58"/>
      <c r="AC38" s="59"/>
      <c r="AD38" s="59"/>
      <c r="AE38" s="96"/>
      <c r="AF38" s="97"/>
      <c r="AG38" s="98"/>
      <c r="AH38" s="99"/>
    </row>
    <row r="39" spans="1:34" s="2" customFormat="1" x14ac:dyDescent="0.25">
      <c r="A39" s="9" t="str">
        <f t="shared" si="0"/>
        <v/>
      </c>
      <c r="B39" s="52"/>
      <c r="C39" s="53"/>
      <c r="D39" s="53"/>
      <c r="E39" s="78"/>
      <c r="F39" s="133"/>
      <c r="G39" s="54"/>
      <c r="H39" s="54"/>
      <c r="I39" s="55"/>
      <c r="J39" s="55"/>
      <c r="K39" s="56"/>
      <c r="L39" s="56"/>
      <c r="M39" s="57"/>
      <c r="N39" s="57"/>
      <c r="O39" s="58"/>
      <c r="P39" s="58"/>
      <c r="Q39" s="59"/>
      <c r="R39" s="59"/>
      <c r="S39" s="54"/>
      <c r="T39" s="54"/>
      <c r="U39" s="55"/>
      <c r="V39" s="55"/>
      <c r="W39" s="56"/>
      <c r="X39" s="56"/>
      <c r="Y39" s="57"/>
      <c r="Z39" s="57"/>
      <c r="AA39" s="58"/>
      <c r="AB39" s="58"/>
      <c r="AC39" s="59"/>
      <c r="AD39" s="59"/>
      <c r="AE39" s="96"/>
      <c r="AF39" s="97"/>
      <c r="AG39" s="98"/>
      <c r="AH39" s="99"/>
    </row>
    <row r="40" spans="1:34" s="2" customFormat="1" x14ac:dyDescent="0.25">
      <c r="A40" s="9" t="str">
        <f t="shared" si="0"/>
        <v/>
      </c>
      <c r="B40" s="52"/>
      <c r="C40" s="53"/>
      <c r="D40" s="53"/>
      <c r="E40" s="78"/>
      <c r="F40" s="133"/>
      <c r="G40" s="54"/>
      <c r="H40" s="54"/>
      <c r="I40" s="55"/>
      <c r="J40" s="55"/>
      <c r="K40" s="56"/>
      <c r="L40" s="56"/>
      <c r="M40" s="57"/>
      <c r="N40" s="57"/>
      <c r="O40" s="58"/>
      <c r="P40" s="58"/>
      <c r="Q40" s="59"/>
      <c r="R40" s="59"/>
      <c r="S40" s="54"/>
      <c r="T40" s="54"/>
      <c r="U40" s="55"/>
      <c r="V40" s="55"/>
      <c r="W40" s="56"/>
      <c r="X40" s="56"/>
      <c r="Y40" s="57"/>
      <c r="Z40" s="57"/>
      <c r="AA40" s="58"/>
      <c r="AB40" s="58"/>
      <c r="AC40" s="59"/>
      <c r="AD40" s="59"/>
      <c r="AE40" s="96"/>
      <c r="AF40" s="97"/>
      <c r="AG40" s="98"/>
      <c r="AH40" s="99"/>
    </row>
    <row r="41" spans="1:34" s="2" customFormat="1" x14ac:dyDescent="0.25">
      <c r="A41" s="9" t="str">
        <f t="shared" si="0"/>
        <v/>
      </c>
      <c r="B41" s="52"/>
      <c r="C41" s="53"/>
      <c r="D41" s="53"/>
      <c r="E41" s="78"/>
      <c r="F41" s="133"/>
      <c r="G41" s="54"/>
      <c r="H41" s="54"/>
      <c r="I41" s="55"/>
      <c r="J41" s="55"/>
      <c r="K41" s="56"/>
      <c r="L41" s="56"/>
      <c r="M41" s="57"/>
      <c r="N41" s="57"/>
      <c r="O41" s="58"/>
      <c r="P41" s="58"/>
      <c r="Q41" s="59"/>
      <c r="R41" s="59"/>
      <c r="S41" s="54"/>
      <c r="T41" s="54"/>
      <c r="U41" s="55"/>
      <c r="V41" s="55"/>
      <c r="W41" s="56"/>
      <c r="X41" s="56"/>
      <c r="Y41" s="57"/>
      <c r="Z41" s="57"/>
      <c r="AA41" s="58"/>
      <c r="AB41" s="58"/>
      <c r="AC41" s="59"/>
      <c r="AD41" s="59"/>
      <c r="AE41" s="96"/>
      <c r="AF41" s="97"/>
      <c r="AG41" s="98"/>
      <c r="AH41" s="99"/>
    </row>
    <row r="42" spans="1:34" s="2" customFormat="1" x14ac:dyDescent="0.25">
      <c r="A42" s="9" t="str">
        <f t="shared" si="0"/>
        <v/>
      </c>
      <c r="B42" s="52"/>
      <c r="C42" s="53"/>
      <c r="D42" s="53"/>
      <c r="E42" s="78"/>
      <c r="F42" s="133"/>
      <c r="G42" s="54"/>
      <c r="H42" s="54"/>
      <c r="I42" s="55"/>
      <c r="J42" s="55"/>
      <c r="K42" s="56"/>
      <c r="L42" s="56"/>
      <c r="M42" s="57"/>
      <c r="N42" s="57"/>
      <c r="O42" s="58"/>
      <c r="P42" s="58"/>
      <c r="Q42" s="59"/>
      <c r="R42" s="59"/>
      <c r="S42" s="54"/>
      <c r="T42" s="54"/>
      <c r="U42" s="55"/>
      <c r="V42" s="55"/>
      <c r="W42" s="56"/>
      <c r="X42" s="56"/>
      <c r="Y42" s="57"/>
      <c r="Z42" s="57"/>
      <c r="AA42" s="58"/>
      <c r="AB42" s="58"/>
      <c r="AC42" s="59"/>
      <c r="AD42" s="59"/>
      <c r="AE42" s="96"/>
      <c r="AF42" s="97"/>
      <c r="AG42" s="98"/>
      <c r="AH42" s="99"/>
    </row>
    <row r="43" spans="1:34" s="2" customFormat="1" x14ac:dyDescent="0.25">
      <c r="A43" s="9" t="str">
        <f t="shared" si="0"/>
        <v/>
      </c>
      <c r="B43" s="52"/>
      <c r="C43" s="53"/>
      <c r="D43" s="53"/>
      <c r="E43" s="78"/>
      <c r="F43" s="133"/>
      <c r="G43" s="54"/>
      <c r="H43" s="54"/>
      <c r="I43" s="55"/>
      <c r="J43" s="55"/>
      <c r="K43" s="56"/>
      <c r="L43" s="56"/>
      <c r="M43" s="57"/>
      <c r="N43" s="57"/>
      <c r="O43" s="58"/>
      <c r="P43" s="58"/>
      <c r="Q43" s="59"/>
      <c r="R43" s="59"/>
      <c r="S43" s="54"/>
      <c r="T43" s="54"/>
      <c r="U43" s="55"/>
      <c r="V43" s="55"/>
      <c r="W43" s="56"/>
      <c r="X43" s="56"/>
      <c r="Y43" s="57"/>
      <c r="Z43" s="57"/>
      <c r="AA43" s="58"/>
      <c r="AB43" s="58"/>
      <c r="AC43" s="59"/>
      <c r="AD43" s="59"/>
      <c r="AE43" s="96"/>
      <c r="AF43" s="97"/>
      <c r="AG43" s="98"/>
      <c r="AH43" s="99"/>
    </row>
    <row r="44" spans="1:34" s="2" customFormat="1" x14ac:dyDescent="0.25">
      <c r="A44" s="9" t="str">
        <f t="shared" si="0"/>
        <v/>
      </c>
      <c r="B44" s="52"/>
      <c r="C44" s="53"/>
      <c r="D44" s="53"/>
      <c r="E44" s="78"/>
      <c r="F44" s="133"/>
      <c r="G44" s="54"/>
      <c r="H44" s="54"/>
      <c r="I44" s="55"/>
      <c r="J44" s="55"/>
      <c r="K44" s="56"/>
      <c r="L44" s="56"/>
      <c r="M44" s="57"/>
      <c r="N44" s="57"/>
      <c r="O44" s="58"/>
      <c r="P44" s="58"/>
      <c r="Q44" s="59"/>
      <c r="R44" s="59"/>
      <c r="S44" s="54"/>
      <c r="T44" s="54"/>
      <c r="U44" s="55"/>
      <c r="V44" s="55"/>
      <c r="W44" s="56"/>
      <c r="X44" s="56"/>
      <c r="Y44" s="57"/>
      <c r="Z44" s="57"/>
      <c r="AA44" s="58"/>
      <c r="AB44" s="58"/>
      <c r="AC44" s="59"/>
      <c r="AD44" s="59"/>
      <c r="AE44" s="96"/>
      <c r="AF44" s="97"/>
      <c r="AG44" s="98"/>
      <c r="AH44" s="99"/>
    </row>
    <row r="45" spans="1:34" s="2" customFormat="1" x14ac:dyDescent="0.25">
      <c r="A45" s="9" t="str">
        <f t="shared" si="0"/>
        <v/>
      </c>
      <c r="B45" s="52"/>
      <c r="C45" s="53"/>
      <c r="D45" s="53"/>
      <c r="E45" s="78"/>
      <c r="F45" s="133"/>
      <c r="G45" s="54"/>
      <c r="H45" s="54"/>
      <c r="I45" s="55"/>
      <c r="J45" s="55"/>
      <c r="K45" s="56"/>
      <c r="L45" s="56"/>
      <c r="M45" s="57"/>
      <c r="N45" s="57"/>
      <c r="O45" s="58"/>
      <c r="P45" s="58"/>
      <c r="Q45" s="59"/>
      <c r="R45" s="59"/>
      <c r="S45" s="54"/>
      <c r="T45" s="54"/>
      <c r="U45" s="55"/>
      <c r="V45" s="55"/>
      <c r="W45" s="56"/>
      <c r="X45" s="56"/>
      <c r="Y45" s="57"/>
      <c r="Z45" s="57"/>
      <c r="AA45" s="58"/>
      <c r="AB45" s="58"/>
      <c r="AC45" s="59"/>
      <c r="AD45" s="59"/>
      <c r="AE45" s="96"/>
      <c r="AF45" s="97"/>
      <c r="AG45" s="98"/>
      <c r="AH45" s="99"/>
    </row>
    <row r="46" spans="1:34" s="2" customFormat="1" x14ac:dyDescent="0.25">
      <c r="A46" s="9" t="str">
        <f t="shared" si="0"/>
        <v/>
      </c>
      <c r="B46" s="52"/>
      <c r="C46" s="53"/>
      <c r="D46" s="53"/>
      <c r="E46" s="78"/>
      <c r="F46" s="133"/>
      <c r="G46" s="54"/>
      <c r="H46" s="54"/>
      <c r="I46" s="55"/>
      <c r="J46" s="55"/>
      <c r="K46" s="56"/>
      <c r="L46" s="56"/>
      <c r="M46" s="57"/>
      <c r="N46" s="57"/>
      <c r="O46" s="58"/>
      <c r="P46" s="58"/>
      <c r="Q46" s="59"/>
      <c r="R46" s="59"/>
      <c r="S46" s="54"/>
      <c r="T46" s="54"/>
      <c r="U46" s="55"/>
      <c r="V46" s="55"/>
      <c r="W46" s="56"/>
      <c r="X46" s="56"/>
      <c r="Y46" s="57"/>
      <c r="Z46" s="57"/>
      <c r="AA46" s="58"/>
      <c r="AB46" s="58"/>
      <c r="AC46" s="59"/>
      <c r="AD46" s="59"/>
      <c r="AE46" s="96"/>
      <c r="AF46" s="97"/>
      <c r="AG46" s="98"/>
      <c r="AH46" s="99"/>
    </row>
    <row r="47" spans="1:34" s="2" customFormat="1" x14ac:dyDescent="0.25">
      <c r="A47" s="9" t="str">
        <f t="shared" si="0"/>
        <v/>
      </c>
      <c r="B47" s="52"/>
      <c r="C47" s="53"/>
      <c r="D47" s="53"/>
      <c r="E47" s="78"/>
      <c r="F47" s="133"/>
      <c r="G47" s="54"/>
      <c r="H47" s="54"/>
      <c r="I47" s="55"/>
      <c r="J47" s="55"/>
      <c r="K47" s="56"/>
      <c r="L47" s="56"/>
      <c r="M47" s="57"/>
      <c r="N47" s="57"/>
      <c r="O47" s="58"/>
      <c r="P47" s="58"/>
      <c r="Q47" s="59"/>
      <c r="R47" s="59"/>
      <c r="S47" s="54"/>
      <c r="T47" s="54"/>
      <c r="U47" s="55"/>
      <c r="V47" s="55"/>
      <c r="W47" s="56"/>
      <c r="X47" s="56"/>
      <c r="Y47" s="57"/>
      <c r="Z47" s="57"/>
      <c r="AA47" s="58"/>
      <c r="AB47" s="58"/>
      <c r="AC47" s="59"/>
      <c r="AD47" s="59"/>
      <c r="AE47" s="96"/>
      <c r="AF47" s="97"/>
      <c r="AG47" s="98"/>
      <c r="AH47" s="99"/>
    </row>
    <row r="48" spans="1:34" s="2" customFormat="1" x14ac:dyDescent="0.25">
      <c r="A48" s="9" t="str">
        <f t="shared" si="0"/>
        <v/>
      </c>
      <c r="B48" s="52"/>
      <c r="C48" s="53"/>
      <c r="D48" s="53"/>
      <c r="E48" s="78"/>
      <c r="F48" s="133"/>
      <c r="G48" s="54"/>
      <c r="H48" s="54"/>
      <c r="I48" s="55"/>
      <c r="J48" s="55"/>
      <c r="K48" s="56"/>
      <c r="L48" s="56"/>
      <c r="M48" s="57"/>
      <c r="N48" s="57"/>
      <c r="O48" s="58"/>
      <c r="P48" s="58"/>
      <c r="Q48" s="59"/>
      <c r="R48" s="59"/>
      <c r="S48" s="54"/>
      <c r="T48" s="54"/>
      <c r="U48" s="55"/>
      <c r="V48" s="55"/>
      <c r="W48" s="56"/>
      <c r="X48" s="56"/>
      <c r="Y48" s="57"/>
      <c r="Z48" s="57"/>
      <c r="AA48" s="58"/>
      <c r="AB48" s="58"/>
      <c r="AC48" s="59"/>
      <c r="AD48" s="59"/>
      <c r="AE48" s="96"/>
      <c r="AF48" s="97"/>
      <c r="AG48" s="98"/>
      <c r="AH48" s="99"/>
    </row>
    <row r="49" spans="1:34" s="2" customFormat="1" x14ac:dyDescent="0.25">
      <c r="A49" s="9" t="str">
        <f t="shared" si="0"/>
        <v/>
      </c>
      <c r="B49" s="52"/>
      <c r="C49" s="53"/>
      <c r="D49" s="53"/>
      <c r="E49" s="78"/>
      <c r="F49" s="133"/>
      <c r="G49" s="54"/>
      <c r="H49" s="54"/>
      <c r="I49" s="55"/>
      <c r="J49" s="55"/>
      <c r="K49" s="56"/>
      <c r="L49" s="56"/>
      <c r="M49" s="57"/>
      <c r="N49" s="57"/>
      <c r="O49" s="58"/>
      <c r="P49" s="58"/>
      <c r="Q49" s="59"/>
      <c r="R49" s="59"/>
      <c r="S49" s="54"/>
      <c r="T49" s="54"/>
      <c r="U49" s="55"/>
      <c r="V49" s="55"/>
      <c r="W49" s="56"/>
      <c r="X49" s="56"/>
      <c r="Y49" s="57"/>
      <c r="Z49" s="57"/>
      <c r="AA49" s="58"/>
      <c r="AB49" s="58"/>
      <c r="AC49" s="59"/>
      <c r="AD49" s="59"/>
      <c r="AE49" s="96"/>
      <c r="AF49" s="97"/>
      <c r="AG49" s="98"/>
      <c r="AH49" s="99"/>
    </row>
    <row r="50" spans="1:34" s="2" customFormat="1" x14ac:dyDescent="0.25">
      <c r="A50" s="9" t="str">
        <f t="shared" si="0"/>
        <v/>
      </c>
      <c r="B50" s="52"/>
      <c r="C50" s="53"/>
      <c r="D50" s="53"/>
      <c r="E50" s="78"/>
      <c r="F50" s="133"/>
      <c r="G50" s="54"/>
      <c r="H50" s="54"/>
      <c r="I50" s="55"/>
      <c r="J50" s="55"/>
      <c r="K50" s="56"/>
      <c r="L50" s="56"/>
      <c r="M50" s="57"/>
      <c r="N50" s="57"/>
      <c r="O50" s="58"/>
      <c r="P50" s="58"/>
      <c r="Q50" s="59"/>
      <c r="R50" s="59"/>
      <c r="S50" s="54"/>
      <c r="T50" s="54"/>
      <c r="U50" s="55"/>
      <c r="V50" s="55"/>
      <c r="W50" s="56"/>
      <c r="X50" s="56"/>
      <c r="Y50" s="57"/>
      <c r="Z50" s="57"/>
      <c r="AA50" s="58"/>
      <c r="AB50" s="58"/>
      <c r="AC50" s="59"/>
      <c r="AD50" s="59"/>
      <c r="AE50" s="96"/>
      <c r="AF50" s="97"/>
      <c r="AG50" s="98"/>
      <c r="AH50" s="99"/>
    </row>
    <row r="51" spans="1:34" s="2" customFormat="1" x14ac:dyDescent="0.25">
      <c r="A51" s="9" t="str">
        <f t="shared" si="0"/>
        <v/>
      </c>
      <c r="B51" s="52"/>
      <c r="C51" s="53"/>
      <c r="D51" s="53"/>
      <c r="E51" s="78"/>
      <c r="F51" s="133"/>
      <c r="G51" s="54"/>
      <c r="H51" s="54"/>
      <c r="I51" s="55"/>
      <c r="J51" s="55"/>
      <c r="K51" s="56"/>
      <c r="L51" s="56"/>
      <c r="M51" s="57"/>
      <c r="N51" s="57"/>
      <c r="O51" s="58"/>
      <c r="P51" s="58"/>
      <c r="Q51" s="59"/>
      <c r="R51" s="59"/>
      <c r="S51" s="54"/>
      <c r="T51" s="54"/>
      <c r="U51" s="55"/>
      <c r="V51" s="55"/>
      <c r="W51" s="56"/>
      <c r="X51" s="56"/>
      <c r="Y51" s="57"/>
      <c r="Z51" s="57"/>
      <c r="AA51" s="58"/>
      <c r="AB51" s="58"/>
      <c r="AC51" s="59"/>
      <c r="AD51" s="59"/>
      <c r="AE51" s="96"/>
      <c r="AF51" s="97"/>
      <c r="AG51" s="98"/>
      <c r="AH51" s="99"/>
    </row>
    <row r="52" spans="1:34" s="2" customFormat="1" x14ac:dyDescent="0.25">
      <c r="A52" s="9" t="str">
        <f t="shared" si="0"/>
        <v/>
      </c>
      <c r="B52" s="52"/>
      <c r="C52" s="53"/>
      <c r="D52" s="53"/>
      <c r="E52" s="78"/>
      <c r="F52" s="133"/>
      <c r="G52" s="54"/>
      <c r="H52" s="54"/>
      <c r="I52" s="55"/>
      <c r="J52" s="55"/>
      <c r="K52" s="56"/>
      <c r="L52" s="56"/>
      <c r="M52" s="57"/>
      <c r="N52" s="57"/>
      <c r="O52" s="58"/>
      <c r="P52" s="58"/>
      <c r="Q52" s="59"/>
      <c r="R52" s="59"/>
      <c r="S52" s="54"/>
      <c r="T52" s="54"/>
      <c r="U52" s="55"/>
      <c r="V52" s="55"/>
      <c r="W52" s="56"/>
      <c r="X52" s="56"/>
      <c r="Y52" s="57"/>
      <c r="Z52" s="57"/>
      <c r="AA52" s="58"/>
      <c r="AB52" s="58"/>
      <c r="AC52" s="59"/>
      <c r="AD52" s="59"/>
      <c r="AE52" s="96"/>
      <c r="AF52" s="97"/>
      <c r="AG52" s="98"/>
      <c r="AH52" s="99"/>
    </row>
    <row r="53" spans="1:34" s="2" customFormat="1" x14ac:dyDescent="0.25">
      <c r="A53" s="9" t="str">
        <f t="shared" si="0"/>
        <v/>
      </c>
      <c r="B53" s="52"/>
      <c r="C53" s="53"/>
      <c r="D53" s="53"/>
      <c r="E53" s="78"/>
      <c r="F53" s="133"/>
      <c r="G53" s="54"/>
      <c r="H53" s="54"/>
      <c r="I53" s="55"/>
      <c r="J53" s="55"/>
      <c r="K53" s="56"/>
      <c r="L53" s="56"/>
      <c r="M53" s="57"/>
      <c r="N53" s="57"/>
      <c r="O53" s="58"/>
      <c r="P53" s="58"/>
      <c r="Q53" s="59"/>
      <c r="R53" s="59"/>
      <c r="S53" s="54"/>
      <c r="T53" s="54"/>
      <c r="U53" s="55"/>
      <c r="V53" s="55"/>
      <c r="W53" s="56"/>
      <c r="X53" s="56"/>
      <c r="Y53" s="57"/>
      <c r="Z53" s="57"/>
      <c r="AA53" s="58"/>
      <c r="AB53" s="58"/>
      <c r="AC53" s="59"/>
      <c r="AD53" s="59"/>
      <c r="AE53" s="96"/>
      <c r="AF53" s="97"/>
      <c r="AG53" s="98"/>
      <c r="AH53" s="99"/>
    </row>
    <row r="54" spans="1:34" s="2" customFormat="1" x14ac:dyDescent="0.25">
      <c r="A54" s="9" t="str">
        <f t="shared" si="0"/>
        <v/>
      </c>
      <c r="B54" s="52"/>
      <c r="C54" s="53"/>
      <c r="D54" s="53"/>
      <c r="E54" s="78"/>
      <c r="F54" s="133"/>
      <c r="G54" s="54"/>
      <c r="H54" s="54"/>
      <c r="I54" s="55"/>
      <c r="J54" s="55"/>
      <c r="K54" s="56"/>
      <c r="L54" s="56"/>
      <c r="M54" s="57"/>
      <c r="N54" s="57"/>
      <c r="O54" s="58"/>
      <c r="P54" s="58"/>
      <c r="Q54" s="59"/>
      <c r="R54" s="59"/>
      <c r="S54" s="54"/>
      <c r="T54" s="54"/>
      <c r="U54" s="55"/>
      <c r="V54" s="55"/>
      <c r="W54" s="56"/>
      <c r="X54" s="56"/>
      <c r="Y54" s="57"/>
      <c r="Z54" s="57"/>
      <c r="AA54" s="58"/>
      <c r="AB54" s="58"/>
      <c r="AC54" s="59"/>
      <c r="AD54" s="59"/>
      <c r="AE54" s="96"/>
      <c r="AF54" s="97"/>
      <c r="AG54" s="98"/>
      <c r="AH54" s="99"/>
    </row>
    <row r="55" spans="1:34" s="2" customFormat="1" x14ac:dyDescent="0.25">
      <c r="A55" s="9" t="str">
        <f t="shared" si="0"/>
        <v/>
      </c>
      <c r="B55" s="52"/>
      <c r="C55" s="53"/>
      <c r="D55" s="53"/>
      <c r="E55" s="78"/>
      <c r="F55" s="133"/>
      <c r="G55" s="54"/>
      <c r="H55" s="54"/>
      <c r="I55" s="55"/>
      <c r="J55" s="55"/>
      <c r="K55" s="56"/>
      <c r="L55" s="56"/>
      <c r="M55" s="57"/>
      <c r="N55" s="57"/>
      <c r="O55" s="58"/>
      <c r="P55" s="58"/>
      <c r="Q55" s="59"/>
      <c r="R55" s="59"/>
      <c r="S55" s="54"/>
      <c r="T55" s="54"/>
      <c r="U55" s="55"/>
      <c r="V55" s="55"/>
      <c r="W55" s="56"/>
      <c r="X55" s="56"/>
      <c r="Y55" s="57"/>
      <c r="Z55" s="57"/>
      <c r="AA55" s="58"/>
      <c r="AB55" s="58"/>
      <c r="AC55" s="59"/>
      <c r="AD55" s="59"/>
      <c r="AE55" s="96"/>
      <c r="AF55" s="97"/>
      <c r="AG55" s="98"/>
      <c r="AH55" s="99"/>
    </row>
    <row r="56" spans="1:34" s="2" customFormat="1" x14ac:dyDescent="0.25">
      <c r="A56" s="9" t="str">
        <f t="shared" si="0"/>
        <v/>
      </c>
      <c r="B56" s="52"/>
      <c r="C56" s="53"/>
      <c r="D56" s="53"/>
      <c r="E56" s="78"/>
      <c r="F56" s="133"/>
      <c r="G56" s="54"/>
      <c r="H56" s="54"/>
      <c r="I56" s="55"/>
      <c r="J56" s="55"/>
      <c r="K56" s="56"/>
      <c r="L56" s="56"/>
      <c r="M56" s="57"/>
      <c r="N56" s="57"/>
      <c r="O56" s="58"/>
      <c r="P56" s="58"/>
      <c r="Q56" s="59"/>
      <c r="R56" s="59"/>
      <c r="S56" s="54"/>
      <c r="T56" s="54"/>
      <c r="U56" s="55"/>
      <c r="V56" s="55"/>
      <c r="W56" s="56"/>
      <c r="X56" s="56"/>
      <c r="Y56" s="57"/>
      <c r="Z56" s="57"/>
      <c r="AA56" s="58"/>
      <c r="AB56" s="58"/>
      <c r="AC56" s="59"/>
      <c r="AD56" s="59"/>
      <c r="AE56" s="96"/>
      <c r="AF56" s="97"/>
      <c r="AG56" s="98"/>
      <c r="AH56" s="99"/>
    </row>
    <row r="57" spans="1:34" s="2" customFormat="1" x14ac:dyDescent="0.25">
      <c r="A57" s="9" t="str">
        <f t="shared" si="0"/>
        <v/>
      </c>
      <c r="B57" s="52"/>
      <c r="C57" s="53"/>
      <c r="D57" s="53"/>
      <c r="E57" s="78"/>
      <c r="F57" s="133"/>
      <c r="G57" s="54"/>
      <c r="H57" s="54"/>
      <c r="I57" s="55"/>
      <c r="J57" s="55"/>
      <c r="K57" s="56"/>
      <c r="L57" s="56"/>
      <c r="M57" s="57"/>
      <c r="N57" s="57"/>
      <c r="O57" s="58"/>
      <c r="P57" s="58"/>
      <c r="Q57" s="59"/>
      <c r="R57" s="59"/>
      <c r="S57" s="54"/>
      <c r="T57" s="54"/>
      <c r="U57" s="55"/>
      <c r="V57" s="55"/>
      <c r="W57" s="56"/>
      <c r="X57" s="56"/>
      <c r="Y57" s="57"/>
      <c r="Z57" s="57"/>
      <c r="AA57" s="58"/>
      <c r="AB57" s="58"/>
      <c r="AC57" s="59"/>
      <c r="AD57" s="59"/>
      <c r="AE57" s="96"/>
      <c r="AF57" s="97"/>
      <c r="AG57" s="98"/>
      <c r="AH57" s="99"/>
    </row>
    <row r="58" spans="1:34" s="2" customFormat="1" x14ac:dyDescent="0.25">
      <c r="A58" s="9" t="str">
        <f t="shared" si="0"/>
        <v/>
      </c>
      <c r="B58" s="52"/>
      <c r="C58" s="53"/>
      <c r="D58" s="53"/>
      <c r="E58" s="78"/>
      <c r="F58" s="133"/>
      <c r="G58" s="54"/>
      <c r="H58" s="54"/>
      <c r="I58" s="55"/>
      <c r="J58" s="55"/>
      <c r="K58" s="56"/>
      <c r="L58" s="56"/>
      <c r="M58" s="57"/>
      <c r="N58" s="57"/>
      <c r="O58" s="58"/>
      <c r="P58" s="58"/>
      <c r="Q58" s="59"/>
      <c r="R58" s="59"/>
      <c r="S58" s="54"/>
      <c r="T58" s="54"/>
      <c r="U58" s="55"/>
      <c r="V58" s="55"/>
      <c r="W58" s="56"/>
      <c r="X58" s="56"/>
      <c r="Y58" s="57"/>
      <c r="Z58" s="57"/>
      <c r="AA58" s="58"/>
      <c r="AB58" s="58"/>
      <c r="AC58" s="59"/>
      <c r="AD58" s="59"/>
      <c r="AE58" s="96"/>
      <c r="AF58" s="97"/>
      <c r="AG58" s="98"/>
      <c r="AH58" s="99"/>
    </row>
    <row r="59" spans="1:34" s="2" customFormat="1" x14ac:dyDescent="0.25">
      <c r="A59" s="9" t="str">
        <f t="shared" si="0"/>
        <v/>
      </c>
      <c r="B59" s="52"/>
      <c r="C59" s="53"/>
      <c r="D59" s="53"/>
      <c r="E59" s="78"/>
      <c r="F59" s="133"/>
      <c r="G59" s="54"/>
      <c r="H59" s="54"/>
      <c r="I59" s="55"/>
      <c r="J59" s="55"/>
      <c r="K59" s="56"/>
      <c r="L59" s="56"/>
      <c r="M59" s="57"/>
      <c r="N59" s="57"/>
      <c r="O59" s="58"/>
      <c r="P59" s="58"/>
      <c r="Q59" s="59"/>
      <c r="R59" s="59"/>
      <c r="S59" s="54"/>
      <c r="T59" s="54"/>
      <c r="U59" s="55"/>
      <c r="V59" s="55"/>
      <c r="W59" s="56"/>
      <c r="X59" s="56"/>
      <c r="Y59" s="57"/>
      <c r="Z59" s="57"/>
      <c r="AA59" s="58"/>
      <c r="AB59" s="58"/>
      <c r="AC59" s="59"/>
      <c r="AD59" s="59"/>
      <c r="AE59" s="96"/>
      <c r="AF59" s="97"/>
      <c r="AG59" s="98"/>
      <c r="AH59" s="99"/>
    </row>
    <row r="60" spans="1:34" s="2" customFormat="1" x14ac:dyDescent="0.25">
      <c r="A60" s="9" t="str">
        <f t="shared" si="0"/>
        <v/>
      </c>
      <c r="B60" s="52"/>
      <c r="C60" s="53"/>
      <c r="D60" s="53"/>
      <c r="E60" s="78"/>
      <c r="F60" s="133"/>
      <c r="G60" s="54"/>
      <c r="H60" s="54"/>
      <c r="I60" s="55"/>
      <c r="J60" s="55"/>
      <c r="K60" s="56"/>
      <c r="L60" s="56"/>
      <c r="M60" s="57"/>
      <c r="N60" s="57"/>
      <c r="O60" s="58"/>
      <c r="P60" s="58"/>
      <c r="Q60" s="59"/>
      <c r="R60" s="59"/>
      <c r="S60" s="54"/>
      <c r="T60" s="54"/>
      <c r="U60" s="55"/>
      <c r="V60" s="55"/>
      <c r="W60" s="56"/>
      <c r="X60" s="56"/>
      <c r="Y60" s="57"/>
      <c r="Z60" s="57"/>
      <c r="AA60" s="58"/>
      <c r="AB60" s="58"/>
      <c r="AC60" s="59"/>
      <c r="AD60" s="59"/>
      <c r="AE60" s="96"/>
      <c r="AF60" s="97"/>
      <c r="AG60" s="98"/>
      <c r="AH60" s="99"/>
    </row>
    <row r="61" spans="1:34" s="2" customFormat="1" x14ac:dyDescent="0.25">
      <c r="A61" s="9" t="str">
        <f t="shared" si="0"/>
        <v/>
      </c>
      <c r="B61" s="52"/>
      <c r="C61" s="53"/>
      <c r="D61" s="53"/>
      <c r="E61" s="78"/>
      <c r="F61" s="133"/>
      <c r="G61" s="54"/>
      <c r="H61" s="54"/>
      <c r="I61" s="55"/>
      <c r="J61" s="55"/>
      <c r="K61" s="56"/>
      <c r="L61" s="56"/>
      <c r="M61" s="57"/>
      <c r="N61" s="57"/>
      <c r="O61" s="58"/>
      <c r="P61" s="58"/>
      <c r="Q61" s="59"/>
      <c r="R61" s="59"/>
      <c r="S61" s="54"/>
      <c r="T61" s="54"/>
      <c r="U61" s="55"/>
      <c r="V61" s="55"/>
      <c r="W61" s="56"/>
      <c r="X61" s="56"/>
      <c r="Y61" s="57"/>
      <c r="Z61" s="57"/>
      <c r="AA61" s="58"/>
      <c r="AB61" s="58"/>
      <c r="AC61" s="59"/>
      <c r="AD61" s="59"/>
      <c r="AE61" s="96"/>
      <c r="AF61" s="97"/>
      <c r="AG61" s="98"/>
      <c r="AH61" s="99"/>
    </row>
    <row r="62" spans="1:34" s="2" customFormat="1" x14ac:dyDescent="0.25">
      <c r="A62" s="9" t="str">
        <f t="shared" si="0"/>
        <v/>
      </c>
      <c r="B62" s="52"/>
      <c r="C62" s="53"/>
      <c r="D62" s="53"/>
      <c r="E62" s="78"/>
      <c r="F62" s="133"/>
      <c r="G62" s="54"/>
      <c r="H62" s="54"/>
      <c r="I62" s="55"/>
      <c r="J62" s="55"/>
      <c r="K62" s="56"/>
      <c r="L62" s="56"/>
      <c r="M62" s="57"/>
      <c r="N62" s="57"/>
      <c r="O62" s="58"/>
      <c r="P62" s="58"/>
      <c r="Q62" s="59"/>
      <c r="R62" s="59"/>
      <c r="S62" s="54"/>
      <c r="T62" s="54"/>
      <c r="U62" s="55"/>
      <c r="V62" s="55"/>
      <c r="W62" s="56"/>
      <c r="X62" s="56"/>
      <c r="Y62" s="57"/>
      <c r="Z62" s="57"/>
      <c r="AA62" s="58"/>
      <c r="AB62" s="58"/>
      <c r="AC62" s="59"/>
      <c r="AD62" s="59"/>
      <c r="AE62" s="96"/>
      <c r="AF62" s="97"/>
      <c r="AG62" s="98"/>
      <c r="AH62" s="99"/>
    </row>
    <row r="63" spans="1:34" s="2" customFormat="1" x14ac:dyDescent="0.25">
      <c r="A63" s="9" t="str">
        <f t="shared" si="0"/>
        <v/>
      </c>
      <c r="B63" s="52"/>
      <c r="C63" s="53"/>
      <c r="D63" s="53"/>
      <c r="E63" s="78"/>
      <c r="F63" s="133"/>
      <c r="G63" s="54"/>
      <c r="H63" s="54"/>
      <c r="I63" s="55"/>
      <c r="J63" s="55"/>
      <c r="K63" s="56"/>
      <c r="L63" s="56"/>
      <c r="M63" s="57"/>
      <c r="N63" s="57"/>
      <c r="O63" s="58"/>
      <c r="P63" s="58"/>
      <c r="Q63" s="59"/>
      <c r="R63" s="59"/>
      <c r="S63" s="54"/>
      <c r="T63" s="54"/>
      <c r="U63" s="55"/>
      <c r="V63" s="55"/>
      <c r="W63" s="56"/>
      <c r="X63" s="56"/>
      <c r="Y63" s="57"/>
      <c r="Z63" s="57"/>
      <c r="AA63" s="58"/>
      <c r="AB63" s="58"/>
      <c r="AC63" s="59"/>
      <c r="AD63" s="59"/>
      <c r="AE63" s="96"/>
      <c r="AF63" s="97"/>
      <c r="AG63" s="98"/>
      <c r="AH63" s="99"/>
    </row>
    <row r="64" spans="1:34" s="2" customFormat="1" x14ac:dyDescent="0.25">
      <c r="A64" s="9" t="str">
        <f t="shared" si="0"/>
        <v/>
      </c>
      <c r="B64" s="52"/>
      <c r="C64" s="53"/>
      <c r="D64" s="53"/>
      <c r="E64" s="78"/>
      <c r="F64" s="133"/>
      <c r="G64" s="54"/>
      <c r="H64" s="54"/>
      <c r="I64" s="55"/>
      <c r="J64" s="55"/>
      <c r="K64" s="56"/>
      <c r="L64" s="56"/>
      <c r="M64" s="57"/>
      <c r="N64" s="57"/>
      <c r="O64" s="58"/>
      <c r="P64" s="58"/>
      <c r="Q64" s="59"/>
      <c r="R64" s="59"/>
      <c r="S64" s="54"/>
      <c r="T64" s="54"/>
      <c r="U64" s="55"/>
      <c r="V64" s="55"/>
      <c r="W64" s="56"/>
      <c r="X64" s="56"/>
      <c r="Y64" s="57"/>
      <c r="Z64" s="57"/>
      <c r="AA64" s="58"/>
      <c r="AB64" s="58"/>
      <c r="AC64" s="59"/>
      <c r="AD64" s="59"/>
      <c r="AE64" s="96"/>
      <c r="AF64" s="97"/>
      <c r="AG64" s="98"/>
      <c r="AH64" s="99"/>
    </row>
    <row r="65" spans="1:34" s="2" customFormat="1" x14ac:dyDescent="0.25">
      <c r="A65" s="9" t="str">
        <f t="shared" si="0"/>
        <v/>
      </c>
      <c r="B65" s="52"/>
      <c r="C65" s="53"/>
      <c r="D65" s="53"/>
      <c r="E65" s="78"/>
      <c r="F65" s="133"/>
      <c r="G65" s="54"/>
      <c r="H65" s="54"/>
      <c r="I65" s="55"/>
      <c r="J65" s="55"/>
      <c r="K65" s="56"/>
      <c r="L65" s="56"/>
      <c r="M65" s="57"/>
      <c r="N65" s="57"/>
      <c r="O65" s="58"/>
      <c r="P65" s="58"/>
      <c r="Q65" s="59"/>
      <c r="R65" s="59"/>
      <c r="S65" s="54"/>
      <c r="T65" s="54"/>
      <c r="U65" s="55"/>
      <c r="V65" s="55"/>
      <c r="W65" s="56"/>
      <c r="X65" s="56"/>
      <c r="Y65" s="57"/>
      <c r="Z65" s="57"/>
      <c r="AA65" s="58"/>
      <c r="AB65" s="58"/>
      <c r="AC65" s="59"/>
      <c r="AD65" s="59"/>
      <c r="AE65" s="96"/>
      <c r="AF65" s="97"/>
      <c r="AG65" s="98"/>
      <c r="AH65" s="99"/>
    </row>
    <row r="66" spans="1:34" s="2" customFormat="1" x14ac:dyDescent="0.25">
      <c r="A66" s="9" t="str">
        <f t="shared" si="0"/>
        <v/>
      </c>
      <c r="B66" s="52"/>
      <c r="C66" s="53"/>
      <c r="D66" s="53"/>
      <c r="E66" s="78"/>
      <c r="F66" s="133"/>
      <c r="G66" s="54"/>
      <c r="H66" s="54"/>
      <c r="I66" s="55"/>
      <c r="J66" s="55"/>
      <c r="K66" s="56"/>
      <c r="L66" s="56"/>
      <c r="M66" s="57"/>
      <c r="N66" s="57"/>
      <c r="O66" s="58"/>
      <c r="P66" s="58"/>
      <c r="Q66" s="59"/>
      <c r="R66" s="59"/>
      <c r="S66" s="54"/>
      <c r="T66" s="54"/>
      <c r="U66" s="55"/>
      <c r="V66" s="55"/>
      <c r="W66" s="56"/>
      <c r="X66" s="56"/>
      <c r="Y66" s="57"/>
      <c r="Z66" s="57"/>
      <c r="AA66" s="58"/>
      <c r="AB66" s="58"/>
      <c r="AC66" s="59"/>
      <c r="AD66" s="59"/>
      <c r="AE66" s="96"/>
      <c r="AF66" s="97"/>
      <c r="AG66" s="98"/>
      <c r="AH66" s="99"/>
    </row>
    <row r="67" spans="1:34" s="2" customFormat="1" x14ac:dyDescent="0.25">
      <c r="A67" s="9" t="str">
        <f t="shared" si="0"/>
        <v/>
      </c>
      <c r="B67" s="52"/>
      <c r="C67" s="53"/>
      <c r="D67" s="53"/>
      <c r="E67" s="78"/>
      <c r="F67" s="133"/>
      <c r="G67" s="54"/>
      <c r="H67" s="54"/>
      <c r="I67" s="55"/>
      <c r="J67" s="55"/>
      <c r="K67" s="56"/>
      <c r="L67" s="56"/>
      <c r="M67" s="57"/>
      <c r="N67" s="57"/>
      <c r="O67" s="58"/>
      <c r="P67" s="58"/>
      <c r="Q67" s="59"/>
      <c r="R67" s="59"/>
      <c r="S67" s="54"/>
      <c r="T67" s="54"/>
      <c r="U67" s="55"/>
      <c r="V67" s="55"/>
      <c r="W67" s="56"/>
      <c r="X67" s="56"/>
      <c r="Y67" s="57"/>
      <c r="Z67" s="57"/>
      <c r="AA67" s="58"/>
      <c r="AB67" s="58"/>
      <c r="AC67" s="59"/>
      <c r="AD67" s="59"/>
      <c r="AE67" s="96"/>
      <c r="AF67" s="97"/>
      <c r="AG67" s="98"/>
      <c r="AH67" s="99"/>
    </row>
    <row r="68" spans="1:34" s="2" customFormat="1" x14ac:dyDescent="0.25">
      <c r="A68" s="9" t="str">
        <f t="shared" si="0"/>
        <v/>
      </c>
      <c r="B68" s="52"/>
      <c r="C68" s="53"/>
      <c r="D68" s="53"/>
      <c r="E68" s="78"/>
      <c r="F68" s="133"/>
      <c r="G68" s="54"/>
      <c r="H68" s="54"/>
      <c r="I68" s="55"/>
      <c r="J68" s="55"/>
      <c r="K68" s="56"/>
      <c r="L68" s="56"/>
      <c r="M68" s="57"/>
      <c r="N68" s="57"/>
      <c r="O68" s="58"/>
      <c r="P68" s="58"/>
      <c r="Q68" s="59"/>
      <c r="R68" s="59"/>
      <c r="S68" s="54"/>
      <c r="T68" s="54"/>
      <c r="U68" s="55"/>
      <c r="V68" s="55"/>
      <c r="W68" s="56"/>
      <c r="X68" s="56"/>
      <c r="Y68" s="57"/>
      <c r="Z68" s="57"/>
      <c r="AA68" s="58"/>
      <c r="AB68" s="58"/>
      <c r="AC68" s="59"/>
      <c r="AD68" s="59"/>
      <c r="AE68" s="96"/>
      <c r="AF68" s="97"/>
      <c r="AG68" s="98"/>
      <c r="AH68" s="99"/>
    </row>
    <row r="69" spans="1:34" s="2" customFormat="1" x14ac:dyDescent="0.25">
      <c r="A69" s="9" t="str">
        <f t="shared" ref="A69:A132" si="1">IF(COUNTA(G69:AD69)/2=0,"",COUNTA(G69:AD69)/2)</f>
        <v/>
      </c>
      <c r="B69" s="52"/>
      <c r="C69" s="53"/>
      <c r="D69" s="53"/>
      <c r="E69" s="78"/>
      <c r="F69" s="133"/>
      <c r="G69" s="54"/>
      <c r="H69" s="54"/>
      <c r="I69" s="55"/>
      <c r="J69" s="55"/>
      <c r="K69" s="56"/>
      <c r="L69" s="56"/>
      <c r="M69" s="57"/>
      <c r="N69" s="57"/>
      <c r="O69" s="58"/>
      <c r="P69" s="58"/>
      <c r="Q69" s="59"/>
      <c r="R69" s="59"/>
      <c r="S69" s="54"/>
      <c r="T69" s="54"/>
      <c r="U69" s="55"/>
      <c r="V69" s="55"/>
      <c r="W69" s="56"/>
      <c r="X69" s="56"/>
      <c r="Y69" s="57"/>
      <c r="Z69" s="57"/>
      <c r="AA69" s="58"/>
      <c r="AB69" s="58"/>
      <c r="AC69" s="59"/>
      <c r="AD69" s="59"/>
      <c r="AE69" s="96"/>
      <c r="AF69" s="97"/>
      <c r="AG69" s="98"/>
      <c r="AH69" s="99"/>
    </row>
    <row r="70" spans="1:34" s="2" customFormat="1" x14ac:dyDescent="0.25">
      <c r="A70" s="9" t="str">
        <f t="shared" si="1"/>
        <v/>
      </c>
      <c r="B70" s="52"/>
      <c r="C70" s="53"/>
      <c r="D70" s="53"/>
      <c r="E70" s="78"/>
      <c r="F70" s="133"/>
      <c r="G70" s="54"/>
      <c r="H70" s="54"/>
      <c r="I70" s="55"/>
      <c r="J70" s="55"/>
      <c r="K70" s="56"/>
      <c r="L70" s="56"/>
      <c r="M70" s="57"/>
      <c r="N70" s="57"/>
      <c r="O70" s="58"/>
      <c r="P70" s="58"/>
      <c r="Q70" s="59"/>
      <c r="R70" s="59"/>
      <c r="S70" s="54"/>
      <c r="T70" s="54"/>
      <c r="U70" s="55"/>
      <c r="V70" s="55"/>
      <c r="W70" s="56"/>
      <c r="X70" s="56"/>
      <c r="Y70" s="57"/>
      <c r="Z70" s="57"/>
      <c r="AA70" s="58"/>
      <c r="AB70" s="58"/>
      <c r="AC70" s="59"/>
      <c r="AD70" s="59"/>
      <c r="AE70" s="96"/>
      <c r="AF70" s="97"/>
      <c r="AG70" s="98"/>
      <c r="AH70" s="99"/>
    </row>
    <row r="71" spans="1:34" s="2" customFormat="1" x14ac:dyDescent="0.25">
      <c r="A71" s="9" t="str">
        <f t="shared" si="1"/>
        <v/>
      </c>
      <c r="B71" s="52"/>
      <c r="C71" s="53"/>
      <c r="D71" s="53"/>
      <c r="E71" s="78"/>
      <c r="F71" s="133"/>
      <c r="G71" s="54"/>
      <c r="H71" s="54"/>
      <c r="I71" s="55"/>
      <c r="J71" s="55"/>
      <c r="K71" s="56"/>
      <c r="L71" s="56"/>
      <c r="M71" s="57"/>
      <c r="N71" s="57"/>
      <c r="O71" s="58"/>
      <c r="P71" s="58"/>
      <c r="Q71" s="59"/>
      <c r="R71" s="59"/>
      <c r="S71" s="54"/>
      <c r="T71" s="54"/>
      <c r="U71" s="55"/>
      <c r="V71" s="55"/>
      <c r="W71" s="56"/>
      <c r="X71" s="56"/>
      <c r="Y71" s="57"/>
      <c r="Z71" s="57"/>
      <c r="AA71" s="58"/>
      <c r="AB71" s="58"/>
      <c r="AC71" s="59"/>
      <c r="AD71" s="59"/>
      <c r="AE71" s="96"/>
      <c r="AF71" s="97"/>
      <c r="AG71" s="98"/>
      <c r="AH71" s="99"/>
    </row>
    <row r="72" spans="1:34" s="2" customFormat="1" x14ac:dyDescent="0.25">
      <c r="A72" s="9" t="str">
        <f t="shared" si="1"/>
        <v/>
      </c>
      <c r="B72" s="52"/>
      <c r="C72" s="53"/>
      <c r="D72" s="53"/>
      <c r="E72" s="78"/>
      <c r="F72" s="133"/>
      <c r="G72" s="54"/>
      <c r="H72" s="54"/>
      <c r="I72" s="55"/>
      <c r="J72" s="55"/>
      <c r="K72" s="56"/>
      <c r="L72" s="56"/>
      <c r="M72" s="57"/>
      <c r="N72" s="57"/>
      <c r="O72" s="58"/>
      <c r="P72" s="58"/>
      <c r="Q72" s="59"/>
      <c r="R72" s="59"/>
      <c r="S72" s="54"/>
      <c r="T72" s="54"/>
      <c r="U72" s="55"/>
      <c r="V72" s="55"/>
      <c r="W72" s="56"/>
      <c r="X72" s="56"/>
      <c r="Y72" s="57"/>
      <c r="Z72" s="57"/>
      <c r="AA72" s="58"/>
      <c r="AB72" s="58"/>
      <c r="AC72" s="59"/>
      <c r="AD72" s="59"/>
      <c r="AE72" s="96"/>
      <c r="AF72" s="97"/>
      <c r="AG72" s="98"/>
      <c r="AH72" s="99"/>
    </row>
    <row r="73" spans="1:34" s="2" customFormat="1" x14ac:dyDescent="0.25">
      <c r="A73" s="9" t="str">
        <f t="shared" si="1"/>
        <v/>
      </c>
      <c r="B73" s="52"/>
      <c r="C73" s="53"/>
      <c r="D73" s="53"/>
      <c r="E73" s="78"/>
      <c r="F73" s="133"/>
      <c r="G73" s="54"/>
      <c r="H73" s="54"/>
      <c r="I73" s="55"/>
      <c r="J73" s="55"/>
      <c r="K73" s="56"/>
      <c r="L73" s="56"/>
      <c r="M73" s="57"/>
      <c r="N73" s="57"/>
      <c r="O73" s="58"/>
      <c r="P73" s="58"/>
      <c r="Q73" s="59"/>
      <c r="R73" s="59"/>
      <c r="S73" s="54"/>
      <c r="T73" s="54"/>
      <c r="U73" s="55"/>
      <c r="V73" s="55"/>
      <c r="W73" s="56"/>
      <c r="X73" s="56"/>
      <c r="Y73" s="57"/>
      <c r="Z73" s="57"/>
      <c r="AA73" s="58"/>
      <c r="AB73" s="58"/>
      <c r="AC73" s="59"/>
      <c r="AD73" s="59"/>
      <c r="AE73" s="96"/>
      <c r="AF73" s="97"/>
      <c r="AG73" s="98"/>
      <c r="AH73" s="99"/>
    </row>
    <row r="74" spans="1:34" s="2" customFormat="1" x14ac:dyDescent="0.25">
      <c r="A74" s="9" t="str">
        <f t="shared" si="1"/>
        <v/>
      </c>
      <c r="B74" s="52"/>
      <c r="C74" s="53"/>
      <c r="D74" s="53"/>
      <c r="E74" s="78"/>
      <c r="F74" s="133"/>
      <c r="G74" s="54"/>
      <c r="H74" s="54"/>
      <c r="I74" s="55"/>
      <c r="J74" s="55"/>
      <c r="K74" s="56"/>
      <c r="L74" s="56"/>
      <c r="M74" s="57"/>
      <c r="N74" s="57"/>
      <c r="O74" s="58"/>
      <c r="P74" s="58"/>
      <c r="Q74" s="59"/>
      <c r="R74" s="59"/>
      <c r="S74" s="54"/>
      <c r="T74" s="54"/>
      <c r="U74" s="55"/>
      <c r="V74" s="55"/>
      <c r="W74" s="56"/>
      <c r="X74" s="56"/>
      <c r="Y74" s="57"/>
      <c r="Z74" s="57"/>
      <c r="AA74" s="58"/>
      <c r="AB74" s="58"/>
      <c r="AC74" s="59"/>
      <c r="AD74" s="59"/>
      <c r="AE74" s="96"/>
      <c r="AF74" s="97"/>
      <c r="AG74" s="98"/>
      <c r="AH74" s="99"/>
    </row>
    <row r="75" spans="1:34" s="2" customFormat="1" x14ac:dyDescent="0.25">
      <c r="A75" s="9" t="str">
        <f t="shared" si="1"/>
        <v/>
      </c>
      <c r="B75" s="52"/>
      <c r="C75" s="53"/>
      <c r="D75" s="53"/>
      <c r="E75" s="78"/>
      <c r="F75" s="133"/>
      <c r="G75" s="54"/>
      <c r="H75" s="54"/>
      <c r="I75" s="55"/>
      <c r="J75" s="55"/>
      <c r="K75" s="56"/>
      <c r="L75" s="56"/>
      <c r="M75" s="57"/>
      <c r="N75" s="57"/>
      <c r="O75" s="58"/>
      <c r="P75" s="58"/>
      <c r="Q75" s="59"/>
      <c r="R75" s="59"/>
      <c r="S75" s="54"/>
      <c r="T75" s="54"/>
      <c r="U75" s="55"/>
      <c r="V75" s="55"/>
      <c r="W75" s="56"/>
      <c r="X75" s="56"/>
      <c r="Y75" s="57"/>
      <c r="Z75" s="57"/>
      <c r="AA75" s="58"/>
      <c r="AB75" s="58"/>
      <c r="AC75" s="59"/>
      <c r="AD75" s="59"/>
      <c r="AE75" s="96"/>
      <c r="AF75" s="97"/>
      <c r="AG75" s="98"/>
      <c r="AH75" s="99"/>
    </row>
    <row r="76" spans="1:34" s="2" customFormat="1" x14ac:dyDescent="0.25">
      <c r="A76" s="9" t="str">
        <f t="shared" si="1"/>
        <v/>
      </c>
      <c r="B76" s="52"/>
      <c r="C76" s="53"/>
      <c r="D76" s="53"/>
      <c r="E76" s="78"/>
      <c r="F76" s="133"/>
      <c r="G76" s="54"/>
      <c r="H76" s="54"/>
      <c r="I76" s="55"/>
      <c r="J76" s="55"/>
      <c r="K76" s="56"/>
      <c r="L76" s="56"/>
      <c r="M76" s="57"/>
      <c r="N76" s="57"/>
      <c r="O76" s="58"/>
      <c r="P76" s="58"/>
      <c r="Q76" s="59"/>
      <c r="R76" s="59"/>
      <c r="S76" s="54"/>
      <c r="T76" s="54"/>
      <c r="U76" s="55"/>
      <c r="V76" s="55"/>
      <c r="W76" s="56"/>
      <c r="X76" s="56"/>
      <c r="Y76" s="57"/>
      <c r="Z76" s="57"/>
      <c r="AA76" s="58"/>
      <c r="AB76" s="58"/>
      <c r="AC76" s="59"/>
      <c r="AD76" s="59"/>
      <c r="AE76" s="96"/>
      <c r="AF76" s="97"/>
      <c r="AG76" s="98"/>
      <c r="AH76" s="99"/>
    </row>
    <row r="77" spans="1:34" s="2" customFormat="1" x14ac:dyDescent="0.25">
      <c r="A77" s="9" t="str">
        <f t="shared" si="1"/>
        <v/>
      </c>
      <c r="B77" s="52"/>
      <c r="C77" s="53"/>
      <c r="D77" s="53"/>
      <c r="E77" s="78"/>
      <c r="F77" s="133"/>
      <c r="G77" s="54"/>
      <c r="H77" s="54"/>
      <c r="I77" s="55"/>
      <c r="J77" s="55"/>
      <c r="K77" s="56"/>
      <c r="L77" s="56"/>
      <c r="M77" s="57"/>
      <c r="N77" s="57"/>
      <c r="O77" s="58"/>
      <c r="P77" s="58"/>
      <c r="Q77" s="59"/>
      <c r="R77" s="59"/>
      <c r="S77" s="54"/>
      <c r="T77" s="54"/>
      <c r="U77" s="55"/>
      <c r="V77" s="55"/>
      <c r="W77" s="56"/>
      <c r="X77" s="56"/>
      <c r="Y77" s="57"/>
      <c r="Z77" s="57"/>
      <c r="AA77" s="58"/>
      <c r="AB77" s="58"/>
      <c r="AC77" s="59"/>
      <c r="AD77" s="59"/>
      <c r="AE77" s="96"/>
      <c r="AF77" s="97"/>
      <c r="AG77" s="98"/>
      <c r="AH77" s="99"/>
    </row>
    <row r="78" spans="1:34" s="2" customFormat="1" x14ac:dyDescent="0.25">
      <c r="A78" s="9" t="str">
        <f t="shared" si="1"/>
        <v/>
      </c>
      <c r="B78" s="52"/>
      <c r="C78" s="53"/>
      <c r="D78" s="53"/>
      <c r="E78" s="78"/>
      <c r="F78" s="133"/>
      <c r="G78" s="54"/>
      <c r="H78" s="54"/>
      <c r="I78" s="55"/>
      <c r="J78" s="55"/>
      <c r="K78" s="56"/>
      <c r="L78" s="56"/>
      <c r="M78" s="57"/>
      <c r="N78" s="57"/>
      <c r="O78" s="58"/>
      <c r="P78" s="58"/>
      <c r="Q78" s="59"/>
      <c r="R78" s="59"/>
      <c r="S78" s="54"/>
      <c r="T78" s="54"/>
      <c r="U78" s="55"/>
      <c r="V78" s="55"/>
      <c r="W78" s="56"/>
      <c r="X78" s="56"/>
      <c r="Y78" s="57"/>
      <c r="Z78" s="57"/>
      <c r="AA78" s="58"/>
      <c r="AB78" s="58"/>
      <c r="AC78" s="59"/>
      <c r="AD78" s="59"/>
      <c r="AE78" s="96"/>
      <c r="AF78" s="97"/>
      <c r="AG78" s="98"/>
      <c r="AH78" s="99"/>
    </row>
    <row r="79" spans="1:34" s="2" customFormat="1" x14ac:dyDescent="0.25">
      <c r="A79" s="9" t="str">
        <f t="shared" si="1"/>
        <v/>
      </c>
      <c r="B79" s="52"/>
      <c r="C79" s="53"/>
      <c r="D79" s="53"/>
      <c r="E79" s="78"/>
      <c r="F79" s="133"/>
      <c r="G79" s="54"/>
      <c r="H79" s="54"/>
      <c r="I79" s="55"/>
      <c r="J79" s="55"/>
      <c r="K79" s="56"/>
      <c r="L79" s="56"/>
      <c r="M79" s="57"/>
      <c r="N79" s="57"/>
      <c r="O79" s="58"/>
      <c r="P79" s="58"/>
      <c r="Q79" s="59"/>
      <c r="R79" s="59"/>
      <c r="S79" s="54"/>
      <c r="T79" s="54"/>
      <c r="U79" s="55"/>
      <c r="V79" s="55"/>
      <c r="W79" s="56"/>
      <c r="X79" s="56"/>
      <c r="Y79" s="57"/>
      <c r="Z79" s="57"/>
      <c r="AA79" s="58"/>
      <c r="AB79" s="58"/>
      <c r="AC79" s="59"/>
      <c r="AD79" s="59"/>
      <c r="AE79" s="96"/>
      <c r="AF79" s="97"/>
      <c r="AG79" s="98"/>
      <c r="AH79" s="99"/>
    </row>
    <row r="80" spans="1:34" s="2" customFormat="1" x14ac:dyDescent="0.25">
      <c r="A80" s="9" t="str">
        <f t="shared" si="1"/>
        <v/>
      </c>
      <c r="B80" s="52"/>
      <c r="C80" s="53"/>
      <c r="D80" s="53"/>
      <c r="E80" s="78"/>
      <c r="F80" s="133"/>
      <c r="G80" s="54"/>
      <c r="H80" s="54"/>
      <c r="I80" s="55"/>
      <c r="J80" s="55"/>
      <c r="K80" s="56"/>
      <c r="L80" s="56"/>
      <c r="M80" s="57"/>
      <c r="N80" s="57"/>
      <c r="O80" s="58"/>
      <c r="P80" s="58"/>
      <c r="Q80" s="59"/>
      <c r="R80" s="59"/>
      <c r="S80" s="54"/>
      <c r="T80" s="54"/>
      <c r="U80" s="55"/>
      <c r="V80" s="55"/>
      <c r="W80" s="56"/>
      <c r="X80" s="56"/>
      <c r="Y80" s="57"/>
      <c r="Z80" s="57"/>
      <c r="AA80" s="58"/>
      <c r="AB80" s="58"/>
      <c r="AC80" s="59"/>
      <c r="AD80" s="59"/>
      <c r="AE80" s="96"/>
      <c r="AF80" s="97"/>
      <c r="AG80" s="98"/>
      <c r="AH80" s="99"/>
    </row>
    <row r="81" spans="1:34" s="2" customFormat="1" x14ac:dyDescent="0.25">
      <c r="A81" s="9" t="str">
        <f t="shared" si="1"/>
        <v/>
      </c>
      <c r="B81" s="52"/>
      <c r="C81" s="53"/>
      <c r="D81" s="53"/>
      <c r="E81" s="78"/>
      <c r="F81" s="133"/>
      <c r="G81" s="54"/>
      <c r="H81" s="54"/>
      <c r="I81" s="55"/>
      <c r="J81" s="55"/>
      <c r="K81" s="56"/>
      <c r="L81" s="56"/>
      <c r="M81" s="57"/>
      <c r="N81" s="57"/>
      <c r="O81" s="58"/>
      <c r="P81" s="58"/>
      <c r="Q81" s="59"/>
      <c r="R81" s="59"/>
      <c r="S81" s="54"/>
      <c r="T81" s="54"/>
      <c r="U81" s="55"/>
      <c r="V81" s="55"/>
      <c r="W81" s="56"/>
      <c r="X81" s="56"/>
      <c r="Y81" s="57"/>
      <c r="Z81" s="57"/>
      <c r="AA81" s="58"/>
      <c r="AB81" s="58"/>
      <c r="AC81" s="59"/>
      <c r="AD81" s="59"/>
      <c r="AE81" s="96"/>
      <c r="AF81" s="97"/>
      <c r="AG81" s="98"/>
      <c r="AH81" s="99"/>
    </row>
    <row r="82" spans="1:34" s="2" customFormat="1" x14ac:dyDescent="0.25">
      <c r="A82" s="9" t="str">
        <f t="shared" si="1"/>
        <v/>
      </c>
      <c r="B82" s="52"/>
      <c r="C82" s="53"/>
      <c r="D82" s="53"/>
      <c r="E82" s="78"/>
      <c r="F82" s="133"/>
      <c r="G82" s="54"/>
      <c r="H82" s="54"/>
      <c r="I82" s="55"/>
      <c r="J82" s="55"/>
      <c r="K82" s="56"/>
      <c r="L82" s="56"/>
      <c r="M82" s="57"/>
      <c r="N82" s="57"/>
      <c r="O82" s="58"/>
      <c r="P82" s="58"/>
      <c r="Q82" s="59"/>
      <c r="R82" s="59"/>
      <c r="S82" s="54"/>
      <c r="T82" s="54"/>
      <c r="U82" s="55"/>
      <c r="V82" s="55"/>
      <c r="W82" s="56"/>
      <c r="X82" s="56"/>
      <c r="Y82" s="57"/>
      <c r="Z82" s="57"/>
      <c r="AA82" s="58"/>
      <c r="AB82" s="58"/>
      <c r="AC82" s="59"/>
      <c r="AD82" s="59"/>
      <c r="AE82" s="96"/>
      <c r="AF82" s="97"/>
      <c r="AG82" s="98"/>
      <c r="AH82" s="99"/>
    </row>
    <row r="83" spans="1:34" s="2" customFormat="1" x14ac:dyDescent="0.25">
      <c r="A83" s="9" t="str">
        <f t="shared" si="1"/>
        <v/>
      </c>
      <c r="B83" s="52"/>
      <c r="C83" s="53"/>
      <c r="D83" s="53"/>
      <c r="E83" s="78"/>
      <c r="F83" s="133"/>
      <c r="G83" s="54"/>
      <c r="H83" s="54"/>
      <c r="I83" s="55"/>
      <c r="J83" s="55"/>
      <c r="K83" s="56"/>
      <c r="L83" s="56"/>
      <c r="M83" s="57"/>
      <c r="N83" s="57"/>
      <c r="O83" s="58"/>
      <c r="P83" s="58"/>
      <c r="Q83" s="59"/>
      <c r="R83" s="59"/>
      <c r="S83" s="54"/>
      <c r="T83" s="54"/>
      <c r="U83" s="55"/>
      <c r="V83" s="55"/>
      <c r="W83" s="56"/>
      <c r="X83" s="56"/>
      <c r="Y83" s="57"/>
      <c r="Z83" s="57"/>
      <c r="AA83" s="58"/>
      <c r="AB83" s="58"/>
      <c r="AC83" s="59"/>
      <c r="AD83" s="59"/>
      <c r="AE83" s="96"/>
      <c r="AF83" s="97"/>
      <c r="AG83" s="98"/>
      <c r="AH83" s="99"/>
    </row>
    <row r="84" spans="1:34" s="2" customFormat="1" x14ac:dyDescent="0.25">
      <c r="A84" s="9" t="str">
        <f t="shared" si="1"/>
        <v/>
      </c>
      <c r="B84" s="52"/>
      <c r="C84" s="53"/>
      <c r="D84" s="53"/>
      <c r="E84" s="78"/>
      <c r="F84" s="133"/>
      <c r="G84" s="54"/>
      <c r="H84" s="54"/>
      <c r="I84" s="55"/>
      <c r="J84" s="55"/>
      <c r="K84" s="56"/>
      <c r="L84" s="56"/>
      <c r="M84" s="57"/>
      <c r="N84" s="57"/>
      <c r="O84" s="58"/>
      <c r="P84" s="58"/>
      <c r="Q84" s="59"/>
      <c r="R84" s="59"/>
      <c r="S84" s="54"/>
      <c r="T84" s="54"/>
      <c r="U84" s="55"/>
      <c r="V84" s="55"/>
      <c r="W84" s="56"/>
      <c r="X84" s="56"/>
      <c r="Y84" s="57"/>
      <c r="Z84" s="57"/>
      <c r="AA84" s="58"/>
      <c r="AB84" s="58"/>
      <c r="AC84" s="59"/>
      <c r="AD84" s="59"/>
      <c r="AE84" s="96"/>
      <c r="AF84" s="97"/>
      <c r="AG84" s="98"/>
      <c r="AH84" s="99"/>
    </row>
    <row r="85" spans="1:34" s="2" customFormat="1" x14ac:dyDescent="0.25">
      <c r="A85" s="9" t="str">
        <f t="shared" si="1"/>
        <v/>
      </c>
      <c r="B85" s="52"/>
      <c r="C85" s="53"/>
      <c r="D85" s="53"/>
      <c r="E85" s="78"/>
      <c r="F85" s="133"/>
      <c r="G85" s="54"/>
      <c r="H85" s="54"/>
      <c r="I85" s="55"/>
      <c r="J85" s="55"/>
      <c r="K85" s="56"/>
      <c r="L85" s="56"/>
      <c r="M85" s="57"/>
      <c r="N85" s="57"/>
      <c r="O85" s="58"/>
      <c r="P85" s="58"/>
      <c r="Q85" s="59"/>
      <c r="R85" s="59"/>
      <c r="S85" s="54"/>
      <c r="T85" s="54"/>
      <c r="U85" s="55"/>
      <c r="V85" s="55"/>
      <c r="W85" s="56"/>
      <c r="X85" s="56"/>
      <c r="Y85" s="57"/>
      <c r="Z85" s="57"/>
      <c r="AA85" s="58"/>
      <c r="AB85" s="58"/>
      <c r="AC85" s="59"/>
      <c r="AD85" s="59"/>
      <c r="AE85" s="96"/>
      <c r="AF85" s="97"/>
      <c r="AG85" s="98"/>
      <c r="AH85" s="99"/>
    </row>
    <row r="86" spans="1:34" s="2" customFormat="1" x14ac:dyDescent="0.25">
      <c r="A86" s="9" t="str">
        <f t="shared" si="1"/>
        <v/>
      </c>
      <c r="B86" s="52"/>
      <c r="C86" s="53"/>
      <c r="D86" s="53"/>
      <c r="E86" s="78"/>
      <c r="F86" s="133"/>
      <c r="G86" s="54"/>
      <c r="H86" s="54"/>
      <c r="I86" s="55"/>
      <c r="J86" s="55"/>
      <c r="K86" s="56"/>
      <c r="L86" s="56"/>
      <c r="M86" s="57"/>
      <c r="N86" s="57"/>
      <c r="O86" s="58"/>
      <c r="P86" s="58"/>
      <c r="Q86" s="59"/>
      <c r="R86" s="59"/>
      <c r="S86" s="54"/>
      <c r="T86" s="54"/>
      <c r="U86" s="55"/>
      <c r="V86" s="55"/>
      <c r="W86" s="56"/>
      <c r="X86" s="56"/>
      <c r="Y86" s="57"/>
      <c r="Z86" s="57"/>
      <c r="AA86" s="58"/>
      <c r="AB86" s="58"/>
      <c r="AC86" s="59"/>
      <c r="AD86" s="59"/>
      <c r="AE86" s="96"/>
      <c r="AF86" s="97"/>
      <c r="AG86" s="98"/>
      <c r="AH86" s="99"/>
    </row>
    <row r="87" spans="1:34" s="2" customFormat="1" x14ac:dyDescent="0.25">
      <c r="A87" s="9" t="str">
        <f t="shared" si="1"/>
        <v/>
      </c>
      <c r="B87" s="52"/>
      <c r="C87" s="53"/>
      <c r="D87" s="53"/>
      <c r="E87" s="78"/>
      <c r="F87" s="133"/>
      <c r="G87" s="54"/>
      <c r="H87" s="54"/>
      <c r="I87" s="55"/>
      <c r="J87" s="55"/>
      <c r="K87" s="56"/>
      <c r="L87" s="56"/>
      <c r="M87" s="57"/>
      <c r="N87" s="57"/>
      <c r="O87" s="58"/>
      <c r="P87" s="58"/>
      <c r="Q87" s="59"/>
      <c r="R87" s="59"/>
      <c r="S87" s="54"/>
      <c r="T87" s="54"/>
      <c r="U87" s="55"/>
      <c r="V87" s="55"/>
      <c r="W87" s="56"/>
      <c r="X87" s="56"/>
      <c r="Y87" s="57"/>
      <c r="Z87" s="57"/>
      <c r="AA87" s="58"/>
      <c r="AB87" s="58"/>
      <c r="AC87" s="59"/>
      <c r="AD87" s="59"/>
      <c r="AE87" s="96"/>
      <c r="AF87" s="97"/>
      <c r="AG87" s="98"/>
      <c r="AH87" s="99"/>
    </row>
    <row r="88" spans="1:34" s="2" customFormat="1" x14ac:dyDescent="0.25">
      <c r="A88" s="9" t="str">
        <f t="shared" si="1"/>
        <v/>
      </c>
      <c r="B88" s="52"/>
      <c r="C88" s="53"/>
      <c r="D88" s="53"/>
      <c r="E88" s="78"/>
      <c r="F88" s="133"/>
      <c r="G88" s="54"/>
      <c r="H88" s="54"/>
      <c r="I88" s="55"/>
      <c r="J88" s="55"/>
      <c r="K88" s="56"/>
      <c r="L88" s="56"/>
      <c r="M88" s="57"/>
      <c r="N88" s="57"/>
      <c r="O88" s="58"/>
      <c r="P88" s="58"/>
      <c r="Q88" s="59"/>
      <c r="R88" s="59"/>
      <c r="S88" s="54"/>
      <c r="T88" s="54"/>
      <c r="U88" s="55"/>
      <c r="V88" s="55"/>
      <c r="W88" s="56"/>
      <c r="X88" s="56"/>
      <c r="Y88" s="57"/>
      <c r="Z88" s="57"/>
      <c r="AA88" s="58"/>
      <c r="AB88" s="58"/>
      <c r="AC88" s="59"/>
      <c r="AD88" s="59"/>
      <c r="AE88" s="96"/>
      <c r="AF88" s="97"/>
      <c r="AG88" s="98"/>
      <c r="AH88" s="99"/>
    </row>
    <row r="89" spans="1:34" s="2" customFormat="1" x14ac:dyDescent="0.25">
      <c r="A89" s="9" t="str">
        <f t="shared" si="1"/>
        <v/>
      </c>
      <c r="B89" s="52"/>
      <c r="C89" s="53"/>
      <c r="D89" s="53"/>
      <c r="E89" s="78"/>
      <c r="F89" s="133"/>
      <c r="G89" s="54"/>
      <c r="H89" s="54"/>
      <c r="I89" s="55"/>
      <c r="J89" s="55"/>
      <c r="K89" s="56"/>
      <c r="L89" s="56"/>
      <c r="M89" s="57"/>
      <c r="N89" s="57"/>
      <c r="O89" s="58"/>
      <c r="P89" s="58"/>
      <c r="Q89" s="59"/>
      <c r="R89" s="59"/>
      <c r="S89" s="54"/>
      <c r="T89" s="54"/>
      <c r="U89" s="55"/>
      <c r="V89" s="55"/>
      <c r="W89" s="56"/>
      <c r="X89" s="56"/>
      <c r="Y89" s="57"/>
      <c r="Z89" s="57"/>
      <c r="AA89" s="58"/>
      <c r="AB89" s="58"/>
      <c r="AC89" s="59"/>
      <c r="AD89" s="59"/>
      <c r="AE89" s="96"/>
      <c r="AF89" s="97"/>
      <c r="AG89" s="98"/>
      <c r="AH89" s="99"/>
    </row>
    <row r="90" spans="1:34" s="2" customFormat="1" x14ac:dyDescent="0.25">
      <c r="A90" s="9" t="str">
        <f t="shared" si="1"/>
        <v/>
      </c>
      <c r="B90" s="52"/>
      <c r="C90" s="53"/>
      <c r="D90" s="53"/>
      <c r="E90" s="78"/>
      <c r="F90" s="133"/>
      <c r="G90" s="54"/>
      <c r="H90" s="54"/>
      <c r="I90" s="55"/>
      <c r="J90" s="55"/>
      <c r="K90" s="56"/>
      <c r="L90" s="56"/>
      <c r="M90" s="57"/>
      <c r="N90" s="57"/>
      <c r="O90" s="58"/>
      <c r="P90" s="58"/>
      <c r="Q90" s="59"/>
      <c r="R90" s="59"/>
      <c r="S90" s="54"/>
      <c r="T90" s="54"/>
      <c r="U90" s="55"/>
      <c r="V90" s="55"/>
      <c r="W90" s="56"/>
      <c r="X90" s="56"/>
      <c r="Y90" s="57"/>
      <c r="Z90" s="57"/>
      <c r="AA90" s="58"/>
      <c r="AB90" s="58"/>
      <c r="AC90" s="59"/>
      <c r="AD90" s="59"/>
      <c r="AE90" s="96"/>
      <c r="AF90" s="97"/>
      <c r="AG90" s="98"/>
      <c r="AH90" s="99"/>
    </row>
    <row r="91" spans="1:34" s="2" customFormat="1" x14ac:dyDescent="0.25">
      <c r="A91" s="9" t="str">
        <f t="shared" si="1"/>
        <v/>
      </c>
      <c r="B91" s="52"/>
      <c r="C91" s="53"/>
      <c r="D91" s="53"/>
      <c r="E91" s="78"/>
      <c r="F91" s="133"/>
      <c r="G91" s="54"/>
      <c r="H91" s="54"/>
      <c r="I91" s="55"/>
      <c r="J91" s="55"/>
      <c r="K91" s="56"/>
      <c r="L91" s="56"/>
      <c r="M91" s="57"/>
      <c r="N91" s="57"/>
      <c r="O91" s="58"/>
      <c r="P91" s="58"/>
      <c r="Q91" s="59"/>
      <c r="R91" s="59"/>
      <c r="S91" s="54"/>
      <c r="T91" s="54"/>
      <c r="U91" s="55"/>
      <c r="V91" s="55"/>
      <c r="W91" s="56"/>
      <c r="X91" s="56"/>
      <c r="Y91" s="57"/>
      <c r="Z91" s="57"/>
      <c r="AA91" s="58"/>
      <c r="AB91" s="58"/>
      <c r="AC91" s="59"/>
      <c r="AD91" s="59"/>
      <c r="AE91" s="96"/>
      <c r="AF91" s="97"/>
      <c r="AG91" s="98"/>
      <c r="AH91" s="99"/>
    </row>
    <row r="92" spans="1:34" s="2" customFormat="1" x14ac:dyDescent="0.25">
      <c r="A92" s="9" t="str">
        <f t="shared" si="1"/>
        <v/>
      </c>
      <c r="B92" s="52"/>
      <c r="C92" s="53"/>
      <c r="D92" s="53"/>
      <c r="E92" s="78"/>
      <c r="F92" s="133"/>
      <c r="G92" s="54"/>
      <c r="H92" s="54"/>
      <c r="I92" s="55"/>
      <c r="J92" s="55"/>
      <c r="K92" s="56"/>
      <c r="L92" s="56"/>
      <c r="M92" s="57"/>
      <c r="N92" s="57"/>
      <c r="O92" s="58"/>
      <c r="P92" s="58"/>
      <c r="Q92" s="59"/>
      <c r="R92" s="59"/>
      <c r="S92" s="54"/>
      <c r="T92" s="54"/>
      <c r="U92" s="55"/>
      <c r="V92" s="55"/>
      <c r="W92" s="56"/>
      <c r="X92" s="56"/>
      <c r="Y92" s="57"/>
      <c r="Z92" s="57"/>
      <c r="AA92" s="58"/>
      <c r="AB92" s="58"/>
      <c r="AC92" s="59"/>
      <c r="AD92" s="59"/>
      <c r="AE92" s="96"/>
      <c r="AF92" s="97"/>
      <c r="AG92" s="98"/>
      <c r="AH92" s="99"/>
    </row>
    <row r="93" spans="1:34" s="2" customFormat="1" x14ac:dyDescent="0.25">
      <c r="A93" s="9" t="str">
        <f t="shared" si="1"/>
        <v/>
      </c>
      <c r="B93" s="52"/>
      <c r="C93" s="53"/>
      <c r="D93" s="53"/>
      <c r="E93" s="78"/>
      <c r="F93" s="133"/>
      <c r="G93" s="54"/>
      <c r="H93" s="54"/>
      <c r="I93" s="55"/>
      <c r="J93" s="55"/>
      <c r="K93" s="56"/>
      <c r="L93" s="56"/>
      <c r="M93" s="57"/>
      <c r="N93" s="57"/>
      <c r="O93" s="58"/>
      <c r="P93" s="58"/>
      <c r="Q93" s="59"/>
      <c r="R93" s="59"/>
      <c r="S93" s="54"/>
      <c r="T93" s="54"/>
      <c r="U93" s="55"/>
      <c r="V93" s="55"/>
      <c r="W93" s="56"/>
      <c r="X93" s="56"/>
      <c r="Y93" s="57"/>
      <c r="Z93" s="57"/>
      <c r="AA93" s="58"/>
      <c r="AB93" s="58"/>
      <c r="AC93" s="59"/>
      <c r="AD93" s="59"/>
      <c r="AE93" s="96"/>
      <c r="AF93" s="97"/>
      <c r="AG93" s="98"/>
      <c r="AH93" s="99"/>
    </row>
    <row r="94" spans="1:34" s="2" customFormat="1" x14ac:dyDescent="0.25">
      <c r="A94" s="9" t="str">
        <f t="shared" si="1"/>
        <v/>
      </c>
      <c r="B94" s="52"/>
      <c r="C94" s="53"/>
      <c r="D94" s="53"/>
      <c r="E94" s="78"/>
      <c r="F94" s="133"/>
      <c r="G94" s="54"/>
      <c r="H94" s="54"/>
      <c r="I94" s="55"/>
      <c r="J94" s="55"/>
      <c r="K94" s="56"/>
      <c r="L94" s="56"/>
      <c r="M94" s="57"/>
      <c r="N94" s="57"/>
      <c r="O94" s="58"/>
      <c r="P94" s="58"/>
      <c r="Q94" s="59"/>
      <c r="R94" s="59"/>
      <c r="S94" s="54"/>
      <c r="T94" s="54"/>
      <c r="U94" s="55"/>
      <c r="V94" s="55"/>
      <c r="W94" s="56"/>
      <c r="X94" s="56"/>
      <c r="Y94" s="57"/>
      <c r="Z94" s="57"/>
      <c r="AA94" s="58"/>
      <c r="AB94" s="58"/>
      <c r="AC94" s="59"/>
      <c r="AD94" s="59"/>
      <c r="AE94" s="96"/>
      <c r="AF94" s="97"/>
      <c r="AG94" s="98"/>
      <c r="AH94" s="99"/>
    </row>
    <row r="95" spans="1:34" s="2" customFormat="1" x14ac:dyDescent="0.25">
      <c r="A95" s="9" t="str">
        <f t="shared" si="1"/>
        <v/>
      </c>
      <c r="B95" s="52"/>
      <c r="C95" s="53"/>
      <c r="D95" s="53"/>
      <c r="E95" s="78"/>
      <c r="F95" s="133"/>
      <c r="G95" s="54"/>
      <c r="H95" s="54"/>
      <c r="I95" s="55"/>
      <c r="J95" s="55"/>
      <c r="K95" s="56"/>
      <c r="L95" s="56"/>
      <c r="M95" s="57"/>
      <c r="N95" s="57"/>
      <c r="O95" s="58"/>
      <c r="P95" s="58"/>
      <c r="Q95" s="59"/>
      <c r="R95" s="59"/>
      <c r="S95" s="54"/>
      <c r="T95" s="54"/>
      <c r="U95" s="55"/>
      <c r="V95" s="55"/>
      <c r="W95" s="56"/>
      <c r="X95" s="56"/>
      <c r="Y95" s="57"/>
      <c r="Z95" s="57"/>
      <c r="AA95" s="58"/>
      <c r="AB95" s="58"/>
      <c r="AC95" s="59"/>
      <c r="AD95" s="59"/>
      <c r="AE95" s="96"/>
      <c r="AF95" s="97"/>
      <c r="AG95" s="98"/>
      <c r="AH95" s="99"/>
    </row>
    <row r="96" spans="1:34" s="2" customFormat="1" x14ac:dyDescent="0.25">
      <c r="A96" s="9" t="str">
        <f t="shared" si="1"/>
        <v/>
      </c>
      <c r="B96" s="52"/>
      <c r="C96" s="53"/>
      <c r="D96" s="53"/>
      <c r="E96" s="78"/>
      <c r="F96" s="133"/>
      <c r="G96" s="54"/>
      <c r="H96" s="54"/>
      <c r="I96" s="55"/>
      <c r="J96" s="55"/>
      <c r="K96" s="56"/>
      <c r="L96" s="56"/>
      <c r="M96" s="57"/>
      <c r="N96" s="57"/>
      <c r="O96" s="58"/>
      <c r="P96" s="58"/>
      <c r="Q96" s="59"/>
      <c r="R96" s="59"/>
      <c r="S96" s="54"/>
      <c r="T96" s="54"/>
      <c r="U96" s="55"/>
      <c r="V96" s="55"/>
      <c r="W96" s="56"/>
      <c r="X96" s="56"/>
      <c r="Y96" s="57"/>
      <c r="Z96" s="57"/>
      <c r="AA96" s="58"/>
      <c r="AB96" s="58"/>
      <c r="AC96" s="59"/>
      <c r="AD96" s="59"/>
      <c r="AE96" s="96"/>
      <c r="AF96" s="97"/>
      <c r="AG96" s="98"/>
      <c r="AH96" s="99"/>
    </row>
    <row r="97" spans="1:34" s="2" customFormat="1" x14ac:dyDescent="0.25">
      <c r="A97" s="9" t="str">
        <f t="shared" si="1"/>
        <v/>
      </c>
      <c r="B97" s="52"/>
      <c r="C97" s="53"/>
      <c r="D97" s="53"/>
      <c r="E97" s="78"/>
      <c r="F97" s="133"/>
      <c r="G97" s="54"/>
      <c r="H97" s="54"/>
      <c r="I97" s="55"/>
      <c r="J97" s="55"/>
      <c r="K97" s="56"/>
      <c r="L97" s="56"/>
      <c r="M97" s="57"/>
      <c r="N97" s="57"/>
      <c r="O97" s="58"/>
      <c r="P97" s="58"/>
      <c r="Q97" s="59"/>
      <c r="R97" s="59"/>
      <c r="S97" s="54"/>
      <c r="T97" s="54"/>
      <c r="U97" s="55"/>
      <c r="V97" s="55"/>
      <c r="W97" s="56"/>
      <c r="X97" s="56"/>
      <c r="Y97" s="57"/>
      <c r="Z97" s="57"/>
      <c r="AA97" s="58"/>
      <c r="AB97" s="58"/>
      <c r="AC97" s="59"/>
      <c r="AD97" s="59"/>
      <c r="AE97" s="96"/>
      <c r="AF97" s="97"/>
      <c r="AG97" s="98"/>
      <c r="AH97" s="99"/>
    </row>
    <row r="98" spans="1:34" s="2" customFormat="1" x14ac:dyDescent="0.25">
      <c r="A98" s="9" t="str">
        <f t="shared" si="1"/>
        <v/>
      </c>
      <c r="B98" s="52"/>
      <c r="C98" s="53"/>
      <c r="D98" s="53"/>
      <c r="E98" s="78"/>
      <c r="F98" s="133"/>
      <c r="G98" s="54"/>
      <c r="H98" s="54"/>
      <c r="I98" s="55"/>
      <c r="J98" s="55"/>
      <c r="K98" s="56"/>
      <c r="L98" s="56"/>
      <c r="M98" s="57"/>
      <c r="N98" s="57"/>
      <c r="O98" s="58"/>
      <c r="P98" s="58"/>
      <c r="Q98" s="59"/>
      <c r="R98" s="59"/>
      <c r="S98" s="54"/>
      <c r="T98" s="54"/>
      <c r="U98" s="55"/>
      <c r="V98" s="55"/>
      <c r="W98" s="56"/>
      <c r="X98" s="56"/>
      <c r="Y98" s="57"/>
      <c r="Z98" s="57"/>
      <c r="AA98" s="58"/>
      <c r="AB98" s="58"/>
      <c r="AC98" s="59"/>
      <c r="AD98" s="59"/>
      <c r="AE98" s="96"/>
      <c r="AF98" s="97"/>
      <c r="AG98" s="98"/>
      <c r="AH98" s="99"/>
    </row>
    <row r="99" spans="1:34" s="2" customFormat="1" x14ac:dyDescent="0.25">
      <c r="A99" s="9" t="str">
        <f t="shared" si="1"/>
        <v/>
      </c>
      <c r="B99" s="52"/>
      <c r="C99" s="53"/>
      <c r="D99" s="53"/>
      <c r="E99" s="78"/>
      <c r="F99" s="133"/>
      <c r="G99" s="54"/>
      <c r="H99" s="54"/>
      <c r="I99" s="55"/>
      <c r="J99" s="55"/>
      <c r="K99" s="56"/>
      <c r="L99" s="56"/>
      <c r="M99" s="57"/>
      <c r="N99" s="57"/>
      <c r="O99" s="58"/>
      <c r="P99" s="58"/>
      <c r="Q99" s="59"/>
      <c r="R99" s="59"/>
      <c r="S99" s="54"/>
      <c r="T99" s="54"/>
      <c r="U99" s="55"/>
      <c r="V99" s="55"/>
      <c r="W99" s="56"/>
      <c r="X99" s="56"/>
      <c r="Y99" s="57"/>
      <c r="Z99" s="57"/>
      <c r="AA99" s="58"/>
      <c r="AB99" s="58"/>
      <c r="AC99" s="59"/>
      <c r="AD99" s="59"/>
      <c r="AE99" s="96"/>
      <c r="AF99" s="97"/>
      <c r="AG99" s="98"/>
      <c r="AH99" s="99"/>
    </row>
    <row r="100" spans="1:34" s="2" customFormat="1" x14ac:dyDescent="0.25">
      <c r="A100" s="9" t="str">
        <f t="shared" si="1"/>
        <v/>
      </c>
      <c r="B100" s="52"/>
      <c r="C100" s="53"/>
      <c r="D100" s="53"/>
      <c r="E100" s="78"/>
      <c r="F100" s="133"/>
      <c r="G100" s="54"/>
      <c r="H100" s="54"/>
      <c r="I100" s="55"/>
      <c r="J100" s="55"/>
      <c r="K100" s="56"/>
      <c r="L100" s="56"/>
      <c r="M100" s="57"/>
      <c r="N100" s="57"/>
      <c r="O100" s="58"/>
      <c r="P100" s="58"/>
      <c r="Q100" s="59"/>
      <c r="R100" s="59"/>
      <c r="S100" s="54"/>
      <c r="T100" s="54"/>
      <c r="U100" s="55"/>
      <c r="V100" s="55"/>
      <c r="W100" s="56"/>
      <c r="X100" s="56"/>
      <c r="Y100" s="57"/>
      <c r="Z100" s="57"/>
      <c r="AA100" s="58"/>
      <c r="AB100" s="58"/>
      <c r="AC100" s="59"/>
      <c r="AD100" s="59"/>
      <c r="AE100" s="96"/>
      <c r="AF100" s="97"/>
      <c r="AG100" s="98"/>
      <c r="AH100" s="99"/>
    </row>
    <row r="101" spans="1:34" s="2" customFormat="1" x14ac:dyDescent="0.25">
      <c r="A101" s="9" t="str">
        <f t="shared" si="1"/>
        <v/>
      </c>
      <c r="B101" s="52"/>
      <c r="C101" s="53"/>
      <c r="D101" s="53"/>
      <c r="E101" s="78"/>
      <c r="F101" s="133"/>
      <c r="G101" s="54"/>
      <c r="H101" s="54"/>
      <c r="I101" s="55"/>
      <c r="J101" s="55"/>
      <c r="K101" s="56"/>
      <c r="L101" s="56"/>
      <c r="M101" s="57"/>
      <c r="N101" s="57"/>
      <c r="O101" s="58"/>
      <c r="P101" s="58"/>
      <c r="Q101" s="59"/>
      <c r="R101" s="59"/>
      <c r="S101" s="54"/>
      <c r="T101" s="54"/>
      <c r="U101" s="55"/>
      <c r="V101" s="55"/>
      <c r="W101" s="56"/>
      <c r="X101" s="56"/>
      <c r="Y101" s="57"/>
      <c r="Z101" s="57"/>
      <c r="AA101" s="58"/>
      <c r="AB101" s="58"/>
      <c r="AC101" s="59"/>
      <c r="AD101" s="59"/>
      <c r="AE101" s="96"/>
      <c r="AF101" s="97"/>
      <c r="AG101" s="98"/>
      <c r="AH101" s="99"/>
    </row>
    <row r="102" spans="1:34" s="2" customFormat="1" x14ac:dyDescent="0.25">
      <c r="A102" s="9" t="str">
        <f t="shared" si="1"/>
        <v/>
      </c>
      <c r="B102" s="52"/>
      <c r="C102" s="53"/>
      <c r="D102" s="53"/>
      <c r="E102" s="78"/>
      <c r="F102" s="133"/>
      <c r="G102" s="54"/>
      <c r="H102" s="54"/>
      <c r="I102" s="55"/>
      <c r="J102" s="55"/>
      <c r="K102" s="56"/>
      <c r="L102" s="56"/>
      <c r="M102" s="57"/>
      <c r="N102" s="57"/>
      <c r="O102" s="58"/>
      <c r="P102" s="58"/>
      <c r="Q102" s="59"/>
      <c r="R102" s="59"/>
      <c r="S102" s="54"/>
      <c r="T102" s="54"/>
      <c r="U102" s="55"/>
      <c r="V102" s="55"/>
      <c r="W102" s="56"/>
      <c r="X102" s="56"/>
      <c r="Y102" s="57"/>
      <c r="Z102" s="57"/>
      <c r="AA102" s="58"/>
      <c r="AB102" s="58"/>
      <c r="AC102" s="59"/>
      <c r="AD102" s="59"/>
      <c r="AE102" s="96"/>
      <c r="AF102" s="97"/>
      <c r="AG102" s="98"/>
      <c r="AH102" s="99"/>
    </row>
    <row r="103" spans="1:34" s="2" customFormat="1" x14ac:dyDescent="0.25">
      <c r="A103" s="9" t="str">
        <f t="shared" si="1"/>
        <v/>
      </c>
      <c r="B103" s="52"/>
      <c r="C103" s="53"/>
      <c r="D103" s="53"/>
      <c r="E103" s="78"/>
      <c r="F103" s="133"/>
      <c r="G103" s="54"/>
      <c r="H103" s="54"/>
      <c r="I103" s="55"/>
      <c r="J103" s="55"/>
      <c r="K103" s="56"/>
      <c r="L103" s="56"/>
      <c r="M103" s="57"/>
      <c r="N103" s="57"/>
      <c r="O103" s="58"/>
      <c r="P103" s="58"/>
      <c r="Q103" s="59"/>
      <c r="R103" s="59"/>
      <c r="S103" s="54"/>
      <c r="T103" s="54"/>
      <c r="U103" s="55"/>
      <c r="V103" s="55"/>
      <c r="W103" s="56"/>
      <c r="X103" s="56"/>
      <c r="Y103" s="57"/>
      <c r="Z103" s="57"/>
      <c r="AA103" s="58"/>
      <c r="AB103" s="58"/>
      <c r="AC103" s="59"/>
      <c r="AD103" s="59"/>
      <c r="AE103" s="96"/>
      <c r="AF103" s="97"/>
      <c r="AG103" s="98"/>
      <c r="AH103" s="99"/>
    </row>
    <row r="104" spans="1:34" s="2" customFormat="1" x14ac:dyDescent="0.25">
      <c r="A104" s="9" t="str">
        <f t="shared" si="1"/>
        <v/>
      </c>
      <c r="B104" s="52"/>
      <c r="C104" s="53"/>
      <c r="D104" s="53"/>
      <c r="E104" s="78"/>
      <c r="F104" s="133"/>
      <c r="G104" s="54"/>
      <c r="H104" s="54"/>
      <c r="I104" s="55"/>
      <c r="J104" s="55"/>
      <c r="K104" s="56"/>
      <c r="L104" s="56"/>
      <c r="M104" s="57"/>
      <c r="N104" s="57"/>
      <c r="O104" s="58"/>
      <c r="P104" s="58"/>
      <c r="Q104" s="59"/>
      <c r="R104" s="59"/>
      <c r="S104" s="54"/>
      <c r="T104" s="54"/>
      <c r="U104" s="55"/>
      <c r="V104" s="55"/>
      <c r="W104" s="56"/>
      <c r="X104" s="56"/>
      <c r="Y104" s="57"/>
      <c r="Z104" s="57"/>
      <c r="AA104" s="58"/>
      <c r="AB104" s="58"/>
      <c r="AC104" s="59"/>
      <c r="AD104" s="59"/>
      <c r="AE104" s="96"/>
      <c r="AF104" s="97"/>
      <c r="AG104" s="98"/>
      <c r="AH104" s="99"/>
    </row>
    <row r="105" spans="1:34" s="2" customFormat="1" x14ac:dyDescent="0.25">
      <c r="A105" s="9" t="str">
        <f t="shared" si="1"/>
        <v/>
      </c>
      <c r="B105" s="52"/>
      <c r="C105" s="53"/>
      <c r="D105" s="53"/>
      <c r="E105" s="78"/>
      <c r="F105" s="133"/>
      <c r="G105" s="54"/>
      <c r="H105" s="54"/>
      <c r="I105" s="55"/>
      <c r="J105" s="55"/>
      <c r="K105" s="56"/>
      <c r="L105" s="56"/>
      <c r="M105" s="57"/>
      <c r="N105" s="57"/>
      <c r="O105" s="58"/>
      <c r="P105" s="58"/>
      <c r="Q105" s="59"/>
      <c r="R105" s="59"/>
      <c r="S105" s="54"/>
      <c r="T105" s="54"/>
      <c r="U105" s="55"/>
      <c r="V105" s="55"/>
      <c r="W105" s="56"/>
      <c r="X105" s="56"/>
      <c r="Y105" s="57"/>
      <c r="Z105" s="57"/>
      <c r="AA105" s="58"/>
      <c r="AB105" s="58"/>
      <c r="AC105" s="59"/>
      <c r="AD105" s="59"/>
      <c r="AE105" s="96"/>
      <c r="AF105" s="97"/>
      <c r="AG105" s="98"/>
      <c r="AH105" s="99"/>
    </row>
    <row r="106" spans="1:34" s="2" customFormat="1" x14ac:dyDescent="0.25">
      <c r="A106" s="9" t="str">
        <f t="shared" si="1"/>
        <v/>
      </c>
      <c r="B106" s="52"/>
      <c r="C106" s="53"/>
      <c r="D106" s="53"/>
      <c r="E106" s="78"/>
      <c r="F106" s="133"/>
      <c r="G106" s="54"/>
      <c r="H106" s="54"/>
      <c r="I106" s="55"/>
      <c r="J106" s="55"/>
      <c r="K106" s="56"/>
      <c r="L106" s="56"/>
      <c r="M106" s="57"/>
      <c r="N106" s="57"/>
      <c r="O106" s="58"/>
      <c r="P106" s="58"/>
      <c r="Q106" s="59"/>
      <c r="R106" s="59"/>
      <c r="S106" s="54"/>
      <c r="T106" s="54"/>
      <c r="U106" s="55"/>
      <c r="V106" s="55"/>
      <c r="W106" s="56"/>
      <c r="X106" s="56"/>
      <c r="Y106" s="57"/>
      <c r="Z106" s="57"/>
      <c r="AA106" s="58"/>
      <c r="AB106" s="58"/>
      <c r="AC106" s="59"/>
      <c r="AD106" s="59"/>
      <c r="AE106" s="96"/>
      <c r="AF106" s="97"/>
      <c r="AG106" s="98"/>
      <c r="AH106" s="99"/>
    </row>
    <row r="107" spans="1:34" s="2" customFormat="1" x14ac:dyDescent="0.25">
      <c r="A107" s="9" t="str">
        <f t="shared" si="1"/>
        <v/>
      </c>
      <c r="B107" s="52"/>
      <c r="C107" s="53"/>
      <c r="D107" s="53"/>
      <c r="E107" s="78"/>
      <c r="F107" s="133"/>
      <c r="G107" s="54"/>
      <c r="H107" s="54"/>
      <c r="I107" s="55"/>
      <c r="J107" s="55"/>
      <c r="K107" s="56"/>
      <c r="L107" s="56"/>
      <c r="M107" s="57"/>
      <c r="N107" s="57"/>
      <c r="O107" s="58"/>
      <c r="P107" s="58"/>
      <c r="Q107" s="59"/>
      <c r="R107" s="59"/>
      <c r="S107" s="54"/>
      <c r="T107" s="54"/>
      <c r="U107" s="55"/>
      <c r="V107" s="55"/>
      <c r="W107" s="56"/>
      <c r="X107" s="56"/>
      <c r="Y107" s="57"/>
      <c r="Z107" s="57"/>
      <c r="AA107" s="58"/>
      <c r="AB107" s="58"/>
      <c r="AC107" s="59"/>
      <c r="AD107" s="59"/>
      <c r="AE107" s="96"/>
      <c r="AF107" s="97"/>
      <c r="AG107" s="98"/>
      <c r="AH107" s="99"/>
    </row>
    <row r="108" spans="1:34" s="2" customFormat="1" x14ac:dyDescent="0.25">
      <c r="A108" s="9" t="str">
        <f t="shared" si="1"/>
        <v/>
      </c>
      <c r="B108" s="52"/>
      <c r="C108" s="53"/>
      <c r="D108" s="53"/>
      <c r="E108" s="78"/>
      <c r="F108" s="133"/>
      <c r="G108" s="54"/>
      <c r="H108" s="54"/>
      <c r="I108" s="55"/>
      <c r="J108" s="55"/>
      <c r="K108" s="56"/>
      <c r="L108" s="56"/>
      <c r="M108" s="57"/>
      <c r="N108" s="57"/>
      <c r="O108" s="58"/>
      <c r="P108" s="58"/>
      <c r="Q108" s="59"/>
      <c r="R108" s="59"/>
      <c r="S108" s="54"/>
      <c r="T108" s="54"/>
      <c r="U108" s="55"/>
      <c r="V108" s="55"/>
      <c r="W108" s="56"/>
      <c r="X108" s="56"/>
      <c r="Y108" s="57"/>
      <c r="Z108" s="57"/>
      <c r="AA108" s="58"/>
      <c r="AB108" s="58"/>
      <c r="AC108" s="59"/>
      <c r="AD108" s="59"/>
      <c r="AE108" s="96"/>
      <c r="AF108" s="97"/>
      <c r="AG108" s="98"/>
      <c r="AH108" s="99"/>
    </row>
    <row r="109" spans="1:34" s="2" customFormat="1" x14ac:dyDescent="0.25">
      <c r="A109" s="9" t="str">
        <f t="shared" si="1"/>
        <v/>
      </c>
      <c r="B109" s="52"/>
      <c r="C109" s="53"/>
      <c r="D109" s="53"/>
      <c r="E109" s="78"/>
      <c r="F109" s="133"/>
      <c r="G109" s="54"/>
      <c r="H109" s="54"/>
      <c r="I109" s="55"/>
      <c r="J109" s="55"/>
      <c r="K109" s="56"/>
      <c r="L109" s="56"/>
      <c r="M109" s="57"/>
      <c r="N109" s="57"/>
      <c r="O109" s="58"/>
      <c r="P109" s="58"/>
      <c r="Q109" s="59"/>
      <c r="R109" s="59"/>
      <c r="S109" s="54"/>
      <c r="T109" s="54"/>
      <c r="U109" s="55"/>
      <c r="V109" s="55"/>
      <c r="W109" s="56"/>
      <c r="X109" s="56"/>
      <c r="Y109" s="57"/>
      <c r="Z109" s="57"/>
      <c r="AA109" s="58"/>
      <c r="AB109" s="58"/>
      <c r="AC109" s="59"/>
      <c r="AD109" s="59"/>
      <c r="AE109" s="96"/>
      <c r="AF109" s="97"/>
      <c r="AG109" s="98"/>
      <c r="AH109" s="99"/>
    </row>
    <row r="110" spans="1:34" s="2" customFormat="1" x14ac:dyDescent="0.25">
      <c r="A110" s="9" t="str">
        <f t="shared" si="1"/>
        <v/>
      </c>
      <c r="B110" s="52"/>
      <c r="C110" s="53"/>
      <c r="D110" s="53"/>
      <c r="E110" s="78"/>
      <c r="F110" s="133"/>
      <c r="G110" s="54"/>
      <c r="H110" s="54"/>
      <c r="I110" s="55"/>
      <c r="J110" s="55"/>
      <c r="K110" s="56"/>
      <c r="L110" s="56"/>
      <c r="M110" s="57"/>
      <c r="N110" s="57"/>
      <c r="O110" s="58"/>
      <c r="P110" s="58"/>
      <c r="Q110" s="59"/>
      <c r="R110" s="59"/>
      <c r="S110" s="54"/>
      <c r="T110" s="54"/>
      <c r="U110" s="55"/>
      <c r="V110" s="55"/>
      <c r="W110" s="56"/>
      <c r="X110" s="56"/>
      <c r="Y110" s="57"/>
      <c r="Z110" s="57"/>
      <c r="AA110" s="58"/>
      <c r="AB110" s="58"/>
      <c r="AC110" s="59"/>
      <c r="AD110" s="59"/>
      <c r="AE110" s="96"/>
      <c r="AF110" s="97"/>
      <c r="AG110" s="98"/>
      <c r="AH110" s="99"/>
    </row>
    <row r="111" spans="1:34" s="2" customFormat="1" x14ac:dyDescent="0.25">
      <c r="A111" s="9" t="str">
        <f t="shared" si="1"/>
        <v/>
      </c>
      <c r="B111" s="52"/>
      <c r="C111" s="53"/>
      <c r="D111" s="53"/>
      <c r="E111" s="78"/>
      <c r="F111" s="133"/>
      <c r="G111" s="54"/>
      <c r="H111" s="54"/>
      <c r="I111" s="55"/>
      <c r="J111" s="55"/>
      <c r="K111" s="56"/>
      <c r="L111" s="56"/>
      <c r="M111" s="57"/>
      <c r="N111" s="57"/>
      <c r="O111" s="58"/>
      <c r="P111" s="58"/>
      <c r="Q111" s="59"/>
      <c r="R111" s="59"/>
      <c r="S111" s="54"/>
      <c r="T111" s="54"/>
      <c r="U111" s="55"/>
      <c r="V111" s="55"/>
      <c r="W111" s="56"/>
      <c r="X111" s="56"/>
      <c r="Y111" s="57"/>
      <c r="Z111" s="57"/>
      <c r="AA111" s="58"/>
      <c r="AB111" s="58"/>
      <c r="AC111" s="59"/>
      <c r="AD111" s="59"/>
      <c r="AE111" s="96"/>
      <c r="AF111" s="97"/>
      <c r="AG111" s="98"/>
      <c r="AH111" s="99"/>
    </row>
    <row r="112" spans="1:34" s="2" customFormat="1" x14ac:dyDescent="0.25">
      <c r="A112" s="9" t="str">
        <f t="shared" si="1"/>
        <v/>
      </c>
      <c r="B112" s="52"/>
      <c r="C112" s="53"/>
      <c r="D112" s="53"/>
      <c r="E112" s="78"/>
      <c r="F112" s="133"/>
      <c r="G112" s="54"/>
      <c r="H112" s="54"/>
      <c r="I112" s="55"/>
      <c r="J112" s="55"/>
      <c r="K112" s="56"/>
      <c r="L112" s="56"/>
      <c r="M112" s="57"/>
      <c r="N112" s="57"/>
      <c r="O112" s="58"/>
      <c r="P112" s="58"/>
      <c r="Q112" s="59"/>
      <c r="R112" s="59"/>
      <c r="S112" s="54"/>
      <c r="T112" s="54"/>
      <c r="U112" s="55"/>
      <c r="V112" s="55"/>
      <c r="W112" s="56"/>
      <c r="X112" s="56"/>
      <c r="Y112" s="57"/>
      <c r="Z112" s="57"/>
      <c r="AA112" s="58"/>
      <c r="AB112" s="58"/>
      <c r="AC112" s="59"/>
      <c r="AD112" s="59"/>
      <c r="AE112" s="96"/>
      <c r="AF112" s="97"/>
      <c r="AG112" s="98"/>
      <c r="AH112" s="99"/>
    </row>
    <row r="113" spans="1:34" s="2" customFormat="1" x14ac:dyDescent="0.25">
      <c r="A113" s="9" t="str">
        <f t="shared" si="1"/>
        <v/>
      </c>
      <c r="B113" s="52"/>
      <c r="C113" s="53"/>
      <c r="D113" s="53"/>
      <c r="E113" s="78"/>
      <c r="F113" s="133"/>
      <c r="G113" s="54"/>
      <c r="H113" s="54"/>
      <c r="I113" s="55"/>
      <c r="J113" s="55"/>
      <c r="K113" s="56"/>
      <c r="L113" s="56"/>
      <c r="M113" s="57"/>
      <c r="N113" s="57"/>
      <c r="O113" s="58"/>
      <c r="P113" s="58"/>
      <c r="Q113" s="59"/>
      <c r="R113" s="59"/>
      <c r="S113" s="54"/>
      <c r="T113" s="54"/>
      <c r="U113" s="55"/>
      <c r="V113" s="55"/>
      <c r="W113" s="56"/>
      <c r="X113" s="56"/>
      <c r="Y113" s="57"/>
      <c r="Z113" s="57"/>
      <c r="AA113" s="58"/>
      <c r="AB113" s="58"/>
      <c r="AC113" s="59"/>
      <c r="AD113" s="59"/>
      <c r="AE113" s="96"/>
      <c r="AF113" s="97"/>
      <c r="AG113" s="98"/>
      <c r="AH113" s="99"/>
    </row>
    <row r="114" spans="1:34" s="2" customFormat="1" x14ac:dyDescent="0.25">
      <c r="A114" s="9" t="str">
        <f t="shared" si="1"/>
        <v/>
      </c>
      <c r="B114" s="52"/>
      <c r="C114" s="53"/>
      <c r="D114" s="53"/>
      <c r="E114" s="78"/>
      <c r="F114" s="133"/>
      <c r="G114" s="54"/>
      <c r="H114" s="54"/>
      <c r="I114" s="55"/>
      <c r="J114" s="55"/>
      <c r="K114" s="56"/>
      <c r="L114" s="56"/>
      <c r="M114" s="57"/>
      <c r="N114" s="57"/>
      <c r="O114" s="58"/>
      <c r="P114" s="58"/>
      <c r="Q114" s="59"/>
      <c r="R114" s="59"/>
      <c r="S114" s="54"/>
      <c r="T114" s="54"/>
      <c r="U114" s="55"/>
      <c r="V114" s="55"/>
      <c r="W114" s="56"/>
      <c r="X114" s="56"/>
      <c r="Y114" s="57"/>
      <c r="Z114" s="57"/>
      <c r="AA114" s="58"/>
      <c r="AB114" s="58"/>
      <c r="AC114" s="59"/>
      <c r="AD114" s="59"/>
      <c r="AE114" s="96"/>
      <c r="AF114" s="97"/>
      <c r="AG114" s="98"/>
      <c r="AH114" s="99"/>
    </row>
    <row r="115" spans="1:34" s="2" customFormat="1" x14ac:dyDescent="0.25">
      <c r="A115" s="9" t="str">
        <f t="shared" si="1"/>
        <v/>
      </c>
      <c r="B115" s="52"/>
      <c r="C115" s="53"/>
      <c r="D115" s="53"/>
      <c r="E115" s="78"/>
      <c r="F115" s="133"/>
      <c r="G115" s="54"/>
      <c r="H115" s="54"/>
      <c r="I115" s="55"/>
      <c r="J115" s="55"/>
      <c r="K115" s="56"/>
      <c r="L115" s="56"/>
      <c r="M115" s="57"/>
      <c r="N115" s="57"/>
      <c r="O115" s="58"/>
      <c r="P115" s="58"/>
      <c r="Q115" s="59"/>
      <c r="R115" s="59"/>
      <c r="S115" s="54"/>
      <c r="T115" s="54"/>
      <c r="U115" s="55"/>
      <c r="V115" s="55"/>
      <c r="W115" s="56"/>
      <c r="X115" s="56"/>
      <c r="Y115" s="57"/>
      <c r="Z115" s="57"/>
      <c r="AA115" s="58"/>
      <c r="AB115" s="58"/>
      <c r="AC115" s="59"/>
      <c r="AD115" s="59"/>
      <c r="AE115" s="96"/>
      <c r="AF115" s="97"/>
      <c r="AG115" s="98"/>
      <c r="AH115" s="99"/>
    </row>
    <row r="116" spans="1:34" s="2" customFormat="1" x14ac:dyDescent="0.25">
      <c r="A116" s="9" t="str">
        <f t="shared" si="1"/>
        <v/>
      </c>
      <c r="B116" s="52"/>
      <c r="C116" s="53"/>
      <c r="D116" s="53"/>
      <c r="E116" s="78"/>
      <c r="F116" s="133"/>
      <c r="G116" s="54"/>
      <c r="H116" s="54"/>
      <c r="I116" s="55"/>
      <c r="J116" s="55"/>
      <c r="K116" s="56"/>
      <c r="L116" s="56"/>
      <c r="M116" s="57"/>
      <c r="N116" s="57"/>
      <c r="O116" s="58"/>
      <c r="P116" s="58"/>
      <c r="Q116" s="59"/>
      <c r="R116" s="59"/>
      <c r="S116" s="54"/>
      <c r="T116" s="54"/>
      <c r="U116" s="55"/>
      <c r="V116" s="55"/>
      <c r="W116" s="56"/>
      <c r="X116" s="56"/>
      <c r="Y116" s="57"/>
      <c r="Z116" s="57"/>
      <c r="AA116" s="58"/>
      <c r="AB116" s="58"/>
      <c r="AC116" s="59"/>
      <c r="AD116" s="59"/>
      <c r="AE116" s="96"/>
      <c r="AF116" s="97"/>
      <c r="AG116" s="98"/>
      <c r="AH116" s="99"/>
    </row>
    <row r="117" spans="1:34" s="2" customFormat="1" x14ac:dyDescent="0.25">
      <c r="A117" s="9" t="str">
        <f t="shared" si="1"/>
        <v/>
      </c>
      <c r="B117" s="52"/>
      <c r="C117" s="53"/>
      <c r="D117" s="53"/>
      <c r="E117" s="78"/>
      <c r="F117" s="133"/>
      <c r="G117" s="54"/>
      <c r="H117" s="54"/>
      <c r="I117" s="55"/>
      <c r="J117" s="55"/>
      <c r="K117" s="56"/>
      <c r="L117" s="56"/>
      <c r="M117" s="57"/>
      <c r="N117" s="57"/>
      <c r="O117" s="58"/>
      <c r="P117" s="58"/>
      <c r="Q117" s="59"/>
      <c r="R117" s="59"/>
      <c r="S117" s="54"/>
      <c r="T117" s="54"/>
      <c r="U117" s="55"/>
      <c r="V117" s="55"/>
      <c r="W117" s="56"/>
      <c r="X117" s="56"/>
      <c r="Y117" s="57"/>
      <c r="Z117" s="57"/>
      <c r="AA117" s="58"/>
      <c r="AB117" s="58"/>
      <c r="AC117" s="59"/>
      <c r="AD117" s="59"/>
      <c r="AE117" s="96"/>
      <c r="AF117" s="97"/>
      <c r="AG117" s="98"/>
      <c r="AH117" s="99"/>
    </row>
    <row r="118" spans="1:34" s="2" customFormat="1" x14ac:dyDescent="0.25">
      <c r="A118" s="9" t="str">
        <f t="shared" si="1"/>
        <v/>
      </c>
      <c r="B118" s="52"/>
      <c r="C118" s="53"/>
      <c r="D118" s="53"/>
      <c r="E118" s="78"/>
      <c r="F118" s="133"/>
      <c r="G118" s="54"/>
      <c r="H118" s="54"/>
      <c r="I118" s="55"/>
      <c r="J118" s="55"/>
      <c r="K118" s="56"/>
      <c r="L118" s="56"/>
      <c r="M118" s="57"/>
      <c r="N118" s="57"/>
      <c r="O118" s="58"/>
      <c r="P118" s="58"/>
      <c r="Q118" s="59"/>
      <c r="R118" s="59"/>
      <c r="S118" s="54"/>
      <c r="T118" s="54"/>
      <c r="U118" s="55"/>
      <c r="V118" s="55"/>
      <c r="W118" s="56"/>
      <c r="X118" s="56"/>
      <c r="Y118" s="57"/>
      <c r="Z118" s="57"/>
      <c r="AA118" s="58"/>
      <c r="AB118" s="58"/>
      <c r="AC118" s="59"/>
      <c r="AD118" s="59"/>
      <c r="AE118" s="96"/>
      <c r="AF118" s="97"/>
      <c r="AG118" s="98"/>
      <c r="AH118" s="99"/>
    </row>
    <row r="119" spans="1:34" s="2" customFormat="1" x14ac:dyDescent="0.25">
      <c r="A119" s="9" t="str">
        <f t="shared" si="1"/>
        <v/>
      </c>
      <c r="B119" s="52"/>
      <c r="C119" s="53"/>
      <c r="D119" s="53"/>
      <c r="E119" s="78"/>
      <c r="F119" s="133"/>
      <c r="G119" s="54"/>
      <c r="H119" s="54"/>
      <c r="I119" s="55"/>
      <c r="J119" s="55"/>
      <c r="K119" s="56"/>
      <c r="L119" s="56"/>
      <c r="M119" s="57"/>
      <c r="N119" s="57"/>
      <c r="O119" s="58"/>
      <c r="P119" s="58"/>
      <c r="Q119" s="59"/>
      <c r="R119" s="59"/>
      <c r="S119" s="54"/>
      <c r="T119" s="54"/>
      <c r="U119" s="55"/>
      <c r="V119" s="55"/>
      <c r="W119" s="56"/>
      <c r="X119" s="56"/>
      <c r="Y119" s="57"/>
      <c r="Z119" s="57"/>
      <c r="AA119" s="58"/>
      <c r="AB119" s="58"/>
      <c r="AC119" s="59"/>
      <c r="AD119" s="59"/>
      <c r="AE119" s="96"/>
      <c r="AF119" s="97"/>
      <c r="AG119" s="98"/>
      <c r="AH119" s="99"/>
    </row>
    <row r="120" spans="1:34" s="2" customFormat="1" x14ac:dyDescent="0.25">
      <c r="A120" s="9" t="str">
        <f t="shared" si="1"/>
        <v/>
      </c>
      <c r="B120" s="52"/>
      <c r="C120" s="53"/>
      <c r="D120" s="53"/>
      <c r="E120" s="78"/>
      <c r="F120" s="133"/>
      <c r="G120" s="54"/>
      <c r="H120" s="54"/>
      <c r="I120" s="55"/>
      <c r="J120" s="55"/>
      <c r="K120" s="56"/>
      <c r="L120" s="56"/>
      <c r="M120" s="57"/>
      <c r="N120" s="57"/>
      <c r="O120" s="58"/>
      <c r="P120" s="58"/>
      <c r="Q120" s="59"/>
      <c r="R120" s="59"/>
      <c r="S120" s="54"/>
      <c r="T120" s="54"/>
      <c r="U120" s="55"/>
      <c r="V120" s="55"/>
      <c r="W120" s="56"/>
      <c r="X120" s="56"/>
      <c r="Y120" s="57"/>
      <c r="Z120" s="57"/>
      <c r="AA120" s="58"/>
      <c r="AB120" s="58"/>
      <c r="AC120" s="59"/>
      <c r="AD120" s="59"/>
      <c r="AE120" s="96"/>
      <c r="AF120" s="97"/>
      <c r="AG120" s="98"/>
      <c r="AH120" s="99"/>
    </row>
    <row r="121" spans="1:34" s="2" customFormat="1" x14ac:dyDescent="0.25">
      <c r="A121" s="9" t="str">
        <f t="shared" si="1"/>
        <v/>
      </c>
      <c r="B121" s="52"/>
      <c r="C121" s="53"/>
      <c r="D121" s="53"/>
      <c r="E121" s="78"/>
      <c r="F121" s="133"/>
      <c r="G121" s="54"/>
      <c r="H121" s="54"/>
      <c r="I121" s="55"/>
      <c r="J121" s="55"/>
      <c r="K121" s="56"/>
      <c r="L121" s="56"/>
      <c r="M121" s="57"/>
      <c r="N121" s="57"/>
      <c r="O121" s="58"/>
      <c r="P121" s="58"/>
      <c r="Q121" s="59"/>
      <c r="R121" s="59"/>
      <c r="S121" s="54"/>
      <c r="T121" s="54"/>
      <c r="U121" s="55"/>
      <c r="V121" s="55"/>
      <c r="W121" s="56"/>
      <c r="X121" s="56"/>
      <c r="Y121" s="57"/>
      <c r="Z121" s="57"/>
      <c r="AA121" s="58"/>
      <c r="AB121" s="58"/>
      <c r="AC121" s="59"/>
      <c r="AD121" s="59"/>
      <c r="AE121" s="96"/>
      <c r="AF121" s="97"/>
      <c r="AG121" s="98"/>
      <c r="AH121" s="99"/>
    </row>
    <row r="122" spans="1:34" s="2" customFormat="1" x14ac:dyDescent="0.25">
      <c r="A122" s="9" t="str">
        <f t="shared" si="1"/>
        <v/>
      </c>
      <c r="B122" s="52"/>
      <c r="C122" s="53"/>
      <c r="D122" s="53"/>
      <c r="E122" s="78"/>
      <c r="F122" s="133"/>
      <c r="G122" s="54"/>
      <c r="H122" s="54"/>
      <c r="I122" s="55"/>
      <c r="J122" s="55"/>
      <c r="K122" s="56"/>
      <c r="L122" s="56"/>
      <c r="M122" s="57"/>
      <c r="N122" s="57"/>
      <c r="O122" s="58"/>
      <c r="P122" s="58"/>
      <c r="Q122" s="59"/>
      <c r="R122" s="59"/>
      <c r="S122" s="54"/>
      <c r="T122" s="54"/>
      <c r="U122" s="55"/>
      <c r="V122" s="55"/>
      <c r="W122" s="56"/>
      <c r="X122" s="56"/>
      <c r="Y122" s="57"/>
      <c r="Z122" s="57"/>
      <c r="AA122" s="58"/>
      <c r="AB122" s="58"/>
      <c r="AC122" s="59"/>
      <c r="AD122" s="59"/>
      <c r="AE122" s="96"/>
      <c r="AF122" s="97"/>
      <c r="AG122" s="98"/>
      <c r="AH122" s="99"/>
    </row>
    <row r="123" spans="1:34" s="2" customFormat="1" x14ac:dyDescent="0.25">
      <c r="A123" s="9" t="str">
        <f t="shared" si="1"/>
        <v/>
      </c>
      <c r="B123" s="52"/>
      <c r="C123" s="53"/>
      <c r="D123" s="53"/>
      <c r="E123" s="78"/>
      <c r="F123" s="133"/>
      <c r="G123" s="54"/>
      <c r="H123" s="54"/>
      <c r="I123" s="55"/>
      <c r="J123" s="55"/>
      <c r="K123" s="56"/>
      <c r="L123" s="56"/>
      <c r="M123" s="57"/>
      <c r="N123" s="57"/>
      <c r="O123" s="58"/>
      <c r="P123" s="58"/>
      <c r="Q123" s="59"/>
      <c r="R123" s="59"/>
      <c r="S123" s="54"/>
      <c r="T123" s="54"/>
      <c r="U123" s="55"/>
      <c r="V123" s="55"/>
      <c r="W123" s="56"/>
      <c r="X123" s="56"/>
      <c r="Y123" s="57"/>
      <c r="Z123" s="57"/>
      <c r="AA123" s="58"/>
      <c r="AB123" s="58"/>
      <c r="AC123" s="59"/>
      <c r="AD123" s="59"/>
      <c r="AE123" s="96"/>
      <c r="AF123" s="97"/>
      <c r="AG123" s="98"/>
      <c r="AH123" s="99"/>
    </row>
    <row r="124" spans="1:34" s="2" customFormat="1" x14ac:dyDescent="0.25">
      <c r="A124" s="9" t="str">
        <f t="shared" si="1"/>
        <v/>
      </c>
      <c r="B124" s="52"/>
      <c r="C124" s="53"/>
      <c r="D124" s="53"/>
      <c r="E124" s="78"/>
      <c r="F124" s="133"/>
      <c r="G124" s="54"/>
      <c r="H124" s="54"/>
      <c r="I124" s="55"/>
      <c r="J124" s="55"/>
      <c r="K124" s="56"/>
      <c r="L124" s="56"/>
      <c r="M124" s="57"/>
      <c r="N124" s="57"/>
      <c r="O124" s="58"/>
      <c r="P124" s="58"/>
      <c r="Q124" s="59"/>
      <c r="R124" s="59"/>
      <c r="S124" s="54"/>
      <c r="T124" s="54"/>
      <c r="U124" s="55"/>
      <c r="V124" s="55"/>
      <c r="W124" s="56"/>
      <c r="X124" s="56"/>
      <c r="Y124" s="57"/>
      <c r="Z124" s="57"/>
      <c r="AA124" s="58"/>
      <c r="AB124" s="58"/>
      <c r="AC124" s="59"/>
      <c r="AD124" s="59"/>
      <c r="AE124" s="96"/>
      <c r="AF124" s="97"/>
      <c r="AG124" s="98"/>
      <c r="AH124" s="99"/>
    </row>
    <row r="125" spans="1:34" s="2" customFormat="1" x14ac:dyDescent="0.25">
      <c r="A125" s="9" t="str">
        <f t="shared" si="1"/>
        <v/>
      </c>
      <c r="B125" s="52"/>
      <c r="C125" s="53"/>
      <c r="D125" s="53"/>
      <c r="E125" s="78"/>
      <c r="F125" s="133"/>
      <c r="G125" s="54"/>
      <c r="H125" s="54"/>
      <c r="I125" s="55"/>
      <c r="J125" s="55"/>
      <c r="K125" s="56"/>
      <c r="L125" s="56"/>
      <c r="M125" s="57"/>
      <c r="N125" s="57"/>
      <c r="O125" s="58"/>
      <c r="P125" s="58"/>
      <c r="Q125" s="59"/>
      <c r="R125" s="59"/>
      <c r="S125" s="54"/>
      <c r="T125" s="54"/>
      <c r="U125" s="55"/>
      <c r="V125" s="55"/>
      <c r="W125" s="56"/>
      <c r="X125" s="56"/>
      <c r="Y125" s="57"/>
      <c r="Z125" s="57"/>
      <c r="AA125" s="58"/>
      <c r="AB125" s="58"/>
      <c r="AC125" s="59"/>
      <c r="AD125" s="59"/>
      <c r="AE125" s="96"/>
      <c r="AF125" s="97"/>
      <c r="AG125" s="98"/>
      <c r="AH125" s="99"/>
    </row>
    <row r="126" spans="1:34" s="2" customFormat="1" x14ac:dyDescent="0.25">
      <c r="A126" s="9" t="str">
        <f t="shared" si="1"/>
        <v/>
      </c>
      <c r="B126" s="52"/>
      <c r="C126" s="53"/>
      <c r="D126" s="53"/>
      <c r="E126" s="78"/>
      <c r="F126" s="133"/>
      <c r="G126" s="54"/>
      <c r="H126" s="54"/>
      <c r="I126" s="55"/>
      <c r="J126" s="55"/>
      <c r="K126" s="56"/>
      <c r="L126" s="56"/>
      <c r="M126" s="57"/>
      <c r="N126" s="57"/>
      <c r="O126" s="58"/>
      <c r="P126" s="58"/>
      <c r="Q126" s="59"/>
      <c r="R126" s="59"/>
      <c r="S126" s="54"/>
      <c r="T126" s="54"/>
      <c r="U126" s="55"/>
      <c r="V126" s="55"/>
      <c r="W126" s="56"/>
      <c r="X126" s="56"/>
      <c r="Y126" s="57"/>
      <c r="Z126" s="57"/>
      <c r="AA126" s="58"/>
      <c r="AB126" s="58"/>
      <c r="AC126" s="59"/>
      <c r="AD126" s="59"/>
      <c r="AE126" s="96"/>
      <c r="AF126" s="97"/>
      <c r="AG126" s="98"/>
      <c r="AH126" s="99"/>
    </row>
    <row r="127" spans="1:34" s="2" customFormat="1" x14ac:dyDescent="0.25">
      <c r="A127" s="9" t="str">
        <f t="shared" si="1"/>
        <v/>
      </c>
      <c r="B127" s="52"/>
      <c r="C127" s="53"/>
      <c r="D127" s="53"/>
      <c r="E127" s="78"/>
      <c r="F127" s="133"/>
      <c r="G127" s="54"/>
      <c r="H127" s="54"/>
      <c r="I127" s="55"/>
      <c r="J127" s="55"/>
      <c r="K127" s="56"/>
      <c r="L127" s="56"/>
      <c r="M127" s="57"/>
      <c r="N127" s="57"/>
      <c r="O127" s="58"/>
      <c r="P127" s="58"/>
      <c r="Q127" s="59"/>
      <c r="R127" s="59"/>
      <c r="S127" s="54"/>
      <c r="T127" s="54"/>
      <c r="U127" s="55"/>
      <c r="V127" s="55"/>
      <c r="W127" s="56"/>
      <c r="X127" s="56"/>
      <c r="Y127" s="57"/>
      <c r="Z127" s="57"/>
      <c r="AA127" s="58"/>
      <c r="AB127" s="58"/>
      <c r="AC127" s="59"/>
      <c r="AD127" s="59"/>
      <c r="AE127" s="96"/>
      <c r="AF127" s="97"/>
      <c r="AG127" s="98"/>
      <c r="AH127" s="99"/>
    </row>
    <row r="128" spans="1:34" s="2" customFormat="1" x14ac:dyDescent="0.25">
      <c r="A128" s="9" t="str">
        <f t="shared" si="1"/>
        <v/>
      </c>
      <c r="B128" s="52"/>
      <c r="C128" s="53"/>
      <c r="D128" s="53"/>
      <c r="E128" s="78"/>
      <c r="F128" s="133"/>
      <c r="G128" s="54"/>
      <c r="H128" s="54"/>
      <c r="I128" s="55"/>
      <c r="J128" s="55"/>
      <c r="K128" s="56"/>
      <c r="L128" s="56"/>
      <c r="M128" s="57"/>
      <c r="N128" s="57"/>
      <c r="O128" s="58"/>
      <c r="P128" s="58"/>
      <c r="Q128" s="59"/>
      <c r="R128" s="59"/>
      <c r="S128" s="54"/>
      <c r="T128" s="54"/>
      <c r="U128" s="55"/>
      <c r="V128" s="55"/>
      <c r="W128" s="56"/>
      <c r="X128" s="56"/>
      <c r="Y128" s="57"/>
      <c r="Z128" s="57"/>
      <c r="AA128" s="58"/>
      <c r="AB128" s="58"/>
      <c r="AC128" s="59"/>
      <c r="AD128" s="59"/>
      <c r="AE128" s="96"/>
      <c r="AF128" s="97"/>
      <c r="AG128" s="98"/>
      <c r="AH128" s="99"/>
    </row>
    <row r="129" spans="1:34" s="2" customFormat="1" x14ac:dyDescent="0.25">
      <c r="A129" s="9" t="str">
        <f t="shared" si="1"/>
        <v/>
      </c>
      <c r="B129" s="52"/>
      <c r="C129" s="53"/>
      <c r="D129" s="53"/>
      <c r="E129" s="78"/>
      <c r="F129" s="133"/>
      <c r="G129" s="54"/>
      <c r="H129" s="54"/>
      <c r="I129" s="55"/>
      <c r="J129" s="55"/>
      <c r="K129" s="56"/>
      <c r="L129" s="56"/>
      <c r="M129" s="57"/>
      <c r="N129" s="57"/>
      <c r="O129" s="58"/>
      <c r="P129" s="58"/>
      <c r="Q129" s="59"/>
      <c r="R129" s="59"/>
      <c r="S129" s="54"/>
      <c r="T129" s="54"/>
      <c r="U129" s="55"/>
      <c r="V129" s="55"/>
      <c r="W129" s="56"/>
      <c r="X129" s="56"/>
      <c r="Y129" s="57"/>
      <c r="Z129" s="57"/>
      <c r="AA129" s="58"/>
      <c r="AB129" s="58"/>
      <c r="AC129" s="59"/>
      <c r="AD129" s="59"/>
      <c r="AE129" s="96"/>
      <c r="AF129" s="97"/>
      <c r="AG129" s="98"/>
      <c r="AH129" s="99"/>
    </row>
    <row r="130" spans="1:34" s="2" customFormat="1" x14ac:dyDescent="0.25">
      <c r="A130" s="9" t="str">
        <f t="shared" si="1"/>
        <v/>
      </c>
      <c r="B130" s="52"/>
      <c r="C130" s="53"/>
      <c r="D130" s="53"/>
      <c r="E130" s="78"/>
      <c r="F130" s="133"/>
      <c r="G130" s="54"/>
      <c r="H130" s="54"/>
      <c r="I130" s="55"/>
      <c r="J130" s="55"/>
      <c r="K130" s="56"/>
      <c r="L130" s="56"/>
      <c r="M130" s="57"/>
      <c r="N130" s="57"/>
      <c r="O130" s="58"/>
      <c r="P130" s="58"/>
      <c r="Q130" s="59"/>
      <c r="R130" s="59"/>
      <c r="S130" s="54"/>
      <c r="T130" s="54"/>
      <c r="U130" s="55"/>
      <c r="V130" s="55"/>
      <c r="W130" s="56"/>
      <c r="X130" s="56"/>
      <c r="Y130" s="57"/>
      <c r="Z130" s="57"/>
      <c r="AA130" s="58"/>
      <c r="AB130" s="58"/>
      <c r="AC130" s="59"/>
      <c r="AD130" s="59"/>
      <c r="AE130" s="96"/>
      <c r="AF130" s="97"/>
      <c r="AG130" s="98"/>
      <c r="AH130" s="99"/>
    </row>
    <row r="131" spans="1:34" s="2" customFormat="1" x14ac:dyDescent="0.25">
      <c r="A131" s="9" t="str">
        <f t="shared" si="1"/>
        <v/>
      </c>
      <c r="B131" s="52"/>
      <c r="C131" s="53"/>
      <c r="D131" s="53"/>
      <c r="E131" s="78"/>
      <c r="F131" s="133"/>
      <c r="G131" s="54"/>
      <c r="H131" s="54"/>
      <c r="I131" s="55"/>
      <c r="J131" s="55"/>
      <c r="K131" s="56"/>
      <c r="L131" s="56"/>
      <c r="M131" s="57"/>
      <c r="N131" s="57"/>
      <c r="O131" s="58"/>
      <c r="P131" s="58"/>
      <c r="Q131" s="59"/>
      <c r="R131" s="59"/>
      <c r="S131" s="54"/>
      <c r="T131" s="54"/>
      <c r="U131" s="55"/>
      <c r="V131" s="55"/>
      <c r="W131" s="56"/>
      <c r="X131" s="56"/>
      <c r="Y131" s="57"/>
      <c r="Z131" s="57"/>
      <c r="AA131" s="58"/>
      <c r="AB131" s="58"/>
      <c r="AC131" s="59"/>
      <c r="AD131" s="59"/>
      <c r="AE131" s="96"/>
      <c r="AF131" s="97"/>
      <c r="AG131" s="98"/>
      <c r="AH131" s="99"/>
    </row>
    <row r="132" spans="1:34" s="2" customFormat="1" x14ac:dyDescent="0.25">
      <c r="A132" s="9" t="str">
        <f t="shared" si="1"/>
        <v/>
      </c>
      <c r="B132" s="52"/>
      <c r="C132" s="53"/>
      <c r="D132" s="53"/>
      <c r="E132" s="78"/>
      <c r="F132" s="133"/>
      <c r="G132" s="54"/>
      <c r="H132" s="54"/>
      <c r="I132" s="55"/>
      <c r="J132" s="55"/>
      <c r="K132" s="56"/>
      <c r="L132" s="56"/>
      <c r="M132" s="57"/>
      <c r="N132" s="57"/>
      <c r="O132" s="58"/>
      <c r="P132" s="58"/>
      <c r="Q132" s="59"/>
      <c r="R132" s="59"/>
      <c r="S132" s="54"/>
      <c r="T132" s="54"/>
      <c r="U132" s="55"/>
      <c r="V132" s="55"/>
      <c r="W132" s="56"/>
      <c r="X132" s="56"/>
      <c r="Y132" s="57"/>
      <c r="Z132" s="57"/>
      <c r="AA132" s="58"/>
      <c r="AB132" s="58"/>
      <c r="AC132" s="59"/>
      <c r="AD132" s="59"/>
      <c r="AE132" s="96"/>
      <c r="AF132" s="97"/>
      <c r="AG132" s="98"/>
      <c r="AH132" s="99"/>
    </row>
    <row r="133" spans="1:34" s="2" customFormat="1" x14ac:dyDescent="0.25">
      <c r="A133" s="9" t="str">
        <f t="shared" ref="A133:A196" si="2">IF(COUNTA(G133:AD133)/2=0,"",COUNTA(G133:AD133)/2)</f>
        <v/>
      </c>
      <c r="B133" s="52"/>
      <c r="C133" s="53"/>
      <c r="D133" s="53"/>
      <c r="E133" s="78"/>
      <c r="F133" s="133"/>
      <c r="G133" s="54"/>
      <c r="H133" s="54"/>
      <c r="I133" s="55"/>
      <c r="J133" s="55"/>
      <c r="K133" s="56"/>
      <c r="L133" s="56"/>
      <c r="M133" s="57"/>
      <c r="N133" s="57"/>
      <c r="O133" s="58"/>
      <c r="P133" s="58"/>
      <c r="Q133" s="59"/>
      <c r="R133" s="59"/>
      <c r="S133" s="54"/>
      <c r="T133" s="54"/>
      <c r="U133" s="55"/>
      <c r="V133" s="55"/>
      <c r="W133" s="56"/>
      <c r="X133" s="56"/>
      <c r="Y133" s="57"/>
      <c r="Z133" s="57"/>
      <c r="AA133" s="58"/>
      <c r="AB133" s="58"/>
      <c r="AC133" s="59"/>
      <c r="AD133" s="59"/>
      <c r="AE133" s="96"/>
      <c r="AF133" s="97"/>
      <c r="AG133" s="98"/>
      <c r="AH133" s="99"/>
    </row>
    <row r="134" spans="1:34" s="2" customFormat="1" x14ac:dyDescent="0.25">
      <c r="A134" s="9" t="str">
        <f t="shared" si="2"/>
        <v/>
      </c>
      <c r="B134" s="52"/>
      <c r="C134" s="53"/>
      <c r="D134" s="53"/>
      <c r="E134" s="78"/>
      <c r="F134" s="133"/>
      <c r="G134" s="54"/>
      <c r="H134" s="54"/>
      <c r="I134" s="55"/>
      <c r="J134" s="55"/>
      <c r="K134" s="56"/>
      <c r="L134" s="56"/>
      <c r="M134" s="57"/>
      <c r="N134" s="57"/>
      <c r="O134" s="58"/>
      <c r="P134" s="58"/>
      <c r="Q134" s="59"/>
      <c r="R134" s="59"/>
      <c r="S134" s="54"/>
      <c r="T134" s="54"/>
      <c r="U134" s="55"/>
      <c r="V134" s="55"/>
      <c r="W134" s="56"/>
      <c r="X134" s="56"/>
      <c r="Y134" s="57"/>
      <c r="Z134" s="57"/>
      <c r="AA134" s="58"/>
      <c r="AB134" s="58"/>
      <c r="AC134" s="59"/>
      <c r="AD134" s="59"/>
      <c r="AE134" s="96"/>
      <c r="AF134" s="97"/>
      <c r="AG134" s="98"/>
      <c r="AH134" s="99"/>
    </row>
    <row r="135" spans="1:34" s="2" customFormat="1" x14ac:dyDescent="0.25">
      <c r="A135" s="9" t="str">
        <f t="shared" si="2"/>
        <v/>
      </c>
      <c r="B135" s="52"/>
      <c r="C135" s="53"/>
      <c r="D135" s="53"/>
      <c r="E135" s="78"/>
      <c r="F135" s="133"/>
      <c r="G135" s="54"/>
      <c r="H135" s="54"/>
      <c r="I135" s="55"/>
      <c r="J135" s="55"/>
      <c r="K135" s="56"/>
      <c r="L135" s="56"/>
      <c r="M135" s="57"/>
      <c r="N135" s="57"/>
      <c r="O135" s="58"/>
      <c r="P135" s="58"/>
      <c r="Q135" s="59"/>
      <c r="R135" s="59"/>
      <c r="S135" s="54"/>
      <c r="T135" s="54"/>
      <c r="U135" s="55"/>
      <c r="V135" s="55"/>
      <c r="W135" s="56"/>
      <c r="X135" s="56"/>
      <c r="Y135" s="57"/>
      <c r="Z135" s="57"/>
      <c r="AA135" s="58"/>
      <c r="AB135" s="58"/>
      <c r="AC135" s="59"/>
      <c r="AD135" s="59"/>
      <c r="AE135" s="96"/>
      <c r="AF135" s="97"/>
      <c r="AG135" s="98"/>
      <c r="AH135" s="99"/>
    </row>
    <row r="136" spans="1:34" s="2" customFormat="1" x14ac:dyDescent="0.25">
      <c r="A136" s="9" t="str">
        <f t="shared" si="2"/>
        <v/>
      </c>
      <c r="B136" s="52"/>
      <c r="C136" s="53"/>
      <c r="D136" s="53"/>
      <c r="E136" s="78"/>
      <c r="F136" s="133"/>
      <c r="G136" s="54"/>
      <c r="H136" s="54"/>
      <c r="I136" s="55"/>
      <c r="J136" s="55"/>
      <c r="K136" s="56"/>
      <c r="L136" s="56"/>
      <c r="M136" s="57"/>
      <c r="N136" s="57"/>
      <c r="O136" s="58"/>
      <c r="P136" s="58"/>
      <c r="Q136" s="59"/>
      <c r="R136" s="59"/>
      <c r="S136" s="54"/>
      <c r="T136" s="54"/>
      <c r="U136" s="55"/>
      <c r="V136" s="55"/>
      <c r="W136" s="56"/>
      <c r="X136" s="56"/>
      <c r="Y136" s="57"/>
      <c r="Z136" s="57"/>
      <c r="AA136" s="58"/>
      <c r="AB136" s="58"/>
      <c r="AC136" s="59"/>
      <c r="AD136" s="59"/>
      <c r="AE136" s="96"/>
      <c r="AF136" s="97"/>
      <c r="AG136" s="98"/>
      <c r="AH136" s="99"/>
    </row>
    <row r="137" spans="1:34" s="2" customFormat="1" x14ac:dyDescent="0.25">
      <c r="A137" s="9" t="str">
        <f t="shared" si="2"/>
        <v/>
      </c>
      <c r="B137" s="52"/>
      <c r="C137" s="53"/>
      <c r="D137" s="53"/>
      <c r="E137" s="78"/>
      <c r="F137" s="133"/>
      <c r="G137" s="54"/>
      <c r="H137" s="54"/>
      <c r="I137" s="55"/>
      <c r="J137" s="55"/>
      <c r="K137" s="56"/>
      <c r="L137" s="56"/>
      <c r="M137" s="57"/>
      <c r="N137" s="57"/>
      <c r="O137" s="58"/>
      <c r="P137" s="58"/>
      <c r="Q137" s="59"/>
      <c r="R137" s="59"/>
      <c r="S137" s="54"/>
      <c r="T137" s="54"/>
      <c r="U137" s="55"/>
      <c r="V137" s="55"/>
      <c r="W137" s="56"/>
      <c r="X137" s="56"/>
      <c r="Y137" s="57"/>
      <c r="Z137" s="57"/>
      <c r="AA137" s="58"/>
      <c r="AB137" s="58"/>
      <c r="AC137" s="59"/>
      <c r="AD137" s="59"/>
      <c r="AE137" s="96"/>
      <c r="AF137" s="97"/>
      <c r="AG137" s="98"/>
      <c r="AH137" s="99"/>
    </row>
    <row r="138" spans="1:34" s="2" customFormat="1" x14ac:dyDescent="0.25">
      <c r="A138" s="9" t="str">
        <f t="shared" si="2"/>
        <v/>
      </c>
      <c r="B138" s="52"/>
      <c r="C138" s="53"/>
      <c r="D138" s="53"/>
      <c r="E138" s="78"/>
      <c r="F138" s="133"/>
      <c r="G138" s="54"/>
      <c r="H138" s="54"/>
      <c r="I138" s="55"/>
      <c r="J138" s="55"/>
      <c r="K138" s="56"/>
      <c r="L138" s="56"/>
      <c r="M138" s="57"/>
      <c r="N138" s="57"/>
      <c r="O138" s="58"/>
      <c r="P138" s="58"/>
      <c r="Q138" s="59"/>
      <c r="R138" s="59"/>
      <c r="S138" s="54"/>
      <c r="T138" s="54"/>
      <c r="U138" s="55"/>
      <c r="V138" s="55"/>
      <c r="W138" s="56"/>
      <c r="X138" s="56"/>
      <c r="Y138" s="57"/>
      <c r="Z138" s="57"/>
      <c r="AA138" s="58"/>
      <c r="AB138" s="58"/>
      <c r="AC138" s="59"/>
      <c r="AD138" s="59"/>
      <c r="AE138" s="96"/>
      <c r="AF138" s="97"/>
      <c r="AG138" s="98"/>
      <c r="AH138" s="99"/>
    </row>
    <row r="139" spans="1:34" s="2" customFormat="1" x14ac:dyDescent="0.25">
      <c r="A139" s="9" t="str">
        <f t="shared" si="2"/>
        <v/>
      </c>
      <c r="B139" s="52"/>
      <c r="C139" s="53"/>
      <c r="D139" s="53"/>
      <c r="E139" s="78"/>
      <c r="F139" s="133"/>
      <c r="G139" s="54"/>
      <c r="H139" s="54"/>
      <c r="I139" s="55"/>
      <c r="J139" s="55"/>
      <c r="K139" s="56"/>
      <c r="L139" s="56"/>
      <c r="M139" s="57"/>
      <c r="N139" s="57"/>
      <c r="O139" s="58"/>
      <c r="P139" s="58"/>
      <c r="Q139" s="59"/>
      <c r="R139" s="59"/>
      <c r="S139" s="54"/>
      <c r="T139" s="54"/>
      <c r="U139" s="55"/>
      <c r="V139" s="55"/>
      <c r="W139" s="56"/>
      <c r="X139" s="56"/>
      <c r="Y139" s="57"/>
      <c r="Z139" s="57"/>
      <c r="AA139" s="58"/>
      <c r="AB139" s="58"/>
      <c r="AC139" s="59"/>
      <c r="AD139" s="59"/>
      <c r="AE139" s="96"/>
      <c r="AF139" s="97"/>
      <c r="AG139" s="98"/>
      <c r="AH139" s="99"/>
    </row>
    <row r="140" spans="1:34" s="2" customFormat="1" x14ac:dyDescent="0.25">
      <c r="A140" s="9" t="str">
        <f t="shared" si="2"/>
        <v/>
      </c>
      <c r="B140" s="52"/>
      <c r="C140" s="53"/>
      <c r="D140" s="53"/>
      <c r="E140" s="78"/>
      <c r="F140" s="133"/>
      <c r="G140" s="54"/>
      <c r="H140" s="54"/>
      <c r="I140" s="55"/>
      <c r="J140" s="55"/>
      <c r="K140" s="56"/>
      <c r="L140" s="56"/>
      <c r="M140" s="57"/>
      <c r="N140" s="57"/>
      <c r="O140" s="58"/>
      <c r="P140" s="58"/>
      <c r="Q140" s="59"/>
      <c r="R140" s="59"/>
      <c r="S140" s="54"/>
      <c r="T140" s="54"/>
      <c r="U140" s="55"/>
      <c r="V140" s="55"/>
      <c r="W140" s="56"/>
      <c r="X140" s="56"/>
      <c r="Y140" s="57"/>
      <c r="Z140" s="57"/>
      <c r="AA140" s="58"/>
      <c r="AB140" s="58"/>
      <c r="AC140" s="59"/>
      <c r="AD140" s="59"/>
      <c r="AE140" s="96"/>
      <c r="AF140" s="97"/>
      <c r="AG140" s="98"/>
      <c r="AH140" s="99"/>
    </row>
    <row r="141" spans="1:34" s="2" customFormat="1" x14ac:dyDescent="0.25">
      <c r="A141" s="9" t="str">
        <f t="shared" si="2"/>
        <v/>
      </c>
      <c r="B141" s="52"/>
      <c r="C141" s="53"/>
      <c r="D141" s="53"/>
      <c r="E141" s="78"/>
      <c r="F141" s="133"/>
      <c r="G141" s="54"/>
      <c r="H141" s="54"/>
      <c r="I141" s="55"/>
      <c r="J141" s="55"/>
      <c r="K141" s="56"/>
      <c r="L141" s="56"/>
      <c r="M141" s="57"/>
      <c r="N141" s="57"/>
      <c r="O141" s="58"/>
      <c r="P141" s="58"/>
      <c r="Q141" s="59"/>
      <c r="R141" s="59"/>
      <c r="S141" s="54"/>
      <c r="T141" s="54"/>
      <c r="U141" s="55"/>
      <c r="V141" s="55"/>
      <c r="W141" s="56"/>
      <c r="X141" s="56"/>
      <c r="Y141" s="57"/>
      <c r="Z141" s="57"/>
      <c r="AA141" s="58"/>
      <c r="AB141" s="58"/>
      <c r="AC141" s="59"/>
      <c r="AD141" s="59"/>
      <c r="AE141" s="96"/>
      <c r="AF141" s="97"/>
      <c r="AG141" s="98"/>
      <c r="AH141" s="99"/>
    </row>
    <row r="142" spans="1:34" s="2" customFormat="1" x14ac:dyDescent="0.25">
      <c r="A142" s="9" t="str">
        <f t="shared" si="2"/>
        <v/>
      </c>
      <c r="B142" s="52"/>
      <c r="C142" s="53"/>
      <c r="D142" s="53"/>
      <c r="E142" s="78"/>
      <c r="F142" s="133"/>
      <c r="G142" s="54"/>
      <c r="H142" s="54"/>
      <c r="I142" s="55"/>
      <c r="J142" s="55"/>
      <c r="K142" s="56"/>
      <c r="L142" s="56"/>
      <c r="M142" s="57"/>
      <c r="N142" s="57"/>
      <c r="O142" s="58"/>
      <c r="P142" s="58"/>
      <c r="Q142" s="59"/>
      <c r="R142" s="59"/>
      <c r="S142" s="54"/>
      <c r="T142" s="54"/>
      <c r="U142" s="55"/>
      <c r="V142" s="55"/>
      <c r="W142" s="56"/>
      <c r="X142" s="56"/>
      <c r="Y142" s="57"/>
      <c r="Z142" s="57"/>
      <c r="AA142" s="58"/>
      <c r="AB142" s="58"/>
      <c r="AC142" s="59"/>
      <c r="AD142" s="59"/>
      <c r="AE142" s="96"/>
      <c r="AF142" s="97"/>
      <c r="AG142" s="98"/>
      <c r="AH142" s="99"/>
    </row>
    <row r="143" spans="1:34" s="2" customFormat="1" x14ac:dyDescent="0.25">
      <c r="A143" s="9" t="str">
        <f t="shared" si="2"/>
        <v/>
      </c>
      <c r="B143" s="52"/>
      <c r="C143" s="53"/>
      <c r="D143" s="53"/>
      <c r="E143" s="78"/>
      <c r="F143" s="133"/>
      <c r="G143" s="54"/>
      <c r="H143" s="54"/>
      <c r="I143" s="55"/>
      <c r="J143" s="55"/>
      <c r="K143" s="56"/>
      <c r="L143" s="56"/>
      <c r="M143" s="57"/>
      <c r="N143" s="57"/>
      <c r="O143" s="58"/>
      <c r="P143" s="58"/>
      <c r="Q143" s="59"/>
      <c r="R143" s="59"/>
      <c r="S143" s="54"/>
      <c r="T143" s="54"/>
      <c r="U143" s="55"/>
      <c r="V143" s="55"/>
      <c r="W143" s="56"/>
      <c r="X143" s="56"/>
      <c r="Y143" s="57"/>
      <c r="Z143" s="57"/>
      <c r="AA143" s="58"/>
      <c r="AB143" s="58"/>
      <c r="AC143" s="59"/>
      <c r="AD143" s="59"/>
      <c r="AE143" s="96"/>
      <c r="AF143" s="97"/>
      <c r="AG143" s="98"/>
      <c r="AH143" s="99"/>
    </row>
    <row r="144" spans="1:34" s="2" customFormat="1" x14ac:dyDescent="0.25">
      <c r="A144" s="9" t="str">
        <f t="shared" si="2"/>
        <v/>
      </c>
      <c r="B144" s="52"/>
      <c r="C144" s="53"/>
      <c r="D144" s="53"/>
      <c r="E144" s="78"/>
      <c r="F144" s="133"/>
      <c r="G144" s="54"/>
      <c r="H144" s="54"/>
      <c r="I144" s="55"/>
      <c r="J144" s="55"/>
      <c r="K144" s="56"/>
      <c r="L144" s="56"/>
      <c r="M144" s="57"/>
      <c r="N144" s="57"/>
      <c r="O144" s="58"/>
      <c r="P144" s="58"/>
      <c r="Q144" s="59"/>
      <c r="R144" s="59"/>
      <c r="S144" s="54"/>
      <c r="T144" s="54"/>
      <c r="U144" s="55"/>
      <c r="V144" s="55"/>
      <c r="W144" s="56"/>
      <c r="X144" s="56"/>
      <c r="Y144" s="57"/>
      <c r="Z144" s="57"/>
      <c r="AA144" s="58"/>
      <c r="AB144" s="58"/>
      <c r="AC144" s="59"/>
      <c r="AD144" s="59"/>
      <c r="AE144" s="96"/>
      <c r="AF144" s="97"/>
      <c r="AG144" s="98"/>
      <c r="AH144" s="99"/>
    </row>
    <row r="145" spans="1:34" s="2" customFormat="1" x14ac:dyDescent="0.25">
      <c r="A145" s="9" t="str">
        <f t="shared" si="2"/>
        <v/>
      </c>
      <c r="B145" s="52"/>
      <c r="C145" s="53"/>
      <c r="D145" s="53"/>
      <c r="E145" s="78"/>
      <c r="F145" s="133"/>
      <c r="G145" s="54"/>
      <c r="H145" s="54"/>
      <c r="I145" s="55"/>
      <c r="J145" s="55"/>
      <c r="K145" s="56"/>
      <c r="L145" s="56"/>
      <c r="M145" s="57"/>
      <c r="N145" s="57"/>
      <c r="O145" s="58"/>
      <c r="P145" s="58"/>
      <c r="Q145" s="59"/>
      <c r="R145" s="59"/>
      <c r="S145" s="54"/>
      <c r="T145" s="54"/>
      <c r="U145" s="55"/>
      <c r="V145" s="55"/>
      <c r="W145" s="56"/>
      <c r="X145" s="56"/>
      <c r="Y145" s="57"/>
      <c r="Z145" s="57"/>
      <c r="AA145" s="58"/>
      <c r="AB145" s="58"/>
      <c r="AC145" s="59"/>
      <c r="AD145" s="59"/>
      <c r="AE145" s="96"/>
      <c r="AF145" s="97"/>
      <c r="AG145" s="98"/>
      <c r="AH145" s="99"/>
    </row>
    <row r="146" spans="1:34" s="2" customFormat="1" x14ac:dyDescent="0.25">
      <c r="A146" s="9" t="str">
        <f t="shared" si="2"/>
        <v/>
      </c>
      <c r="B146" s="52"/>
      <c r="C146" s="53"/>
      <c r="D146" s="53"/>
      <c r="E146" s="78"/>
      <c r="F146" s="133"/>
      <c r="G146" s="54"/>
      <c r="H146" s="54"/>
      <c r="I146" s="55"/>
      <c r="J146" s="55"/>
      <c r="K146" s="56"/>
      <c r="L146" s="56"/>
      <c r="M146" s="57"/>
      <c r="N146" s="57"/>
      <c r="O146" s="58"/>
      <c r="P146" s="58"/>
      <c r="Q146" s="59"/>
      <c r="R146" s="59"/>
      <c r="S146" s="54"/>
      <c r="T146" s="54"/>
      <c r="U146" s="55"/>
      <c r="V146" s="55"/>
      <c r="W146" s="56"/>
      <c r="X146" s="56"/>
      <c r="Y146" s="57"/>
      <c r="Z146" s="57"/>
      <c r="AA146" s="58"/>
      <c r="AB146" s="58"/>
      <c r="AC146" s="59"/>
      <c r="AD146" s="59"/>
      <c r="AE146" s="96"/>
      <c r="AF146" s="97"/>
      <c r="AG146" s="98"/>
      <c r="AH146" s="99"/>
    </row>
    <row r="147" spans="1:34" s="2" customFormat="1" x14ac:dyDescent="0.25">
      <c r="A147" s="9" t="str">
        <f t="shared" si="2"/>
        <v/>
      </c>
      <c r="B147" s="52"/>
      <c r="C147" s="53"/>
      <c r="D147" s="53"/>
      <c r="E147" s="78"/>
      <c r="F147" s="133"/>
      <c r="G147" s="54"/>
      <c r="H147" s="54"/>
      <c r="I147" s="55"/>
      <c r="J147" s="55"/>
      <c r="K147" s="56"/>
      <c r="L147" s="56"/>
      <c r="M147" s="57"/>
      <c r="N147" s="57"/>
      <c r="O147" s="58"/>
      <c r="P147" s="58"/>
      <c r="Q147" s="59"/>
      <c r="R147" s="59"/>
      <c r="S147" s="54"/>
      <c r="T147" s="54"/>
      <c r="U147" s="55"/>
      <c r="V147" s="55"/>
      <c r="W147" s="56"/>
      <c r="X147" s="56"/>
      <c r="Y147" s="57"/>
      <c r="Z147" s="57"/>
      <c r="AA147" s="58"/>
      <c r="AB147" s="58"/>
      <c r="AC147" s="59"/>
      <c r="AD147" s="59"/>
      <c r="AE147" s="96"/>
      <c r="AF147" s="97"/>
      <c r="AG147" s="98"/>
      <c r="AH147" s="99"/>
    </row>
    <row r="148" spans="1:34" s="2" customFormat="1" x14ac:dyDescent="0.25">
      <c r="A148" s="9" t="str">
        <f t="shared" si="2"/>
        <v/>
      </c>
      <c r="B148" s="52"/>
      <c r="C148" s="53"/>
      <c r="D148" s="53"/>
      <c r="E148" s="78"/>
      <c r="F148" s="133"/>
      <c r="G148" s="54"/>
      <c r="H148" s="54"/>
      <c r="I148" s="55"/>
      <c r="J148" s="55"/>
      <c r="K148" s="56"/>
      <c r="L148" s="56"/>
      <c r="M148" s="57"/>
      <c r="N148" s="57"/>
      <c r="O148" s="58"/>
      <c r="P148" s="58"/>
      <c r="Q148" s="59"/>
      <c r="R148" s="59"/>
      <c r="S148" s="54"/>
      <c r="T148" s="54"/>
      <c r="U148" s="55"/>
      <c r="V148" s="55"/>
      <c r="W148" s="56"/>
      <c r="X148" s="56"/>
      <c r="Y148" s="57"/>
      <c r="Z148" s="57"/>
      <c r="AA148" s="58"/>
      <c r="AB148" s="58"/>
      <c r="AC148" s="59"/>
      <c r="AD148" s="59"/>
      <c r="AE148" s="96"/>
      <c r="AF148" s="97"/>
      <c r="AG148" s="98"/>
      <c r="AH148" s="99"/>
    </row>
    <row r="149" spans="1:34" s="2" customFormat="1" x14ac:dyDescent="0.25">
      <c r="A149" s="9" t="str">
        <f t="shared" si="2"/>
        <v/>
      </c>
      <c r="B149" s="52"/>
      <c r="C149" s="53"/>
      <c r="D149" s="53"/>
      <c r="E149" s="78"/>
      <c r="F149" s="133"/>
      <c r="G149" s="54"/>
      <c r="H149" s="54"/>
      <c r="I149" s="55"/>
      <c r="J149" s="55"/>
      <c r="K149" s="56"/>
      <c r="L149" s="56"/>
      <c r="M149" s="57"/>
      <c r="N149" s="57"/>
      <c r="O149" s="58"/>
      <c r="P149" s="58"/>
      <c r="Q149" s="59"/>
      <c r="R149" s="59"/>
      <c r="S149" s="54"/>
      <c r="T149" s="54"/>
      <c r="U149" s="55"/>
      <c r="V149" s="55"/>
      <c r="W149" s="56"/>
      <c r="X149" s="56"/>
      <c r="Y149" s="57"/>
      <c r="Z149" s="57"/>
      <c r="AA149" s="58"/>
      <c r="AB149" s="58"/>
      <c r="AC149" s="59"/>
      <c r="AD149" s="59"/>
      <c r="AE149" s="96"/>
      <c r="AF149" s="97"/>
      <c r="AG149" s="98"/>
      <c r="AH149" s="99"/>
    </row>
    <row r="150" spans="1:34" s="2" customFormat="1" x14ac:dyDescent="0.25">
      <c r="A150" s="9" t="str">
        <f t="shared" si="2"/>
        <v/>
      </c>
      <c r="B150" s="52"/>
      <c r="C150" s="53"/>
      <c r="D150" s="53"/>
      <c r="E150" s="78"/>
      <c r="F150" s="133"/>
      <c r="G150" s="54"/>
      <c r="H150" s="54"/>
      <c r="I150" s="55"/>
      <c r="J150" s="55"/>
      <c r="K150" s="56"/>
      <c r="L150" s="56"/>
      <c r="M150" s="57"/>
      <c r="N150" s="57"/>
      <c r="O150" s="58"/>
      <c r="P150" s="58"/>
      <c r="Q150" s="59"/>
      <c r="R150" s="59"/>
      <c r="S150" s="54"/>
      <c r="T150" s="54"/>
      <c r="U150" s="55"/>
      <c r="V150" s="55"/>
      <c r="W150" s="56"/>
      <c r="X150" s="56"/>
      <c r="Y150" s="57"/>
      <c r="Z150" s="57"/>
      <c r="AA150" s="58"/>
      <c r="AB150" s="58"/>
      <c r="AC150" s="59"/>
      <c r="AD150" s="59"/>
      <c r="AE150" s="96"/>
      <c r="AF150" s="97"/>
      <c r="AG150" s="98"/>
      <c r="AH150" s="99"/>
    </row>
    <row r="151" spans="1:34" s="2" customFormat="1" x14ac:dyDescent="0.25">
      <c r="A151" s="9" t="str">
        <f t="shared" si="2"/>
        <v/>
      </c>
      <c r="B151" s="52"/>
      <c r="C151" s="53"/>
      <c r="D151" s="53"/>
      <c r="E151" s="78"/>
      <c r="F151" s="133"/>
      <c r="G151" s="54"/>
      <c r="H151" s="54"/>
      <c r="I151" s="55"/>
      <c r="J151" s="55"/>
      <c r="K151" s="56"/>
      <c r="L151" s="56"/>
      <c r="M151" s="57"/>
      <c r="N151" s="57"/>
      <c r="O151" s="58"/>
      <c r="P151" s="58"/>
      <c r="Q151" s="59"/>
      <c r="R151" s="59"/>
      <c r="S151" s="54"/>
      <c r="T151" s="54"/>
      <c r="U151" s="55"/>
      <c r="V151" s="55"/>
      <c r="W151" s="56"/>
      <c r="X151" s="56"/>
      <c r="Y151" s="57"/>
      <c r="Z151" s="57"/>
      <c r="AA151" s="58"/>
      <c r="AB151" s="58"/>
      <c r="AC151" s="59"/>
      <c r="AD151" s="59"/>
      <c r="AE151" s="96"/>
      <c r="AF151" s="97"/>
      <c r="AG151" s="98"/>
      <c r="AH151" s="99"/>
    </row>
    <row r="152" spans="1:34" s="2" customFormat="1" x14ac:dyDescent="0.25">
      <c r="A152" s="9" t="str">
        <f t="shared" si="2"/>
        <v/>
      </c>
      <c r="B152" s="52"/>
      <c r="C152" s="53"/>
      <c r="D152" s="53"/>
      <c r="E152" s="78"/>
      <c r="F152" s="133"/>
      <c r="G152" s="54"/>
      <c r="H152" s="54"/>
      <c r="I152" s="55"/>
      <c r="J152" s="55"/>
      <c r="K152" s="56"/>
      <c r="L152" s="56"/>
      <c r="M152" s="57"/>
      <c r="N152" s="57"/>
      <c r="O152" s="58"/>
      <c r="P152" s="58"/>
      <c r="Q152" s="59"/>
      <c r="R152" s="59"/>
      <c r="S152" s="54"/>
      <c r="T152" s="54"/>
      <c r="U152" s="55"/>
      <c r="V152" s="55"/>
      <c r="W152" s="56"/>
      <c r="X152" s="56"/>
      <c r="Y152" s="57"/>
      <c r="Z152" s="57"/>
      <c r="AA152" s="58"/>
      <c r="AB152" s="58"/>
      <c r="AC152" s="59"/>
      <c r="AD152" s="59"/>
      <c r="AE152" s="96"/>
      <c r="AF152" s="97"/>
      <c r="AG152" s="98"/>
      <c r="AH152" s="99"/>
    </row>
    <row r="153" spans="1:34" s="2" customFormat="1" x14ac:dyDescent="0.25">
      <c r="A153" s="9" t="str">
        <f t="shared" si="2"/>
        <v/>
      </c>
      <c r="B153" s="52"/>
      <c r="C153" s="53"/>
      <c r="D153" s="53"/>
      <c r="E153" s="78"/>
      <c r="F153" s="133"/>
      <c r="G153" s="54"/>
      <c r="H153" s="54"/>
      <c r="I153" s="55"/>
      <c r="J153" s="55"/>
      <c r="K153" s="56"/>
      <c r="L153" s="56"/>
      <c r="M153" s="57"/>
      <c r="N153" s="57"/>
      <c r="O153" s="58"/>
      <c r="P153" s="58"/>
      <c r="Q153" s="59"/>
      <c r="R153" s="59"/>
      <c r="S153" s="54"/>
      <c r="T153" s="54"/>
      <c r="U153" s="55"/>
      <c r="V153" s="55"/>
      <c r="W153" s="56"/>
      <c r="X153" s="56"/>
      <c r="Y153" s="57"/>
      <c r="Z153" s="57"/>
      <c r="AA153" s="58"/>
      <c r="AB153" s="58"/>
      <c r="AC153" s="59"/>
      <c r="AD153" s="59"/>
      <c r="AE153" s="96"/>
      <c r="AF153" s="97"/>
      <c r="AG153" s="98"/>
      <c r="AH153" s="99"/>
    </row>
    <row r="154" spans="1:34" s="2" customFormat="1" x14ac:dyDescent="0.25">
      <c r="A154" s="9" t="str">
        <f t="shared" si="2"/>
        <v/>
      </c>
      <c r="B154" s="52"/>
      <c r="C154" s="53"/>
      <c r="D154" s="53"/>
      <c r="E154" s="78"/>
      <c r="F154" s="133"/>
      <c r="G154" s="54"/>
      <c r="H154" s="54"/>
      <c r="I154" s="55"/>
      <c r="J154" s="55"/>
      <c r="K154" s="56"/>
      <c r="L154" s="56"/>
      <c r="M154" s="57"/>
      <c r="N154" s="57"/>
      <c r="O154" s="58"/>
      <c r="P154" s="58"/>
      <c r="Q154" s="59"/>
      <c r="R154" s="59"/>
      <c r="S154" s="54"/>
      <c r="T154" s="54"/>
      <c r="U154" s="55"/>
      <c r="V154" s="55"/>
      <c r="W154" s="56"/>
      <c r="X154" s="56"/>
      <c r="Y154" s="57"/>
      <c r="Z154" s="57"/>
      <c r="AA154" s="58"/>
      <c r="AB154" s="58"/>
      <c r="AC154" s="59"/>
      <c r="AD154" s="59"/>
      <c r="AE154" s="96"/>
      <c r="AF154" s="97"/>
      <c r="AG154" s="98"/>
      <c r="AH154" s="99"/>
    </row>
    <row r="155" spans="1:34" s="2" customFormat="1" x14ac:dyDescent="0.25">
      <c r="A155" s="9" t="str">
        <f t="shared" si="2"/>
        <v/>
      </c>
      <c r="B155" s="52"/>
      <c r="C155" s="53"/>
      <c r="D155" s="53"/>
      <c r="E155" s="78"/>
      <c r="F155" s="133"/>
      <c r="G155" s="54"/>
      <c r="H155" s="54"/>
      <c r="I155" s="55"/>
      <c r="J155" s="55"/>
      <c r="K155" s="56"/>
      <c r="L155" s="56"/>
      <c r="M155" s="57"/>
      <c r="N155" s="57"/>
      <c r="O155" s="58"/>
      <c r="P155" s="58"/>
      <c r="Q155" s="59"/>
      <c r="R155" s="59"/>
      <c r="S155" s="54"/>
      <c r="T155" s="54"/>
      <c r="U155" s="55"/>
      <c r="V155" s="55"/>
      <c r="W155" s="56"/>
      <c r="X155" s="56"/>
      <c r="Y155" s="57"/>
      <c r="Z155" s="57"/>
      <c r="AA155" s="58"/>
      <c r="AB155" s="58"/>
      <c r="AC155" s="59"/>
      <c r="AD155" s="59"/>
      <c r="AE155" s="96"/>
      <c r="AF155" s="97"/>
      <c r="AG155" s="98"/>
      <c r="AH155" s="99"/>
    </row>
    <row r="156" spans="1:34" s="2" customFormat="1" x14ac:dyDescent="0.25">
      <c r="A156" s="9" t="str">
        <f t="shared" si="2"/>
        <v/>
      </c>
      <c r="B156" s="52"/>
      <c r="C156" s="53"/>
      <c r="D156" s="53"/>
      <c r="E156" s="78"/>
      <c r="F156" s="133"/>
      <c r="G156" s="54"/>
      <c r="H156" s="54"/>
      <c r="I156" s="55"/>
      <c r="J156" s="55"/>
      <c r="K156" s="56"/>
      <c r="L156" s="56"/>
      <c r="M156" s="57"/>
      <c r="N156" s="57"/>
      <c r="O156" s="58"/>
      <c r="P156" s="58"/>
      <c r="Q156" s="59"/>
      <c r="R156" s="59"/>
      <c r="S156" s="54"/>
      <c r="T156" s="54"/>
      <c r="U156" s="55"/>
      <c r="V156" s="55"/>
      <c r="W156" s="56"/>
      <c r="X156" s="56"/>
      <c r="Y156" s="57"/>
      <c r="Z156" s="57"/>
      <c r="AA156" s="58"/>
      <c r="AB156" s="58"/>
      <c r="AC156" s="59"/>
      <c r="AD156" s="59"/>
      <c r="AE156" s="96"/>
      <c r="AF156" s="97"/>
      <c r="AG156" s="98"/>
      <c r="AH156" s="99"/>
    </row>
    <row r="157" spans="1:34" s="2" customFormat="1" x14ac:dyDescent="0.25">
      <c r="A157" s="9" t="str">
        <f t="shared" si="2"/>
        <v/>
      </c>
      <c r="B157" s="52"/>
      <c r="C157" s="53"/>
      <c r="D157" s="53"/>
      <c r="E157" s="78"/>
      <c r="F157" s="133"/>
      <c r="G157" s="54"/>
      <c r="H157" s="54"/>
      <c r="I157" s="55"/>
      <c r="J157" s="55"/>
      <c r="K157" s="56"/>
      <c r="L157" s="56"/>
      <c r="M157" s="57"/>
      <c r="N157" s="57"/>
      <c r="O157" s="58"/>
      <c r="P157" s="58"/>
      <c r="Q157" s="59"/>
      <c r="R157" s="59"/>
      <c r="S157" s="54"/>
      <c r="T157" s="54"/>
      <c r="U157" s="55"/>
      <c r="V157" s="55"/>
      <c r="W157" s="56"/>
      <c r="X157" s="56"/>
      <c r="Y157" s="57"/>
      <c r="Z157" s="57"/>
      <c r="AA157" s="58"/>
      <c r="AB157" s="58"/>
      <c r="AC157" s="59"/>
      <c r="AD157" s="59"/>
      <c r="AE157" s="96"/>
      <c r="AF157" s="97"/>
      <c r="AG157" s="98"/>
      <c r="AH157" s="99"/>
    </row>
    <row r="158" spans="1:34" s="2" customFormat="1" x14ac:dyDescent="0.25">
      <c r="A158" s="9" t="str">
        <f t="shared" si="2"/>
        <v/>
      </c>
      <c r="B158" s="52"/>
      <c r="C158" s="53"/>
      <c r="D158" s="53"/>
      <c r="E158" s="78"/>
      <c r="F158" s="133"/>
      <c r="G158" s="54"/>
      <c r="H158" s="54"/>
      <c r="I158" s="55"/>
      <c r="J158" s="55"/>
      <c r="K158" s="56"/>
      <c r="L158" s="56"/>
      <c r="M158" s="57"/>
      <c r="N158" s="57"/>
      <c r="O158" s="58"/>
      <c r="P158" s="58"/>
      <c r="Q158" s="59"/>
      <c r="R158" s="59"/>
      <c r="S158" s="54"/>
      <c r="T158" s="54"/>
      <c r="U158" s="55"/>
      <c r="V158" s="55"/>
      <c r="W158" s="56"/>
      <c r="X158" s="56"/>
      <c r="Y158" s="57"/>
      <c r="Z158" s="57"/>
      <c r="AA158" s="58"/>
      <c r="AB158" s="58"/>
      <c r="AC158" s="59"/>
      <c r="AD158" s="59"/>
      <c r="AE158" s="96"/>
      <c r="AF158" s="97"/>
      <c r="AG158" s="98"/>
      <c r="AH158" s="99"/>
    </row>
    <row r="159" spans="1:34" s="2" customFormat="1" x14ac:dyDescent="0.25">
      <c r="A159" s="9" t="str">
        <f t="shared" si="2"/>
        <v/>
      </c>
      <c r="B159" s="52"/>
      <c r="C159" s="53"/>
      <c r="D159" s="53"/>
      <c r="E159" s="78"/>
      <c r="F159" s="133"/>
      <c r="G159" s="54"/>
      <c r="H159" s="54"/>
      <c r="I159" s="55"/>
      <c r="J159" s="55"/>
      <c r="K159" s="56"/>
      <c r="L159" s="56"/>
      <c r="M159" s="57"/>
      <c r="N159" s="57"/>
      <c r="O159" s="58"/>
      <c r="P159" s="58"/>
      <c r="Q159" s="59"/>
      <c r="R159" s="59"/>
      <c r="S159" s="54"/>
      <c r="T159" s="54"/>
      <c r="U159" s="55"/>
      <c r="V159" s="55"/>
      <c r="W159" s="56"/>
      <c r="X159" s="56"/>
      <c r="Y159" s="57"/>
      <c r="Z159" s="57"/>
      <c r="AA159" s="58"/>
      <c r="AB159" s="58"/>
      <c r="AC159" s="59"/>
      <c r="AD159" s="59"/>
      <c r="AE159" s="96"/>
      <c r="AF159" s="97"/>
      <c r="AG159" s="98"/>
      <c r="AH159" s="99"/>
    </row>
    <row r="160" spans="1:34" s="2" customFormat="1" x14ac:dyDescent="0.25">
      <c r="A160" s="9" t="str">
        <f t="shared" si="2"/>
        <v/>
      </c>
      <c r="B160" s="52"/>
      <c r="C160" s="53"/>
      <c r="D160" s="53"/>
      <c r="E160" s="78"/>
      <c r="F160" s="133"/>
      <c r="G160" s="54"/>
      <c r="H160" s="54"/>
      <c r="I160" s="55"/>
      <c r="J160" s="55"/>
      <c r="K160" s="56"/>
      <c r="L160" s="56"/>
      <c r="M160" s="57"/>
      <c r="N160" s="57"/>
      <c r="O160" s="58"/>
      <c r="P160" s="58"/>
      <c r="Q160" s="59"/>
      <c r="R160" s="59"/>
      <c r="S160" s="54"/>
      <c r="T160" s="54"/>
      <c r="U160" s="55"/>
      <c r="V160" s="55"/>
      <c r="W160" s="56"/>
      <c r="X160" s="56"/>
      <c r="Y160" s="57"/>
      <c r="Z160" s="57"/>
      <c r="AA160" s="58"/>
      <c r="AB160" s="58"/>
      <c r="AC160" s="59"/>
      <c r="AD160" s="59"/>
      <c r="AE160" s="96"/>
      <c r="AF160" s="97"/>
      <c r="AG160" s="98"/>
      <c r="AH160" s="99"/>
    </row>
    <row r="161" spans="1:34" s="2" customFormat="1" x14ac:dyDescent="0.25">
      <c r="A161" s="9" t="str">
        <f t="shared" si="2"/>
        <v/>
      </c>
      <c r="B161" s="52"/>
      <c r="C161" s="53"/>
      <c r="D161" s="53"/>
      <c r="E161" s="78"/>
      <c r="F161" s="133"/>
      <c r="G161" s="54"/>
      <c r="H161" s="54"/>
      <c r="I161" s="55"/>
      <c r="J161" s="55"/>
      <c r="K161" s="56"/>
      <c r="L161" s="56"/>
      <c r="M161" s="57"/>
      <c r="N161" s="57"/>
      <c r="O161" s="58"/>
      <c r="P161" s="58"/>
      <c r="Q161" s="59"/>
      <c r="R161" s="59"/>
      <c r="S161" s="54"/>
      <c r="T161" s="54"/>
      <c r="U161" s="55"/>
      <c r="V161" s="55"/>
      <c r="W161" s="56"/>
      <c r="X161" s="56"/>
      <c r="Y161" s="57"/>
      <c r="Z161" s="57"/>
      <c r="AA161" s="58"/>
      <c r="AB161" s="58"/>
      <c r="AC161" s="59"/>
      <c r="AD161" s="59"/>
      <c r="AE161" s="96"/>
      <c r="AF161" s="97"/>
      <c r="AG161" s="98"/>
      <c r="AH161" s="99"/>
    </row>
    <row r="162" spans="1:34" s="2" customFormat="1" x14ac:dyDescent="0.25">
      <c r="A162" s="9" t="str">
        <f t="shared" si="2"/>
        <v/>
      </c>
      <c r="B162" s="52"/>
      <c r="C162" s="53"/>
      <c r="D162" s="53"/>
      <c r="E162" s="78"/>
      <c r="F162" s="133"/>
      <c r="G162" s="54"/>
      <c r="H162" s="54"/>
      <c r="I162" s="55"/>
      <c r="J162" s="55"/>
      <c r="K162" s="56"/>
      <c r="L162" s="56"/>
      <c r="M162" s="57"/>
      <c r="N162" s="57"/>
      <c r="O162" s="58"/>
      <c r="P162" s="58"/>
      <c r="Q162" s="59"/>
      <c r="R162" s="59"/>
      <c r="S162" s="54"/>
      <c r="T162" s="54"/>
      <c r="U162" s="55"/>
      <c r="V162" s="55"/>
      <c r="W162" s="56"/>
      <c r="X162" s="56"/>
      <c r="Y162" s="57"/>
      <c r="Z162" s="57"/>
      <c r="AA162" s="58"/>
      <c r="AB162" s="58"/>
      <c r="AC162" s="59"/>
      <c r="AD162" s="59"/>
      <c r="AE162" s="96"/>
      <c r="AF162" s="97"/>
      <c r="AG162" s="98"/>
      <c r="AH162" s="99"/>
    </row>
    <row r="163" spans="1:34" s="2" customFormat="1" x14ac:dyDescent="0.25">
      <c r="A163" s="9" t="str">
        <f t="shared" si="2"/>
        <v/>
      </c>
      <c r="B163" s="52"/>
      <c r="C163" s="53"/>
      <c r="D163" s="53"/>
      <c r="E163" s="78"/>
      <c r="F163" s="133"/>
      <c r="G163" s="54"/>
      <c r="H163" s="54"/>
      <c r="I163" s="55"/>
      <c r="J163" s="55"/>
      <c r="K163" s="56"/>
      <c r="L163" s="56"/>
      <c r="M163" s="57"/>
      <c r="N163" s="57"/>
      <c r="O163" s="58"/>
      <c r="P163" s="58"/>
      <c r="Q163" s="59"/>
      <c r="R163" s="59"/>
      <c r="S163" s="54"/>
      <c r="T163" s="54"/>
      <c r="U163" s="55"/>
      <c r="V163" s="55"/>
      <c r="W163" s="56"/>
      <c r="X163" s="56"/>
      <c r="Y163" s="57"/>
      <c r="Z163" s="57"/>
      <c r="AA163" s="58"/>
      <c r="AB163" s="58"/>
      <c r="AC163" s="59"/>
      <c r="AD163" s="59"/>
      <c r="AE163" s="96"/>
      <c r="AF163" s="97"/>
      <c r="AG163" s="98"/>
      <c r="AH163" s="99"/>
    </row>
    <row r="164" spans="1:34" s="2" customFormat="1" x14ac:dyDescent="0.25">
      <c r="A164" s="9" t="str">
        <f t="shared" si="2"/>
        <v/>
      </c>
      <c r="B164" s="52"/>
      <c r="C164" s="53"/>
      <c r="D164" s="53"/>
      <c r="E164" s="78"/>
      <c r="F164" s="133"/>
      <c r="G164" s="54"/>
      <c r="H164" s="54"/>
      <c r="I164" s="55"/>
      <c r="J164" s="55"/>
      <c r="K164" s="56"/>
      <c r="L164" s="56"/>
      <c r="M164" s="57"/>
      <c r="N164" s="57"/>
      <c r="O164" s="58"/>
      <c r="P164" s="58"/>
      <c r="Q164" s="59"/>
      <c r="R164" s="59"/>
      <c r="S164" s="54"/>
      <c r="T164" s="54"/>
      <c r="U164" s="55"/>
      <c r="V164" s="55"/>
      <c r="W164" s="56"/>
      <c r="X164" s="56"/>
      <c r="Y164" s="57"/>
      <c r="Z164" s="57"/>
      <c r="AA164" s="58"/>
      <c r="AB164" s="58"/>
      <c r="AC164" s="59"/>
      <c r="AD164" s="59"/>
      <c r="AE164" s="96"/>
      <c r="AF164" s="97"/>
      <c r="AG164" s="98"/>
      <c r="AH164" s="99"/>
    </row>
    <row r="165" spans="1:34" s="2" customFormat="1" x14ac:dyDescent="0.25">
      <c r="A165" s="9" t="str">
        <f t="shared" si="2"/>
        <v/>
      </c>
      <c r="B165" s="52"/>
      <c r="C165" s="53"/>
      <c r="D165" s="53"/>
      <c r="E165" s="78"/>
      <c r="F165" s="133"/>
      <c r="G165" s="54"/>
      <c r="H165" s="54"/>
      <c r="I165" s="55"/>
      <c r="J165" s="55"/>
      <c r="K165" s="56"/>
      <c r="L165" s="56"/>
      <c r="M165" s="57"/>
      <c r="N165" s="57"/>
      <c r="O165" s="58"/>
      <c r="P165" s="58"/>
      <c r="Q165" s="59"/>
      <c r="R165" s="59"/>
      <c r="S165" s="54"/>
      <c r="T165" s="54"/>
      <c r="U165" s="55"/>
      <c r="V165" s="55"/>
      <c r="W165" s="56"/>
      <c r="X165" s="56"/>
      <c r="Y165" s="57"/>
      <c r="Z165" s="57"/>
      <c r="AA165" s="58"/>
      <c r="AB165" s="58"/>
      <c r="AC165" s="59"/>
      <c r="AD165" s="59"/>
      <c r="AE165" s="96"/>
      <c r="AF165" s="97"/>
      <c r="AG165" s="98"/>
      <c r="AH165" s="99"/>
    </row>
    <row r="166" spans="1:34" s="2" customFormat="1" x14ac:dyDescent="0.25">
      <c r="A166" s="9" t="str">
        <f t="shared" si="2"/>
        <v/>
      </c>
      <c r="B166" s="52"/>
      <c r="C166" s="53"/>
      <c r="D166" s="53"/>
      <c r="E166" s="78"/>
      <c r="F166" s="133"/>
      <c r="G166" s="54"/>
      <c r="H166" s="54"/>
      <c r="I166" s="55"/>
      <c r="J166" s="55"/>
      <c r="K166" s="56"/>
      <c r="L166" s="56"/>
      <c r="M166" s="57"/>
      <c r="N166" s="57"/>
      <c r="O166" s="58"/>
      <c r="P166" s="58"/>
      <c r="Q166" s="59"/>
      <c r="R166" s="59"/>
      <c r="S166" s="54"/>
      <c r="T166" s="54"/>
      <c r="U166" s="55"/>
      <c r="V166" s="55"/>
      <c r="W166" s="56"/>
      <c r="X166" s="56"/>
      <c r="Y166" s="57"/>
      <c r="Z166" s="57"/>
      <c r="AA166" s="58"/>
      <c r="AB166" s="58"/>
      <c r="AC166" s="59"/>
      <c r="AD166" s="59"/>
      <c r="AE166" s="96"/>
      <c r="AF166" s="97"/>
      <c r="AG166" s="98"/>
      <c r="AH166" s="99"/>
    </row>
    <row r="167" spans="1:34" s="2" customFormat="1" x14ac:dyDescent="0.25">
      <c r="A167" s="9" t="str">
        <f t="shared" si="2"/>
        <v/>
      </c>
      <c r="B167" s="52"/>
      <c r="C167" s="53"/>
      <c r="D167" s="53"/>
      <c r="E167" s="78"/>
      <c r="F167" s="133"/>
      <c r="G167" s="54"/>
      <c r="H167" s="54"/>
      <c r="I167" s="55"/>
      <c r="J167" s="55"/>
      <c r="K167" s="56"/>
      <c r="L167" s="56"/>
      <c r="M167" s="57"/>
      <c r="N167" s="57"/>
      <c r="O167" s="58"/>
      <c r="P167" s="58"/>
      <c r="Q167" s="59"/>
      <c r="R167" s="59"/>
      <c r="S167" s="54"/>
      <c r="T167" s="54"/>
      <c r="U167" s="55"/>
      <c r="V167" s="55"/>
      <c r="W167" s="56"/>
      <c r="X167" s="56"/>
      <c r="Y167" s="57"/>
      <c r="Z167" s="57"/>
      <c r="AA167" s="58"/>
      <c r="AB167" s="58"/>
      <c r="AC167" s="59"/>
      <c r="AD167" s="59"/>
      <c r="AE167" s="96"/>
      <c r="AF167" s="97"/>
      <c r="AG167" s="98"/>
      <c r="AH167" s="99"/>
    </row>
    <row r="168" spans="1:34" s="2" customFormat="1" x14ac:dyDescent="0.25">
      <c r="A168" s="9" t="str">
        <f t="shared" si="2"/>
        <v/>
      </c>
      <c r="B168" s="52"/>
      <c r="C168" s="53"/>
      <c r="D168" s="53"/>
      <c r="E168" s="78"/>
      <c r="F168" s="133"/>
      <c r="G168" s="54"/>
      <c r="H168" s="54"/>
      <c r="I168" s="55"/>
      <c r="J168" s="55"/>
      <c r="K168" s="56"/>
      <c r="L168" s="56"/>
      <c r="M168" s="57"/>
      <c r="N168" s="57"/>
      <c r="O168" s="58"/>
      <c r="P168" s="58"/>
      <c r="Q168" s="59"/>
      <c r="R168" s="59"/>
      <c r="S168" s="54"/>
      <c r="T168" s="54"/>
      <c r="U168" s="55"/>
      <c r="V168" s="55"/>
      <c r="W168" s="56"/>
      <c r="X168" s="56"/>
      <c r="Y168" s="57"/>
      <c r="Z168" s="57"/>
      <c r="AA168" s="58"/>
      <c r="AB168" s="58"/>
      <c r="AC168" s="59"/>
      <c r="AD168" s="59"/>
      <c r="AE168" s="96"/>
      <c r="AF168" s="97"/>
      <c r="AG168" s="98"/>
      <c r="AH168" s="99"/>
    </row>
    <row r="169" spans="1:34" s="2" customFormat="1" x14ac:dyDescent="0.25">
      <c r="A169" s="9" t="str">
        <f t="shared" si="2"/>
        <v/>
      </c>
      <c r="B169" s="52"/>
      <c r="C169" s="53"/>
      <c r="D169" s="53"/>
      <c r="E169" s="78"/>
      <c r="F169" s="133"/>
      <c r="G169" s="54"/>
      <c r="H169" s="54"/>
      <c r="I169" s="55"/>
      <c r="J169" s="55"/>
      <c r="K169" s="56"/>
      <c r="L169" s="56"/>
      <c r="M169" s="57"/>
      <c r="N169" s="57"/>
      <c r="O169" s="58"/>
      <c r="P169" s="58"/>
      <c r="Q169" s="59"/>
      <c r="R169" s="59"/>
      <c r="S169" s="54"/>
      <c r="T169" s="54"/>
      <c r="U169" s="55"/>
      <c r="V169" s="55"/>
      <c r="W169" s="56"/>
      <c r="X169" s="56"/>
      <c r="Y169" s="57"/>
      <c r="Z169" s="57"/>
      <c r="AA169" s="58"/>
      <c r="AB169" s="58"/>
      <c r="AC169" s="59"/>
      <c r="AD169" s="59"/>
      <c r="AE169" s="96"/>
      <c r="AF169" s="97"/>
      <c r="AG169" s="98"/>
      <c r="AH169" s="99"/>
    </row>
    <row r="170" spans="1:34" x14ac:dyDescent="0.25">
      <c r="A170" s="9" t="str">
        <f t="shared" si="2"/>
        <v/>
      </c>
      <c r="B170" s="52"/>
      <c r="C170" s="53"/>
      <c r="D170" s="53"/>
      <c r="E170" s="78"/>
      <c r="F170" s="133"/>
      <c r="G170" s="54"/>
      <c r="H170" s="54"/>
      <c r="I170" s="55"/>
      <c r="J170" s="55"/>
      <c r="K170" s="56"/>
      <c r="L170" s="56"/>
      <c r="M170" s="57"/>
      <c r="N170" s="57"/>
      <c r="O170" s="58"/>
      <c r="P170" s="58"/>
      <c r="Q170" s="59"/>
      <c r="R170" s="59"/>
      <c r="S170" s="54"/>
      <c r="T170" s="54"/>
      <c r="U170" s="55"/>
      <c r="V170" s="55"/>
      <c r="W170" s="56"/>
      <c r="X170" s="56"/>
      <c r="Y170" s="57"/>
      <c r="Z170" s="57"/>
      <c r="AA170" s="58"/>
      <c r="AB170" s="58"/>
      <c r="AC170" s="59"/>
      <c r="AD170" s="59"/>
      <c r="AE170" s="96"/>
      <c r="AF170" s="97"/>
      <c r="AG170" s="98"/>
      <c r="AH170" s="99"/>
    </row>
    <row r="171" spans="1:34" x14ac:dyDescent="0.25">
      <c r="A171" s="9" t="str">
        <f t="shared" si="2"/>
        <v/>
      </c>
      <c r="B171" s="52"/>
      <c r="C171" s="53"/>
      <c r="D171" s="53"/>
      <c r="E171" s="78"/>
      <c r="F171" s="133"/>
      <c r="G171" s="54"/>
      <c r="H171" s="54"/>
      <c r="I171" s="55"/>
      <c r="J171" s="55"/>
      <c r="K171" s="56"/>
      <c r="L171" s="56"/>
      <c r="M171" s="57"/>
      <c r="N171" s="57"/>
      <c r="O171" s="58"/>
      <c r="P171" s="58"/>
      <c r="Q171" s="59"/>
      <c r="R171" s="59"/>
      <c r="S171" s="54"/>
      <c r="T171" s="54"/>
      <c r="U171" s="55"/>
      <c r="V171" s="55"/>
      <c r="W171" s="56"/>
      <c r="X171" s="56"/>
      <c r="Y171" s="57"/>
      <c r="Z171" s="57"/>
      <c r="AA171" s="58"/>
      <c r="AB171" s="58"/>
      <c r="AC171" s="59"/>
      <c r="AD171" s="59"/>
      <c r="AE171" s="96"/>
      <c r="AF171" s="97"/>
      <c r="AG171" s="98"/>
      <c r="AH171" s="99"/>
    </row>
    <row r="172" spans="1:34" x14ac:dyDescent="0.25">
      <c r="A172" s="9" t="str">
        <f t="shared" si="2"/>
        <v/>
      </c>
      <c r="B172" s="52"/>
      <c r="C172" s="53"/>
      <c r="D172" s="53"/>
      <c r="E172" s="78"/>
      <c r="F172" s="133"/>
      <c r="G172" s="54"/>
      <c r="H172" s="54"/>
      <c r="I172" s="55"/>
      <c r="J172" s="55"/>
      <c r="K172" s="56"/>
      <c r="L172" s="56"/>
      <c r="M172" s="57"/>
      <c r="N172" s="57"/>
      <c r="O172" s="58"/>
      <c r="P172" s="58"/>
      <c r="Q172" s="59"/>
      <c r="R172" s="59"/>
      <c r="S172" s="54"/>
      <c r="T172" s="54"/>
      <c r="U172" s="55"/>
      <c r="V172" s="55"/>
      <c r="W172" s="56"/>
      <c r="X172" s="56"/>
      <c r="Y172" s="57"/>
      <c r="Z172" s="57"/>
      <c r="AA172" s="58"/>
      <c r="AB172" s="58"/>
      <c r="AC172" s="59"/>
      <c r="AD172" s="59"/>
      <c r="AE172" s="96"/>
      <c r="AF172" s="97"/>
      <c r="AG172" s="98"/>
      <c r="AH172" s="99"/>
    </row>
    <row r="173" spans="1:34" x14ac:dyDescent="0.25">
      <c r="A173" s="9" t="str">
        <f t="shared" si="2"/>
        <v/>
      </c>
      <c r="B173" s="52"/>
      <c r="C173" s="53"/>
      <c r="D173" s="53"/>
      <c r="E173" s="78"/>
      <c r="F173" s="133"/>
      <c r="G173" s="54"/>
      <c r="H173" s="54"/>
      <c r="I173" s="55"/>
      <c r="J173" s="55"/>
      <c r="K173" s="56"/>
      <c r="L173" s="56"/>
      <c r="M173" s="57"/>
      <c r="N173" s="57"/>
      <c r="O173" s="58"/>
      <c r="P173" s="58"/>
      <c r="Q173" s="59"/>
      <c r="R173" s="59"/>
      <c r="S173" s="54"/>
      <c r="T173" s="54"/>
      <c r="U173" s="55"/>
      <c r="V173" s="55"/>
      <c r="W173" s="56"/>
      <c r="X173" s="56"/>
      <c r="Y173" s="57"/>
      <c r="Z173" s="57"/>
      <c r="AA173" s="58"/>
      <c r="AB173" s="58"/>
      <c r="AC173" s="59"/>
      <c r="AD173" s="59"/>
      <c r="AE173" s="96"/>
      <c r="AF173" s="97"/>
      <c r="AG173" s="98"/>
      <c r="AH173" s="99"/>
    </row>
    <row r="174" spans="1:34" x14ac:dyDescent="0.25">
      <c r="A174" s="9" t="str">
        <f t="shared" si="2"/>
        <v/>
      </c>
      <c r="B174" s="52"/>
      <c r="C174" s="53"/>
      <c r="D174" s="53"/>
      <c r="E174" s="78"/>
      <c r="F174" s="133"/>
      <c r="G174" s="54"/>
      <c r="H174" s="54"/>
      <c r="I174" s="55"/>
      <c r="J174" s="55"/>
      <c r="K174" s="56"/>
      <c r="L174" s="56"/>
      <c r="M174" s="57"/>
      <c r="N174" s="57"/>
      <c r="O174" s="58"/>
      <c r="P174" s="58"/>
      <c r="Q174" s="59"/>
      <c r="R174" s="59"/>
      <c r="S174" s="54"/>
      <c r="T174" s="54"/>
      <c r="U174" s="55"/>
      <c r="V174" s="55"/>
      <c r="W174" s="56"/>
      <c r="X174" s="56"/>
      <c r="Y174" s="57"/>
      <c r="Z174" s="57"/>
      <c r="AA174" s="58"/>
      <c r="AB174" s="58"/>
      <c r="AC174" s="59"/>
      <c r="AD174" s="59"/>
      <c r="AE174" s="96"/>
      <c r="AF174" s="97"/>
      <c r="AG174" s="98"/>
      <c r="AH174" s="99"/>
    </row>
    <row r="175" spans="1:34" x14ac:dyDescent="0.25">
      <c r="A175" s="9" t="str">
        <f t="shared" si="2"/>
        <v/>
      </c>
      <c r="B175" s="52"/>
      <c r="C175" s="53"/>
      <c r="D175" s="53"/>
      <c r="E175" s="78"/>
      <c r="F175" s="133"/>
      <c r="G175" s="54"/>
      <c r="H175" s="54"/>
      <c r="I175" s="55"/>
      <c r="J175" s="55"/>
      <c r="K175" s="56"/>
      <c r="L175" s="56"/>
      <c r="M175" s="57"/>
      <c r="N175" s="57"/>
      <c r="O175" s="58"/>
      <c r="P175" s="58"/>
      <c r="Q175" s="59"/>
      <c r="R175" s="59"/>
      <c r="S175" s="54"/>
      <c r="T175" s="54"/>
      <c r="U175" s="55"/>
      <c r="V175" s="55"/>
      <c r="W175" s="56"/>
      <c r="X175" s="56"/>
      <c r="Y175" s="57"/>
      <c r="Z175" s="57"/>
      <c r="AA175" s="58"/>
      <c r="AB175" s="58"/>
      <c r="AC175" s="59"/>
      <c r="AD175" s="59"/>
      <c r="AE175" s="96"/>
      <c r="AF175" s="97"/>
      <c r="AG175" s="98"/>
      <c r="AH175" s="99"/>
    </row>
    <row r="176" spans="1:34" x14ac:dyDescent="0.25">
      <c r="A176" s="9" t="str">
        <f t="shared" si="2"/>
        <v/>
      </c>
      <c r="B176" s="52"/>
      <c r="C176" s="53"/>
      <c r="D176" s="53"/>
      <c r="E176" s="78"/>
      <c r="F176" s="133"/>
      <c r="G176" s="54"/>
      <c r="H176" s="54"/>
      <c r="I176" s="55"/>
      <c r="J176" s="55"/>
      <c r="K176" s="56"/>
      <c r="L176" s="56"/>
      <c r="M176" s="57"/>
      <c r="N176" s="57"/>
      <c r="O176" s="58"/>
      <c r="P176" s="58"/>
      <c r="Q176" s="59"/>
      <c r="R176" s="59"/>
      <c r="S176" s="54"/>
      <c r="T176" s="54"/>
      <c r="U176" s="55"/>
      <c r="V176" s="55"/>
      <c r="W176" s="56"/>
      <c r="X176" s="56"/>
      <c r="Y176" s="57"/>
      <c r="Z176" s="57"/>
      <c r="AA176" s="58"/>
      <c r="AB176" s="58"/>
      <c r="AC176" s="59"/>
      <c r="AD176" s="59"/>
      <c r="AE176" s="96"/>
      <c r="AF176" s="97"/>
      <c r="AG176" s="98"/>
      <c r="AH176" s="99"/>
    </row>
    <row r="177" spans="1:34" x14ac:dyDescent="0.25">
      <c r="A177" s="9" t="str">
        <f t="shared" si="2"/>
        <v/>
      </c>
      <c r="B177" s="52"/>
      <c r="C177" s="53"/>
      <c r="D177" s="53"/>
      <c r="E177" s="78"/>
      <c r="F177" s="133"/>
      <c r="G177" s="54"/>
      <c r="H177" s="54"/>
      <c r="I177" s="55"/>
      <c r="J177" s="55"/>
      <c r="K177" s="56"/>
      <c r="L177" s="56"/>
      <c r="M177" s="57"/>
      <c r="N177" s="57"/>
      <c r="O177" s="58"/>
      <c r="P177" s="58"/>
      <c r="Q177" s="59"/>
      <c r="R177" s="59"/>
      <c r="S177" s="54"/>
      <c r="T177" s="54"/>
      <c r="U177" s="55"/>
      <c r="V177" s="55"/>
      <c r="W177" s="56"/>
      <c r="X177" s="56"/>
      <c r="Y177" s="57"/>
      <c r="Z177" s="57"/>
      <c r="AA177" s="58"/>
      <c r="AB177" s="58"/>
      <c r="AC177" s="59"/>
      <c r="AD177" s="59"/>
      <c r="AE177" s="96"/>
      <c r="AF177" s="97"/>
      <c r="AG177" s="98"/>
      <c r="AH177" s="99"/>
    </row>
    <row r="178" spans="1:34" x14ac:dyDescent="0.25">
      <c r="A178" s="9" t="str">
        <f t="shared" si="2"/>
        <v/>
      </c>
      <c r="B178" s="52"/>
      <c r="C178" s="53"/>
      <c r="D178" s="53"/>
      <c r="E178" s="78"/>
      <c r="F178" s="133"/>
      <c r="G178" s="54"/>
      <c r="H178" s="54"/>
      <c r="I178" s="55"/>
      <c r="J178" s="55"/>
      <c r="K178" s="56"/>
      <c r="L178" s="56"/>
      <c r="M178" s="57"/>
      <c r="N178" s="57"/>
      <c r="O178" s="58"/>
      <c r="P178" s="58"/>
      <c r="Q178" s="59"/>
      <c r="R178" s="59"/>
      <c r="S178" s="54"/>
      <c r="T178" s="54"/>
      <c r="U178" s="55"/>
      <c r="V178" s="55"/>
      <c r="W178" s="56"/>
      <c r="X178" s="56"/>
      <c r="Y178" s="57"/>
      <c r="Z178" s="57"/>
      <c r="AA178" s="58"/>
      <c r="AB178" s="58"/>
      <c r="AC178" s="59"/>
      <c r="AD178" s="59"/>
      <c r="AE178" s="96"/>
      <c r="AF178" s="97"/>
      <c r="AG178" s="98"/>
      <c r="AH178" s="99"/>
    </row>
    <row r="179" spans="1:34" x14ac:dyDescent="0.25">
      <c r="A179" s="9" t="str">
        <f t="shared" si="2"/>
        <v/>
      </c>
      <c r="B179" s="52"/>
      <c r="C179" s="53"/>
      <c r="D179" s="53"/>
      <c r="E179" s="78"/>
      <c r="F179" s="133"/>
      <c r="G179" s="54"/>
      <c r="H179" s="54"/>
      <c r="I179" s="55"/>
      <c r="J179" s="55"/>
      <c r="K179" s="56"/>
      <c r="L179" s="56"/>
      <c r="M179" s="57"/>
      <c r="N179" s="57"/>
      <c r="O179" s="58"/>
      <c r="P179" s="58"/>
      <c r="Q179" s="59"/>
      <c r="R179" s="59"/>
      <c r="S179" s="54"/>
      <c r="T179" s="54"/>
      <c r="U179" s="55"/>
      <c r="V179" s="55"/>
      <c r="W179" s="56"/>
      <c r="X179" s="56"/>
      <c r="Y179" s="57"/>
      <c r="Z179" s="57"/>
      <c r="AA179" s="58"/>
      <c r="AB179" s="58"/>
      <c r="AC179" s="59"/>
      <c r="AD179" s="59"/>
      <c r="AE179" s="96"/>
      <c r="AF179" s="97"/>
      <c r="AG179" s="98"/>
      <c r="AH179" s="99"/>
    </row>
    <row r="180" spans="1:34" x14ac:dyDescent="0.25">
      <c r="A180" s="9" t="str">
        <f t="shared" si="2"/>
        <v/>
      </c>
      <c r="B180" s="52"/>
      <c r="C180" s="53"/>
      <c r="D180" s="53"/>
      <c r="E180" s="78"/>
      <c r="F180" s="133"/>
      <c r="G180" s="54"/>
      <c r="H180" s="54"/>
      <c r="I180" s="55"/>
      <c r="J180" s="55"/>
      <c r="K180" s="56"/>
      <c r="L180" s="56"/>
      <c r="M180" s="57"/>
      <c r="N180" s="57"/>
      <c r="O180" s="58"/>
      <c r="P180" s="58"/>
      <c r="Q180" s="59"/>
      <c r="R180" s="59"/>
      <c r="S180" s="54"/>
      <c r="T180" s="54"/>
      <c r="U180" s="55"/>
      <c r="V180" s="55"/>
      <c r="W180" s="56"/>
      <c r="X180" s="56"/>
      <c r="Y180" s="57"/>
      <c r="Z180" s="57"/>
      <c r="AA180" s="58"/>
      <c r="AB180" s="58"/>
      <c r="AC180" s="59"/>
      <c r="AD180" s="59"/>
      <c r="AE180" s="96"/>
      <c r="AF180" s="97"/>
      <c r="AG180" s="98"/>
      <c r="AH180" s="99"/>
    </row>
    <row r="181" spans="1:34" x14ac:dyDescent="0.25">
      <c r="A181" s="9" t="str">
        <f t="shared" si="2"/>
        <v/>
      </c>
      <c r="B181" s="52"/>
      <c r="C181" s="53"/>
      <c r="D181" s="53"/>
      <c r="E181" s="78"/>
      <c r="F181" s="133"/>
      <c r="G181" s="54"/>
      <c r="H181" s="54"/>
      <c r="I181" s="55"/>
      <c r="J181" s="55"/>
      <c r="K181" s="56"/>
      <c r="L181" s="56"/>
      <c r="M181" s="57"/>
      <c r="N181" s="57"/>
      <c r="O181" s="58"/>
      <c r="P181" s="58"/>
      <c r="Q181" s="59"/>
      <c r="R181" s="59"/>
      <c r="S181" s="54"/>
      <c r="T181" s="54"/>
      <c r="U181" s="55"/>
      <c r="V181" s="55"/>
      <c r="W181" s="56"/>
      <c r="X181" s="56"/>
      <c r="Y181" s="57"/>
      <c r="Z181" s="57"/>
      <c r="AA181" s="58"/>
      <c r="AB181" s="58"/>
      <c r="AC181" s="59"/>
      <c r="AD181" s="59"/>
      <c r="AE181" s="96"/>
      <c r="AF181" s="97"/>
      <c r="AG181" s="98"/>
      <c r="AH181" s="99"/>
    </row>
    <row r="182" spans="1:34" x14ac:dyDescent="0.25">
      <c r="A182" s="9" t="str">
        <f t="shared" si="2"/>
        <v/>
      </c>
      <c r="B182" s="52"/>
      <c r="C182" s="53"/>
      <c r="D182" s="53"/>
      <c r="E182" s="78"/>
      <c r="F182" s="133"/>
      <c r="G182" s="54"/>
      <c r="H182" s="54"/>
      <c r="I182" s="55"/>
      <c r="J182" s="55"/>
      <c r="K182" s="56"/>
      <c r="L182" s="56"/>
      <c r="M182" s="57"/>
      <c r="N182" s="57"/>
      <c r="O182" s="58"/>
      <c r="P182" s="58"/>
      <c r="Q182" s="59"/>
      <c r="R182" s="59"/>
      <c r="S182" s="54"/>
      <c r="T182" s="54"/>
      <c r="U182" s="55"/>
      <c r="V182" s="55"/>
      <c r="W182" s="56"/>
      <c r="X182" s="56"/>
      <c r="Y182" s="57"/>
      <c r="Z182" s="57"/>
      <c r="AA182" s="58"/>
      <c r="AB182" s="58"/>
      <c r="AC182" s="59"/>
      <c r="AD182" s="59"/>
      <c r="AE182" s="96"/>
      <c r="AF182" s="97"/>
      <c r="AG182" s="98"/>
      <c r="AH182" s="99"/>
    </row>
    <row r="183" spans="1:34" x14ac:dyDescent="0.25">
      <c r="A183" s="9" t="str">
        <f t="shared" si="2"/>
        <v/>
      </c>
      <c r="B183" s="52"/>
      <c r="C183" s="53"/>
      <c r="D183" s="53"/>
      <c r="E183" s="78"/>
      <c r="F183" s="133"/>
      <c r="G183" s="54"/>
      <c r="H183" s="54"/>
      <c r="I183" s="55"/>
      <c r="J183" s="55"/>
      <c r="K183" s="56"/>
      <c r="L183" s="56"/>
      <c r="M183" s="57"/>
      <c r="N183" s="57"/>
      <c r="O183" s="58"/>
      <c r="P183" s="58"/>
      <c r="Q183" s="59"/>
      <c r="R183" s="59"/>
      <c r="S183" s="54"/>
      <c r="T183" s="54"/>
      <c r="U183" s="55"/>
      <c r="V183" s="55"/>
      <c r="W183" s="56"/>
      <c r="X183" s="56"/>
      <c r="Y183" s="57"/>
      <c r="Z183" s="57"/>
      <c r="AA183" s="58"/>
      <c r="AB183" s="58"/>
      <c r="AC183" s="59"/>
      <c r="AD183" s="59"/>
      <c r="AE183" s="96"/>
      <c r="AF183" s="97"/>
      <c r="AG183" s="98"/>
      <c r="AH183" s="99"/>
    </row>
    <row r="184" spans="1:34" x14ac:dyDescent="0.25">
      <c r="A184" s="9" t="str">
        <f t="shared" si="2"/>
        <v/>
      </c>
      <c r="B184" s="52"/>
      <c r="C184" s="53"/>
      <c r="D184" s="53"/>
      <c r="E184" s="78"/>
      <c r="F184" s="133"/>
      <c r="G184" s="54"/>
      <c r="H184" s="54"/>
      <c r="I184" s="55"/>
      <c r="J184" s="55"/>
      <c r="K184" s="56"/>
      <c r="L184" s="56"/>
      <c r="M184" s="57"/>
      <c r="N184" s="57"/>
      <c r="O184" s="58"/>
      <c r="P184" s="58"/>
      <c r="Q184" s="59"/>
      <c r="R184" s="59"/>
      <c r="S184" s="54"/>
      <c r="T184" s="54"/>
      <c r="U184" s="55"/>
      <c r="V184" s="55"/>
      <c r="W184" s="56"/>
      <c r="X184" s="56"/>
      <c r="Y184" s="57"/>
      <c r="Z184" s="57"/>
      <c r="AA184" s="58"/>
      <c r="AB184" s="58"/>
      <c r="AC184" s="59"/>
      <c r="AD184" s="59"/>
      <c r="AE184" s="96"/>
      <c r="AF184" s="97"/>
      <c r="AG184" s="98"/>
      <c r="AH184" s="99"/>
    </row>
    <row r="185" spans="1:34" x14ac:dyDescent="0.25">
      <c r="A185" s="9" t="str">
        <f t="shared" si="2"/>
        <v/>
      </c>
      <c r="B185" s="52"/>
      <c r="C185" s="53"/>
      <c r="D185" s="53"/>
      <c r="E185" s="78"/>
      <c r="F185" s="133"/>
      <c r="G185" s="54"/>
      <c r="H185" s="54"/>
      <c r="I185" s="55"/>
      <c r="J185" s="55"/>
      <c r="K185" s="56"/>
      <c r="L185" s="56"/>
      <c r="M185" s="57"/>
      <c r="N185" s="57"/>
      <c r="O185" s="58"/>
      <c r="P185" s="58"/>
      <c r="Q185" s="59"/>
      <c r="R185" s="59"/>
      <c r="S185" s="54"/>
      <c r="T185" s="54"/>
      <c r="U185" s="55"/>
      <c r="V185" s="55"/>
      <c r="W185" s="56"/>
      <c r="X185" s="56"/>
      <c r="Y185" s="57"/>
      <c r="Z185" s="57"/>
      <c r="AA185" s="58"/>
      <c r="AB185" s="58"/>
      <c r="AC185" s="59"/>
      <c r="AD185" s="59"/>
      <c r="AE185" s="96"/>
      <c r="AF185" s="97"/>
      <c r="AG185" s="98"/>
      <c r="AH185" s="99"/>
    </row>
    <row r="186" spans="1:34" x14ac:dyDescent="0.25">
      <c r="A186" s="9" t="str">
        <f t="shared" si="2"/>
        <v/>
      </c>
      <c r="B186" s="52"/>
      <c r="C186" s="53"/>
      <c r="D186" s="53"/>
      <c r="E186" s="78"/>
      <c r="F186" s="133"/>
      <c r="G186" s="54"/>
      <c r="H186" s="54"/>
      <c r="I186" s="55"/>
      <c r="J186" s="55"/>
      <c r="K186" s="56"/>
      <c r="L186" s="56"/>
      <c r="M186" s="57"/>
      <c r="N186" s="57"/>
      <c r="O186" s="58"/>
      <c r="P186" s="58"/>
      <c r="Q186" s="59"/>
      <c r="R186" s="59"/>
      <c r="S186" s="54"/>
      <c r="T186" s="54"/>
      <c r="U186" s="55"/>
      <c r="V186" s="55"/>
      <c r="W186" s="56"/>
      <c r="X186" s="56"/>
      <c r="Y186" s="57"/>
      <c r="Z186" s="57"/>
      <c r="AA186" s="58"/>
      <c r="AB186" s="58"/>
      <c r="AC186" s="59"/>
      <c r="AD186" s="59"/>
      <c r="AE186" s="96"/>
      <c r="AF186" s="97"/>
      <c r="AG186" s="98"/>
      <c r="AH186" s="99"/>
    </row>
    <row r="187" spans="1:34" x14ac:dyDescent="0.25">
      <c r="A187" s="9" t="str">
        <f t="shared" si="2"/>
        <v/>
      </c>
      <c r="B187" s="52"/>
      <c r="C187" s="53"/>
      <c r="D187" s="53"/>
      <c r="E187" s="78"/>
      <c r="F187" s="133"/>
      <c r="G187" s="54"/>
      <c r="H187" s="54"/>
      <c r="I187" s="55"/>
      <c r="J187" s="55"/>
      <c r="K187" s="56"/>
      <c r="L187" s="56"/>
      <c r="M187" s="57"/>
      <c r="N187" s="57"/>
      <c r="O187" s="58"/>
      <c r="P187" s="58"/>
      <c r="Q187" s="59"/>
      <c r="R187" s="59"/>
      <c r="S187" s="54"/>
      <c r="T187" s="54"/>
      <c r="U187" s="55"/>
      <c r="V187" s="55"/>
      <c r="W187" s="56"/>
      <c r="X187" s="56"/>
      <c r="Y187" s="57"/>
      <c r="Z187" s="57"/>
      <c r="AA187" s="58"/>
      <c r="AB187" s="58"/>
      <c r="AC187" s="59"/>
      <c r="AD187" s="59"/>
      <c r="AE187" s="96"/>
      <c r="AF187" s="97"/>
      <c r="AG187" s="98"/>
      <c r="AH187" s="99"/>
    </row>
    <row r="188" spans="1:34" x14ac:dyDescent="0.25">
      <c r="A188" s="9" t="str">
        <f t="shared" si="2"/>
        <v/>
      </c>
      <c r="B188" s="52"/>
      <c r="C188" s="53"/>
      <c r="D188" s="53"/>
      <c r="E188" s="78"/>
      <c r="F188" s="133"/>
      <c r="G188" s="54"/>
      <c r="H188" s="54"/>
      <c r="I188" s="55"/>
      <c r="J188" s="55"/>
      <c r="K188" s="56"/>
      <c r="L188" s="56"/>
      <c r="M188" s="57"/>
      <c r="N188" s="57"/>
      <c r="O188" s="58"/>
      <c r="P188" s="58"/>
      <c r="Q188" s="59"/>
      <c r="R188" s="59"/>
      <c r="S188" s="54"/>
      <c r="T188" s="54"/>
      <c r="U188" s="55"/>
      <c r="V188" s="55"/>
      <c r="W188" s="56"/>
      <c r="X188" s="56"/>
      <c r="Y188" s="57"/>
      <c r="Z188" s="57"/>
      <c r="AA188" s="58"/>
      <c r="AB188" s="58"/>
      <c r="AC188" s="59"/>
      <c r="AD188" s="59"/>
      <c r="AE188" s="96"/>
      <c r="AF188" s="97"/>
      <c r="AG188" s="98"/>
      <c r="AH188" s="99"/>
    </row>
    <row r="189" spans="1:34" x14ac:dyDescent="0.25">
      <c r="A189" s="9" t="str">
        <f t="shared" si="2"/>
        <v/>
      </c>
      <c r="B189" s="52"/>
      <c r="C189" s="53"/>
      <c r="D189" s="53"/>
      <c r="E189" s="78"/>
      <c r="F189" s="133"/>
      <c r="G189" s="54"/>
      <c r="H189" s="54"/>
      <c r="I189" s="55"/>
      <c r="J189" s="55"/>
      <c r="K189" s="56"/>
      <c r="L189" s="56"/>
      <c r="M189" s="57"/>
      <c r="N189" s="57"/>
      <c r="O189" s="58"/>
      <c r="P189" s="58"/>
      <c r="Q189" s="59"/>
      <c r="R189" s="59"/>
      <c r="S189" s="54"/>
      <c r="T189" s="54"/>
      <c r="U189" s="55"/>
      <c r="V189" s="55"/>
      <c r="W189" s="56"/>
      <c r="X189" s="56"/>
      <c r="Y189" s="57"/>
      <c r="Z189" s="57"/>
      <c r="AA189" s="58"/>
      <c r="AB189" s="58"/>
      <c r="AC189" s="59"/>
      <c r="AD189" s="59"/>
      <c r="AE189" s="96"/>
      <c r="AF189" s="97"/>
      <c r="AG189" s="98"/>
      <c r="AH189" s="99"/>
    </row>
    <row r="190" spans="1:34" x14ac:dyDescent="0.25">
      <c r="A190" s="9" t="str">
        <f t="shared" si="2"/>
        <v/>
      </c>
      <c r="B190" s="52"/>
      <c r="C190" s="53"/>
      <c r="D190" s="53"/>
      <c r="E190" s="78"/>
      <c r="F190" s="133"/>
      <c r="G190" s="54"/>
      <c r="H190" s="54"/>
      <c r="I190" s="55"/>
      <c r="J190" s="55"/>
      <c r="K190" s="56"/>
      <c r="L190" s="56"/>
      <c r="M190" s="57"/>
      <c r="N190" s="57"/>
      <c r="O190" s="58"/>
      <c r="P190" s="58"/>
      <c r="Q190" s="59"/>
      <c r="R190" s="59"/>
      <c r="S190" s="54"/>
      <c r="T190" s="54"/>
      <c r="U190" s="55"/>
      <c r="V190" s="55"/>
      <c r="W190" s="56"/>
      <c r="X190" s="56"/>
      <c r="Y190" s="57"/>
      <c r="Z190" s="57"/>
      <c r="AA190" s="58"/>
      <c r="AB190" s="58"/>
      <c r="AC190" s="59"/>
      <c r="AD190" s="59"/>
      <c r="AE190" s="96"/>
      <c r="AF190" s="97"/>
      <c r="AG190" s="98"/>
      <c r="AH190" s="99"/>
    </row>
    <row r="191" spans="1:34" x14ac:dyDescent="0.25">
      <c r="A191" s="9" t="str">
        <f t="shared" si="2"/>
        <v/>
      </c>
      <c r="B191" s="52"/>
      <c r="C191" s="53"/>
      <c r="D191" s="53"/>
      <c r="E191" s="78"/>
      <c r="F191" s="133"/>
      <c r="G191" s="54"/>
      <c r="H191" s="54"/>
      <c r="I191" s="55"/>
      <c r="J191" s="55"/>
      <c r="K191" s="56"/>
      <c r="L191" s="56"/>
      <c r="M191" s="57"/>
      <c r="N191" s="57"/>
      <c r="O191" s="58"/>
      <c r="P191" s="58"/>
      <c r="Q191" s="59"/>
      <c r="R191" s="59"/>
      <c r="S191" s="54"/>
      <c r="T191" s="54"/>
      <c r="U191" s="55"/>
      <c r="V191" s="55"/>
      <c r="W191" s="56"/>
      <c r="X191" s="56"/>
      <c r="Y191" s="57"/>
      <c r="Z191" s="57"/>
      <c r="AA191" s="58"/>
      <c r="AB191" s="58"/>
      <c r="AC191" s="59"/>
      <c r="AD191" s="59"/>
      <c r="AE191" s="96"/>
      <c r="AF191" s="97"/>
      <c r="AG191" s="98"/>
      <c r="AH191" s="99"/>
    </row>
    <row r="192" spans="1:34" x14ac:dyDescent="0.25">
      <c r="A192" s="9" t="str">
        <f t="shared" si="2"/>
        <v/>
      </c>
      <c r="B192" s="52"/>
      <c r="C192" s="53"/>
      <c r="D192" s="53"/>
      <c r="E192" s="78"/>
      <c r="F192" s="133"/>
      <c r="G192" s="54"/>
      <c r="H192" s="54"/>
      <c r="I192" s="55"/>
      <c r="J192" s="55"/>
      <c r="K192" s="56"/>
      <c r="L192" s="56"/>
      <c r="M192" s="57"/>
      <c r="N192" s="57"/>
      <c r="O192" s="58"/>
      <c r="P192" s="58"/>
      <c r="Q192" s="59"/>
      <c r="R192" s="59"/>
      <c r="S192" s="54"/>
      <c r="T192" s="54"/>
      <c r="U192" s="55"/>
      <c r="V192" s="55"/>
      <c r="W192" s="56"/>
      <c r="X192" s="56"/>
      <c r="Y192" s="57"/>
      <c r="Z192" s="57"/>
      <c r="AA192" s="58"/>
      <c r="AB192" s="58"/>
      <c r="AC192" s="59"/>
      <c r="AD192" s="59"/>
      <c r="AE192" s="96"/>
      <c r="AF192" s="97"/>
      <c r="AG192" s="98"/>
      <c r="AH192" s="99"/>
    </row>
    <row r="193" spans="1:34" x14ac:dyDescent="0.25">
      <c r="A193" s="9" t="str">
        <f t="shared" si="2"/>
        <v/>
      </c>
      <c r="B193" s="52"/>
      <c r="C193" s="53"/>
      <c r="D193" s="53"/>
      <c r="E193" s="78"/>
      <c r="F193" s="133"/>
      <c r="G193" s="54"/>
      <c r="H193" s="54"/>
      <c r="I193" s="55"/>
      <c r="J193" s="55"/>
      <c r="K193" s="56"/>
      <c r="L193" s="56"/>
      <c r="M193" s="57"/>
      <c r="N193" s="57"/>
      <c r="O193" s="58"/>
      <c r="P193" s="58"/>
      <c r="Q193" s="59"/>
      <c r="R193" s="59"/>
      <c r="S193" s="54"/>
      <c r="T193" s="54"/>
      <c r="U193" s="55"/>
      <c r="V193" s="55"/>
      <c r="W193" s="56"/>
      <c r="X193" s="56"/>
      <c r="Y193" s="57"/>
      <c r="Z193" s="57"/>
      <c r="AA193" s="58"/>
      <c r="AB193" s="58"/>
      <c r="AC193" s="59"/>
      <c r="AD193" s="59"/>
      <c r="AE193" s="96"/>
      <c r="AF193" s="97"/>
      <c r="AG193" s="98"/>
      <c r="AH193" s="99"/>
    </row>
    <row r="194" spans="1:34" x14ac:dyDescent="0.25">
      <c r="A194" s="9" t="str">
        <f t="shared" si="2"/>
        <v/>
      </c>
      <c r="B194" s="52"/>
      <c r="C194" s="53"/>
      <c r="D194" s="53"/>
      <c r="E194" s="78"/>
      <c r="F194" s="133"/>
      <c r="G194" s="54"/>
      <c r="H194" s="54"/>
      <c r="I194" s="55"/>
      <c r="J194" s="55"/>
      <c r="K194" s="56"/>
      <c r="L194" s="56"/>
      <c r="M194" s="57"/>
      <c r="N194" s="57"/>
      <c r="O194" s="58"/>
      <c r="P194" s="58"/>
      <c r="Q194" s="59"/>
      <c r="R194" s="59"/>
      <c r="S194" s="54"/>
      <c r="T194" s="54"/>
      <c r="U194" s="55"/>
      <c r="V194" s="55"/>
      <c r="W194" s="56"/>
      <c r="X194" s="56"/>
      <c r="Y194" s="57"/>
      <c r="Z194" s="57"/>
      <c r="AA194" s="58"/>
      <c r="AB194" s="58"/>
      <c r="AC194" s="59"/>
      <c r="AD194" s="59"/>
      <c r="AE194" s="96"/>
      <c r="AF194" s="97"/>
      <c r="AG194" s="98"/>
      <c r="AH194" s="99"/>
    </row>
    <row r="195" spans="1:34" x14ac:dyDescent="0.25">
      <c r="A195" s="9" t="str">
        <f t="shared" si="2"/>
        <v/>
      </c>
      <c r="B195" s="52"/>
      <c r="C195" s="53"/>
      <c r="D195" s="53"/>
      <c r="E195" s="78"/>
      <c r="F195" s="133"/>
      <c r="G195" s="54"/>
      <c r="H195" s="54"/>
      <c r="I195" s="55"/>
      <c r="J195" s="55"/>
      <c r="K195" s="56"/>
      <c r="L195" s="56"/>
      <c r="M195" s="57"/>
      <c r="N195" s="57"/>
      <c r="O195" s="58"/>
      <c r="P195" s="58"/>
      <c r="Q195" s="59"/>
      <c r="R195" s="59"/>
      <c r="S195" s="54"/>
      <c r="T195" s="54"/>
      <c r="U195" s="55"/>
      <c r="V195" s="55"/>
      <c r="W195" s="56"/>
      <c r="X195" s="56"/>
      <c r="Y195" s="57"/>
      <c r="Z195" s="57"/>
      <c r="AA195" s="58"/>
      <c r="AB195" s="58"/>
      <c r="AC195" s="59"/>
      <c r="AD195" s="59"/>
      <c r="AE195" s="96"/>
      <c r="AF195" s="97"/>
      <c r="AG195" s="98"/>
      <c r="AH195" s="99"/>
    </row>
    <row r="196" spans="1:34" x14ac:dyDescent="0.25">
      <c r="A196" s="9" t="str">
        <f t="shared" si="2"/>
        <v/>
      </c>
      <c r="B196" s="52"/>
      <c r="C196" s="53"/>
      <c r="D196" s="53"/>
      <c r="E196" s="78"/>
      <c r="F196" s="133"/>
      <c r="G196" s="54"/>
      <c r="H196" s="54"/>
      <c r="I196" s="55"/>
      <c r="J196" s="55"/>
      <c r="K196" s="56"/>
      <c r="L196" s="56"/>
      <c r="M196" s="57"/>
      <c r="N196" s="57"/>
      <c r="O196" s="58"/>
      <c r="P196" s="58"/>
      <c r="Q196" s="59"/>
      <c r="R196" s="59"/>
      <c r="S196" s="54"/>
      <c r="T196" s="54"/>
      <c r="U196" s="55"/>
      <c r="V196" s="55"/>
      <c r="W196" s="56"/>
      <c r="X196" s="56"/>
      <c r="Y196" s="57"/>
      <c r="Z196" s="57"/>
      <c r="AA196" s="58"/>
      <c r="AB196" s="58"/>
      <c r="AC196" s="59"/>
      <c r="AD196" s="59"/>
      <c r="AE196" s="96"/>
      <c r="AF196" s="97"/>
      <c r="AG196" s="98"/>
      <c r="AH196" s="99"/>
    </row>
    <row r="197" spans="1:34" x14ac:dyDescent="0.25">
      <c r="A197" s="9" t="str">
        <f t="shared" ref="A197:A260" si="3">IF(COUNTA(G197:AD197)/2=0,"",COUNTA(G197:AD197)/2)</f>
        <v/>
      </c>
      <c r="B197" s="52"/>
      <c r="C197" s="53"/>
      <c r="D197" s="53"/>
      <c r="E197" s="78"/>
      <c r="F197" s="133"/>
      <c r="G197" s="54"/>
      <c r="H197" s="54"/>
      <c r="I197" s="55"/>
      <c r="J197" s="55"/>
      <c r="K197" s="56"/>
      <c r="L197" s="56"/>
      <c r="M197" s="57"/>
      <c r="N197" s="57"/>
      <c r="O197" s="58"/>
      <c r="P197" s="58"/>
      <c r="Q197" s="59"/>
      <c r="R197" s="59"/>
      <c r="S197" s="54"/>
      <c r="T197" s="54"/>
      <c r="U197" s="55"/>
      <c r="V197" s="55"/>
      <c r="W197" s="56"/>
      <c r="X197" s="56"/>
      <c r="Y197" s="57"/>
      <c r="Z197" s="57"/>
      <c r="AA197" s="58"/>
      <c r="AB197" s="58"/>
      <c r="AC197" s="59"/>
      <c r="AD197" s="59"/>
      <c r="AE197" s="96"/>
      <c r="AF197" s="97"/>
      <c r="AG197" s="98"/>
      <c r="AH197" s="99"/>
    </row>
    <row r="198" spans="1:34" x14ac:dyDescent="0.25">
      <c r="A198" s="9" t="str">
        <f t="shared" si="3"/>
        <v/>
      </c>
      <c r="B198" s="52"/>
      <c r="C198" s="53"/>
      <c r="D198" s="53"/>
      <c r="E198" s="78"/>
      <c r="F198" s="133"/>
      <c r="G198" s="54"/>
      <c r="H198" s="54"/>
      <c r="I198" s="55"/>
      <c r="J198" s="55"/>
      <c r="K198" s="56"/>
      <c r="L198" s="56"/>
      <c r="M198" s="57"/>
      <c r="N198" s="57"/>
      <c r="O198" s="58"/>
      <c r="P198" s="58"/>
      <c r="Q198" s="59"/>
      <c r="R198" s="59"/>
      <c r="S198" s="54"/>
      <c r="T198" s="54"/>
      <c r="U198" s="55"/>
      <c r="V198" s="55"/>
      <c r="W198" s="56"/>
      <c r="X198" s="56"/>
      <c r="Y198" s="57"/>
      <c r="Z198" s="57"/>
      <c r="AA198" s="58"/>
      <c r="AB198" s="58"/>
      <c r="AC198" s="59"/>
      <c r="AD198" s="59"/>
      <c r="AE198" s="96"/>
      <c r="AF198" s="97"/>
      <c r="AG198" s="98"/>
      <c r="AH198" s="99"/>
    </row>
    <row r="199" spans="1:34" x14ac:dyDescent="0.25">
      <c r="A199" s="9" t="str">
        <f t="shared" si="3"/>
        <v/>
      </c>
      <c r="B199" s="52"/>
      <c r="C199" s="53"/>
      <c r="D199" s="53"/>
      <c r="E199" s="78"/>
      <c r="F199" s="133"/>
      <c r="G199" s="54"/>
      <c r="H199" s="54"/>
      <c r="I199" s="55"/>
      <c r="J199" s="55"/>
      <c r="K199" s="56"/>
      <c r="L199" s="56"/>
      <c r="M199" s="57"/>
      <c r="N199" s="57"/>
      <c r="O199" s="58"/>
      <c r="P199" s="58"/>
      <c r="Q199" s="59"/>
      <c r="R199" s="59"/>
      <c r="S199" s="54"/>
      <c r="T199" s="54"/>
      <c r="U199" s="55"/>
      <c r="V199" s="55"/>
      <c r="W199" s="56"/>
      <c r="X199" s="56"/>
      <c r="Y199" s="57"/>
      <c r="Z199" s="57"/>
      <c r="AA199" s="58"/>
      <c r="AB199" s="58"/>
      <c r="AC199" s="59"/>
      <c r="AD199" s="59"/>
      <c r="AE199" s="96"/>
      <c r="AF199" s="97"/>
      <c r="AG199" s="98"/>
      <c r="AH199" s="99"/>
    </row>
    <row r="200" spans="1:34" x14ac:dyDescent="0.25">
      <c r="A200" s="9" t="str">
        <f t="shared" si="3"/>
        <v/>
      </c>
      <c r="B200" s="52"/>
      <c r="C200" s="53"/>
      <c r="D200" s="53"/>
      <c r="E200" s="78"/>
      <c r="F200" s="133"/>
      <c r="G200" s="54"/>
      <c r="H200" s="54"/>
      <c r="I200" s="55"/>
      <c r="J200" s="55"/>
      <c r="K200" s="56"/>
      <c r="L200" s="56"/>
      <c r="M200" s="57"/>
      <c r="N200" s="57"/>
      <c r="O200" s="58"/>
      <c r="P200" s="58"/>
      <c r="Q200" s="59"/>
      <c r="R200" s="59"/>
      <c r="S200" s="54"/>
      <c r="T200" s="54"/>
      <c r="U200" s="55"/>
      <c r="V200" s="55"/>
      <c r="W200" s="56"/>
      <c r="X200" s="56"/>
      <c r="Y200" s="57"/>
      <c r="Z200" s="57"/>
      <c r="AA200" s="58"/>
      <c r="AB200" s="58"/>
      <c r="AC200" s="59"/>
      <c r="AD200" s="59"/>
      <c r="AE200" s="96"/>
      <c r="AF200" s="97"/>
      <c r="AG200" s="98"/>
      <c r="AH200" s="99"/>
    </row>
    <row r="201" spans="1:34" x14ac:dyDescent="0.25">
      <c r="A201" s="9" t="str">
        <f t="shared" si="3"/>
        <v/>
      </c>
      <c r="B201" s="52"/>
      <c r="C201" s="53"/>
      <c r="D201" s="53"/>
      <c r="E201" s="78"/>
      <c r="F201" s="133"/>
      <c r="G201" s="54"/>
      <c r="H201" s="54"/>
      <c r="I201" s="55"/>
      <c r="J201" s="55"/>
      <c r="K201" s="56"/>
      <c r="L201" s="56"/>
      <c r="M201" s="57"/>
      <c r="N201" s="57"/>
      <c r="O201" s="58"/>
      <c r="P201" s="58"/>
      <c r="Q201" s="59"/>
      <c r="R201" s="59"/>
      <c r="S201" s="54"/>
      <c r="T201" s="54"/>
      <c r="U201" s="55"/>
      <c r="V201" s="55"/>
      <c r="W201" s="56"/>
      <c r="X201" s="56"/>
      <c r="Y201" s="57"/>
      <c r="Z201" s="57"/>
      <c r="AA201" s="58"/>
      <c r="AB201" s="58"/>
      <c r="AC201" s="59"/>
      <c r="AD201" s="59"/>
      <c r="AE201" s="96"/>
      <c r="AF201" s="97"/>
      <c r="AG201" s="98"/>
      <c r="AH201" s="99"/>
    </row>
    <row r="202" spans="1:34" x14ac:dyDescent="0.25">
      <c r="A202" s="9" t="str">
        <f t="shared" si="3"/>
        <v/>
      </c>
      <c r="B202" s="52"/>
      <c r="C202" s="53"/>
      <c r="D202" s="53"/>
      <c r="E202" s="78"/>
      <c r="F202" s="133"/>
      <c r="G202" s="54"/>
      <c r="H202" s="54"/>
      <c r="I202" s="55"/>
      <c r="J202" s="55"/>
      <c r="K202" s="56"/>
      <c r="L202" s="56"/>
      <c r="M202" s="57"/>
      <c r="N202" s="57"/>
      <c r="O202" s="58"/>
      <c r="P202" s="58"/>
      <c r="Q202" s="59"/>
      <c r="R202" s="59"/>
      <c r="S202" s="54"/>
      <c r="T202" s="54"/>
      <c r="U202" s="55"/>
      <c r="V202" s="55"/>
      <c r="W202" s="56"/>
      <c r="X202" s="56"/>
      <c r="Y202" s="57"/>
      <c r="Z202" s="57"/>
      <c r="AA202" s="58"/>
      <c r="AB202" s="58"/>
      <c r="AC202" s="59"/>
      <c r="AD202" s="59"/>
      <c r="AE202" s="96"/>
      <c r="AF202" s="97"/>
      <c r="AG202" s="98"/>
      <c r="AH202" s="99"/>
    </row>
    <row r="203" spans="1:34" x14ac:dyDescent="0.25">
      <c r="A203" s="9" t="str">
        <f t="shared" si="3"/>
        <v/>
      </c>
      <c r="B203" s="52"/>
      <c r="C203" s="53"/>
      <c r="D203" s="53"/>
      <c r="E203" s="78"/>
      <c r="F203" s="133"/>
      <c r="G203" s="54"/>
      <c r="H203" s="54"/>
      <c r="I203" s="55"/>
      <c r="J203" s="55"/>
      <c r="K203" s="56"/>
      <c r="L203" s="56"/>
      <c r="M203" s="57"/>
      <c r="N203" s="57"/>
      <c r="O203" s="58"/>
      <c r="P203" s="58"/>
      <c r="Q203" s="59"/>
      <c r="R203" s="59"/>
      <c r="S203" s="54"/>
      <c r="T203" s="54"/>
      <c r="U203" s="55"/>
      <c r="V203" s="55"/>
      <c r="W203" s="56"/>
      <c r="X203" s="56"/>
      <c r="Y203" s="57"/>
      <c r="Z203" s="57"/>
      <c r="AA203" s="58"/>
      <c r="AB203" s="58"/>
      <c r="AC203" s="59"/>
      <c r="AD203" s="59"/>
      <c r="AE203" s="96"/>
      <c r="AF203" s="97"/>
      <c r="AG203" s="98"/>
      <c r="AH203" s="99"/>
    </row>
    <row r="204" spans="1:34" x14ac:dyDescent="0.25">
      <c r="A204" s="9" t="str">
        <f t="shared" si="3"/>
        <v/>
      </c>
      <c r="B204" s="52"/>
      <c r="C204" s="53"/>
      <c r="D204" s="53"/>
      <c r="E204" s="78"/>
      <c r="F204" s="133"/>
      <c r="G204" s="54"/>
      <c r="H204" s="54"/>
      <c r="I204" s="55"/>
      <c r="J204" s="55"/>
      <c r="K204" s="56"/>
      <c r="L204" s="56"/>
      <c r="M204" s="57"/>
      <c r="N204" s="57"/>
      <c r="O204" s="58"/>
      <c r="P204" s="58"/>
      <c r="Q204" s="59"/>
      <c r="R204" s="59"/>
      <c r="S204" s="54"/>
      <c r="T204" s="54"/>
      <c r="U204" s="55"/>
      <c r="V204" s="55"/>
      <c r="W204" s="56"/>
      <c r="X204" s="56"/>
      <c r="Y204" s="57"/>
      <c r="Z204" s="57"/>
      <c r="AA204" s="58"/>
      <c r="AB204" s="58"/>
      <c r="AC204" s="59"/>
      <c r="AD204" s="59"/>
      <c r="AE204" s="96"/>
      <c r="AF204" s="97"/>
      <c r="AG204" s="98"/>
      <c r="AH204" s="99"/>
    </row>
    <row r="205" spans="1:34" x14ac:dyDescent="0.25">
      <c r="A205" s="9" t="str">
        <f t="shared" si="3"/>
        <v/>
      </c>
      <c r="B205" s="52"/>
      <c r="C205" s="53"/>
      <c r="D205" s="53"/>
      <c r="E205" s="78"/>
      <c r="F205" s="133"/>
      <c r="G205" s="54"/>
      <c r="H205" s="54"/>
      <c r="I205" s="55"/>
      <c r="J205" s="55"/>
      <c r="K205" s="56"/>
      <c r="L205" s="56"/>
      <c r="M205" s="57"/>
      <c r="N205" s="57"/>
      <c r="O205" s="58"/>
      <c r="P205" s="58"/>
      <c r="Q205" s="59"/>
      <c r="R205" s="59"/>
      <c r="S205" s="54"/>
      <c r="T205" s="54"/>
      <c r="U205" s="55"/>
      <c r="V205" s="55"/>
      <c r="W205" s="56"/>
      <c r="X205" s="56"/>
      <c r="Y205" s="57"/>
      <c r="Z205" s="57"/>
      <c r="AA205" s="58"/>
      <c r="AB205" s="58"/>
      <c r="AC205" s="59"/>
      <c r="AD205" s="59"/>
      <c r="AE205" s="96"/>
      <c r="AF205" s="97"/>
      <c r="AG205" s="98"/>
      <c r="AH205" s="99"/>
    </row>
    <row r="206" spans="1:34" x14ac:dyDescent="0.25">
      <c r="A206" s="9" t="str">
        <f t="shared" si="3"/>
        <v/>
      </c>
      <c r="B206" s="52"/>
      <c r="C206" s="53"/>
      <c r="D206" s="53"/>
      <c r="E206" s="78"/>
      <c r="F206" s="133"/>
      <c r="G206" s="54"/>
      <c r="H206" s="54"/>
      <c r="I206" s="55"/>
      <c r="J206" s="55"/>
      <c r="K206" s="56"/>
      <c r="L206" s="56"/>
      <c r="M206" s="57"/>
      <c r="N206" s="57"/>
      <c r="O206" s="58"/>
      <c r="P206" s="58"/>
      <c r="Q206" s="59"/>
      <c r="R206" s="59"/>
      <c r="S206" s="54"/>
      <c r="T206" s="54"/>
      <c r="U206" s="55"/>
      <c r="V206" s="55"/>
      <c r="W206" s="56"/>
      <c r="X206" s="56"/>
      <c r="Y206" s="57"/>
      <c r="Z206" s="57"/>
      <c r="AA206" s="58"/>
      <c r="AB206" s="58"/>
      <c r="AC206" s="59"/>
      <c r="AD206" s="59"/>
      <c r="AE206" s="96"/>
      <c r="AF206" s="97"/>
      <c r="AG206" s="98"/>
      <c r="AH206" s="99"/>
    </row>
    <row r="207" spans="1:34" x14ac:dyDescent="0.25">
      <c r="A207" s="9" t="str">
        <f t="shared" si="3"/>
        <v/>
      </c>
      <c r="B207" s="52"/>
      <c r="C207" s="53"/>
      <c r="D207" s="53"/>
      <c r="E207" s="78"/>
      <c r="F207" s="133"/>
      <c r="G207" s="54"/>
      <c r="H207" s="54"/>
      <c r="I207" s="55"/>
      <c r="J207" s="55"/>
      <c r="K207" s="56"/>
      <c r="L207" s="56"/>
      <c r="M207" s="57"/>
      <c r="N207" s="57"/>
      <c r="O207" s="58"/>
      <c r="P207" s="58"/>
      <c r="Q207" s="59"/>
      <c r="R207" s="59"/>
      <c r="S207" s="54"/>
      <c r="T207" s="54"/>
      <c r="U207" s="55"/>
      <c r="V207" s="55"/>
      <c r="W207" s="56"/>
      <c r="X207" s="56"/>
      <c r="Y207" s="57"/>
      <c r="Z207" s="57"/>
      <c r="AA207" s="58"/>
      <c r="AB207" s="58"/>
      <c r="AC207" s="59"/>
      <c r="AD207" s="59"/>
      <c r="AE207" s="96"/>
      <c r="AF207" s="97"/>
      <c r="AG207" s="98"/>
      <c r="AH207" s="99"/>
    </row>
    <row r="208" spans="1:34" x14ac:dyDescent="0.25">
      <c r="A208" s="9" t="str">
        <f t="shared" si="3"/>
        <v/>
      </c>
      <c r="B208" s="52"/>
      <c r="C208" s="53"/>
      <c r="D208" s="53"/>
      <c r="E208" s="78"/>
      <c r="F208" s="133"/>
      <c r="G208" s="54"/>
      <c r="H208" s="54"/>
      <c r="I208" s="55"/>
      <c r="J208" s="55"/>
      <c r="K208" s="56"/>
      <c r="L208" s="56"/>
      <c r="M208" s="57"/>
      <c r="N208" s="57"/>
      <c r="O208" s="58"/>
      <c r="P208" s="58"/>
      <c r="Q208" s="59"/>
      <c r="R208" s="59"/>
      <c r="S208" s="54"/>
      <c r="T208" s="54"/>
      <c r="U208" s="55"/>
      <c r="V208" s="55"/>
      <c r="W208" s="56"/>
      <c r="X208" s="56"/>
      <c r="Y208" s="57"/>
      <c r="Z208" s="57"/>
      <c r="AA208" s="58"/>
      <c r="AB208" s="58"/>
      <c r="AC208" s="59"/>
      <c r="AD208" s="59"/>
      <c r="AE208" s="96"/>
      <c r="AF208" s="97"/>
      <c r="AG208" s="98"/>
      <c r="AH208" s="99"/>
    </row>
    <row r="209" spans="1:34" x14ac:dyDescent="0.25">
      <c r="A209" s="9" t="str">
        <f t="shared" si="3"/>
        <v/>
      </c>
      <c r="B209" s="52"/>
      <c r="C209" s="53"/>
      <c r="D209" s="53"/>
      <c r="E209" s="78"/>
      <c r="F209" s="133"/>
      <c r="G209" s="54"/>
      <c r="H209" s="54"/>
      <c r="I209" s="55"/>
      <c r="J209" s="55"/>
      <c r="K209" s="56"/>
      <c r="L209" s="56"/>
      <c r="M209" s="57"/>
      <c r="N209" s="57"/>
      <c r="O209" s="58"/>
      <c r="P209" s="58"/>
      <c r="Q209" s="59"/>
      <c r="R209" s="59"/>
      <c r="S209" s="54"/>
      <c r="T209" s="54"/>
      <c r="U209" s="55"/>
      <c r="V209" s="55"/>
      <c r="W209" s="56"/>
      <c r="X209" s="56"/>
      <c r="Y209" s="57"/>
      <c r="Z209" s="57"/>
      <c r="AA209" s="58"/>
      <c r="AB209" s="58"/>
      <c r="AC209" s="59"/>
      <c r="AD209" s="59"/>
      <c r="AE209" s="96"/>
      <c r="AF209" s="97"/>
      <c r="AG209" s="98"/>
      <c r="AH209" s="99"/>
    </row>
    <row r="210" spans="1:34" x14ac:dyDescent="0.25">
      <c r="A210" s="9" t="str">
        <f t="shared" si="3"/>
        <v/>
      </c>
      <c r="B210" s="52"/>
      <c r="C210" s="53"/>
      <c r="D210" s="53"/>
      <c r="E210" s="78"/>
      <c r="F210" s="133"/>
      <c r="G210" s="54"/>
      <c r="H210" s="54"/>
      <c r="I210" s="55"/>
      <c r="J210" s="55"/>
      <c r="K210" s="56"/>
      <c r="L210" s="56"/>
      <c r="M210" s="57"/>
      <c r="N210" s="57"/>
      <c r="O210" s="58"/>
      <c r="P210" s="58"/>
      <c r="Q210" s="59"/>
      <c r="R210" s="59"/>
      <c r="S210" s="54"/>
      <c r="T210" s="54"/>
      <c r="U210" s="55"/>
      <c r="V210" s="55"/>
      <c r="W210" s="56"/>
      <c r="X210" s="56"/>
      <c r="Y210" s="57"/>
      <c r="Z210" s="57"/>
      <c r="AA210" s="58"/>
      <c r="AB210" s="58"/>
      <c r="AC210" s="59"/>
      <c r="AD210" s="59"/>
      <c r="AE210" s="96"/>
      <c r="AF210" s="97"/>
      <c r="AG210" s="98"/>
      <c r="AH210" s="99"/>
    </row>
    <row r="211" spans="1:34" x14ac:dyDescent="0.25">
      <c r="A211" s="9" t="str">
        <f t="shared" si="3"/>
        <v/>
      </c>
      <c r="B211" s="52"/>
      <c r="C211" s="53"/>
      <c r="D211" s="53"/>
      <c r="E211" s="78"/>
      <c r="F211" s="133"/>
      <c r="G211" s="54"/>
      <c r="H211" s="54"/>
      <c r="I211" s="55"/>
      <c r="J211" s="55"/>
      <c r="K211" s="56"/>
      <c r="L211" s="56"/>
      <c r="M211" s="57"/>
      <c r="N211" s="57"/>
      <c r="O211" s="58"/>
      <c r="P211" s="58"/>
      <c r="Q211" s="59"/>
      <c r="R211" s="59"/>
      <c r="S211" s="54"/>
      <c r="T211" s="54"/>
      <c r="U211" s="55"/>
      <c r="V211" s="55"/>
      <c r="W211" s="56"/>
      <c r="X211" s="56"/>
      <c r="Y211" s="57"/>
      <c r="Z211" s="57"/>
      <c r="AA211" s="58"/>
      <c r="AB211" s="58"/>
      <c r="AC211" s="59"/>
      <c r="AD211" s="59"/>
      <c r="AE211" s="96"/>
      <c r="AF211" s="97"/>
      <c r="AG211" s="98"/>
      <c r="AH211" s="99"/>
    </row>
    <row r="212" spans="1:34" x14ac:dyDescent="0.25">
      <c r="A212" s="9" t="str">
        <f t="shared" si="3"/>
        <v/>
      </c>
      <c r="B212" s="52"/>
      <c r="C212" s="53"/>
      <c r="D212" s="53"/>
      <c r="E212" s="78"/>
      <c r="F212" s="133"/>
      <c r="G212" s="54"/>
      <c r="H212" s="54"/>
      <c r="I212" s="55"/>
      <c r="J212" s="55"/>
      <c r="K212" s="56"/>
      <c r="L212" s="56"/>
      <c r="M212" s="57"/>
      <c r="N212" s="57"/>
      <c r="O212" s="58"/>
      <c r="P212" s="58"/>
      <c r="Q212" s="59"/>
      <c r="R212" s="59"/>
      <c r="S212" s="54"/>
      <c r="T212" s="54"/>
      <c r="U212" s="55"/>
      <c r="V212" s="55"/>
      <c r="W212" s="56"/>
      <c r="X212" s="56"/>
      <c r="Y212" s="57"/>
      <c r="Z212" s="57"/>
      <c r="AA212" s="58"/>
      <c r="AB212" s="58"/>
      <c r="AC212" s="59"/>
      <c r="AD212" s="59"/>
      <c r="AE212" s="96"/>
      <c r="AF212" s="97"/>
      <c r="AG212" s="98"/>
      <c r="AH212" s="99"/>
    </row>
    <row r="213" spans="1:34" x14ac:dyDescent="0.25">
      <c r="A213" s="9" t="str">
        <f t="shared" si="3"/>
        <v/>
      </c>
      <c r="B213" s="52"/>
      <c r="C213" s="53"/>
      <c r="D213" s="53"/>
      <c r="E213" s="78"/>
      <c r="F213" s="133"/>
      <c r="G213" s="54"/>
      <c r="H213" s="54"/>
      <c r="I213" s="55"/>
      <c r="J213" s="55"/>
      <c r="K213" s="56"/>
      <c r="L213" s="56"/>
      <c r="M213" s="57"/>
      <c r="N213" s="57"/>
      <c r="O213" s="58"/>
      <c r="P213" s="58"/>
      <c r="Q213" s="59"/>
      <c r="R213" s="59"/>
      <c r="S213" s="54"/>
      <c r="T213" s="54"/>
      <c r="U213" s="55"/>
      <c r="V213" s="55"/>
      <c r="W213" s="56"/>
      <c r="X213" s="56"/>
      <c r="Y213" s="57"/>
      <c r="Z213" s="57"/>
      <c r="AA213" s="58"/>
      <c r="AB213" s="58"/>
      <c r="AC213" s="59"/>
      <c r="AD213" s="59"/>
      <c r="AE213" s="96"/>
      <c r="AF213" s="97"/>
      <c r="AG213" s="98"/>
      <c r="AH213" s="99"/>
    </row>
    <row r="214" spans="1:34" x14ac:dyDescent="0.25">
      <c r="A214" s="9" t="str">
        <f t="shared" si="3"/>
        <v/>
      </c>
      <c r="B214" s="52"/>
      <c r="C214" s="53"/>
      <c r="D214" s="53"/>
      <c r="E214" s="78"/>
      <c r="F214" s="133"/>
      <c r="G214" s="54"/>
      <c r="H214" s="54"/>
      <c r="I214" s="55"/>
      <c r="J214" s="55"/>
      <c r="K214" s="56"/>
      <c r="L214" s="56"/>
      <c r="M214" s="57"/>
      <c r="N214" s="57"/>
      <c r="O214" s="58"/>
      <c r="P214" s="58"/>
      <c r="Q214" s="59"/>
      <c r="R214" s="59"/>
      <c r="S214" s="54"/>
      <c r="T214" s="54"/>
      <c r="U214" s="55"/>
      <c r="V214" s="55"/>
      <c r="W214" s="56"/>
      <c r="X214" s="56"/>
      <c r="Y214" s="57"/>
      <c r="Z214" s="57"/>
      <c r="AA214" s="58"/>
      <c r="AB214" s="58"/>
      <c r="AC214" s="59"/>
      <c r="AD214" s="59"/>
      <c r="AE214" s="96"/>
      <c r="AF214" s="97"/>
      <c r="AG214" s="98"/>
      <c r="AH214" s="99"/>
    </row>
    <row r="215" spans="1:34" x14ac:dyDescent="0.25">
      <c r="A215" s="9" t="str">
        <f t="shared" si="3"/>
        <v/>
      </c>
      <c r="B215" s="52"/>
      <c r="C215" s="53"/>
      <c r="D215" s="53"/>
      <c r="E215" s="78"/>
      <c r="F215" s="133"/>
      <c r="G215" s="54"/>
      <c r="H215" s="54"/>
      <c r="I215" s="55"/>
      <c r="J215" s="55"/>
      <c r="K215" s="56"/>
      <c r="L215" s="56"/>
      <c r="M215" s="57"/>
      <c r="N215" s="57"/>
      <c r="O215" s="58"/>
      <c r="P215" s="58"/>
      <c r="Q215" s="59"/>
      <c r="R215" s="59"/>
      <c r="S215" s="54"/>
      <c r="T215" s="54"/>
      <c r="U215" s="55"/>
      <c r="V215" s="55"/>
      <c r="W215" s="56"/>
      <c r="X215" s="56"/>
      <c r="Y215" s="57"/>
      <c r="Z215" s="57"/>
      <c r="AA215" s="58"/>
      <c r="AB215" s="58"/>
      <c r="AC215" s="59"/>
      <c r="AD215" s="59"/>
      <c r="AE215" s="96"/>
      <c r="AF215" s="97"/>
      <c r="AG215" s="98"/>
      <c r="AH215" s="99"/>
    </row>
    <row r="216" spans="1:34" x14ac:dyDescent="0.25">
      <c r="A216" s="9" t="str">
        <f t="shared" si="3"/>
        <v/>
      </c>
      <c r="B216" s="52"/>
      <c r="C216" s="53"/>
      <c r="D216" s="53"/>
      <c r="E216" s="78"/>
      <c r="F216" s="133"/>
      <c r="G216" s="54"/>
      <c r="H216" s="54"/>
      <c r="I216" s="55"/>
      <c r="J216" s="55"/>
      <c r="K216" s="56"/>
      <c r="L216" s="56"/>
      <c r="M216" s="57"/>
      <c r="N216" s="57"/>
      <c r="O216" s="58"/>
      <c r="P216" s="58"/>
      <c r="Q216" s="59"/>
      <c r="R216" s="59"/>
      <c r="S216" s="54"/>
      <c r="T216" s="54"/>
      <c r="U216" s="55"/>
      <c r="V216" s="55"/>
      <c r="W216" s="56"/>
      <c r="X216" s="56"/>
      <c r="Y216" s="57"/>
      <c r="Z216" s="57"/>
      <c r="AA216" s="58"/>
      <c r="AB216" s="58"/>
      <c r="AC216" s="59"/>
      <c r="AD216" s="59"/>
      <c r="AE216" s="96"/>
      <c r="AF216" s="97"/>
      <c r="AG216" s="98"/>
      <c r="AH216" s="99"/>
    </row>
    <row r="217" spans="1:34" x14ac:dyDescent="0.25">
      <c r="A217" s="9" t="str">
        <f t="shared" si="3"/>
        <v/>
      </c>
      <c r="B217" s="52"/>
      <c r="C217" s="53"/>
      <c r="D217" s="53"/>
      <c r="E217" s="78"/>
      <c r="F217" s="133"/>
      <c r="G217" s="54"/>
      <c r="H217" s="54"/>
      <c r="I217" s="55"/>
      <c r="J217" s="55"/>
      <c r="K217" s="56"/>
      <c r="L217" s="56"/>
      <c r="M217" s="57"/>
      <c r="N217" s="57"/>
      <c r="O217" s="58"/>
      <c r="P217" s="58"/>
      <c r="Q217" s="59"/>
      <c r="R217" s="59"/>
      <c r="S217" s="54"/>
      <c r="T217" s="54"/>
      <c r="U217" s="55"/>
      <c r="V217" s="55"/>
      <c r="W217" s="56"/>
      <c r="X217" s="56"/>
      <c r="Y217" s="57"/>
      <c r="Z217" s="57"/>
      <c r="AA217" s="58"/>
      <c r="AB217" s="58"/>
      <c r="AC217" s="59"/>
      <c r="AD217" s="59"/>
      <c r="AE217" s="96"/>
      <c r="AF217" s="97"/>
      <c r="AG217" s="98"/>
      <c r="AH217" s="99"/>
    </row>
    <row r="218" spans="1:34" x14ac:dyDescent="0.25">
      <c r="A218" s="9" t="str">
        <f t="shared" si="3"/>
        <v/>
      </c>
      <c r="B218" s="52"/>
      <c r="C218" s="53"/>
      <c r="D218" s="53"/>
      <c r="E218" s="78"/>
      <c r="F218" s="133"/>
      <c r="G218" s="54"/>
      <c r="H218" s="54"/>
      <c r="I218" s="55"/>
      <c r="J218" s="55"/>
      <c r="K218" s="56"/>
      <c r="L218" s="56"/>
      <c r="M218" s="57"/>
      <c r="N218" s="57"/>
      <c r="O218" s="58"/>
      <c r="P218" s="58"/>
      <c r="Q218" s="59"/>
      <c r="R218" s="59"/>
      <c r="S218" s="54"/>
      <c r="T218" s="54"/>
      <c r="U218" s="55"/>
      <c r="V218" s="55"/>
      <c r="W218" s="56"/>
      <c r="X218" s="56"/>
      <c r="Y218" s="57"/>
      <c r="Z218" s="57"/>
      <c r="AA218" s="58"/>
      <c r="AB218" s="58"/>
      <c r="AC218" s="59"/>
      <c r="AD218" s="59"/>
      <c r="AE218" s="96"/>
      <c r="AF218" s="97"/>
      <c r="AG218" s="98"/>
      <c r="AH218" s="99"/>
    </row>
    <row r="219" spans="1:34" x14ac:dyDescent="0.25">
      <c r="A219" s="9" t="str">
        <f t="shared" si="3"/>
        <v/>
      </c>
      <c r="B219" s="52"/>
      <c r="C219" s="53"/>
      <c r="D219" s="53"/>
      <c r="E219" s="78"/>
      <c r="F219" s="133"/>
      <c r="G219" s="54"/>
      <c r="H219" s="54"/>
      <c r="I219" s="55"/>
      <c r="J219" s="55"/>
      <c r="K219" s="56"/>
      <c r="L219" s="56"/>
      <c r="M219" s="57"/>
      <c r="N219" s="57"/>
      <c r="O219" s="58"/>
      <c r="P219" s="58"/>
      <c r="Q219" s="59"/>
      <c r="R219" s="59"/>
      <c r="S219" s="54"/>
      <c r="T219" s="54"/>
      <c r="U219" s="55"/>
      <c r="V219" s="55"/>
      <c r="W219" s="56"/>
      <c r="X219" s="56"/>
      <c r="Y219" s="57"/>
      <c r="Z219" s="57"/>
      <c r="AA219" s="58"/>
      <c r="AB219" s="58"/>
      <c r="AC219" s="59"/>
      <c r="AD219" s="59"/>
      <c r="AE219" s="96"/>
      <c r="AF219" s="97"/>
      <c r="AG219" s="98"/>
      <c r="AH219" s="99"/>
    </row>
    <row r="220" spans="1:34" x14ac:dyDescent="0.25">
      <c r="A220" s="9" t="str">
        <f t="shared" si="3"/>
        <v/>
      </c>
      <c r="B220" s="52"/>
      <c r="C220" s="53"/>
      <c r="D220" s="53"/>
      <c r="E220" s="78"/>
      <c r="F220" s="133"/>
      <c r="G220" s="54"/>
      <c r="H220" s="54"/>
      <c r="I220" s="55"/>
      <c r="J220" s="55"/>
      <c r="K220" s="56"/>
      <c r="L220" s="56"/>
      <c r="M220" s="57"/>
      <c r="N220" s="57"/>
      <c r="O220" s="58"/>
      <c r="P220" s="58"/>
      <c r="Q220" s="59"/>
      <c r="R220" s="59"/>
      <c r="S220" s="54"/>
      <c r="T220" s="54"/>
      <c r="U220" s="55"/>
      <c r="V220" s="55"/>
      <c r="W220" s="56"/>
      <c r="X220" s="56"/>
      <c r="Y220" s="57"/>
      <c r="Z220" s="57"/>
      <c r="AA220" s="58"/>
      <c r="AB220" s="58"/>
      <c r="AC220" s="59"/>
      <c r="AD220" s="59"/>
      <c r="AE220" s="96"/>
      <c r="AF220" s="97"/>
      <c r="AG220" s="98"/>
      <c r="AH220" s="99"/>
    </row>
    <row r="221" spans="1:34" x14ac:dyDescent="0.25">
      <c r="A221" s="9" t="str">
        <f t="shared" si="3"/>
        <v/>
      </c>
      <c r="B221" s="52"/>
      <c r="C221" s="53"/>
      <c r="D221" s="53"/>
      <c r="E221" s="78"/>
      <c r="F221" s="133"/>
      <c r="G221" s="54"/>
      <c r="H221" s="54"/>
      <c r="I221" s="55"/>
      <c r="J221" s="55"/>
      <c r="K221" s="56"/>
      <c r="L221" s="56"/>
      <c r="M221" s="57"/>
      <c r="N221" s="57"/>
      <c r="O221" s="58"/>
      <c r="P221" s="58"/>
      <c r="Q221" s="59"/>
      <c r="R221" s="59"/>
      <c r="S221" s="54"/>
      <c r="T221" s="54"/>
      <c r="U221" s="55"/>
      <c r="V221" s="55"/>
      <c r="W221" s="56"/>
      <c r="X221" s="56"/>
      <c r="Y221" s="57"/>
      <c r="Z221" s="57"/>
      <c r="AA221" s="58"/>
      <c r="AB221" s="58"/>
      <c r="AC221" s="59"/>
      <c r="AD221" s="59"/>
      <c r="AE221" s="96"/>
      <c r="AF221" s="97"/>
      <c r="AG221" s="98"/>
      <c r="AH221" s="99"/>
    </row>
    <row r="222" spans="1:34" x14ac:dyDescent="0.25">
      <c r="A222" s="9" t="str">
        <f t="shared" si="3"/>
        <v/>
      </c>
      <c r="B222" s="52"/>
      <c r="C222" s="53"/>
      <c r="D222" s="53"/>
      <c r="E222" s="78"/>
      <c r="F222" s="133"/>
      <c r="G222" s="54"/>
      <c r="H222" s="54"/>
      <c r="I222" s="55"/>
      <c r="J222" s="55"/>
      <c r="K222" s="56"/>
      <c r="L222" s="56"/>
      <c r="M222" s="57"/>
      <c r="N222" s="57"/>
      <c r="O222" s="58"/>
      <c r="P222" s="58"/>
      <c r="Q222" s="59"/>
      <c r="R222" s="59"/>
      <c r="S222" s="54"/>
      <c r="T222" s="54"/>
      <c r="U222" s="55"/>
      <c r="V222" s="55"/>
      <c r="W222" s="56"/>
      <c r="X222" s="56"/>
      <c r="Y222" s="57"/>
      <c r="Z222" s="57"/>
      <c r="AA222" s="58"/>
      <c r="AB222" s="58"/>
      <c r="AC222" s="59"/>
      <c r="AD222" s="59"/>
      <c r="AE222" s="96"/>
      <c r="AF222" s="97"/>
      <c r="AG222" s="98"/>
      <c r="AH222" s="99"/>
    </row>
    <row r="223" spans="1:34" x14ac:dyDescent="0.25">
      <c r="A223" s="9" t="str">
        <f t="shared" si="3"/>
        <v/>
      </c>
      <c r="B223" s="52"/>
      <c r="C223" s="53"/>
      <c r="D223" s="53"/>
      <c r="E223" s="78"/>
      <c r="F223" s="133"/>
      <c r="G223" s="54"/>
      <c r="H223" s="54"/>
      <c r="I223" s="55"/>
      <c r="J223" s="55"/>
      <c r="K223" s="56"/>
      <c r="L223" s="56"/>
      <c r="M223" s="57"/>
      <c r="N223" s="57"/>
      <c r="O223" s="58"/>
      <c r="P223" s="58"/>
      <c r="Q223" s="59"/>
      <c r="R223" s="59"/>
      <c r="S223" s="54"/>
      <c r="T223" s="54"/>
      <c r="U223" s="55"/>
      <c r="V223" s="55"/>
      <c r="W223" s="56"/>
      <c r="X223" s="56"/>
      <c r="Y223" s="57"/>
      <c r="Z223" s="57"/>
      <c r="AA223" s="58"/>
      <c r="AB223" s="58"/>
      <c r="AC223" s="59"/>
      <c r="AD223" s="59"/>
      <c r="AE223" s="96"/>
      <c r="AF223" s="97"/>
      <c r="AG223" s="98"/>
      <c r="AH223" s="99"/>
    </row>
    <row r="224" spans="1:34" x14ac:dyDescent="0.25">
      <c r="A224" s="9" t="str">
        <f t="shared" si="3"/>
        <v/>
      </c>
      <c r="B224" s="52"/>
      <c r="C224" s="53"/>
      <c r="D224" s="53"/>
      <c r="E224" s="78"/>
      <c r="F224" s="133"/>
      <c r="G224" s="54"/>
      <c r="H224" s="54"/>
      <c r="I224" s="55"/>
      <c r="J224" s="55"/>
      <c r="K224" s="56"/>
      <c r="L224" s="56"/>
      <c r="M224" s="57"/>
      <c r="N224" s="57"/>
      <c r="O224" s="58"/>
      <c r="P224" s="58"/>
      <c r="Q224" s="59"/>
      <c r="R224" s="59"/>
      <c r="S224" s="54"/>
      <c r="T224" s="54"/>
      <c r="U224" s="55"/>
      <c r="V224" s="55"/>
      <c r="W224" s="56"/>
      <c r="X224" s="56"/>
      <c r="Y224" s="57"/>
      <c r="Z224" s="57"/>
      <c r="AA224" s="58"/>
      <c r="AB224" s="58"/>
      <c r="AC224" s="59"/>
      <c r="AD224" s="59"/>
      <c r="AE224" s="96"/>
      <c r="AF224" s="97"/>
      <c r="AG224" s="98"/>
      <c r="AH224" s="99"/>
    </row>
    <row r="225" spans="1:34" x14ac:dyDescent="0.25">
      <c r="A225" s="9" t="str">
        <f t="shared" si="3"/>
        <v/>
      </c>
      <c r="B225" s="52"/>
      <c r="C225" s="53"/>
      <c r="D225" s="53"/>
      <c r="E225" s="78"/>
      <c r="F225" s="133"/>
      <c r="G225" s="54"/>
      <c r="H225" s="54"/>
      <c r="I225" s="55"/>
      <c r="J225" s="55"/>
      <c r="K225" s="56"/>
      <c r="L225" s="56"/>
      <c r="M225" s="57"/>
      <c r="N225" s="57"/>
      <c r="O225" s="58"/>
      <c r="P225" s="58"/>
      <c r="Q225" s="59"/>
      <c r="R225" s="59"/>
      <c r="S225" s="54"/>
      <c r="T225" s="54"/>
      <c r="U225" s="55"/>
      <c r="V225" s="55"/>
      <c r="W225" s="56"/>
      <c r="X225" s="56"/>
      <c r="Y225" s="57"/>
      <c r="Z225" s="57"/>
      <c r="AA225" s="58"/>
      <c r="AB225" s="58"/>
      <c r="AC225" s="59"/>
      <c r="AD225" s="59"/>
      <c r="AE225" s="96"/>
      <c r="AF225" s="97"/>
      <c r="AG225" s="98"/>
      <c r="AH225" s="99"/>
    </row>
    <row r="226" spans="1:34" x14ac:dyDescent="0.25">
      <c r="A226" s="9" t="str">
        <f t="shared" si="3"/>
        <v/>
      </c>
      <c r="B226" s="52"/>
      <c r="C226" s="53"/>
      <c r="D226" s="53"/>
      <c r="E226" s="78"/>
      <c r="F226" s="133"/>
      <c r="G226" s="54"/>
      <c r="H226" s="54"/>
      <c r="I226" s="55"/>
      <c r="J226" s="55"/>
      <c r="K226" s="56"/>
      <c r="L226" s="56"/>
      <c r="M226" s="57"/>
      <c r="N226" s="57"/>
      <c r="O226" s="58"/>
      <c r="P226" s="58"/>
      <c r="Q226" s="59"/>
      <c r="R226" s="59"/>
      <c r="S226" s="54"/>
      <c r="T226" s="54"/>
      <c r="U226" s="55"/>
      <c r="V226" s="55"/>
      <c r="W226" s="56"/>
      <c r="X226" s="56"/>
      <c r="Y226" s="57"/>
      <c r="Z226" s="57"/>
      <c r="AA226" s="58"/>
      <c r="AB226" s="58"/>
      <c r="AC226" s="59"/>
      <c r="AD226" s="59"/>
      <c r="AE226" s="96"/>
      <c r="AF226" s="97"/>
      <c r="AG226" s="98"/>
      <c r="AH226" s="99"/>
    </row>
    <row r="227" spans="1:34" x14ac:dyDescent="0.25">
      <c r="A227" s="9" t="str">
        <f t="shared" si="3"/>
        <v/>
      </c>
      <c r="B227" s="52"/>
      <c r="C227" s="53"/>
      <c r="D227" s="53"/>
      <c r="E227" s="78"/>
      <c r="F227" s="133"/>
      <c r="G227" s="54"/>
      <c r="H227" s="54"/>
      <c r="I227" s="55"/>
      <c r="J227" s="55"/>
      <c r="K227" s="56"/>
      <c r="L227" s="56"/>
      <c r="M227" s="57"/>
      <c r="N227" s="57"/>
      <c r="O227" s="58"/>
      <c r="P227" s="58"/>
      <c r="Q227" s="59"/>
      <c r="R227" s="59"/>
      <c r="S227" s="54"/>
      <c r="T227" s="54"/>
      <c r="U227" s="55"/>
      <c r="V227" s="55"/>
      <c r="W227" s="56"/>
      <c r="X227" s="56"/>
      <c r="Y227" s="57"/>
      <c r="Z227" s="57"/>
      <c r="AA227" s="58"/>
      <c r="AB227" s="58"/>
      <c r="AC227" s="59"/>
      <c r="AD227" s="59"/>
      <c r="AE227" s="96"/>
      <c r="AF227" s="97"/>
      <c r="AG227" s="98"/>
      <c r="AH227" s="99"/>
    </row>
    <row r="228" spans="1:34" x14ac:dyDescent="0.25">
      <c r="A228" s="9" t="str">
        <f t="shared" si="3"/>
        <v/>
      </c>
      <c r="B228" s="52"/>
      <c r="C228" s="53"/>
      <c r="D228" s="53"/>
      <c r="E228" s="78"/>
      <c r="F228" s="133"/>
      <c r="G228" s="54"/>
      <c r="H228" s="54"/>
      <c r="I228" s="55"/>
      <c r="J228" s="55"/>
      <c r="K228" s="56"/>
      <c r="L228" s="56"/>
      <c r="M228" s="57"/>
      <c r="N228" s="57"/>
      <c r="O228" s="58"/>
      <c r="P228" s="58"/>
      <c r="Q228" s="59"/>
      <c r="R228" s="59"/>
      <c r="S228" s="54"/>
      <c r="T228" s="54"/>
      <c r="U228" s="55"/>
      <c r="V228" s="55"/>
      <c r="W228" s="56"/>
      <c r="X228" s="56"/>
      <c r="Y228" s="57"/>
      <c r="Z228" s="57"/>
      <c r="AA228" s="58"/>
      <c r="AB228" s="58"/>
      <c r="AC228" s="59"/>
      <c r="AD228" s="59"/>
      <c r="AE228" s="96"/>
      <c r="AF228" s="97"/>
      <c r="AG228" s="98"/>
      <c r="AH228" s="99"/>
    </row>
    <row r="229" spans="1:34" x14ac:dyDescent="0.25">
      <c r="A229" s="9" t="str">
        <f t="shared" si="3"/>
        <v/>
      </c>
      <c r="B229" s="52"/>
      <c r="C229" s="53"/>
      <c r="D229" s="53"/>
      <c r="E229" s="78"/>
      <c r="F229" s="133"/>
      <c r="G229" s="54"/>
      <c r="H229" s="54"/>
      <c r="I229" s="55"/>
      <c r="J229" s="55"/>
      <c r="K229" s="56"/>
      <c r="L229" s="56"/>
      <c r="M229" s="57"/>
      <c r="N229" s="57"/>
      <c r="O229" s="58"/>
      <c r="P229" s="58"/>
      <c r="Q229" s="59"/>
      <c r="R229" s="59"/>
      <c r="S229" s="54"/>
      <c r="T229" s="54"/>
      <c r="U229" s="55"/>
      <c r="V229" s="55"/>
      <c r="W229" s="56"/>
      <c r="X229" s="56"/>
      <c r="Y229" s="57"/>
      <c r="Z229" s="57"/>
      <c r="AA229" s="58"/>
      <c r="AB229" s="58"/>
      <c r="AC229" s="59"/>
      <c r="AD229" s="59"/>
      <c r="AE229" s="96"/>
      <c r="AF229" s="97"/>
      <c r="AG229" s="98"/>
      <c r="AH229" s="99"/>
    </row>
    <row r="230" spans="1:34" x14ac:dyDescent="0.25">
      <c r="A230" s="9" t="str">
        <f t="shared" si="3"/>
        <v/>
      </c>
      <c r="B230" s="52"/>
      <c r="C230" s="53"/>
      <c r="D230" s="53"/>
      <c r="E230" s="78"/>
      <c r="F230" s="133"/>
      <c r="G230" s="54"/>
      <c r="H230" s="54"/>
      <c r="I230" s="55"/>
      <c r="J230" s="55"/>
      <c r="K230" s="56"/>
      <c r="L230" s="56"/>
      <c r="M230" s="57"/>
      <c r="N230" s="57"/>
      <c r="O230" s="58"/>
      <c r="P230" s="58"/>
      <c r="Q230" s="59"/>
      <c r="R230" s="59"/>
      <c r="S230" s="54"/>
      <c r="T230" s="54"/>
      <c r="U230" s="55"/>
      <c r="V230" s="55"/>
      <c r="W230" s="56"/>
      <c r="X230" s="56"/>
      <c r="Y230" s="57"/>
      <c r="Z230" s="57"/>
      <c r="AA230" s="58"/>
      <c r="AB230" s="58"/>
      <c r="AC230" s="59"/>
      <c r="AD230" s="59"/>
      <c r="AE230" s="96"/>
      <c r="AF230" s="97"/>
      <c r="AG230" s="98"/>
      <c r="AH230" s="99"/>
    </row>
    <row r="231" spans="1:34" x14ac:dyDescent="0.25">
      <c r="A231" s="9" t="str">
        <f t="shared" si="3"/>
        <v/>
      </c>
      <c r="B231" s="52"/>
      <c r="C231" s="53"/>
      <c r="D231" s="53"/>
      <c r="E231" s="78"/>
      <c r="F231" s="133"/>
      <c r="G231" s="54"/>
      <c r="H231" s="54"/>
      <c r="I231" s="55"/>
      <c r="J231" s="55"/>
      <c r="K231" s="56"/>
      <c r="L231" s="56"/>
      <c r="M231" s="57"/>
      <c r="N231" s="57"/>
      <c r="O231" s="58"/>
      <c r="P231" s="58"/>
      <c r="Q231" s="59"/>
      <c r="R231" s="59"/>
      <c r="S231" s="54"/>
      <c r="T231" s="54"/>
      <c r="U231" s="55"/>
      <c r="V231" s="55"/>
      <c r="W231" s="56"/>
      <c r="X231" s="56"/>
      <c r="Y231" s="57"/>
      <c r="Z231" s="57"/>
      <c r="AA231" s="58"/>
      <c r="AB231" s="58"/>
      <c r="AC231" s="59"/>
      <c r="AD231" s="59"/>
      <c r="AE231" s="96"/>
      <c r="AF231" s="97"/>
      <c r="AG231" s="98"/>
      <c r="AH231" s="99"/>
    </row>
    <row r="232" spans="1:34" x14ac:dyDescent="0.25">
      <c r="A232" s="9" t="str">
        <f t="shared" si="3"/>
        <v/>
      </c>
      <c r="B232" s="52"/>
      <c r="C232" s="53"/>
      <c r="D232" s="53"/>
      <c r="E232" s="78"/>
      <c r="F232" s="133"/>
      <c r="G232" s="54"/>
      <c r="H232" s="54"/>
      <c r="I232" s="55"/>
      <c r="J232" s="55"/>
      <c r="K232" s="56"/>
      <c r="L232" s="56"/>
      <c r="M232" s="57"/>
      <c r="N232" s="57"/>
      <c r="O232" s="58"/>
      <c r="P232" s="58"/>
      <c r="Q232" s="59"/>
      <c r="R232" s="59"/>
      <c r="S232" s="54"/>
      <c r="T232" s="54"/>
      <c r="U232" s="55"/>
      <c r="V232" s="55"/>
      <c r="W232" s="56"/>
      <c r="X232" s="56"/>
      <c r="Y232" s="57"/>
      <c r="Z232" s="57"/>
      <c r="AA232" s="58"/>
      <c r="AB232" s="58"/>
      <c r="AC232" s="59"/>
      <c r="AD232" s="59"/>
      <c r="AE232" s="96"/>
      <c r="AF232" s="97"/>
      <c r="AG232" s="98"/>
      <c r="AH232" s="99"/>
    </row>
    <row r="233" spans="1:34" x14ac:dyDescent="0.25">
      <c r="A233" s="9" t="str">
        <f t="shared" si="3"/>
        <v/>
      </c>
      <c r="B233" s="52"/>
      <c r="C233" s="53"/>
      <c r="D233" s="53"/>
      <c r="E233" s="78"/>
      <c r="F233" s="133"/>
      <c r="G233" s="54"/>
      <c r="H233" s="54"/>
      <c r="I233" s="55"/>
      <c r="J233" s="55"/>
      <c r="K233" s="56"/>
      <c r="L233" s="56"/>
      <c r="M233" s="57"/>
      <c r="N233" s="57"/>
      <c r="O233" s="58"/>
      <c r="P233" s="58"/>
      <c r="Q233" s="59"/>
      <c r="R233" s="59"/>
      <c r="S233" s="54"/>
      <c r="T233" s="54"/>
      <c r="U233" s="55"/>
      <c r="V233" s="55"/>
      <c r="W233" s="56"/>
      <c r="X233" s="56"/>
      <c r="Y233" s="57"/>
      <c r="Z233" s="57"/>
      <c r="AA233" s="58"/>
      <c r="AB233" s="58"/>
      <c r="AC233" s="59"/>
      <c r="AD233" s="59"/>
      <c r="AE233" s="96"/>
      <c r="AF233" s="97"/>
      <c r="AG233" s="98"/>
      <c r="AH233" s="99"/>
    </row>
    <row r="234" spans="1:34" x14ac:dyDescent="0.25">
      <c r="A234" s="9" t="str">
        <f t="shared" si="3"/>
        <v/>
      </c>
      <c r="B234" s="52"/>
      <c r="C234" s="53"/>
      <c r="D234" s="53"/>
      <c r="E234" s="78"/>
      <c r="F234" s="133"/>
      <c r="G234" s="54"/>
      <c r="H234" s="54"/>
      <c r="I234" s="55"/>
      <c r="J234" s="55"/>
      <c r="K234" s="56"/>
      <c r="L234" s="56"/>
      <c r="M234" s="57"/>
      <c r="N234" s="57"/>
      <c r="O234" s="58"/>
      <c r="P234" s="58"/>
      <c r="Q234" s="59"/>
      <c r="R234" s="59"/>
      <c r="S234" s="54"/>
      <c r="T234" s="54"/>
      <c r="U234" s="55"/>
      <c r="V234" s="55"/>
      <c r="W234" s="56"/>
      <c r="X234" s="56"/>
      <c r="Y234" s="57"/>
      <c r="Z234" s="57"/>
      <c r="AA234" s="58"/>
      <c r="AB234" s="58"/>
      <c r="AC234" s="59"/>
      <c r="AD234" s="59"/>
      <c r="AE234" s="96"/>
      <c r="AF234" s="97"/>
      <c r="AG234" s="98"/>
      <c r="AH234" s="99"/>
    </row>
    <row r="235" spans="1:34" x14ac:dyDescent="0.25">
      <c r="A235" s="9" t="str">
        <f t="shared" si="3"/>
        <v/>
      </c>
      <c r="B235" s="52"/>
      <c r="C235" s="53"/>
      <c r="D235" s="53"/>
      <c r="E235" s="78"/>
      <c r="F235" s="133"/>
      <c r="G235" s="54"/>
      <c r="H235" s="54"/>
      <c r="I235" s="55"/>
      <c r="J235" s="55"/>
      <c r="K235" s="56"/>
      <c r="L235" s="56"/>
      <c r="M235" s="57"/>
      <c r="N235" s="57"/>
      <c r="O235" s="58"/>
      <c r="P235" s="58"/>
      <c r="Q235" s="59"/>
      <c r="R235" s="59"/>
      <c r="S235" s="54"/>
      <c r="T235" s="54"/>
      <c r="U235" s="55"/>
      <c r="V235" s="55"/>
      <c r="W235" s="56"/>
      <c r="X235" s="56"/>
      <c r="Y235" s="57"/>
      <c r="Z235" s="57"/>
      <c r="AA235" s="58"/>
      <c r="AB235" s="58"/>
      <c r="AC235" s="59"/>
      <c r="AD235" s="59"/>
      <c r="AE235" s="96"/>
      <c r="AF235" s="97"/>
      <c r="AG235" s="98"/>
      <c r="AH235" s="99"/>
    </row>
    <row r="236" spans="1:34" x14ac:dyDescent="0.25">
      <c r="A236" s="9" t="str">
        <f t="shared" si="3"/>
        <v/>
      </c>
      <c r="B236" s="52"/>
      <c r="C236" s="53"/>
      <c r="D236" s="53"/>
      <c r="E236" s="78"/>
      <c r="F236" s="133"/>
      <c r="G236" s="54"/>
      <c r="H236" s="54"/>
      <c r="I236" s="55"/>
      <c r="J236" s="55"/>
      <c r="K236" s="56"/>
      <c r="L236" s="56"/>
      <c r="M236" s="57"/>
      <c r="N236" s="57"/>
      <c r="O236" s="58"/>
      <c r="P236" s="58"/>
      <c r="Q236" s="59"/>
      <c r="R236" s="59"/>
      <c r="S236" s="54"/>
      <c r="T236" s="54"/>
      <c r="U236" s="55"/>
      <c r="V236" s="55"/>
      <c r="W236" s="56"/>
      <c r="X236" s="56"/>
      <c r="Y236" s="57"/>
      <c r="Z236" s="57"/>
      <c r="AA236" s="58"/>
      <c r="AB236" s="58"/>
      <c r="AC236" s="59"/>
      <c r="AD236" s="59"/>
      <c r="AE236" s="96"/>
      <c r="AF236" s="97"/>
      <c r="AG236" s="98"/>
      <c r="AH236" s="99"/>
    </row>
    <row r="237" spans="1:34" x14ac:dyDescent="0.25">
      <c r="A237" s="9" t="str">
        <f t="shared" si="3"/>
        <v/>
      </c>
      <c r="B237" s="52"/>
      <c r="C237" s="53"/>
      <c r="D237" s="53"/>
      <c r="E237" s="78"/>
      <c r="F237" s="133"/>
      <c r="G237" s="54"/>
      <c r="H237" s="54"/>
      <c r="I237" s="55"/>
      <c r="J237" s="55"/>
      <c r="K237" s="56"/>
      <c r="L237" s="56"/>
      <c r="M237" s="57"/>
      <c r="N237" s="57"/>
      <c r="O237" s="58"/>
      <c r="P237" s="58"/>
      <c r="Q237" s="59"/>
      <c r="R237" s="59"/>
      <c r="S237" s="54"/>
      <c r="T237" s="54"/>
      <c r="U237" s="55"/>
      <c r="V237" s="55"/>
      <c r="W237" s="56"/>
      <c r="X237" s="56"/>
      <c r="Y237" s="57"/>
      <c r="Z237" s="57"/>
      <c r="AA237" s="58"/>
      <c r="AB237" s="58"/>
      <c r="AC237" s="59"/>
      <c r="AD237" s="59"/>
      <c r="AE237" s="96"/>
      <c r="AF237" s="97"/>
      <c r="AG237" s="98"/>
      <c r="AH237" s="99"/>
    </row>
    <row r="238" spans="1:34" x14ac:dyDescent="0.25">
      <c r="A238" s="9" t="str">
        <f t="shared" si="3"/>
        <v/>
      </c>
      <c r="B238" s="52"/>
      <c r="C238" s="53"/>
      <c r="D238" s="53"/>
      <c r="E238" s="78"/>
      <c r="F238" s="133"/>
      <c r="G238" s="54"/>
      <c r="H238" s="54"/>
      <c r="I238" s="55"/>
      <c r="J238" s="55"/>
      <c r="K238" s="56"/>
      <c r="L238" s="56"/>
      <c r="M238" s="57"/>
      <c r="N238" s="57"/>
      <c r="O238" s="58"/>
      <c r="P238" s="58"/>
      <c r="Q238" s="59"/>
      <c r="R238" s="59"/>
      <c r="S238" s="54"/>
      <c r="T238" s="54"/>
      <c r="U238" s="55"/>
      <c r="V238" s="55"/>
      <c r="W238" s="56"/>
      <c r="X238" s="56"/>
      <c r="Y238" s="57"/>
      <c r="Z238" s="57"/>
      <c r="AA238" s="58"/>
      <c r="AB238" s="58"/>
      <c r="AC238" s="59"/>
      <c r="AD238" s="59"/>
      <c r="AE238" s="96"/>
      <c r="AF238" s="97"/>
      <c r="AG238" s="98"/>
      <c r="AH238" s="99"/>
    </row>
    <row r="239" spans="1:34" x14ac:dyDescent="0.25">
      <c r="A239" s="9" t="str">
        <f t="shared" si="3"/>
        <v/>
      </c>
      <c r="B239" s="52"/>
      <c r="C239" s="53"/>
      <c r="D239" s="53"/>
      <c r="E239" s="78"/>
      <c r="F239" s="133"/>
      <c r="G239" s="54"/>
      <c r="H239" s="54"/>
      <c r="I239" s="55"/>
      <c r="J239" s="55"/>
      <c r="K239" s="56"/>
      <c r="L239" s="56"/>
      <c r="M239" s="57"/>
      <c r="N239" s="57"/>
      <c r="O239" s="58"/>
      <c r="P239" s="58"/>
      <c r="Q239" s="59"/>
      <c r="R239" s="59"/>
      <c r="S239" s="54"/>
      <c r="T239" s="54"/>
      <c r="U239" s="55"/>
      <c r="V239" s="55"/>
      <c r="W239" s="56"/>
      <c r="X239" s="56"/>
      <c r="Y239" s="57"/>
      <c r="Z239" s="57"/>
      <c r="AA239" s="58"/>
      <c r="AB239" s="58"/>
      <c r="AC239" s="59"/>
      <c r="AD239" s="59"/>
      <c r="AE239" s="96"/>
      <c r="AF239" s="97"/>
      <c r="AG239" s="98"/>
      <c r="AH239" s="99"/>
    </row>
    <row r="240" spans="1:34" x14ac:dyDescent="0.25">
      <c r="A240" s="9" t="str">
        <f t="shared" si="3"/>
        <v/>
      </c>
      <c r="B240" s="52"/>
      <c r="C240" s="53"/>
      <c r="D240" s="53"/>
      <c r="E240" s="78"/>
      <c r="F240" s="133"/>
      <c r="G240" s="54"/>
      <c r="H240" s="54"/>
      <c r="I240" s="55"/>
      <c r="J240" s="55"/>
      <c r="K240" s="56"/>
      <c r="L240" s="56"/>
      <c r="M240" s="57"/>
      <c r="N240" s="57"/>
      <c r="O240" s="58"/>
      <c r="P240" s="58"/>
      <c r="Q240" s="59"/>
      <c r="R240" s="59"/>
      <c r="S240" s="54"/>
      <c r="T240" s="54"/>
      <c r="U240" s="55"/>
      <c r="V240" s="55"/>
      <c r="W240" s="56"/>
      <c r="X240" s="56"/>
      <c r="Y240" s="57"/>
      <c r="Z240" s="57"/>
      <c r="AA240" s="58"/>
      <c r="AB240" s="58"/>
      <c r="AC240" s="59"/>
      <c r="AD240" s="59"/>
      <c r="AE240" s="96"/>
      <c r="AF240" s="97"/>
      <c r="AG240" s="98"/>
      <c r="AH240" s="99"/>
    </row>
    <row r="241" spans="1:34" x14ac:dyDescent="0.25">
      <c r="A241" s="9" t="str">
        <f t="shared" si="3"/>
        <v/>
      </c>
      <c r="B241" s="52"/>
      <c r="C241" s="53"/>
      <c r="D241" s="53"/>
      <c r="E241" s="78"/>
      <c r="F241" s="133"/>
      <c r="G241" s="54"/>
      <c r="H241" s="54"/>
      <c r="I241" s="55"/>
      <c r="J241" s="55"/>
      <c r="K241" s="56"/>
      <c r="L241" s="56"/>
      <c r="M241" s="57"/>
      <c r="N241" s="57"/>
      <c r="O241" s="58"/>
      <c r="P241" s="58"/>
      <c r="Q241" s="59"/>
      <c r="R241" s="59"/>
      <c r="S241" s="54"/>
      <c r="T241" s="54"/>
      <c r="U241" s="55"/>
      <c r="V241" s="55"/>
      <c r="W241" s="56"/>
      <c r="X241" s="56"/>
      <c r="Y241" s="57"/>
      <c r="Z241" s="57"/>
      <c r="AA241" s="58"/>
      <c r="AB241" s="58"/>
      <c r="AC241" s="59"/>
      <c r="AD241" s="59"/>
      <c r="AE241" s="96"/>
      <c r="AF241" s="97"/>
      <c r="AG241" s="98"/>
      <c r="AH241" s="99"/>
    </row>
    <row r="242" spans="1:34" x14ac:dyDescent="0.25">
      <c r="A242" s="9" t="str">
        <f t="shared" si="3"/>
        <v/>
      </c>
      <c r="B242" s="52"/>
      <c r="C242" s="53"/>
      <c r="D242" s="53"/>
      <c r="E242" s="78"/>
      <c r="F242" s="133"/>
      <c r="G242" s="54"/>
      <c r="H242" s="54"/>
      <c r="I242" s="55"/>
      <c r="J242" s="55"/>
      <c r="K242" s="56"/>
      <c r="L242" s="56"/>
      <c r="M242" s="57"/>
      <c r="N242" s="57"/>
      <c r="O242" s="58"/>
      <c r="P242" s="58"/>
      <c r="Q242" s="59"/>
      <c r="R242" s="59"/>
      <c r="S242" s="54"/>
      <c r="T242" s="54"/>
      <c r="U242" s="55"/>
      <c r="V242" s="55"/>
      <c r="W242" s="56"/>
      <c r="X242" s="56"/>
      <c r="Y242" s="57"/>
      <c r="Z242" s="57"/>
      <c r="AA242" s="58"/>
      <c r="AB242" s="58"/>
      <c r="AC242" s="59"/>
      <c r="AD242" s="59"/>
      <c r="AE242" s="96"/>
      <c r="AF242" s="97"/>
      <c r="AG242" s="98"/>
      <c r="AH242" s="99"/>
    </row>
    <row r="243" spans="1:34" x14ac:dyDescent="0.25">
      <c r="A243" s="9" t="str">
        <f t="shared" si="3"/>
        <v/>
      </c>
      <c r="B243" s="52"/>
      <c r="C243" s="53"/>
      <c r="D243" s="53"/>
      <c r="E243" s="78"/>
      <c r="F243" s="133"/>
      <c r="G243" s="54"/>
      <c r="H243" s="54"/>
      <c r="I243" s="55"/>
      <c r="J243" s="55"/>
      <c r="K243" s="56"/>
      <c r="L243" s="56"/>
      <c r="M243" s="57"/>
      <c r="N243" s="57"/>
      <c r="O243" s="58"/>
      <c r="P243" s="58"/>
      <c r="Q243" s="59"/>
      <c r="R243" s="59"/>
      <c r="S243" s="54"/>
      <c r="T243" s="54"/>
      <c r="U243" s="55"/>
      <c r="V243" s="55"/>
      <c r="W243" s="56"/>
      <c r="X243" s="56"/>
      <c r="Y243" s="57"/>
      <c r="Z243" s="57"/>
      <c r="AA243" s="58"/>
      <c r="AB243" s="58"/>
      <c r="AC243" s="59"/>
      <c r="AD243" s="59"/>
      <c r="AE243" s="96"/>
      <c r="AF243" s="97"/>
      <c r="AG243" s="98"/>
      <c r="AH243" s="99"/>
    </row>
    <row r="244" spans="1:34" x14ac:dyDescent="0.25">
      <c r="A244" s="9" t="str">
        <f t="shared" si="3"/>
        <v/>
      </c>
      <c r="B244" s="52"/>
      <c r="C244" s="53"/>
      <c r="D244" s="53"/>
      <c r="E244" s="78"/>
      <c r="F244" s="133"/>
      <c r="G244" s="54"/>
      <c r="H244" s="54"/>
      <c r="I244" s="55"/>
      <c r="J244" s="55"/>
      <c r="K244" s="56"/>
      <c r="L244" s="56"/>
      <c r="M244" s="57"/>
      <c r="N244" s="57"/>
      <c r="O244" s="58"/>
      <c r="P244" s="58"/>
      <c r="Q244" s="59"/>
      <c r="R244" s="59"/>
      <c r="S244" s="54"/>
      <c r="T244" s="54"/>
      <c r="U244" s="55"/>
      <c r="V244" s="55"/>
      <c r="W244" s="56"/>
      <c r="X244" s="56"/>
      <c r="Y244" s="57"/>
      <c r="Z244" s="57"/>
      <c r="AA244" s="58"/>
      <c r="AB244" s="58"/>
      <c r="AC244" s="59"/>
      <c r="AD244" s="59"/>
      <c r="AE244" s="96"/>
      <c r="AF244" s="97"/>
      <c r="AG244" s="98"/>
      <c r="AH244" s="99"/>
    </row>
    <row r="245" spans="1:34" x14ac:dyDescent="0.25">
      <c r="A245" s="9" t="str">
        <f t="shared" si="3"/>
        <v/>
      </c>
      <c r="B245" s="52"/>
      <c r="C245" s="53"/>
      <c r="D245" s="53"/>
      <c r="E245" s="78"/>
      <c r="F245" s="133"/>
      <c r="G245" s="54"/>
      <c r="H245" s="54"/>
      <c r="I245" s="55"/>
      <c r="J245" s="55"/>
      <c r="K245" s="56"/>
      <c r="L245" s="56"/>
      <c r="M245" s="57"/>
      <c r="N245" s="57"/>
      <c r="O245" s="58"/>
      <c r="P245" s="58"/>
      <c r="Q245" s="59"/>
      <c r="R245" s="59"/>
      <c r="S245" s="54"/>
      <c r="T245" s="54"/>
      <c r="U245" s="55"/>
      <c r="V245" s="55"/>
      <c r="W245" s="56"/>
      <c r="X245" s="56"/>
      <c r="Y245" s="57"/>
      <c r="Z245" s="57"/>
      <c r="AA245" s="58"/>
      <c r="AB245" s="58"/>
      <c r="AC245" s="59"/>
      <c r="AD245" s="59"/>
      <c r="AE245" s="96"/>
      <c r="AF245" s="97"/>
      <c r="AG245" s="98"/>
      <c r="AH245" s="99"/>
    </row>
    <row r="246" spans="1:34" x14ac:dyDescent="0.25">
      <c r="A246" s="9" t="str">
        <f t="shared" si="3"/>
        <v/>
      </c>
      <c r="B246" s="52"/>
      <c r="C246" s="53"/>
      <c r="D246" s="53"/>
      <c r="E246" s="78"/>
      <c r="F246" s="133"/>
      <c r="G246" s="54"/>
      <c r="H246" s="54"/>
      <c r="I246" s="55"/>
      <c r="J246" s="55"/>
      <c r="K246" s="56"/>
      <c r="L246" s="56"/>
      <c r="M246" s="57"/>
      <c r="N246" s="57"/>
      <c r="O246" s="58"/>
      <c r="P246" s="58"/>
      <c r="Q246" s="59"/>
      <c r="R246" s="59"/>
      <c r="S246" s="54"/>
      <c r="T246" s="54"/>
      <c r="U246" s="55"/>
      <c r="V246" s="55"/>
      <c r="W246" s="56"/>
      <c r="X246" s="56"/>
      <c r="Y246" s="57"/>
      <c r="Z246" s="57"/>
      <c r="AA246" s="58"/>
      <c r="AB246" s="58"/>
      <c r="AC246" s="59"/>
      <c r="AD246" s="59"/>
      <c r="AE246" s="96"/>
      <c r="AF246" s="97"/>
      <c r="AG246" s="98"/>
      <c r="AH246" s="99"/>
    </row>
    <row r="247" spans="1:34" x14ac:dyDescent="0.25">
      <c r="A247" s="9" t="str">
        <f t="shared" si="3"/>
        <v/>
      </c>
      <c r="B247" s="52"/>
      <c r="C247" s="53"/>
      <c r="D247" s="53"/>
      <c r="E247" s="78"/>
      <c r="F247" s="133"/>
      <c r="G247" s="54"/>
      <c r="H247" s="54"/>
      <c r="I247" s="55"/>
      <c r="J247" s="55"/>
      <c r="K247" s="56"/>
      <c r="L247" s="56"/>
      <c r="M247" s="57"/>
      <c r="N247" s="57"/>
      <c r="O247" s="58"/>
      <c r="P247" s="58"/>
      <c r="Q247" s="59"/>
      <c r="R247" s="59"/>
      <c r="S247" s="54"/>
      <c r="T247" s="54"/>
      <c r="U247" s="55"/>
      <c r="V247" s="55"/>
      <c r="W247" s="56"/>
      <c r="X247" s="56"/>
      <c r="Y247" s="57"/>
      <c r="Z247" s="57"/>
      <c r="AA247" s="58"/>
      <c r="AB247" s="58"/>
      <c r="AC247" s="59"/>
      <c r="AD247" s="59"/>
      <c r="AE247" s="96"/>
      <c r="AF247" s="97"/>
      <c r="AG247" s="98"/>
      <c r="AH247" s="99"/>
    </row>
    <row r="248" spans="1:34" x14ac:dyDescent="0.25">
      <c r="A248" s="9" t="str">
        <f t="shared" si="3"/>
        <v/>
      </c>
      <c r="B248" s="52"/>
      <c r="C248" s="53"/>
      <c r="D248" s="53"/>
      <c r="E248" s="78"/>
      <c r="F248" s="133"/>
      <c r="G248" s="54"/>
      <c r="H248" s="54"/>
      <c r="I248" s="55"/>
      <c r="J248" s="55"/>
      <c r="K248" s="56"/>
      <c r="L248" s="56"/>
      <c r="M248" s="57"/>
      <c r="N248" s="57"/>
      <c r="O248" s="58"/>
      <c r="P248" s="58"/>
      <c r="Q248" s="59"/>
      <c r="R248" s="59"/>
      <c r="S248" s="54"/>
      <c r="T248" s="54"/>
      <c r="U248" s="55"/>
      <c r="V248" s="55"/>
      <c r="W248" s="56"/>
      <c r="X248" s="56"/>
      <c r="Y248" s="57"/>
      <c r="Z248" s="57"/>
      <c r="AA248" s="58"/>
      <c r="AB248" s="58"/>
      <c r="AC248" s="59"/>
      <c r="AD248" s="59"/>
      <c r="AE248" s="96"/>
      <c r="AF248" s="97"/>
      <c r="AG248" s="98"/>
      <c r="AH248" s="99"/>
    </row>
    <row r="249" spans="1:34" x14ac:dyDescent="0.25">
      <c r="A249" s="9" t="str">
        <f t="shared" si="3"/>
        <v/>
      </c>
      <c r="B249" s="52"/>
      <c r="C249" s="53"/>
      <c r="D249" s="53"/>
      <c r="E249" s="78"/>
      <c r="F249" s="133"/>
      <c r="G249" s="54"/>
      <c r="H249" s="54"/>
      <c r="I249" s="55"/>
      <c r="J249" s="55"/>
      <c r="K249" s="56"/>
      <c r="L249" s="56"/>
      <c r="M249" s="57"/>
      <c r="N249" s="57"/>
      <c r="O249" s="58"/>
      <c r="P249" s="58"/>
      <c r="Q249" s="59"/>
      <c r="R249" s="59"/>
      <c r="S249" s="54"/>
      <c r="T249" s="54"/>
      <c r="U249" s="55"/>
      <c r="V249" s="55"/>
      <c r="W249" s="56"/>
      <c r="X249" s="56"/>
      <c r="Y249" s="57"/>
      <c r="Z249" s="57"/>
      <c r="AA249" s="58"/>
      <c r="AB249" s="58"/>
      <c r="AC249" s="59"/>
      <c r="AD249" s="59"/>
      <c r="AE249" s="96"/>
      <c r="AF249" s="97"/>
      <c r="AG249" s="98"/>
      <c r="AH249" s="99"/>
    </row>
    <row r="250" spans="1:34" x14ac:dyDescent="0.25">
      <c r="A250" s="9" t="str">
        <f t="shared" si="3"/>
        <v/>
      </c>
      <c r="B250" s="52"/>
      <c r="C250" s="53"/>
      <c r="D250" s="53"/>
      <c r="E250" s="78"/>
      <c r="F250" s="133"/>
      <c r="G250" s="54"/>
      <c r="H250" s="54"/>
      <c r="I250" s="55"/>
      <c r="J250" s="55"/>
      <c r="K250" s="56"/>
      <c r="L250" s="56"/>
      <c r="M250" s="57"/>
      <c r="N250" s="57"/>
      <c r="O250" s="58"/>
      <c r="P250" s="58"/>
      <c r="Q250" s="59"/>
      <c r="R250" s="59"/>
      <c r="S250" s="54"/>
      <c r="T250" s="54"/>
      <c r="U250" s="55"/>
      <c r="V250" s="55"/>
      <c r="W250" s="56"/>
      <c r="X250" s="56"/>
      <c r="Y250" s="57"/>
      <c r="Z250" s="57"/>
      <c r="AA250" s="58"/>
      <c r="AB250" s="58"/>
      <c r="AC250" s="59"/>
      <c r="AD250" s="59"/>
      <c r="AE250" s="96"/>
      <c r="AF250" s="97"/>
      <c r="AG250" s="98"/>
      <c r="AH250" s="99"/>
    </row>
    <row r="251" spans="1:34" x14ac:dyDescent="0.25">
      <c r="A251" s="9" t="str">
        <f t="shared" si="3"/>
        <v/>
      </c>
      <c r="B251" s="52"/>
      <c r="C251" s="53"/>
      <c r="D251" s="53"/>
      <c r="E251" s="78"/>
      <c r="F251" s="133"/>
      <c r="G251" s="54"/>
      <c r="H251" s="54"/>
      <c r="I251" s="55"/>
      <c r="J251" s="55"/>
      <c r="K251" s="56"/>
      <c r="L251" s="56"/>
      <c r="M251" s="57"/>
      <c r="N251" s="57"/>
      <c r="O251" s="58"/>
      <c r="P251" s="58"/>
      <c r="Q251" s="59"/>
      <c r="R251" s="59"/>
      <c r="S251" s="54"/>
      <c r="T251" s="54"/>
      <c r="U251" s="55"/>
      <c r="V251" s="55"/>
      <c r="W251" s="56"/>
      <c r="X251" s="56"/>
      <c r="Y251" s="57"/>
      <c r="Z251" s="57"/>
      <c r="AA251" s="58"/>
      <c r="AB251" s="58"/>
      <c r="AC251" s="59"/>
      <c r="AD251" s="59"/>
      <c r="AE251" s="96"/>
      <c r="AF251" s="97"/>
      <c r="AG251" s="98"/>
      <c r="AH251" s="99"/>
    </row>
    <row r="252" spans="1:34" x14ac:dyDescent="0.25">
      <c r="A252" s="9" t="str">
        <f t="shared" si="3"/>
        <v/>
      </c>
      <c r="B252" s="52"/>
      <c r="C252" s="53"/>
      <c r="D252" s="53"/>
      <c r="E252" s="78"/>
      <c r="F252" s="133"/>
      <c r="G252" s="54"/>
      <c r="H252" s="54"/>
      <c r="I252" s="55"/>
      <c r="J252" s="55"/>
      <c r="K252" s="56"/>
      <c r="L252" s="56"/>
      <c r="M252" s="57"/>
      <c r="N252" s="57"/>
      <c r="O252" s="58"/>
      <c r="P252" s="58"/>
      <c r="Q252" s="59"/>
      <c r="R252" s="59"/>
      <c r="S252" s="54"/>
      <c r="T252" s="54"/>
      <c r="U252" s="55"/>
      <c r="V252" s="55"/>
      <c r="W252" s="56"/>
      <c r="X252" s="56"/>
      <c r="Y252" s="57"/>
      <c r="Z252" s="57"/>
      <c r="AA252" s="58"/>
      <c r="AB252" s="58"/>
      <c r="AC252" s="59"/>
      <c r="AD252" s="59"/>
      <c r="AE252" s="96"/>
      <c r="AF252" s="97"/>
      <c r="AG252" s="98"/>
      <c r="AH252" s="99"/>
    </row>
    <row r="253" spans="1:34" x14ac:dyDescent="0.25">
      <c r="A253" s="9" t="str">
        <f t="shared" si="3"/>
        <v/>
      </c>
      <c r="B253" s="52"/>
      <c r="C253" s="53"/>
      <c r="D253" s="53"/>
      <c r="E253" s="78"/>
      <c r="F253" s="133"/>
      <c r="G253" s="54"/>
      <c r="H253" s="54"/>
      <c r="I253" s="55"/>
      <c r="J253" s="55"/>
      <c r="K253" s="56"/>
      <c r="L253" s="56"/>
      <c r="M253" s="57"/>
      <c r="N253" s="57"/>
      <c r="O253" s="58"/>
      <c r="P253" s="58"/>
      <c r="Q253" s="59"/>
      <c r="R253" s="59"/>
      <c r="S253" s="54"/>
      <c r="T253" s="54"/>
      <c r="U253" s="55"/>
      <c r="V253" s="55"/>
      <c r="W253" s="56"/>
      <c r="X253" s="56"/>
      <c r="Y253" s="57"/>
      <c r="Z253" s="57"/>
      <c r="AA253" s="58"/>
      <c r="AB253" s="58"/>
      <c r="AC253" s="59"/>
      <c r="AD253" s="59"/>
      <c r="AE253" s="96"/>
      <c r="AF253" s="97"/>
      <c r="AG253" s="98"/>
      <c r="AH253" s="99"/>
    </row>
    <row r="254" spans="1:34" x14ac:dyDescent="0.25">
      <c r="A254" s="9" t="str">
        <f t="shared" si="3"/>
        <v/>
      </c>
      <c r="B254" s="52"/>
      <c r="C254" s="53"/>
      <c r="D254" s="53"/>
      <c r="E254" s="78"/>
      <c r="F254" s="133"/>
      <c r="G254" s="54"/>
      <c r="H254" s="54"/>
      <c r="I254" s="55"/>
      <c r="J254" s="55"/>
      <c r="K254" s="56"/>
      <c r="L254" s="56"/>
      <c r="M254" s="57"/>
      <c r="N254" s="57"/>
      <c r="O254" s="58"/>
      <c r="P254" s="58"/>
      <c r="Q254" s="59"/>
      <c r="R254" s="59"/>
      <c r="S254" s="54"/>
      <c r="T254" s="54"/>
      <c r="U254" s="55"/>
      <c r="V254" s="55"/>
      <c r="W254" s="56"/>
      <c r="X254" s="56"/>
      <c r="Y254" s="57"/>
      <c r="Z254" s="57"/>
      <c r="AA254" s="58"/>
      <c r="AB254" s="58"/>
      <c r="AC254" s="59"/>
      <c r="AD254" s="59"/>
      <c r="AE254" s="96"/>
      <c r="AF254" s="97"/>
      <c r="AG254" s="98"/>
      <c r="AH254" s="99"/>
    </row>
    <row r="255" spans="1:34" x14ac:dyDescent="0.25">
      <c r="A255" s="9" t="str">
        <f t="shared" si="3"/>
        <v/>
      </c>
      <c r="B255" s="52"/>
      <c r="C255" s="53"/>
      <c r="D255" s="53"/>
      <c r="E255" s="78"/>
      <c r="F255" s="133"/>
      <c r="G255" s="54"/>
      <c r="H255" s="54"/>
      <c r="I255" s="55"/>
      <c r="J255" s="55"/>
      <c r="K255" s="56"/>
      <c r="L255" s="56"/>
      <c r="M255" s="57"/>
      <c r="N255" s="57"/>
      <c r="O255" s="58"/>
      <c r="P255" s="58"/>
      <c r="Q255" s="59"/>
      <c r="R255" s="59"/>
      <c r="S255" s="54"/>
      <c r="T255" s="54"/>
      <c r="U255" s="55"/>
      <c r="V255" s="55"/>
      <c r="W255" s="56"/>
      <c r="X255" s="56"/>
      <c r="Y255" s="57"/>
      <c r="Z255" s="57"/>
      <c r="AA255" s="58"/>
      <c r="AB255" s="58"/>
      <c r="AC255" s="59"/>
      <c r="AD255" s="59"/>
      <c r="AE255" s="96"/>
      <c r="AF255" s="97"/>
      <c r="AG255" s="98"/>
      <c r="AH255" s="99"/>
    </row>
    <row r="256" spans="1:34" x14ac:dyDescent="0.25">
      <c r="A256" s="9" t="str">
        <f t="shared" si="3"/>
        <v/>
      </c>
      <c r="B256" s="52"/>
      <c r="C256" s="53"/>
      <c r="D256" s="53"/>
      <c r="E256" s="78"/>
      <c r="F256" s="133"/>
      <c r="G256" s="54"/>
      <c r="H256" s="54"/>
      <c r="I256" s="55"/>
      <c r="J256" s="55"/>
      <c r="K256" s="56"/>
      <c r="L256" s="56"/>
      <c r="M256" s="57"/>
      <c r="N256" s="57"/>
      <c r="O256" s="58"/>
      <c r="P256" s="58"/>
      <c r="Q256" s="59"/>
      <c r="R256" s="59"/>
      <c r="S256" s="54"/>
      <c r="T256" s="54"/>
      <c r="U256" s="55"/>
      <c r="V256" s="55"/>
      <c r="W256" s="56"/>
      <c r="X256" s="56"/>
      <c r="Y256" s="57"/>
      <c r="Z256" s="57"/>
      <c r="AA256" s="58"/>
      <c r="AB256" s="58"/>
      <c r="AC256" s="59"/>
      <c r="AD256" s="59"/>
      <c r="AE256" s="96"/>
      <c r="AF256" s="97"/>
      <c r="AG256" s="98"/>
      <c r="AH256" s="99"/>
    </row>
    <row r="257" spans="1:34" x14ac:dyDescent="0.25">
      <c r="A257" s="9" t="str">
        <f t="shared" si="3"/>
        <v/>
      </c>
      <c r="B257" s="52"/>
      <c r="C257" s="53"/>
      <c r="D257" s="53"/>
      <c r="E257" s="78"/>
      <c r="F257" s="133"/>
      <c r="G257" s="54"/>
      <c r="H257" s="54"/>
      <c r="I257" s="55"/>
      <c r="J257" s="55"/>
      <c r="K257" s="56"/>
      <c r="L257" s="56"/>
      <c r="M257" s="57"/>
      <c r="N257" s="57"/>
      <c r="O257" s="58"/>
      <c r="P257" s="58"/>
      <c r="Q257" s="59"/>
      <c r="R257" s="59"/>
      <c r="S257" s="54"/>
      <c r="T257" s="54"/>
      <c r="U257" s="55"/>
      <c r="V257" s="55"/>
      <c r="W257" s="56"/>
      <c r="X257" s="56"/>
      <c r="Y257" s="57"/>
      <c r="Z257" s="57"/>
      <c r="AA257" s="58"/>
      <c r="AB257" s="58"/>
      <c r="AC257" s="59"/>
      <c r="AD257" s="59"/>
      <c r="AE257" s="96"/>
      <c r="AF257" s="97"/>
      <c r="AG257" s="98"/>
      <c r="AH257" s="99"/>
    </row>
    <row r="258" spans="1:34" x14ac:dyDescent="0.25">
      <c r="A258" s="9" t="str">
        <f t="shared" si="3"/>
        <v/>
      </c>
      <c r="B258" s="52"/>
      <c r="C258" s="53"/>
      <c r="D258" s="53"/>
      <c r="E258" s="78"/>
      <c r="F258" s="133"/>
      <c r="G258" s="54"/>
      <c r="H258" s="54"/>
      <c r="I258" s="55"/>
      <c r="J258" s="55"/>
      <c r="K258" s="56"/>
      <c r="L258" s="56"/>
      <c r="M258" s="57"/>
      <c r="N258" s="57"/>
      <c r="O258" s="58"/>
      <c r="P258" s="58"/>
      <c r="Q258" s="59"/>
      <c r="R258" s="59"/>
      <c r="S258" s="54"/>
      <c r="T258" s="54"/>
      <c r="U258" s="55"/>
      <c r="V258" s="55"/>
      <c r="W258" s="56"/>
      <c r="X258" s="56"/>
      <c r="Y258" s="57"/>
      <c r="Z258" s="57"/>
      <c r="AA258" s="58"/>
      <c r="AB258" s="58"/>
      <c r="AC258" s="59"/>
      <c r="AD258" s="59"/>
      <c r="AE258" s="96"/>
      <c r="AF258" s="97"/>
      <c r="AG258" s="98"/>
      <c r="AH258" s="99"/>
    </row>
    <row r="259" spans="1:34" x14ac:dyDescent="0.25">
      <c r="A259" s="9" t="str">
        <f t="shared" si="3"/>
        <v/>
      </c>
      <c r="B259" s="52"/>
      <c r="C259" s="53"/>
      <c r="D259" s="53"/>
      <c r="E259" s="78"/>
      <c r="F259" s="133"/>
      <c r="G259" s="54"/>
      <c r="H259" s="54"/>
      <c r="I259" s="55"/>
      <c r="J259" s="55"/>
      <c r="K259" s="56"/>
      <c r="L259" s="56"/>
      <c r="M259" s="57"/>
      <c r="N259" s="57"/>
      <c r="O259" s="58"/>
      <c r="P259" s="58"/>
      <c r="Q259" s="59"/>
      <c r="R259" s="59"/>
      <c r="S259" s="54"/>
      <c r="T259" s="54"/>
      <c r="U259" s="55"/>
      <c r="V259" s="55"/>
      <c r="W259" s="56"/>
      <c r="X259" s="56"/>
      <c r="Y259" s="57"/>
      <c r="Z259" s="57"/>
      <c r="AA259" s="58"/>
      <c r="AB259" s="58"/>
      <c r="AC259" s="59"/>
      <c r="AD259" s="59"/>
      <c r="AE259" s="96"/>
      <c r="AF259" s="97"/>
      <c r="AG259" s="98"/>
      <c r="AH259" s="99"/>
    </row>
    <row r="260" spans="1:34" x14ac:dyDescent="0.25">
      <c r="A260" s="9" t="str">
        <f t="shared" si="3"/>
        <v/>
      </c>
      <c r="B260" s="52"/>
      <c r="C260" s="53"/>
      <c r="D260" s="53"/>
      <c r="E260" s="78"/>
      <c r="F260" s="133"/>
      <c r="G260" s="54"/>
      <c r="H260" s="54"/>
      <c r="I260" s="55"/>
      <c r="J260" s="55"/>
      <c r="K260" s="56"/>
      <c r="L260" s="56"/>
      <c r="M260" s="57"/>
      <c r="N260" s="57"/>
      <c r="O260" s="58"/>
      <c r="P260" s="58"/>
      <c r="Q260" s="59"/>
      <c r="R260" s="59"/>
      <c r="S260" s="54"/>
      <c r="T260" s="54"/>
      <c r="U260" s="55"/>
      <c r="V260" s="55"/>
      <c r="W260" s="56"/>
      <c r="X260" s="56"/>
      <c r="Y260" s="57"/>
      <c r="Z260" s="57"/>
      <c r="AA260" s="58"/>
      <c r="AB260" s="58"/>
      <c r="AC260" s="59"/>
      <c r="AD260" s="59"/>
      <c r="AE260" s="96"/>
      <c r="AF260" s="97"/>
      <c r="AG260" s="98"/>
      <c r="AH260" s="99"/>
    </row>
    <row r="261" spans="1:34" x14ac:dyDescent="0.25">
      <c r="A261" s="9" t="str">
        <f t="shared" ref="A261:A324" si="4">IF(COUNTA(G261:AD261)/2=0,"",COUNTA(G261:AD261)/2)</f>
        <v/>
      </c>
      <c r="B261" s="52"/>
      <c r="C261" s="53"/>
      <c r="D261" s="53"/>
      <c r="E261" s="78"/>
      <c r="F261" s="133"/>
      <c r="G261" s="54"/>
      <c r="H261" s="54"/>
      <c r="I261" s="55"/>
      <c r="J261" s="55"/>
      <c r="K261" s="56"/>
      <c r="L261" s="56"/>
      <c r="M261" s="57"/>
      <c r="N261" s="57"/>
      <c r="O261" s="58"/>
      <c r="P261" s="58"/>
      <c r="Q261" s="59"/>
      <c r="R261" s="59"/>
      <c r="S261" s="54"/>
      <c r="T261" s="54"/>
      <c r="U261" s="55"/>
      <c r="V261" s="55"/>
      <c r="W261" s="56"/>
      <c r="X261" s="56"/>
      <c r="Y261" s="57"/>
      <c r="Z261" s="57"/>
      <c r="AA261" s="58"/>
      <c r="AB261" s="58"/>
      <c r="AC261" s="59"/>
      <c r="AD261" s="59"/>
      <c r="AE261" s="96"/>
      <c r="AF261" s="97"/>
      <c r="AG261" s="98"/>
      <c r="AH261" s="99"/>
    </row>
    <row r="262" spans="1:34" x14ac:dyDescent="0.25">
      <c r="A262" s="9" t="str">
        <f t="shared" si="4"/>
        <v/>
      </c>
      <c r="B262" s="52"/>
      <c r="C262" s="53"/>
      <c r="D262" s="53"/>
      <c r="E262" s="78"/>
      <c r="F262" s="133"/>
      <c r="G262" s="54"/>
      <c r="H262" s="54"/>
      <c r="I262" s="55"/>
      <c r="J262" s="55"/>
      <c r="K262" s="56"/>
      <c r="L262" s="56"/>
      <c r="M262" s="57"/>
      <c r="N262" s="57"/>
      <c r="O262" s="58"/>
      <c r="P262" s="58"/>
      <c r="Q262" s="59"/>
      <c r="R262" s="59"/>
      <c r="S262" s="54"/>
      <c r="T262" s="54"/>
      <c r="U262" s="55"/>
      <c r="V262" s="55"/>
      <c r="W262" s="56"/>
      <c r="X262" s="56"/>
      <c r="Y262" s="57"/>
      <c r="Z262" s="57"/>
      <c r="AA262" s="58"/>
      <c r="AB262" s="58"/>
      <c r="AC262" s="59"/>
      <c r="AD262" s="59"/>
      <c r="AE262" s="96"/>
      <c r="AF262" s="97"/>
      <c r="AG262" s="98"/>
      <c r="AH262" s="99"/>
    </row>
    <row r="263" spans="1:34" x14ac:dyDescent="0.25">
      <c r="A263" s="9" t="str">
        <f t="shared" si="4"/>
        <v/>
      </c>
      <c r="B263" s="52"/>
      <c r="C263" s="53"/>
      <c r="D263" s="53"/>
      <c r="E263" s="78"/>
      <c r="F263" s="133"/>
      <c r="G263" s="54"/>
      <c r="H263" s="54"/>
      <c r="I263" s="55"/>
      <c r="J263" s="55"/>
      <c r="K263" s="56"/>
      <c r="L263" s="56"/>
      <c r="M263" s="57"/>
      <c r="N263" s="57"/>
      <c r="O263" s="58"/>
      <c r="P263" s="58"/>
      <c r="Q263" s="59"/>
      <c r="R263" s="59"/>
      <c r="S263" s="54"/>
      <c r="T263" s="54"/>
      <c r="U263" s="55"/>
      <c r="V263" s="55"/>
      <c r="W263" s="56"/>
      <c r="X263" s="56"/>
      <c r="Y263" s="57"/>
      <c r="Z263" s="57"/>
      <c r="AA263" s="58"/>
      <c r="AB263" s="58"/>
      <c r="AC263" s="59"/>
      <c r="AD263" s="59"/>
      <c r="AE263" s="96"/>
      <c r="AF263" s="97"/>
      <c r="AG263" s="98"/>
      <c r="AH263" s="99"/>
    </row>
    <row r="264" spans="1:34" x14ac:dyDescent="0.25">
      <c r="A264" s="9" t="str">
        <f t="shared" si="4"/>
        <v/>
      </c>
      <c r="B264" s="52"/>
      <c r="C264" s="53"/>
      <c r="D264" s="53"/>
      <c r="E264" s="78"/>
      <c r="F264" s="133"/>
      <c r="G264" s="54"/>
      <c r="H264" s="54"/>
      <c r="I264" s="55"/>
      <c r="J264" s="55"/>
      <c r="K264" s="56"/>
      <c r="L264" s="56"/>
      <c r="M264" s="57"/>
      <c r="N264" s="57"/>
      <c r="O264" s="58"/>
      <c r="P264" s="58"/>
      <c r="Q264" s="59"/>
      <c r="R264" s="59"/>
      <c r="S264" s="54"/>
      <c r="T264" s="54"/>
      <c r="U264" s="55"/>
      <c r="V264" s="55"/>
      <c r="W264" s="56"/>
      <c r="X264" s="56"/>
      <c r="Y264" s="57"/>
      <c r="Z264" s="57"/>
      <c r="AA264" s="58"/>
      <c r="AB264" s="58"/>
      <c r="AC264" s="59"/>
      <c r="AD264" s="59"/>
      <c r="AE264" s="96"/>
      <c r="AF264" s="97"/>
      <c r="AG264" s="98"/>
      <c r="AH264" s="99"/>
    </row>
    <row r="265" spans="1:34" x14ac:dyDescent="0.25">
      <c r="A265" s="9" t="str">
        <f t="shared" si="4"/>
        <v/>
      </c>
      <c r="B265" s="52"/>
      <c r="C265" s="53"/>
      <c r="D265" s="53"/>
      <c r="E265" s="78"/>
      <c r="F265" s="133"/>
      <c r="G265" s="54"/>
      <c r="H265" s="54"/>
      <c r="I265" s="55"/>
      <c r="J265" s="55"/>
      <c r="K265" s="56"/>
      <c r="L265" s="56"/>
      <c r="M265" s="57"/>
      <c r="N265" s="57"/>
      <c r="O265" s="58"/>
      <c r="P265" s="58"/>
      <c r="Q265" s="59"/>
      <c r="R265" s="59"/>
      <c r="S265" s="54"/>
      <c r="T265" s="54"/>
      <c r="U265" s="55"/>
      <c r="V265" s="55"/>
      <c r="W265" s="56"/>
      <c r="X265" s="56"/>
      <c r="Y265" s="57"/>
      <c r="Z265" s="57"/>
      <c r="AA265" s="58"/>
      <c r="AB265" s="58"/>
      <c r="AC265" s="59"/>
      <c r="AD265" s="59"/>
      <c r="AE265" s="96"/>
      <c r="AF265" s="97"/>
      <c r="AG265" s="98"/>
      <c r="AH265" s="99"/>
    </row>
    <row r="266" spans="1:34" x14ac:dyDescent="0.25">
      <c r="A266" s="9" t="str">
        <f t="shared" si="4"/>
        <v/>
      </c>
      <c r="B266" s="52"/>
      <c r="C266" s="53"/>
      <c r="D266" s="53"/>
      <c r="E266" s="78"/>
      <c r="F266" s="133"/>
      <c r="G266" s="54"/>
      <c r="H266" s="54"/>
      <c r="I266" s="55"/>
      <c r="J266" s="55"/>
      <c r="K266" s="56"/>
      <c r="L266" s="56"/>
      <c r="M266" s="57"/>
      <c r="N266" s="57"/>
      <c r="O266" s="58"/>
      <c r="P266" s="58"/>
      <c r="Q266" s="59"/>
      <c r="R266" s="59"/>
      <c r="S266" s="54"/>
      <c r="T266" s="54"/>
      <c r="U266" s="55"/>
      <c r="V266" s="55"/>
      <c r="W266" s="56"/>
      <c r="X266" s="56"/>
      <c r="Y266" s="57"/>
      <c r="Z266" s="57"/>
      <c r="AA266" s="58"/>
      <c r="AB266" s="58"/>
      <c r="AC266" s="59"/>
      <c r="AD266" s="59"/>
      <c r="AE266" s="96"/>
      <c r="AF266" s="97"/>
      <c r="AG266" s="98"/>
      <c r="AH266" s="99"/>
    </row>
    <row r="267" spans="1:34" x14ac:dyDescent="0.25">
      <c r="A267" s="9" t="str">
        <f t="shared" si="4"/>
        <v/>
      </c>
      <c r="B267" s="52"/>
      <c r="C267" s="53"/>
      <c r="D267" s="53"/>
      <c r="E267" s="78"/>
      <c r="F267" s="133"/>
      <c r="G267" s="54"/>
      <c r="H267" s="54"/>
      <c r="I267" s="55"/>
      <c r="J267" s="55"/>
      <c r="K267" s="56"/>
      <c r="L267" s="56"/>
      <c r="M267" s="57"/>
      <c r="N267" s="57"/>
      <c r="O267" s="58"/>
      <c r="P267" s="58"/>
      <c r="Q267" s="59"/>
      <c r="R267" s="59"/>
      <c r="S267" s="54"/>
      <c r="T267" s="54"/>
      <c r="U267" s="55"/>
      <c r="V267" s="55"/>
      <c r="W267" s="56"/>
      <c r="X267" s="56"/>
      <c r="Y267" s="57"/>
      <c r="Z267" s="57"/>
      <c r="AA267" s="58"/>
      <c r="AB267" s="58"/>
      <c r="AC267" s="59"/>
      <c r="AD267" s="59"/>
      <c r="AE267" s="96"/>
      <c r="AF267" s="97"/>
      <c r="AG267" s="98"/>
      <c r="AH267" s="99"/>
    </row>
    <row r="268" spans="1:34" x14ac:dyDescent="0.25">
      <c r="A268" s="9" t="str">
        <f t="shared" si="4"/>
        <v/>
      </c>
      <c r="B268" s="52"/>
      <c r="C268" s="53"/>
      <c r="D268" s="53"/>
      <c r="E268" s="78"/>
      <c r="F268" s="133"/>
      <c r="G268" s="54"/>
      <c r="H268" s="54"/>
      <c r="I268" s="55"/>
      <c r="J268" s="55"/>
      <c r="K268" s="56"/>
      <c r="L268" s="56"/>
      <c r="M268" s="57"/>
      <c r="N268" s="57"/>
      <c r="O268" s="58"/>
      <c r="P268" s="58"/>
      <c r="Q268" s="59"/>
      <c r="R268" s="59"/>
      <c r="S268" s="54"/>
      <c r="T268" s="54"/>
      <c r="U268" s="55"/>
      <c r="V268" s="55"/>
      <c r="W268" s="56"/>
      <c r="X268" s="56"/>
      <c r="Y268" s="57"/>
      <c r="Z268" s="57"/>
      <c r="AA268" s="58"/>
      <c r="AB268" s="58"/>
      <c r="AC268" s="59"/>
      <c r="AD268" s="59"/>
      <c r="AE268" s="96"/>
      <c r="AF268" s="97"/>
      <c r="AG268" s="98"/>
      <c r="AH268" s="99"/>
    </row>
    <row r="269" spans="1:34" x14ac:dyDescent="0.25">
      <c r="A269" s="9" t="str">
        <f t="shared" si="4"/>
        <v/>
      </c>
      <c r="B269" s="52"/>
      <c r="C269" s="53"/>
      <c r="D269" s="53"/>
      <c r="E269" s="78"/>
      <c r="F269" s="133"/>
      <c r="G269" s="54"/>
      <c r="H269" s="54"/>
      <c r="I269" s="55"/>
      <c r="J269" s="55"/>
      <c r="K269" s="56"/>
      <c r="L269" s="56"/>
      <c r="M269" s="57"/>
      <c r="N269" s="57"/>
      <c r="O269" s="58"/>
      <c r="P269" s="58"/>
      <c r="Q269" s="59"/>
      <c r="R269" s="59"/>
      <c r="S269" s="54"/>
      <c r="T269" s="54"/>
      <c r="U269" s="55"/>
      <c r="V269" s="55"/>
      <c r="W269" s="56"/>
      <c r="X269" s="56"/>
      <c r="Y269" s="57"/>
      <c r="Z269" s="57"/>
      <c r="AA269" s="58"/>
      <c r="AB269" s="58"/>
      <c r="AC269" s="59"/>
      <c r="AD269" s="59"/>
      <c r="AE269" s="96"/>
      <c r="AF269" s="97"/>
      <c r="AG269" s="98"/>
      <c r="AH269" s="99"/>
    </row>
    <row r="270" spans="1:34" x14ac:dyDescent="0.25">
      <c r="A270" s="9" t="str">
        <f t="shared" si="4"/>
        <v/>
      </c>
      <c r="B270" s="52"/>
      <c r="C270" s="53"/>
      <c r="D270" s="53"/>
      <c r="E270" s="78"/>
      <c r="F270" s="133"/>
      <c r="G270" s="54"/>
      <c r="H270" s="54"/>
      <c r="I270" s="55"/>
      <c r="J270" s="55"/>
      <c r="K270" s="56"/>
      <c r="L270" s="56"/>
      <c r="M270" s="57"/>
      <c r="N270" s="57"/>
      <c r="O270" s="58"/>
      <c r="P270" s="58"/>
      <c r="Q270" s="59"/>
      <c r="R270" s="59"/>
      <c r="S270" s="54"/>
      <c r="T270" s="54"/>
      <c r="U270" s="55"/>
      <c r="V270" s="55"/>
      <c r="W270" s="56"/>
      <c r="X270" s="56"/>
      <c r="Y270" s="57"/>
      <c r="Z270" s="57"/>
      <c r="AA270" s="58"/>
      <c r="AB270" s="58"/>
      <c r="AC270" s="59"/>
      <c r="AD270" s="59"/>
      <c r="AE270" s="96"/>
      <c r="AF270" s="97"/>
      <c r="AG270" s="98"/>
      <c r="AH270" s="99"/>
    </row>
    <row r="271" spans="1:34" x14ac:dyDescent="0.25">
      <c r="A271" s="9" t="str">
        <f t="shared" si="4"/>
        <v/>
      </c>
      <c r="B271" s="52"/>
      <c r="C271" s="53"/>
      <c r="D271" s="53"/>
      <c r="E271" s="78"/>
      <c r="F271" s="133"/>
      <c r="G271" s="54"/>
      <c r="H271" s="54"/>
      <c r="I271" s="55"/>
      <c r="J271" s="55"/>
      <c r="K271" s="56"/>
      <c r="L271" s="56"/>
      <c r="M271" s="57"/>
      <c r="N271" s="57"/>
      <c r="O271" s="58"/>
      <c r="P271" s="58"/>
      <c r="Q271" s="59"/>
      <c r="R271" s="59"/>
      <c r="S271" s="54"/>
      <c r="T271" s="54"/>
      <c r="U271" s="55"/>
      <c r="V271" s="55"/>
      <c r="W271" s="56"/>
      <c r="X271" s="56"/>
      <c r="Y271" s="57"/>
      <c r="Z271" s="57"/>
      <c r="AA271" s="58"/>
      <c r="AB271" s="58"/>
      <c r="AC271" s="59"/>
      <c r="AD271" s="59"/>
      <c r="AE271" s="96"/>
      <c r="AF271" s="97"/>
      <c r="AG271" s="98"/>
      <c r="AH271" s="99"/>
    </row>
    <row r="272" spans="1:34" x14ac:dyDescent="0.25">
      <c r="A272" s="9" t="str">
        <f t="shared" si="4"/>
        <v/>
      </c>
      <c r="B272" s="52"/>
      <c r="C272" s="53"/>
      <c r="D272" s="53"/>
      <c r="E272" s="78"/>
      <c r="F272" s="133"/>
      <c r="G272" s="54"/>
      <c r="H272" s="54"/>
      <c r="I272" s="55"/>
      <c r="J272" s="55"/>
      <c r="K272" s="56"/>
      <c r="L272" s="56"/>
      <c r="M272" s="57"/>
      <c r="N272" s="57"/>
      <c r="O272" s="58"/>
      <c r="P272" s="58"/>
      <c r="Q272" s="59"/>
      <c r="R272" s="59"/>
      <c r="S272" s="54"/>
      <c r="T272" s="54"/>
      <c r="U272" s="55"/>
      <c r="V272" s="55"/>
      <c r="W272" s="56"/>
      <c r="X272" s="56"/>
      <c r="Y272" s="57"/>
      <c r="Z272" s="57"/>
      <c r="AA272" s="58"/>
      <c r="AB272" s="58"/>
      <c r="AC272" s="59"/>
      <c r="AD272" s="59"/>
      <c r="AE272" s="96"/>
      <c r="AF272" s="97"/>
      <c r="AG272" s="98"/>
      <c r="AH272" s="99"/>
    </row>
    <row r="273" spans="1:34" x14ac:dyDescent="0.25">
      <c r="A273" s="9" t="str">
        <f t="shared" si="4"/>
        <v/>
      </c>
      <c r="B273" s="52"/>
      <c r="C273" s="53"/>
      <c r="D273" s="53"/>
      <c r="E273" s="78"/>
      <c r="F273" s="133"/>
      <c r="G273" s="54"/>
      <c r="H273" s="54"/>
      <c r="I273" s="55"/>
      <c r="J273" s="55"/>
      <c r="K273" s="56"/>
      <c r="L273" s="56"/>
      <c r="M273" s="57"/>
      <c r="N273" s="57"/>
      <c r="O273" s="58"/>
      <c r="P273" s="58"/>
      <c r="Q273" s="59"/>
      <c r="R273" s="59"/>
      <c r="S273" s="54"/>
      <c r="T273" s="54"/>
      <c r="U273" s="55"/>
      <c r="V273" s="55"/>
      <c r="W273" s="56"/>
      <c r="X273" s="56"/>
      <c r="Y273" s="57"/>
      <c r="Z273" s="57"/>
      <c r="AA273" s="58"/>
      <c r="AB273" s="58"/>
      <c r="AC273" s="59"/>
      <c r="AD273" s="59"/>
      <c r="AE273" s="96"/>
      <c r="AF273" s="97"/>
      <c r="AG273" s="98"/>
      <c r="AH273" s="99"/>
    </row>
    <row r="274" spans="1:34" x14ac:dyDescent="0.25">
      <c r="A274" s="9" t="str">
        <f t="shared" si="4"/>
        <v/>
      </c>
      <c r="B274" s="52"/>
      <c r="C274" s="53"/>
      <c r="D274" s="53"/>
      <c r="E274" s="78"/>
      <c r="F274" s="133"/>
      <c r="G274" s="54"/>
      <c r="H274" s="54"/>
      <c r="I274" s="55"/>
      <c r="J274" s="55"/>
      <c r="K274" s="56"/>
      <c r="L274" s="56"/>
      <c r="M274" s="57"/>
      <c r="N274" s="57"/>
      <c r="O274" s="58"/>
      <c r="P274" s="58"/>
      <c r="Q274" s="59"/>
      <c r="R274" s="59"/>
      <c r="S274" s="54"/>
      <c r="T274" s="54"/>
      <c r="U274" s="55"/>
      <c r="V274" s="55"/>
      <c r="W274" s="56"/>
      <c r="X274" s="56"/>
      <c r="Y274" s="57"/>
      <c r="Z274" s="57"/>
      <c r="AA274" s="58"/>
      <c r="AB274" s="58"/>
      <c r="AC274" s="59"/>
      <c r="AD274" s="59"/>
      <c r="AE274" s="96"/>
      <c r="AF274" s="97"/>
      <c r="AG274" s="98"/>
      <c r="AH274" s="99"/>
    </row>
    <row r="275" spans="1:34" x14ac:dyDescent="0.25">
      <c r="A275" s="9" t="str">
        <f t="shared" si="4"/>
        <v/>
      </c>
      <c r="B275" s="52"/>
      <c r="C275" s="53"/>
      <c r="D275" s="53"/>
      <c r="E275" s="78"/>
      <c r="F275" s="133"/>
      <c r="G275" s="54"/>
      <c r="H275" s="54"/>
      <c r="I275" s="55"/>
      <c r="J275" s="55"/>
      <c r="K275" s="56"/>
      <c r="L275" s="56"/>
      <c r="M275" s="57"/>
      <c r="N275" s="57"/>
      <c r="O275" s="58"/>
      <c r="P275" s="58"/>
      <c r="Q275" s="59"/>
      <c r="R275" s="59"/>
      <c r="S275" s="54"/>
      <c r="T275" s="54"/>
      <c r="U275" s="55"/>
      <c r="V275" s="55"/>
      <c r="W275" s="56"/>
      <c r="X275" s="56"/>
      <c r="Y275" s="57"/>
      <c r="Z275" s="57"/>
      <c r="AA275" s="58"/>
      <c r="AB275" s="58"/>
      <c r="AC275" s="59"/>
      <c r="AD275" s="59"/>
      <c r="AE275" s="96"/>
      <c r="AF275" s="97"/>
      <c r="AG275" s="98"/>
      <c r="AH275" s="99"/>
    </row>
    <row r="276" spans="1:34" x14ac:dyDescent="0.25">
      <c r="A276" s="9" t="str">
        <f t="shared" si="4"/>
        <v/>
      </c>
      <c r="B276" s="52"/>
      <c r="C276" s="53"/>
      <c r="D276" s="53"/>
      <c r="E276" s="78"/>
      <c r="F276" s="133"/>
      <c r="G276" s="54"/>
      <c r="H276" s="54"/>
      <c r="I276" s="55"/>
      <c r="J276" s="55"/>
      <c r="K276" s="56"/>
      <c r="L276" s="56"/>
      <c r="M276" s="57"/>
      <c r="N276" s="57"/>
      <c r="O276" s="58"/>
      <c r="P276" s="58"/>
      <c r="Q276" s="59"/>
      <c r="R276" s="59"/>
      <c r="S276" s="54"/>
      <c r="T276" s="54"/>
      <c r="U276" s="55"/>
      <c r="V276" s="55"/>
      <c r="W276" s="56"/>
      <c r="X276" s="56"/>
      <c r="Y276" s="57"/>
      <c r="Z276" s="57"/>
      <c r="AA276" s="58"/>
      <c r="AB276" s="58"/>
      <c r="AC276" s="59"/>
      <c r="AD276" s="59"/>
      <c r="AE276" s="96"/>
      <c r="AF276" s="97"/>
      <c r="AG276" s="98"/>
      <c r="AH276" s="99"/>
    </row>
    <row r="277" spans="1:34" x14ac:dyDescent="0.25">
      <c r="A277" s="9" t="str">
        <f t="shared" si="4"/>
        <v/>
      </c>
      <c r="B277" s="52"/>
      <c r="C277" s="53"/>
      <c r="D277" s="53"/>
      <c r="E277" s="78"/>
      <c r="F277" s="133"/>
      <c r="G277" s="54"/>
      <c r="H277" s="54"/>
      <c r="I277" s="55"/>
      <c r="J277" s="55"/>
      <c r="K277" s="56"/>
      <c r="L277" s="56"/>
      <c r="M277" s="57"/>
      <c r="N277" s="57"/>
      <c r="O277" s="58"/>
      <c r="P277" s="58"/>
      <c r="Q277" s="59"/>
      <c r="R277" s="59"/>
      <c r="S277" s="54"/>
      <c r="T277" s="54"/>
      <c r="U277" s="55"/>
      <c r="V277" s="55"/>
      <c r="W277" s="56"/>
      <c r="X277" s="56"/>
      <c r="Y277" s="57"/>
      <c r="Z277" s="57"/>
      <c r="AA277" s="58"/>
      <c r="AB277" s="58"/>
      <c r="AC277" s="59"/>
      <c r="AD277" s="59"/>
      <c r="AE277" s="96"/>
      <c r="AF277" s="97"/>
      <c r="AG277" s="98"/>
      <c r="AH277" s="99"/>
    </row>
    <row r="278" spans="1:34" x14ac:dyDescent="0.25">
      <c r="A278" s="9" t="str">
        <f t="shared" si="4"/>
        <v/>
      </c>
      <c r="B278" s="52"/>
      <c r="C278" s="53"/>
      <c r="D278" s="53"/>
      <c r="E278" s="78"/>
      <c r="F278" s="133"/>
      <c r="G278" s="54"/>
      <c r="H278" s="54"/>
      <c r="I278" s="55"/>
      <c r="J278" s="55"/>
      <c r="K278" s="56"/>
      <c r="L278" s="56"/>
      <c r="M278" s="57"/>
      <c r="N278" s="57"/>
      <c r="O278" s="58"/>
      <c r="P278" s="58"/>
      <c r="Q278" s="59"/>
      <c r="R278" s="59"/>
      <c r="S278" s="54"/>
      <c r="T278" s="54"/>
      <c r="U278" s="55"/>
      <c r="V278" s="55"/>
      <c r="W278" s="56"/>
      <c r="X278" s="56"/>
      <c r="Y278" s="57"/>
      <c r="Z278" s="57"/>
      <c r="AA278" s="58"/>
      <c r="AB278" s="58"/>
      <c r="AC278" s="59"/>
      <c r="AD278" s="59"/>
      <c r="AE278" s="96"/>
      <c r="AF278" s="97"/>
      <c r="AG278" s="98"/>
      <c r="AH278" s="99"/>
    </row>
    <row r="279" spans="1:34" x14ac:dyDescent="0.25">
      <c r="A279" s="9" t="str">
        <f t="shared" si="4"/>
        <v/>
      </c>
      <c r="B279" s="52"/>
      <c r="C279" s="53"/>
      <c r="D279" s="53"/>
      <c r="E279" s="78"/>
      <c r="F279" s="133"/>
      <c r="G279" s="54"/>
      <c r="H279" s="54"/>
      <c r="I279" s="55"/>
      <c r="J279" s="55"/>
      <c r="K279" s="56"/>
      <c r="L279" s="56"/>
      <c r="M279" s="57"/>
      <c r="N279" s="57"/>
      <c r="O279" s="58"/>
      <c r="P279" s="58"/>
      <c r="Q279" s="59"/>
      <c r="R279" s="59"/>
      <c r="S279" s="54"/>
      <c r="T279" s="54"/>
      <c r="U279" s="55"/>
      <c r="V279" s="55"/>
      <c r="W279" s="56"/>
      <c r="X279" s="56"/>
      <c r="Y279" s="57"/>
      <c r="Z279" s="57"/>
      <c r="AA279" s="58"/>
      <c r="AB279" s="58"/>
      <c r="AC279" s="59"/>
      <c r="AD279" s="59"/>
      <c r="AE279" s="96"/>
      <c r="AF279" s="97"/>
      <c r="AG279" s="98"/>
      <c r="AH279" s="99"/>
    </row>
    <row r="280" spans="1:34" x14ac:dyDescent="0.25">
      <c r="A280" s="9" t="str">
        <f t="shared" si="4"/>
        <v/>
      </c>
      <c r="B280" s="52"/>
      <c r="C280" s="53"/>
      <c r="D280" s="53"/>
      <c r="E280" s="78"/>
      <c r="F280" s="133"/>
      <c r="G280" s="54"/>
      <c r="H280" s="54"/>
      <c r="I280" s="55"/>
      <c r="J280" s="55"/>
      <c r="K280" s="56"/>
      <c r="L280" s="56"/>
      <c r="M280" s="57"/>
      <c r="N280" s="57"/>
      <c r="O280" s="58"/>
      <c r="P280" s="58"/>
      <c r="Q280" s="59"/>
      <c r="R280" s="59"/>
      <c r="S280" s="54"/>
      <c r="T280" s="54"/>
      <c r="U280" s="55"/>
      <c r="V280" s="55"/>
      <c r="W280" s="56"/>
      <c r="X280" s="56"/>
      <c r="Y280" s="57"/>
      <c r="Z280" s="57"/>
      <c r="AA280" s="58"/>
      <c r="AB280" s="58"/>
      <c r="AC280" s="59"/>
      <c r="AD280" s="59"/>
      <c r="AE280" s="96"/>
      <c r="AF280" s="97"/>
      <c r="AG280" s="98"/>
      <c r="AH280" s="99"/>
    </row>
    <row r="281" spans="1:34" x14ac:dyDescent="0.25">
      <c r="A281" s="9" t="str">
        <f t="shared" si="4"/>
        <v/>
      </c>
      <c r="B281" s="52"/>
      <c r="C281" s="53"/>
      <c r="D281" s="53"/>
      <c r="E281" s="78"/>
      <c r="F281" s="133"/>
      <c r="G281" s="54"/>
      <c r="H281" s="54"/>
      <c r="I281" s="55"/>
      <c r="J281" s="55"/>
      <c r="K281" s="56"/>
      <c r="L281" s="56"/>
      <c r="M281" s="57"/>
      <c r="N281" s="57"/>
      <c r="O281" s="58"/>
      <c r="P281" s="58"/>
      <c r="Q281" s="59"/>
      <c r="R281" s="59"/>
      <c r="S281" s="54"/>
      <c r="T281" s="54"/>
      <c r="U281" s="55"/>
      <c r="V281" s="55"/>
      <c r="W281" s="56"/>
      <c r="X281" s="56"/>
      <c r="Y281" s="57"/>
      <c r="Z281" s="57"/>
      <c r="AA281" s="58"/>
      <c r="AB281" s="58"/>
      <c r="AC281" s="59"/>
      <c r="AD281" s="59"/>
      <c r="AE281" s="96"/>
      <c r="AF281" s="97"/>
      <c r="AG281" s="98"/>
      <c r="AH281" s="99"/>
    </row>
    <row r="282" spans="1:34" x14ac:dyDescent="0.25">
      <c r="A282" s="9" t="str">
        <f t="shared" si="4"/>
        <v/>
      </c>
      <c r="B282" s="52"/>
      <c r="C282" s="53"/>
      <c r="D282" s="53"/>
      <c r="E282" s="78"/>
      <c r="F282" s="133"/>
      <c r="G282" s="54"/>
      <c r="H282" s="54"/>
      <c r="I282" s="55"/>
      <c r="J282" s="55"/>
      <c r="K282" s="56"/>
      <c r="L282" s="56"/>
      <c r="M282" s="57"/>
      <c r="N282" s="57"/>
      <c r="O282" s="58"/>
      <c r="P282" s="58"/>
      <c r="Q282" s="59"/>
      <c r="R282" s="59"/>
      <c r="S282" s="54"/>
      <c r="T282" s="54"/>
      <c r="U282" s="55"/>
      <c r="V282" s="55"/>
      <c r="W282" s="56"/>
      <c r="X282" s="56"/>
      <c r="Y282" s="57"/>
      <c r="Z282" s="57"/>
      <c r="AA282" s="58"/>
      <c r="AB282" s="58"/>
      <c r="AC282" s="59"/>
      <c r="AD282" s="59"/>
      <c r="AE282" s="96"/>
      <c r="AF282" s="97"/>
      <c r="AG282" s="98"/>
      <c r="AH282" s="99"/>
    </row>
    <row r="283" spans="1:34" x14ac:dyDescent="0.25">
      <c r="A283" s="9" t="str">
        <f t="shared" si="4"/>
        <v/>
      </c>
      <c r="B283" s="52"/>
      <c r="C283" s="53"/>
      <c r="D283" s="53"/>
      <c r="E283" s="78"/>
      <c r="F283" s="133"/>
      <c r="G283" s="54"/>
      <c r="H283" s="54"/>
      <c r="I283" s="55"/>
      <c r="J283" s="55"/>
      <c r="K283" s="56"/>
      <c r="L283" s="56"/>
      <c r="M283" s="57"/>
      <c r="N283" s="57"/>
      <c r="O283" s="58"/>
      <c r="P283" s="58"/>
      <c r="Q283" s="59"/>
      <c r="R283" s="59"/>
      <c r="S283" s="54"/>
      <c r="T283" s="54"/>
      <c r="U283" s="55"/>
      <c r="V283" s="55"/>
      <c r="W283" s="56"/>
      <c r="X283" s="56"/>
      <c r="Y283" s="57"/>
      <c r="Z283" s="57"/>
      <c r="AA283" s="58"/>
      <c r="AB283" s="58"/>
      <c r="AC283" s="59"/>
      <c r="AD283" s="59"/>
      <c r="AE283" s="96"/>
      <c r="AF283" s="97"/>
      <c r="AG283" s="98"/>
      <c r="AH283" s="99"/>
    </row>
    <row r="284" spans="1:34" x14ac:dyDescent="0.25">
      <c r="A284" s="9" t="str">
        <f t="shared" si="4"/>
        <v/>
      </c>
      <c r="B284" s="52"/>
      <c r="C284" s="53"/>
      <c r="D284" s="53"/>
      <c r="E284" s="78"/>
      <c r="F284" s="133"/>
      <c r="G284" s="54"/>
      <c r="H284" s="54"/>
      <c r="I284" s="55"/>
      <c r="J284" s="55"/>
      <c r="K284" s="56"/>
      <c r="L284" s="56"/>
      <c r="M284" s="57"/>
      <c r="N284" s="57"/>
      <c r="O284" s="58"/>
      <c r="P284" s="58"/>
      <c r="Q284" s="59"/>
      <c r="R284" s="59"/>
      <c r="S284" s="54"/>
      <c r="T284" s="54"/>
      <c r="U284" s="55"/>
      <c r="V284" s="55"/>
      <c r="W284" s="56"/>
      <c r="X284" s="56"/>
      <c r="Y284" s="57"/>
      <c r="Z284" s="57"/>
      <c r="AA284" s="58"/>
      <c r="AB284" s="58"/>
      <c r="AC284" s="59"/>
      <c r="AD284" s="59"/>
      <c r="AE284" s="96"/>
      <c r="AF284" s="97"/>
      <c r="AG284" s="98"/>
      <c r="AH284" s="99"/>
    </row>
    <row r="285" spans="1:34" x14ac:dyDescent="0.25">
      <c r="A285" s="9" t="str">
        <f t="shared" si="4"/>
        <v/>
      </c>
      <c r="B285" s="52"/>
      <c r="C285" s="53"/>
      <c r="D285" s="53"/>
      <c r="E285" s="78"/>
      <c r="F285" s="133"/>
      <c r="G285" s="54"/>
      <c r="H285" s="54"/>
      <c r="I285" s="55"/>
      <c r="J285" s="55"/>
      <c r="K285" s="56"/>
      <c r="L285" s="56"/>
      <c r="M285" s="57"/>
      <c r="N285" s="57"/>
      <c r="O285" s="58"/>
      <c r="P285" s="58"/>
      <c r="Q285" s="59"/>
      <c r="R285" s="59"/>
      <c r="S285" s="54"/>
      <c r="T285" s="54"/>
      <c r="U285" s="55"/>
      <c r="V285" s="55"/>
      <c r="W285" s="56"/>
      <c r="X285" s="56"/>
      <c r="Y285" s="57"/>
      <c r="Z285" s="57"/>
      <c r="AA285" s="58"/>
      <c r="AB285" s="58"/>
      <c r="AC285" s="59"/>
      <c r="AD285" s="59"/>
      <c r="AE285" s="96"/>
      <c r="AF285" s="97"/>
      <c r="AG285" s="98"/>
      <c r="AH285" s="99"/>
    </row>
    <row r="286" spans="1:34" x14ac:dyDescent="0.25">
      <c r="A286" s="9" t="str">
        <f t="shared" si="4"/>
        <v/>
      </c>
      <c r="B286" s="52"/>
      <c r="C286" s="53"/>
      <c r="D286" s="53"/>
      <c r="E286" s="78"/>
      <c r="F286" s="133"/>
      <c r="G286" s="54"/>
      <c r="H286" s="54"/>
      <c r="I286" s="55"/>
      <c r="J286" s="55"/>
      <c r="K286" s="56"/>
      <c r="L286" s="56"/>
      <c r="M286" s="57"/>
      <c r="N286" s="57"/>
      <c r="O286" s="58"/>
      <c r="P286" s="58"/>
      <c r="Q286" s="59"/>
      <c r="R286" s="59"/>
      <c r="S286" s="54"/>
      <c r="T286" s="54"/>
      <c r="U286" s="55"/>
      <c r="V286" s="55"/>
      <c r="W286" s="56"/>
      <c r="X286" s="56"/>
      <c r="Y286" s="57"/>
      <c r="Z286" s="57"/>
      <c r="AA286" s="58"/>
      <c r="AB286" s="58"/>
      <c r="AC286" s="59"/>
      <c r="AD286" s="59"/>
      <c r="AE286" s="96"/>
      <c r="AF286" s="97"/>
      <c r="AG286" s="98"/>
      <c r="AH286" s="99"/>
    </row>
    <row r="287" spans="1:34" x14ac:dyDescent="0.25">
      <c r="A287" s="9" t="str">
        <f t="shared" si="4"/>
        <v/>
      </c>
      <c r="B287" s="52"/>
      <c r="C287" s="53"/>
      <c r="D287" s="53"/>
      <c r="E287" s="78"/>
      <c r="F287" s="133"/>
      <c r="G287" s="54"/>
      <c r="H287" s="54"/>
      <c r="I287" s="55"/>
      <c r="J287" s="55"/>
      <c r="K287" s="56"/>
      <c r="L287" s="56"/>
      <c r="M287" s="57"/>
      <c r="N287" s="57"/>
      <c r="O287" s="58"/>
      <c r="P287" s="58"/>
      <c r="Q287" s="59"/>
      <c r="R287" s="59"/>
      <c r="S287" s="54"/>
      <c r="T287" s="54"/>
      <c r="U287" s="55"/>
      <c r="V287" s="55"/>
      <c r="W287" s="56"/>
      <c r="X287" s="56"/>
      <c r="Y287" s="57"/>
      <c r="Z287" s="57"/>
      <c r="AA287" s="58"/>
      <c r="AB287" s="58"/>
      <c r="AC287" s="59"/>
      <c r="AD287" s="59"/>
      <c r="AE287" s="96"/>
      <c r="AF287" s="97"/>
      <c r="AG287" s="98"/>
      <c r="AH287" s="99"/>
    </row>
    <row r="288" spans="1:34" x14ac:dyDescent="0.25">
      <c r="A288" s="9" t="str">
        <f t="shared" si="4"/>
        <v/>
      </c>
      <c r="B288" s="52"/>
      <c r="C288" s="53"/>
      <c r="D288" s="53"/>
      <c r="E288" s="78"/>
      <c r="F288" s="133"/>
      <c r="G288" s="54"/>
      <c r="H288" s="54"/>
      <c r="I288" s="55"/>
      <c r="J288" s="55"/>
      <c r="K288" s="56"/>
      <c r="L288" s="56"/>
      <c r="M288" s="57"/>
      <c r="N288" s="57"/>
      <c r="O288" s="58"/>
      <c r="P288" s="58"/>
      <c r="Q288" s="59"/>
      <c r="R288" s="59"/>
      <c r="S288" s="54"/>
      <c r="T288" s="54"/>
      <c r="U288" s="55"/>
      <c r="V288" s="55"/>
      <c r="W288" s="56"/>
      <c r="X288" s="56"/>
      <c r="Y288" s="57"/>
      <c r="Z288" s="57"/>
      <c r="AA288" s="58"/>
      <c r="AB288" s="58"/>
      <c r="AC288" s="59"/>
      <c r="AD288" s="59"/>
      <c r="AE288" s="96"/>
      <c r="AF288" s="97"/>
      <c r="AG288" s="98"/>
      <c r="AH288" s="99"/>
    </row>
    <row r="289" spans="1:34" x14ac:dyDescent="0.25">
      <c r="A289" s="9" t="str">
        <f t="shared" si="4"/>
        <v/>
      </c>
      <c r="B289" s="52"/>
      <c r="C289" s="53"/>
      <c r="D289" s="53"/>
      <c r="E289" s="78"/>
      <c r="F289" s="133"/>
      <c r="G289" s="54"/>
      <c r="H289" s="54"/>
      <c r="I289" s="55"/>
      <c r="J289" s="55"/>
      <c r="K289" s="56"/>
      <c r="L289" s="56"/>
      <c r="M289" s="57"/>
      <c r="N289" s="57"/>
      <c r="O289" s="58"/>
      <c r="P289" s="58"/>
      <c r="Q289" s="59"/>
      <c r="R289" s="59"/>
      <c r="S289" s="54"/>
      <c r="T289" s="54"/>
      <c r="U289" s="55"/>
      <c r="V289" s="55"/>
      <c r="W289" s="56"/>
      <c r="X289" s="56"/>
      <c r="Y289" s="57"/>
      <c r="Z289" s="57"/>
      <c r="AA289" s="58"/>
      <c r="AB289" s="58"/>
      <c r="AC289" s="59"/>
      <c r="AD289" s="59"/>
      <c r="AE289" s="96"/>
      <c r="AF289" s="97"/>
      <c r="AG289" s="98"/>
      <c r="AH289" s="99"/>
    </row>
    <row r="290" spans="1:34" x14ac:dyDescent="0.25">
      <c r="A290" s="9" t="str">
        <f t="shared" si="4"/>
        <v/>
      </c>
      <c r="B290" s="52"/>
      <c r="C290" s="53"/>
      <c r="D290" s="53"/>
      <c r="E290" s="78"/>
      <c r="F290" s="133"/>
      <c r="G290" s="54"/>
      <c r="H290" s="54"/>
      <c r="I290" s="55"/>
      <c r="J290" s="55"/>
      <c r="K290" s="56"/>
      <c r="L290" s="56"/>
      <c r="M290" s="57"/>
      <c r="N290" s="57"/>
      <c r="O290" s="58"/>
      <c r="P290" s="58"/>
      <c r="Q290" s="59"/>
      <c r="R290" s="59"/>
      <c r="S290" s="54"/>
      <c r="T290" s="54"/>
      <c r="U290" s="55"/>
      <c r="V290" s="55"/>
      <c r="W290" s="56"/>
      <c r="X290" s="56"/>
      <c r="Y290" s="57"/>
      <c r="Z290" s="57"/>
      <c r="AA290" s="58"/>
      <c r="AB290" s="58"/>
      <c r="AC290" s="59"/>
      <c r="AD290" s="59"/>
      <c r="AE290" s="96"/>
      <c r="AF290" s="97"/>
      <c r="AG290" s="98"/>
      <c r="AH290" s="99"/>
    </row>
    <row r="291" spans="1:34" x14ac:dyDescent="0.25">
      <c r="A291" s="9" t="str">
        <f t="shared" si="4"/>
        <v/>
      </c>
      <c r="B291" s="52"/>
      <c r="C291" s="53"/>
      <c r="D291" s="53"/>
      <c r="E291" s="78"/>
      <c r="F291" s="133"/>
      <c r="G291" s="54"/>
      <c r="H291" s="54"/>
      <c r="I291" s="55"/>
      <c r="J291" s="55"/>
      <c r="K291" s="56"/>
      <c r="L291" s="56"/>
      <c r="M291" s="57"/>
      <c r="N291" s="57"/>
      <c r="O291" s="58"/>
      <c r="P291" s="58"/>
      <c r="Q291" s="59"/>
      <c r="R291" s="59"/>
      <c r="S291" s="54"/>
      <c r="T291" s="54"/>
      <c r="U291" s="55"/>
      <c r="V291" s="55"/>
      <c r="W291" s="56"/>
      <c r="X291" s="56"/>
      <c r="Y291" s="57"/>
      <c r="Z291" s="57"/>
      <c r="AA291" s="58"/>
      <c r="AB291" s="58"/>
      <c r="AC291" s="59"/>
      <c r="AD291" s="59"/>
      <c r="AE291" s="96"/>
      <c r="AF291" s="97"/>
      <c r="AG291" s="98"/>
      <c r="AH291" s="99"/>
    </row>
    <row r="292" spans="1:34" x14ac:dyDescent="0.25">
      <c r="A292" s="9" t="str">
        <f t="shared" si="4"/>
        <v/>
      </c>
      <c r="B292" s="52"/>
      <c r="C292" s="53"/>
      <c r="D292" s="53"/>
      <c r="E292" s="78"/>
      <c r="F292" s="133"/>
      <c r="G292" s="54"/>
      <c r="H292" s="54"/>
      <c r="I292" s="55"/>
      <c r="J292" s="55"/>
      <c r="K292" s="56"/>
      <c r="L292" s="56"/>
      <c r="M292" s="57"/>
      <c r="N292" s="57"/>
      <c r="O292" s="58"/>
      <c r="P292" s="58"/>
      <c r="Q292" s="59"/>
      <c r="R292" s="59"/>
      <c r="S292" s="54"/>
      <c r="T292" s="54"/>
      <c r="U292" s="55"/>
      <c r="V292" s="55"/>
      <c r="W292" s="56"/>
      <c r="X292" s="56"/>
      <c r="Y292" s="57"/>
      <c r="Z292" s="57"/>
      <c r="AA292" s="58"/>
      <c r="AB292" s="58"/>
      <c r="AC292" s="59"/>
      <c r="AD292" s="59"/>
      <c r="AE292" s="96"/>
      <c r="AF292" s="97"/>
      <c r="AG292" s="98"/>
      <c r="AH292" s="99"/>
    </row>
    <row r="293" spans="1:34" x14ac:dyDescent="0.25">
      <c r="A293" s="9" t="str">
        <f t="shared" si="4"/>
        <v/>
      </c>
      <c r="B293" s="52"/>
      <c r="C293" s="53"/>
      <c r="D293" s="53"/>
      <c r="E293" s="78"/>
      <c r="F293" s="133"/>
      <c r="G293" s="54"/>
      <c r="H293" s="54"/>
      <c r="I293" s="55"/>
      <c r="J293" s="55"/>
      <c r="K293" s="56"/>
      <c r="L293" s="56"/>
      <c r="M293" s="57"/>
      <c r="N293" s="57"/>
      <c r="O293" s="58"/>
      <c r="P293" s="58"/>
      <c r="Q293" s="59"/>
      <c r="R293" s="59"/>
      <c r="S293" s="54"/>
      <c r="T293" s="54"/>
      <c r="U293" s="55"/>
      <c r="V293" s="55"/>
      <c r="W293" s="56"/>
      <c r="X293" s="56"/>
      <c r="Y293" s="57"/>
      <c r="Z293" s="57"/>
      <c r="AA293" s="58"/>
      <c r="AB293" s="58"/>
      <c r="AC293" s="59"/>
      <c r="AD293" s="59"/>
      <c r="AE293" s="96"/>
      <c r="AF293" s="97"/>
      <c r="AG293" s="98"/>
      <c r="AH293" s="99"/>
    </row>
    <row r="294" spans="1:34" x14ac:dyDescent="0.25">
      <c r="A294" s="9" t="str">
        <f t="shared" si="4"/>
        <v/>
      </c>
      <c r="B294" s="52"/>
      <c r="C294" s="53"/>
      <c r="D294" s="53"/>
      <c r="E294" s="78"/>
      <c r="F294" s="133"/>
      <c r="G294" s="54"/>
      <c r="H294" s="54"/>
      <c r="I294" s="55"/>
      <c r="J294" s="55"/>
      <c r="K294" s="56"/>
      <c r="L294" s="56"/>
      <c r="M294" s="57"/>
      <c r="N294" s="57"/>
      <c r="O294" s="58"/>
      <c r="P294" s="58"/>
      <c r="Q294" s="59"/>
      <c r="R294" s="59"/>
      <c r="S294" s="54"/>
      <c r="T294" s="54"/>
      <c r="U294" s="55"/>
      <c r="V294" s="55"/>
      <c r="W294" s="56"/>
      <c r="X294" s="56"/>
      <c r="Y294" s="57"/>
      <c r="Z294" s="57"/>
      <c r="AA294" s="58"/>
      <c r="AB294" s="58"/>
      <c r="AC294" s="59"/>
      <c r="AD294" s="59"/>
      <c r="AE294" s="96"/>
      <c r="AF294" s="97"/>
      <c r="AG294" s="98"/>
      <c r="AH294" s="99"/>
    </row>
    <row r="295" spans="1:34" x14ac:dyDescent="0.25">
      <c r="A295" s="9" t="str">
        <f t="shared" si="4"/>
        <v/>
      </c>
      <c r="B295" s="52"/>
      <c r="C295" s="53"/>
      <c r="D295" s="53"/>
      <c r="E295" s="78"/>
      <c r="F295" s="133"/>
      <c r="G295" s="54"/>
      <c r="H295" s="54"/>
      <c r="I295" s="55"/>
      <c r="J295" s="55"/>
      <c r="K295" s="56"/>
      <c r="L295" s="56"/>
      <c r="M295" s="57"/>
      <c r="N295" s="57"/>
      <c r="O295" s="58"/>
      <c r="P295" s="58"/>
      <c r="Q295" s="59"/>
      <c r="R295" s="59"/>
      <c r="S295" s="54"/>
      <c r="T295" s="54"/>
      <c r="U295" s="55"/>
      <c r="V295" s="55"/>
      <c r="W295" s="56"/>
      <c r="X295" s="56"/>
      <c r="Y295" s="57"/>
      <c r="Z295" s="57"/>
      <c r="AA295" s="58"/>
      <c r="AB295" s="58"/>
      <c r="AC295" s="59"/>
      <c r="AD295" s="59"/>
      <c r="AE295" s="96"/>
      <c r="AF295" s="97"/>
      <c r="AG295" s="98"/>
      <c r="AH295" s="99"/>
    </row>
    <row r="296" spans="1:34" x14ac:dyDescent="0.25">
      <c r="A296" s="9" t="str">
        <f t="shared" si="4"/>
        <v/>
      </c>
      <c r="B296" s="52"/>
      <c r="C296" s="53"/>
      <c r="D296" s="53"/>
      <c r="E296" s="78"/>
      <c r="F296" s="133"/>
      <c r="G296" s="54"/>
      <c r="H296" s="54"/>
      <c r="I296" s="55"/>
      <c r="J296" s="55"/>
      <c r="K296" s="56"/>
      <c r="L296" s="56"/>
      <c r="M296" s="57"/>
      <c r="N296" s="57"/>
      <c r="O296" s="58"/>
      <c r="P296" s="58"/>
      <c r="Q296" s="59"/>
      <c r="R296" s="59"/>
      <c r="S296" s="54"/>
      <c r="T296" s="54"/>
      <c r="U296" s="55"/>
      <c r="V296" s="55"/>
      <c r="W296" s="56"/>
      <c r="X296" s="56"/>
      <c r="Y296" s="57"/>
      <c r="Z296" s="57"/>
      <c r="AA296" s="58"/>
      <c r="AB296" s="58"/>
      <c r="AC296" s="59"/>
      <c r="AD296" s="59"/>
      <c r="AE296" s="96"/>
      <c r="AF296" s="97"/>
      <c r="AG296" s="98"/>
      <c r="AH296" s="99"/>
    </row>
    <row r="297" spans="1:34" x14ac:dyDescent="0.25">
      <c r="A297" s="9" t="str">
        <f t="shared" si="4"/>
        <v/>
      </c>
      <c r="B297" s="52"/>
      <c r="C297" s="53"/>
      <c r="D297" s="53"/>
      <c r="E297" s="78"/>
      <c r="F297" s="133"/>
      <c r="G297" s="54"/>
      <c r="H297" s="54"/>
      <c r="I297" s="55"/>
      <c r="J297" s="55"/>
      <c r="K297" s="56"/>
      <c r="L297" s="56"/>
      <c r="M297" s="57"/>
      <c r="N297" s="57"/>
      <c r="O297" s="58"/>
      <c r="P297" s="58"/>
      <c r="Q297" s="59"/>
      <c r="R297" s="59"/>
      <c r="S297" s="54"/>
      <c r="T297" s="54"/>
      <c r="U297" s="55"/>
      <c r="V297" s="55"/>
      <c r="W297" s="56"/>
      <c r="X297" s="56"/>
      <c r="Y297" s="57"/>
      <c r="Z297" s="57"/>
      <c r="AA297" s="58"/>
      <c r="AB297" s="58"/>
      <c r="AC297" s="59"/>
      <c r="AD297" s="59"/>
      <c r="AE297" s="96"/>
      <c r="AF297" s="97"/>
      <c r="AG297" s="98"/>
      <c r="AH297" s="99"/>
    </row>
    <row r="298" spans="1:34" x14ac:dyDescent="0.25">
      <c r="A298" s="9" t="str">
        <f t="shared" si="4"/>
        <v/>
      </c>
      <c r="B298" s="52"/>
      <c r="C298" s="53"/>
      <c r="D298" s="53"/>
      <c r="E298" s="78"/>
      <c r="F298" s="133"/>
      <c r="G298" s="54"/>
      <c r="H298" s="54"/>
      <c r="I298" s="55"/>
      <c r="J298" s="55"/>
      <c r="K298" s="56"/>
      <c r="L298" s="56"/>
      <c r="M298" s="57"/>
      <c r="N298" s="57"/>
      <c r="O298" s="58"/>
      <c r="P298" s="58"/>
      <c r="Q298" s="59"/>
      <c r="R298" s="59"/>
      <c r="S298" s="54"/>
      <c r="T298" s="54"/>
      <c r="U298" s="55"/>
      <c r="V298" s="55"/>
      <c r="W298" s="56"/>
      <c r="X298" s="56"/>
      <c r="Y298" s="57"/>
      <c r="Z298" s="57"/>
      <c r="AA298" s="58"/>
      <c r="AB298" s="58"/>
      <c r="AC298" s="59"/>
      <c r="AD298" s="59"/>
      <c r="AE298" s="96"/>
      <c r="AF298" s="97"/>
      <c r="AG298" s="98"/>
      <c r="AH298" s="99"/>
    </row>
    <row r="299" spans="1:34" x14ac:dyDescent="0.25">
      <c r="A299" s="9" t="str">
        <f t="shared" si="4"/>
        <v/>
      </c>
      <c r="B299" s="52"/>
      <c r="C299" s="53"/>
      <c r="D299" s="53"/>
      <c r="E299" s="78"/>
      <c r="F299" s="133"/>
      <c r="G299" s="54"/>
      <c r="H299" s="54"/>
      <c r="I299" s="55"/>
      <c r="J299" s="55"/>
      <c r="K299" s="56"/>
      <c r="L299" s="56"/>
      <c r="M299" s="57"/>
      <c r="N299" s="57"/>
      <c r="O299" s="58"/>
      <c r="P299" s="58"/>
      <c r="Q299" s="59"/>
      <c r="R299" s="59"/>
      <c r="S299" s="54"/>
      <c r="T299" s="54"/>
      <c r="U299" s="55"/>
      <c r="V299" s="55"/>
      <c r="W299" s="56"/>
      <c r="X299" s="56"/>
      <c r="Y299" s="57"/>
      <c r="Z299" s="57"/>
      <c r="AA299" s="58"/>
      <c r="AB299" s="58"/>
      <c r="AC299" s="59"/>
      <c r="AD299" s="59"/>
      <c r="AE299" s="96"/>
      <c r="AF299" s="97"/>
      <c r="AG299" s="98"/>
      <c r="AH299" s="99"/>
    </row>
    <row r="300" spans="1:34" x14ac:dyDescent="0.25">
      <c r="A300" s="9" t="str">
        <f t="shared" si="4"/>
        <v/>
      </c>
      <c r="B300" s="52"/>
      <c r="C300" s="53"/>
      <c r="D300" s="53"/>
      <c r="E300" s="78"/>
      <c r="F300" s="133"/>
      <c r="G300" s="54"/>
      <c r="H300" s="54"/>
      <c r="I300" s="55"/>
      <c r="J300" s="55"/>
      <c r="K300" s="56"/>
      <c r="L300" s="56"/>
      <c r="M300" s="57"/>
      <c r="N300" s="57"/>
      <c r="O300" s="58"/>
      <c r="P300" s="58"/>
      <c r="Q300" s="59"/>
      <c r="R300" s="59"/>
      <c r="S300" s="54"/>
      <c r="T300" s="54"/>
      <c r="U300" s="55"/>
      <c r="V300" s="55"/>
      <c r="W300" s="56"/>
      <c r="X300" s="56"/>
      <c r="Y300" s="57"/>
      <c r="Z300" s="57"/>
      <c r="AA300" s="58"/>
      <c r="AB300" s="58"/>
      <c r="AC300" s="59"/>
      <c r="AD300" s="59"/>
      <c r="AE300" s="96"/>
      <c r="AF300" s="97"/>
      <c r="AG300" s="98"/>
      <c r="AH300" s="99"/>
    </row>
    <row r="301" spans="1:34" x14ac:dyDescent="0.25">
      <c r="A301" s="9" t="str">
        <f t="shared" si="4"/>
        <v/>
      </c>
      <c r="B301" s="52"/>
      <c r="C301" s="53"/>
      <c r="D301" s="53"/>
      <c r="E301" s="78"/>
      <c r="F301" s="133"/>
      <c r="G301" s="54"/>
      <c r="H301" s="54"/>
      <c r="I301" s="55"/>
      <c r="J301" s="55"/>
      <c r="K301" s="56"/>
      <c r="L301" s="56"/>
      <c r="M301" s="57"/>
      <c r="N301" s="57"/>
      <c r="O301" s="58"/>
      <c r="P301" s="58"/>
      <c r="Q301" s="59"/>
      <c r="R301" s="59"/>
      <c r="S301" s="54"/>
      <c r="T301" s="54"/>
      <c r="U301" s="55"/>
      <c r="V301" s="55"/>
      <c r="W301" s="56"/>
      <c r="X301" s="56"/>
      <c r="Y301" s="57"/>
      <c r="Z301" s="57"/>
      <c r="AA301" s="58"/>
      <c r="AB301" s="58"/>
      <c r="AC301" s="59"/>
      <c r="AD301" s="59"/>
      <c r="AE301" s="96"/>
      <c r="AF301" s="97"/>
      <c r="AG301" s="98"/>
      <c r="AH301" s="99"/>
    </row>
    <row r="302" spans="1:34" x14ac:dyDescent="0.25">
      <c r="A302" s="9" t="str">
        <f t="shared" si="4"/>
        <v/>
      </c>
      <c r="B302" s="52"/>
      <c r="C302" s="53"/>
      <c r="D302" s="53"/>
      <c r="E302" s="78"/>
      <c r="F302" s="133"/>
      <c r="G302" s="54"/>
      <c r="H302" s="54"/>
      <c r="I302" s="55"/>
      <c r="J302" s="55"/>
      <c r="K302" s="56"/>
      <c r="L302" s="56"/>
      <c r="M302" s="57"/>
      <c r="N302" s="57"/>
      <c r="O302" s="58"/>
      <c r="P302" s="58"/>
      <c r="Q302" s="59"/>
      <c r="R302" s="59"/>
      <c r="S302" s="54"/>
      <c r="T302" s="54"/>
      <c r="U302" s="55"/>
      <c r="V302" s="55"/>
      <c r="W302" s="56"/>
      <c r="X302" s="56"/>
      <c r="Y302" s="57"/>
      <c r="Z302" s="57"/>
      <c r="AA302" s="58"/>
      <c r="AB302" s="58"/>
      <c r="AC302" s="59"/>
      <c r="AD302" s="59"/>
      <c r="AE302" s="96"/>
      <c r="AF302" s="97"/>
      <c r="AG302" s="98"/>
      <c r="AH302" s="99"/>
    </row>
    <row r="303" spans="1:34" x14ac:dyDescent="0.25">
      <c r="A303" s="9" t="str">
        <f t="shared" si="4"/>
        <v/>
      </c>
      <c r="B303" s="52"/>
      <c r="C303" s="53"/>
      <c r="D303" s="53"/>
      <c r="E303" s="78"/>
      <c r="F303" s="133"/>
      <c r="G303" s="54"/>
      <c r="H303" s="54"/>
      <c r="I303" s="55"/>
      <c r="J303" s="55"/>
      <c r="K303" s="56"/>
      <c r="L303" s="56"/>
      <c r="M303" s="57"/>
      <c r="N303" s="57"/>
      <c r="O303" s="58"/>
      <c r="P303" s="58"/>
      <c r="Q303" s="59"/>
      <c r="R303" s="59"/>
      <c r="S303" s="54"/>
      <c r="T303" s="54"/>
      <c r="U303" s="55"/>
      <c r="V303" s="55"/>
      <c r="W303" s="56"/>
      <c r="X303" s="56"/>
      <c r="Y303" s="57"/>
      <c r="Z303" s="57"/>
      <c r="AA303" s="58"/>
      <c r="AB303" s="58"/>
      <c r="AC303" s="59"/>
      <c r="AD303" s="59"/>
      <c r="AE303" s="96"/>
      <c r="AF303" s="97"/>
      <c r="AG303" s="98"/>
      <c r="AH303" s="99"/>
    </row>
    <row r="304" spans="1:34" x14ac:dyDescent="0.25">
      <c r="A304" s="9" t="str">
        <f t="shared" si="4"/>
        <v/>
      </c>
      <c r="B304" s="52"/>
      <c r="C304" s="53"/>
      <c r="D304" s="53"/>
      <c r="E304" s="78"/>
      <c r="F304" s="133"/>
      <c r="G304" s="54"/>
      <c r="H304" s="54"/>
      <c r="I304" s="55"/>
      <c r="J304" s="55"/>
      <c r="K304" s="56"/>
      <c r="L304" s="56"/>
      <c r="M304" s="57"/>
      <c r="N304" s="57"/>
      <c r="O304" s="58"/>
      <c r="P304" s="58"/>
      <c r="Q304" s="59"/>
      <c r="R304" s="59"/>
      <c r="S304" s="54"/>
      <c r="T304" s="54"/>
      <c r="U304" s="55"/>
      <c r="V304" s="55"/>
      <c r="W304" s="56"/>
      <c r="X304" s="56"/>
      <c r="Y304" s="57"/>
      <c r="Z304" s="57"/>
      <c r="AA304" s="58"/>
      <c r="AB304" s="58"/>
      <c r="AC304" s="59"/>
      <c r="AD304" s="59"/>
      <c r="AE304" s="96"/>
      <c r="AF304" s="97"/>
      <c r="AG304" s="98"/>
      <c r="AH304" s="99"/>
    </row>
    <row r="305" spans="1:34" x14ac:dyDescent="0.25">
      <c r="A305" s="9" t="str">
        <f t="shared" si="4"/>
        <v/>
      </c>
      <c r="B305" s="52"/>
      <c r="C305" s="53"/>
      <c r="D305" s="53"/>
      <c r="E305" s="78"/>
      <c r="F305" s="133"/>
      <c r="G305" s="54"/>
      <c r="H305" s="54"/>
      <c r="I305" s="55"/>
      <c r="J305" s="55"/>
      <c r="K305" s="56"/>
      <c r="L305" s="56"/>
      <c r="M305" s="57"/>
      <c r="N305" s="57"/>
      <c r="O305" s="58"/>
      <c r="P305" s="58"/>
      <c r="Q305" s="59"/>
      <c r="R305" s="59"/>
      <c r="S305" s="54"/>
      <c r="T305" s="54"/>
      <c r="U305" s="55"/>
      <c r="V305" s="55"/>
      <c r="W305" s="56"/>
      <c r="X305" s="56"/>
      <c r="Y305" s="57"/>
      <c r="Z305" s="57"/>
      <c r="AA305" s="58"/>
      <c r="AB305" s="58"/>
      <c r="AC305" s="59"/>
      <c r="AD305" s="59"/>
      <c r="AE305" s="96"/>
      <c r="AF305" s="97"/>
      <c r="AG305" s="98"/>
      <c r="AH305" s="99"/>
    </row>
    <row r="306" spans="1:34" x14ac:dyDescent="0.25">
      <c r="A306" s="9" t="str">
        <f t="shared" si="4"/>
        <v/>
      </c>
      <c r="B306" s="52"/>
      <c r="C306" s="53"/>
      <c r="D306" s="53"/>
      <c r="E306" s="78"/>
      <c r="F306" s="133"/>
      <c r="G306" s="54"/>
      <c r="H306" s="54"/>
      <c r="I306" s="55"/>
      <c r="J306" s="55"/>
      <c r="K306" s="56"/>
      <c r="L306" s="56"/>
      <c r="M306" s="57"/>
      <c r="N306" s="57"/>
      <c r="O306" s="58"/>
      <c r="P306" s="58"/>
      <c r="Q306" s="59"/>
      <c r="R306" s="59"/>
      <c r="S306" s="54"/>
      <c r="T306" s="54"/>
      <c r="U306" s="55"/>
      <c r="V306" s="55"/>
      <c r="W306" s="56"/>
      <c r="X306" s="56"/>
      <c r="Y306" s="57"/>
      <c r="Z306" s="57"/>
      <c r="AA306" s="58"/>
      <c r="AB306" s="58"/>
      <c r="AC306" s="59"/>
      <c r="AD306" s="59"/>
      <c r="AE306" s="96"/>
      <c r="AF306" s="97"/>
      <c r="AG306" s="98"/>
      <c r="AH306" s="99"/>
    </row>
    <row r="307" spans="1:34" x14ac:dyDescent="0.25">
      <c r="A307" s="9" t="str">
        <f t="shared" si="4"/>
        <v/>
      </c>
      <c r="B307" s="52"/>
      <c r="C307" s="53"/>
      <c r="D307" s="53"/>
      <c r="E307" s="78"/>
      <c r="F307" s="133"/>
      <c r="G307" s="54"/>
      <c r="H307" s="54"/>
      <c r="I307" s="55"/>
      <c r="J307" s="55"/>
      <c r="K307" s="56"/>
      <c r="L307" s="56"/>
      <c r="M307" s="57"/>
      <c r="N307" s="57"/>
      <c r="O307" s="58"/>
      <c r="P307" s="58"/>
      <c r="Q307" s="59"/>
      <c r="R307" s="59"/>
      <c r="S307" s="54"/>
      <c r="T307" s="54"/>
      <c r="U307" s="55"/>
      <c r="V307" s="55"/>
      <c r="W307" s="56"/>
      <c r="X307" s="56"/>
      <c r="Y307" s="57"/>
      <c r="Z307" s="57"/>
      <c r="AA307" s="58"/>
      <c r="AB307" s="58"/>
      <c r="AC307" s="59"/>
      <c r="AD307" s="59"/>
      <c r="AE307" s="96"/>
      <c r="AF307" s="97"/>
      <c r="AG307" s="98"/>
      <c r="AH307" s="99"/>
    </row>
    <row r="308" spans="1:34" x14ac:dyDescent="0.25">
      <c r="A308" s="9" t="str">
        <f t="shared" si="4"/>
        <v/>
      </c>
      <c r="B308" s="52"/>
      <c r="C308" s="53"/>
      <c r="D308" s="53"/>
      <c r="E308" s="78"/>
      <c r="F308" s="133"/>
      <c r="G308" s="54"/>
      <c r="H308" s="54"/>
      <c r="I308" s="55"/>
      <c r="J308" s="55"/>
      <c r="K308" s="56"/>
      <c r="L308" s="56"/>
      <c r="M308" s="57"/>
      <c r="N308" s="57"/>
      <c r="O308" s="58"/>
      <c r="P308" s="58"/>
      <c r="Q308" s="59"/>
      <c r="R308" s="59"/>
      <c r="S308" s="54"/>
      <c r="T308" s="54"/>
      <c r="U308" s="55"/>
      <c r="V308" s="55"/>
      <c r="W308" s="56"/>
      <c r="X308" s="56"/>
      <c r="Y308" s="57"/>
      <c r="Z308" s="57"/>
      <c r="AA308" s="58"/>
      <c r="AB308" s="58"/>
      <c r="AC308" s="59"/>
      <c r="AD308" s="59"/>
      <c r="AE308" s="96"/>
      <c r="AF308" s="97"/>
      <c r="AG308" s="98"/>
      <c r="AH308" s="99"/>
    </row>
    <row r="309" spans="1:34" x14ac:dyDescent="0.25">
      <c r="A309" s="9" t="str">
        <f t="shared" si="4"/>
        <v/>
      </c>
      <c r="B309" s="52"/>
      <c r="C309" s="53"/>
      <c r="D309" s="53"/>
      <c r="E309" s="78"/>
      <c r="F309" s="133"/>
      <c r="G309" s="54"/>
      <c r="H309" s="54"/>
      <c r="I309" s="55"/>
      <c r="J309" s="55"/>
      <c r="K309" s="56"/>
      <c r="L309" s="56"/>
      <c r="M309" s="57"/>
      <c r="N309" s="57"/>
      <c r="O309" s="58"/>
      <c r="P309" s="58"/>
      <c r="Q309" s="59"/>
      <c r="R309" s="59"/>
      <c r="S309" s="54"/>
      <c r="T309" s="54"/>
      <c r="U309" s="55"/>
      <c r="V309" s="55"/>
      <c r="W309" s="56"/>
      <c r="X309" s="56"/>
      <c r="Y309" s="57"/>
      <c r="Z309" s="57"/>
      <c r="AA309" s="58"/>
      <c r="AB309" s="58"/>
      <c r="AC309" s="59"/>
      <c r="AD309" s="59"/>
      <c r="AE309" s="96"/>
      <c r="AF309" s="97"/>
      <c r="AG309" s="98"/>
      <c r="AH309" s="99"/>
    </row>
    <row r="310" spans="1:34" x14ac:dyDescent="0.25">
      <c r="A310" s="9" t="str">
        <f t="shared" si="4"/>
        <v/>
      </c>
      <c r="B310" s="52"/>
      <c r="C310" s="53"/>
      <c r="D310" s="53"/>
      <c r="E310" s="78"/>
      <c r="F310" s="133"/>
      <c r="G310" s="54"/>
      <c r="H310" s="54"/>
      <c r="I310" s="55"/>
      <c r="J310" s="55"/>
      <c r="K310" s="56"/>
      <c r="L310" s="56"/>
      <c r="M310" s="57"/>
      <c r="N310" s="57"/>
      <c r="O310" s="58"/>
      <c r="P310" s="58"/>
      <c r="Q310" s="59"/>
      <c r="R310" s="59"/>
      <c r="S310" s="54"/>
      <c r="T310" s="54"/>
      <c r="U310" s="55"/>
      <c r="V310" s="55"/>
      <c r="W310" s="56"/>
      <c r="X310" s="56"/>
      <c r="Y310" s="57"/>
      <c r="Z310" s="57"/>
      <c r="AA310" s="58"/>
      <c r="AB310" s="58"/>
      <c r="AC310" s="59"/>
      <c r="AD310" s="59"/>
      <c r="AE310" s="96"/>
      <c r="AF310" s="97"/>
      <c r="AG310" s="98"/>
      <c r="AH310" s="99"/>
    </row>
    <row r="311" spans="1:34" x14ac:dyDescent="0.25">
      <c r="A311" s="9" t="str">
        <f t="shared" si="4"/>
        <v/>
      </c>
      <c r="B311" s="52"/>
      <c r="C311" s="53"/>
      <c r="D311" s="53"/>
      <c r="E311" s="78"/>
      <c r="F311" s="133"/>
      <c r="G311" s="54"/>
      <c r="H311" s="54"/>
      <c r="I311" s="55"/>
      <c r="J311" s="55"/>
      <c r="K311" s="56"/>
      <c r="L311" s="56"/>
      <c r="M311" s="57"/>
      <c r="N311" s="57"/>
      <c r="O311" s="58"/>
      <c r="P311" s="58"/>
      <c r="Q311" s="59"/>
      <c r="R311" s="59"/>
      <c r="S311" s="54"/>
      <c r="T311" s="54"/>
      <c r="U311" s="55"/>
      <c r="V311" s="55"/>
      <c r="W311" s="56"/>
      <c r="X311" s="56"/>
      <c r="Y311" s="57"/>
      <c r="Z311" s="57"/>
      <c r="AA311" s="58"/>
      <c r="AB311" s="58"/>
      <c r="AC311" s="59"/>
      <c r="AD311" s="59"/>
      <c r="AE311" s="96"/>
      <c r="AF311" s="97"/>
      <c r="AG311" s="98"/>
      <c r="AH311" s="99"/>
    </row>
    <row r="312" spans="1:34" x14ac:dyDescent="0.25">
      <c r="A312" s="9" t="str">
        <f t="shared" si="4"/>
        <v/>
      </c>
      <c r="B312" s="52"/>
      <c r="C312" s="53"/>
      <c r="D312" s="53"/>
      <c r="E312" s="78"/>
      <c r="F312" s="133"/>
      <c r="G312" s="54"/>
      <c r="H312" s="54"/>
      <c r="I312" s="55"/>
      <c r="J312" s="55"/>
      <c r="K312" s="56"/>
      <c r="L312" s="56"/>
      <c r="M312" s="57"/>
      <c r="N312" s="57"/>
      <c r="O312" s="58"/>
      <c r="P312" s="58"/>
      <c r="Q312" s="59"/>
      <c r="R312" s="59"/>
      <c r="S312" s="54"/>
      <c r="T312" s="54"/>
      <c r="U312" s="55"/>
      <c r="V312" s="55"/>
      <c r="W312" s="56"/>
      <c r="X312" s="56"/>
      <c r="Y312" s="57"/>
      <c r="Z312" s="57"/>
      <c r="AA312" s="58"/>
      <c r="AB312" s="58"/>
      <c r="AC312" s="59"/>
      <c r="AD312" s="59"/>
      <c r="AE312" s="96"/>
      <c r="AF312" s="97"/>
      <c r="AG312" s="98"/>
      <c r="AH312" s="99"/>
    </row>
    <row r="313" spans="1:34" x14ac:dyDescent="0.25">
      <c r="A313" s="9" t="str">
        <f t="shared" si="4"/>
        <v/>
      </c>
      <c r="B313" s="52"/>
      <c r="C313" s="53"/>
      <c r="D313" s="53"/>
      <c r="E313" s="78"/>
      <c r="F313" s="133"/>
      <c r="G313" s="54"/>
      <c r="H313" s="54"/>
      <c r="I313" s="55"/>
      <c r="J313" s="55"/>
      <c r="K313" s="56"/>
      <c r="L313" s="56"/>
      <c r="M313" s="57"/>
      <c r="N313" s="57"/>
      <c r="O313" s="58"/>
      <c r="P313" s="58"/>
      <c r="Q313" s="59"/>
      <c r="R313" s="59"/>
      <c r="S313" s="54"/>
      <c r="T313" s="54"/>
      <c r="U313" s="55"/>
      <c r="V313" s="55"/>
      <c r="W313" s="56"/>
      <c r="X313" s="56"/>
      <c r="Y313" s="57"/>
      <c r="Z313" s="57"/>
      <c r="AA313" s="58"/>
      <c r="AB313" s="58"/>
      <c r="AC313" s="59"/>
      <c r="AD313" s="59"/>
      <c r="AE313" s="96"/>
      <c r="AF313" s="97"/>
      <c r="AG313" s="98"/>
      <c r="AH313" s="99"/>
    </row>
    <row r="314" spans="1:34" x14ac:dyDescent="0.25">
      <c r="A314" s="9" t="str">
        <f t="shared" si="4"/>
        <v/>
      </c>
      <c r="B314" s="52"/>
      <c r="C314" s="53"/>
      <c r="D314" s="53"/>
      <c r="E314" s="78"/>
      <c r="F314" s="133"/>
      <c r="G314" s="54"/>
      <c r="H314" s="54"/>
      <c r="I314" s="55"/>
      <c r="J314" s="55"/>
      <c r="K314" s="56"/>
      <c r="L314" s="56"/>
      <c r="M314" s="57"/>
      <c r="N314" s="57"/>
      <c r="O314" s="58"/>
      <c r="P314" s="58"/>
      <c r="Q314" s="59"/>
      <c r="R314" s="59"/>
      <c r="S314" s="54"/>
      <c r="T314" s="54"/>
      <c r="U314" s="55"/>
      <c r="V314" s="55"/>
      <c r="W314" s="56"/>
      <c r="X314" s="56"/>
      <c r="Y314" s="57"/>
      <c r="Z314" s="57"/>
      <c r="AA314" s="58"/>
      <c r="AB314" s="58"/>
      <c r="AC314" s="59"/>
      <c r="AD314" s="59"/>
      <c r="AE314" s="96"/>
      <c r="AF314" s="97"/>
      <c r="AG314" s="98"/>
      <c r="AH314" s="99"/>
    </row>
    <row r="315" spans="1:34" x14ac:dyDescent="0.25">
      <c r="A315" s="9" t="str">
        <f t="shared" si="4"/>
        <v/>
      </c>
      <c r="B315" s="52"/>
      <c r="C315" s="53"/>
      <c r="D315" s="53"/>
      <c r="E315" s="78"/>
      <c r="F315" s="133"/>
      <c r="G315" s="54"/>
      <c r="H315" s="54"/>
      <c r="I315" s="55"/>
      <c r="J315" s="55"/>
      <c r="K315" s="56"/>
      <c r="L315" s="56"/>
      <c r="M315" s="57"/>
      <c r="N315" s="57"/>
      <c r="O315" s="58"/>
      <c r="P315" s="58"/>
      <c r="Q315" s="59"/>
      <c r="R315" s="59"/>
      <c r="S315" s="54"/>
      <c r="T315" s="54"/>
      <c r="U315" s="55"/>
      <c r="V315" s="55"/>
      <c r="W315" s="56"/>
      <c r="X315" s="56"/>
      <c r="Y315" s="57"/>
      <c r="Z315" s="57"/>
      <c r="AA315" s="58"/>
      <c r="AB315" s="58"/>
      <c r="AC315" s="59"/>
      <c r="AD315" s="59"/>
      <c r="AE315" s="96"/>
      <c r="AF315" s="97"/>
      <c r="AG315" s="98"/>
      <c r="AH315" s="99"/>
    </row>
    <row r="316" spans="1:34" x14ac:dyDescent="0.25">
      <c r="A316" s="9" t="str">
        <f t="shared" si="4"/>
        <v/>
      </c>
      <c r="B316" s="52"/>
      <c r="C316" s="53"/>
      <c r="D316" s="53"/>
      <c r="E316" s="78"/>
      <c r="F316" s="133"/>
      <c r="G316" s="54"/>
      <c r="H316" s="54"/>
      <c r="I316" s="55"/>
      <c r="J316" s="55"/>
      <c r="K316" s="56"/>
      <c r="L316" s="56"/>
      <c r="M316" s="57"/>
      <c r="N316" s="57"/>
      <c r="O316" s="58"/>
      <c r="P316" s="58"/>
      <c r="Q316" s="59"/>
      <c r="R316" s="59"/>
      <c r="S316" s="54"/>
      <c r="T316" s="54"/>
      <c r="U316" s="55"/>
      <c r="V316" s="55"/>
      <c r="W316" s="56"/>
      <c r="X316" s="56"/>
      <c r="Y316" s="57"/>
      <c r="Z316" s="57"/>
      <c r="AA316" s="58"/>
      <c r="AB316" s="58"/>
      <c r="AC316" s="59"/>
      <c r="AD316" s="59"/>
      <c r="AE316" s="96"/>
      <c r="AF316" s="97"/>
      <c r="AG316" s="98"/>
      <c r="AH316" s="99"/>
    </row>
    <row r="317" spans="1:34" x14ac:dyDescent="0.25">
      <c r="A317" s="9" t="str">
        <f t="shared" si="4"/>
        <v/>
      </c>
      <c r="B317" s="52"/>
      <c r="C317" s="53"/>
      <c r="D317" s="53"/>
      <c r="E317" s="78"/>
      <c r="F317" s="133"/>
      <c r="G317" s="54"/>
      <c r="H317" s="54"/>
      <c r="I317" s="55"/>
      <c r="J317" s="55"/>
      <c r="K317" s="56"/>
      <c r="L317" s="56"/>
      <c r="M317" s="57"/>
      <c r="N317" s="57"/>
      <c r="O317" s="58"/>
      <c r="P317" s="58"/>
      <c r="Q317" s="59"/>
      <c r="R317" s="59"/>
      <c r="S317" s="54"/>
      <c r="T317" s="54"/>
      <c r="U317" s="55"/>
      <c r="V317" s="55"/>
      <c r="W317" s="56"/>
      <c r="X317" s="56"/>
      <c r="Y317" s="57"/>
      <c r="Z317" s="57"/>
      <c r="AA317" s="58"/>
      <c r="AB317" s="58"/>
      <c r="AC317" s="59"/>
      <c r="AD317" s="59"/>
      <c r="AE317" s="96"/>
      <c r="AF317" s="97"/>
      <c r="AG317" s="98"/>
      <c r="AH317" s="99"/>
    </row>
    <row r="318" spans="1:34" x14ac:dyDescent="0.25">
      <c r="A318" s="9" t="str">
        <f t="shared" si="4"/>
        <v/>
      </c>
      <c r="B318" s="52"/>
      <c r="C318" s="53"/>
      <c r="D318" s="53"/>
      <c r="E318" s="78"/>
      <c r="F318" s="133"/>
      <c r="G318" s="54"/>
      <c r="H318" s="54"/>
      <c r="I318" s="55"/>
      <c r="J318" s="55"/>
      <c r="K318" s="56"/>
      <c r="L318" s="56"/>
      <c r="M318" s="57"/>
      <c r="N318" s="57"/>
      <c r="O318" s="58"/>
      <c r="P318" s="58"/>
      <c r="Q318" s="59"/>
      <c r="R318" s="59"/>
      <c r="S318" s="54"/>
      <c r="T318" s="54"/>
      <c r="U318" s="55"/>
      <c r="V318" s="55"/>
      <c r="W318" s="56"/>
      <c r="X318" s="56"/>
      <c r="Y318" s="57"/>
      <c r="Z318" s="57"/>
      <c r="AA318" s="58"/>
      <c r="AB318" s="58"/>
      <c r="AC318" s="59"/>
      <c r="AD318" s="59"/>
      <c r="AE318" s="96"/>
      <c r="AF318" s="97"/>
      <c r="AG318" s="98"/>
      <c r="AH318" s="99"/>
    </row>
    <row r="319" spans="1:34" x14ac:dyDescent="0.25">
      <c r="A319" s="9" t="str">
        <f t="shared" si="4"/>
        <v/>
      </c>
      <c r="B319" s="52"/>
      <c r="C319" s="53"/>
      <c r="D319" s="53"/>
      <c r="E319" s="78"/>
      <c r="F319" s="133"/>
      <c r="G319" s="54"/>
      <c r="H319" s="54"/>
      <c r="I319" s="55"/>
      <c r="J319" s="55"/>
      <c r="K319" s="56"/>
      <c r="L319" s="56"/>
      <c r="M319" s="57"/>
      <c r="N319" s="57"/>
      <c r="O319" s="58"/>
      <c r="P319" s="58"/>
      <c r="Q319" s="59"/>
      <c r="R319" s="59"/>
      <c r="S319" s="54"/>
      <c r="T319" s="54"/>
      <c r="U319" s="55"/>
      <c r="V319" s="55"/>
      <c r="W319" s="56"/>
      <c r="X319" s="56"/>
      <c r="Y319" s="57"/>
      <c r="Z319" s="57"/>
      <c r="AA319" s="58"/>
      <c r="AB319" s="58"/>
      <c r="AC319" s="59"/>
      <c r="AD319" s="59"/>
      <c r="AE319" s="96"/>
      <c r="AF319" s="97"/>
      <c r="AG319" s="98"/>
      <c r="AH319" s="99"/>
    </row>
    <row r="320" spans="1:34" x14ac:dyDescent="0.25">
      <c r="A320" s="9" t="str">
        <f t="shared" si="4"/>
        <v/>
      </c>
      <c r="B320" s="52"/>
      <c r="C320" s="53"/>
      <c r="D320" s="53"/>
      <c r="E320" s="78"/>
      <c r="F320" s="133"/>
      <c r="G320" s="54"/>
      <c r="H320" s="54"/>
      <c r="I320" s="55"/>
      <c r="J320" s="55"/>
      <c r="K320" s="56"/>
      <c r="L320" s="56"/>
      <c r="M320" s="57"/>
      <c r="N320" s="57"/>
      <c r="O320" s="58"/>
      <c r="P320" s="58"/>
      <c r="Q320" s="59"/>
      <c r="R320" s="59"/>
      <c r="S320" s="54"/>
      <c r="T320" s="54"/>
      <c r="U320" s="55"/>
      <c r="V320" s="55"/>
      <c r="W320" s="56"/>
      <c r="X320" s="56"/>
      <c r="Y320" s="57"/>
      <c r="Z320" s="57"/>
      <c r="AA320" s="58"/>
      <c r="AB320" s="58"/>
      <c r="AC320" s="59"/>
      <c r="AD320" s="59"/>
      <c r="AE320" s="96"/>
      <c r="AF320" s="97"/>
      <c r="AG320" s="98"/>
      <c r="AH320" s="99"/>
    </row>
    <row r="321" spans="1:34" x14ac:dyDescent="0.25">
      <c r="A321" s="9" t="str">
        <f t="shared" si="4"/>
        <v/>
      </c>
      <c r="B321" s="52"/>
      <c r="C321" s="53"/>
      <c r="D321" s="53"/>
      <c r="E321" s="78"/>
      <c r="F321" s="133"/>
      <c r="G321" s="54"/>
      <c r="H321" s="54"/>
      <c r="I321" s="55"/>
      <c r="J321" s="55"/>
      <c r="K321" s="56"/>
      <c r="L321" s="56"/>
      <c r="M321" s="57"/>
      <c r="N321" s="57"/>
      <c r="O321" s="58"/>
      <c r="P321" s="58"/>
      <c r="Q321" s="59"/>
      <c r="R321" s="59"/>
      <c r="S321" s="54"/>
      <c r="T321" s="54"/>
      <c r="U321" s="55"/>
      <c r="V321" s="55"/>
      <c r="W321" s="56"/>
      <c r="X321" s="56"/>
      <c r="Y321" s="57"/>
      <c r="Z321" s="57"/>
      <c r="AA321" s="58"/>
      <c r="AB321" s="58"/>
      <c r="AC321" s="59"/>
      <c r="AD321" s="59"/>
      <c r="AE321" s="96"/>
      <c r="AF321" s="97"/>
      <c r="AG321" s="98"/>
      <c r="AH321" s="99"/>
    </row>
    <row r="322" spans="1:34" x14ac:dyDescent="0.25">
      <c r="A322" s="9" t="str">
        <f t="shared" si="4"/>
        <v/>
      </c>
      <c r="B322" s="52"/>
      <c r="C322" s="53"/>
      <c r="D322" s="53"/>
      <c r="E322" s="78"/>
      <c r="F322" s="133"/>
      <c r="G322" s="54"/>
      <c r="H322" s="54"/>
      <c r="I322" s="55"/>
      <c r="J322" s="55"/>
      <c r="K322" s="56"/>
      <c r="L322" s="56"/>
      <c r="M322" s="57"/>
      <c r="N322" s="57"/>
      <c r="O322" s="58"/>
      <c r="P322" s="58"/>
      <c r="Q322" s="59"/>
      <c r="R322" s="59"/>
      <c r="S322" s="54"/>
      <c r="T322" s="54"/>
      <c r="U322" s="55"/>
      <c r="V322" s="55"/>
      <c r="W322" s="56"/>
      <c r="X322" s="56"/>
      <c r="Y322" s="57"/>
      <c r="Z322" s="57"/>
      <c r="AA322" s="58"/>
      <c r="AB322" s="58"/>
      <c r="AC322" s="59"/>
      <c r="AD322" s="59"/>
      <c r="AE322" s="96"/>
      <c r="AF322" s="97"/>
      <c r="AG322" s="98"/>
      <c r="AH322" s="99"/>
    </row>
    <row r="323" spans="1:34" x14ac:dyDescent="0.25">
      <c r="A323" s="9" t="str">
        <f t="shared" si="4"/>
        <v/>
      </c>
      <c r="B323" s="52"/>
      <c r="C323" s="53"/>
      <c r="D323" s="53"/>
      <c r="E323" s="78"/>
      <c r="F323" s="133"/>
      <c r="G323" s="54"/>
      <c r="H323" s="54"/>
      <c r="I323" s="55"/>
      <c r="J323" s="55"/>
      <c r="K323" s="56"/>
      <c r="L323" s="56"/>
      <c r="M323" s="57"/>
      <c r="N323" s="57"/>
      <c r="O323" s="58"/>
      <c r="P323" s="58"/>
      <c r="Q323" s="59"/>
      <c r="R323" s="59"/>
      <c r="S323" s="54"/>
      <c r="T323" s="54"/>
      <c r="U323" s="55"/>
      <c r="V323" s="55"/>
      <c r="W323" s="56"/>
      <c r="X323" s="56"/>
      <c r="Y323" s="57"/>
      <c r="Z323" s="57"/>
      <c r="AA323" s="58"/>
      <c r="AB323" s="58"/>
      <c r="AC323" s="59"/>
      <c r="AD323" s="59"/>
      <c r="AE323" s="96"/>
      <c r="AF323" s="97"/>
      <c r="AG323" s="98"/>
      <c r="AH323" s="99"/>
    </row>
    <row r="324" spans="1:34" x14ac:dyDescent="0.25">
      <c r="A324" s="9" t="str">
        <f t="shared" si="4"/>
        <v/>
      </c>
      <c r="B324" s="52"/>
      <c r="C324" s="53"/>
      <c r="D324" s="53"/>
      <c r="E324" s="78"/>
      <c r="F324" s="133"/>
      <c r="G324" s="54"/>
      <c r="H324" s="54"/>
      <c r="I324" s="55"/>
      <c r="J324" s="55"/>
      <c r="K324" s="56"/>
      <c r="L324" s="56"/>
      <c r="M324" s="57"/>
      <c r="N324" s="57"/>
      <c r="O324" s="58"/>
      <c r="P324" s="58"/>
      <c r="Q324" s="59"/>
      <c r="R324" s="59"/>
      <c r="S324" s="54"/>
      <c r="T324" s="54"/>
      <c r="U324" s="55"/>
      <c r="V324" s="55"/>
      <c r="W324" s="56"/>
      <c r="X324" s="56"/>
      <c r="Y324" s="57"/>
      <c r="Z324" s="57"/>
      <c r="AA324" s="58"/>
      <c r="AB324" s="58"/>
      <c r="AC324" s="59"/>
      <c r="AD324" s="59"/>
      <c r="AE324" s="96"/>
      <c r="AF324" s="97"/>
      <c r="AG324" s="98"/>
      <c r="AH324" s="99"/>
    </row>
    <row r="325" spans="1:34" x14ac:dyDescent="0.25">
      <c r="A325" s="9" t="str">
        <f t="shared" ref="A325:A388" si="5">IF(COUNTA(G325:AD325)/2=0,"",COUNTA(G325:AD325)/2)</f>
        <v/>
      </c>
      <c r="B325" s="52"/>
      <c r="C325" s="53"/>
      <c r="D325" s="53"/>
      <c r="E325" s="78"/>
      <c r="F325" s="133"/>
      <c r="G325" s="54"/>
      <c r="H325" s="54"/>
      <c r="I325" s="55"/>
      <c r="J325" s="55"/>
      <c r="K325" s="56"/>
      <c r="L325" s="56"/>
      <c r="M325" s="57"/>
      <c r="N325" s="57"/>
      <c r="O325" s="58"/>
      <c r="P325" s="58"/>
      <c r="Q325" s="59"/>
      <c r="R325" s="59"/>
      <c r="S325" s="54"/>
      <c r="T325" s="54"/>
      <c r="U325" s="55"/>
      <c r="V325" s="55"/>
      <c r="W325" s="56"/>
      <c r="X325" s="56"/>
      <c r="Y325" s="57"/>
      <c r="Z325" s="57"/>
      <c r="AA325" s="58"/>
      <c r="AB325" s="58"/>
      <c r="AC325" s="59"/>
      <c r="AD325" s="59"/>
      <c r="AE325" s="96"/>
      <c r="AF325" s="97"/>
      <c r="AG325" s="98"/>
      <c r="AH325" s="99"/>
    </row>
    <row r="326" spans="1:34" x14ac:dyDescent="0.25">
      <c r="A326" s="9" t="str">
        <f t="shared" si="5"/>
        <v/>
      </c>
      <c r="B326" s="52"/>
      <c r="C326" s="53"/>
      <c r="D326" s="53"/>
      <c r="E326" s="78"/>
      <c r="F326" s="133"/>
      <c r="G326" s="54"/>
      <c r="H326" s="54"/>
      <c r="I326" s="55"/>
      <c r="J326" s="55"/>
      <c r="K326" s="56"/>
      <c r="L326" s="56"/>
      <c r="M326" s="57"/>
      <c r="N326" s="57"/>
      <c r="O326" s="58"/>
      <c r="P326" s="58"/>
      <c r="Q326" s="59"/>
      <c r="R326" s="59"/>
      <c r="S326" s="54"/>
      <c r="T326" s="54"/>
      <c r="U326" s="55"/>
      <c r="V326" s="55"/>
      <c r="W326" s="56"/>
      <c r="X326" s="56"/>
      <c r="Y326" s="57"/>
      <c r="Z326" s="57"/>
      <c r="AA326" s="58"/>
      <c r="AB326" s="58"/>
      <c r="AC326" s="59"/>
      <c r="AD326" s="59"/>
      <c r="AE326" s="96"/>
      <c r="AF326" s="97"/>
      <c r="AG326" s="98"/>
      <c r="AH326" s="99"/>
    </row>
    <row r="327" spans="1:34" x14ac:dyDescent="0.25">
      <c r="A327" s="9" t="str">
        <f t="shared" si="5"/>
        <v/>
      </c>
      <c r="B327" s="52"/>
      <c r="C327" s="53"/>
      <c r="D327" s="53"/>
      <c r="E327" s="78"/>
      <c r="F327" s="133"/>
      <c r="G327" s="54"/>
      <c r="H327" s="54"/>
      <c r="I327" s="55"/>
      <c r="J327" s="55"/>
      <c r="K327" s="56"/>
      <c r="L327" s="56"/>
      <c r="M327" s="57"/>
      <c r="N327" s="57"/>
      <c r="O327" s="58"/>
      <c r="P327" s="58"/>
      <c r="Q327" s="59"/>
      <c r="R327" s="59"/>
      <c r="S327" s="54"/>
      <c r="T327" s="54"/>
      <c r="U327" s="55"/>
      <c r="V327" s="55"/>
      <c r="W327" s="56"/>
      <c r="X327" s="56"/>
      <c r="Y327" s="57"/>
      <c r="Z327" s="57"/>
      <c r="AA327" s="58"/>
      <c r="AB327" s="58"/>
      <c r="AC327" s="59"/>
      <c r="AD327" s="59"/>
      <c r="AE327" s="96"/>
      <c r="AF327" s="97"/>
      <c r="AG327" s="98"/>
      <c r="AH327" s="99"/>
    </row>
    <row r="328" spans="1:34" x14ac:dyDescent="0.25">
      <c r="A328" s="9" t="str">
        <f t="shared" si="5"/>
        <v/>
      </c>
      <c r="B328" s="52"/>
      <c r="C328" s="53"/>
      <c r="D328" s="53"/>
      <c r="E328" s="78"/>
      <c r="F328" s="133"/>
      <c r="G328" s="54"/>
      <c r="H328" s="54"/>
      <c r="I328" s="55"/>
      <c r="J328" s="55"/>
      <c r="K328" s="56"/>
      <c r="L328" s="56"/>
      <c r="M328" s="57"/>
      <c r="N328" s="57"/>
      <c r="O328" s="58"/>
      <c r="P328" s="58"/>
      <c r="Q328" s="59"/>
      <c r="R328" s="59"/>
      <c r="S328" s="54"/>
      <c r="T328" s="54"/>
      <c r="U328" s="55"/>
      <c r="V328" s="55"/>
      <c r="W328" s="56"/>
      <c r="X328" s="56"/>
      <c r="Y328" s="57"/>
      <c r="Z328" s="57"/>
      <c r="AA328" s="58"/>
      <c r="AB328" s="58"/>
      <c r="AC328" s="59"/>
      <c r="AD328" s="59"/>
      <c r="AE328" s="96"/>
      <c r="AF328" s="97"/>
      <c r="AG328" s="98"/>
      <c r="AH328" s="99"/>
    </row>
    <row r="329" spans="1:34" x14ac:dyDescent="0.25">
      <c r="A329" s="9" t="str">
        <f t="shared" si="5"/>
        <v/>
      </c>
      <c r="B329" s="52"/>
      <c r="C329" s="53"/>
      <c r="D329" s="53"/>
      <c r="E329" s="78"/>
      <c r="F329" s="133"/>
      <c r="G329" s="54"/>
      <c r="H329" s="54"/>
      <c r="I329" s="55"/>
      <c r="J329" s="55"/>
      <c r="K329" s="56"/>
      <c r="L329" s="56"/>
      <c r="M329" s="57"/>
      <c r="N329" s="57"/>
      <c r="O329" s="58"/>
      <c r="P329" s="58"/>
      <c r="Q329" s="59"/>
      <c r="R329" s="59"/>
      <c r="S329" s="54"/>
      <c r="T329" s="54"/>
      <c r="U329" s="55"/>
      <c r="V329" s="55"/>
      <c r="W329" s="56"/>
      <c r="X329" s="56"/>
      <c r="Y329" s="57"/>
      <c r="Z329" s="57"/>
      <c r="AA329" s="58"/>
      <c r="AB329" s="58"/>
      <c r="AC329" s="59"/>
      <c r="AD329" s="59"/>
      <c r="AE329" s="96"/>
      <c r="AF329" s="97"/>
      <c r="AG329" s="98"/>
      <c r="AH329" s="99"/>
    </row>
    <row r="330" spans="1:34" x14ac:dyDescent="0.25">
      <c r="A330" s="9" t="str">
        <f t="shared" si="5"/>
        <v/>
      </c>
      <c r="B330" s="52"/>
      <c r="C330" s="53"/>
      <c r="D330" s="53"/>
      <c r="E330" s="78"/>
      <c r="F330" s="133"/>
      <c r="G330" s="54"/>
      <c r="H330" s="54"/>
      <c r="I330" s="55"/>
      <c r="J330" s="55"/>
      <c r="K330" s="56"/>
      <c r="L330" s="56"/>
      <c r="M330" s="57"/>
      <c r="N330" s="57"/>
      <c r="O330" s="58"/>
      <c r="P330" s="58"/>
      <c r="Q330" s="59"/>
      <c r="R330" s="59"/>
      <c r="S330" s="54"/>
      <c r="T330" s="54"/>
      <c r="U330" s="55"/>
      <c r="V330" s="55"/>
      <c r="W330" s="56"/>
      <c r="X330" s="56"/>
      <c r="Y330" s="57"/>
      <c r="Z330" s="57"/>
      <c r="AA330" s="58"/>
      <c r="AB330" s="58"/>
      <c r="AC330" s="59"/>
      <c r="AD330" s="59"/>
      <c r="AE330" s="96"/>
      <c r="AF330" s="97"/>
      <c r="AG330" s="98"/>
      <c r="AH330" s="99"/>
    </row>
    <row r="331" spans="1:34" x14ac:dyDescent="0.25">
      <c r="A331" s="9" t="str">
        <f t="shared" si="5"/>
        <v/>
      </c>
      <c r="B331" s="52"/>
      <c r="C331" s="53"/>
      <c r="D331" s="53"/>
      <c r="E331" s="78"/>
      <c r="F331" s="133"/>
      <c r="G331" s="54"/>
      <c r="H331" s="54"/>
      <c r="I331" s="55"/>
      <c r="J331" s="55"/>
      <c r="K331" s="56"/>
      <c r="L331" s="56"/>
      <c r="M331" s="57"/>
      <c r="N331" s="57"/>
      <c r="O331" s="58"/>
      <c r="P331" s="58"/>
      <c r="Q331" s="59"/>
      <c r="R331" s="59"/>
      <c r="S331" s="54"/>
      <c r="T331" s="54"/>
      <c r="U331" s="55"/>
      <c r="V331" s="55"/>
      <c r="W331" s="56"/>
      <c r="X331" s="56"/>
      <c r="Y331" s="57"/>
      <c r="Z331" s="57"/>
      <c r="AA331" s="58"/>
      <c r="AB331" s="58"/>
      <c r="AC331" s="59"/>
      <c r="AD331" s="59"/>
      <c r="AE331" s="96"/>
      <c r="AF331" s="97"/>
      <c r="AG331" s="98"/>
      <c r="AH331" s="99"/>
    </row>
    <row r="332" spans="1:34" x14ac:dyDescent="0.25">
      <c r="A332" s="9" t="str">
        <f t="shared" si="5"/>
        <v/>
      </c>
      <c r="B332" s="52"/>
      <c r="C332" s="53"/>
      <c r="D332" s="53"/>
      <c r="E332" s="78"/>
      <c r="F332" s="133"/>
      <c r="G332" s="54"/>
      <c r="H332" s="54"/>
      <c r="I332" s="55"/>
      <c r="J332" s="55"/>
      <c r="K332" s="56"/>
      <c r="L332" s="56"/>
      <c r="M332" s="57"/>
      <c r="N332" s="57"/>
      <c r="O332" s="58"/>
      <c r="P332" s="58"/>
      <c r="Q332" s="59"/>
      <c r="R332" s="59"/>
      <c r="S332" s="54"/>
      <c r="T332" s="54"/>
      <c r="U332" s="55"/>
      <c r="V332" s="55"/>
      <c r="W332" s="56"/>
      <c r="X332" s="56"/>
      <c r="Y332" s="57"/>
      <c r="Z332" s="57"/>
      <c r="AA332" s="58"/>
      <c r="AB332" s="58"/>
      <c r="AC332" s="59"/>
      <c r="AD332" s="59"/>
      <c r="AE332" s="96"/>
      <c r="AF332" s="97"/>
      <c r="AG332" s="98"/>
      <c r="AH332" s="99"/>
    </row>
    <row r="333" spans="1:34" x14ac:dyDescent="0.25">
      <c r="A333" s="9" t="str">
        <f t="shared" si="5"/>
        <v/>
      </c>
      <c r="B333" s="52"/>
      <c r="C333" s="53"/>
      <c r="D333" s="53"/>
      <c r="E333" s="78"/>
      <c r="F333" s="133"/>
      <c r="G333" s="54"/>
      <c r="H333" s="54"/>
      <c r="I333" s="55"/>
      <c r="J333" s="55"/>
      <c r="K333" s="56"/>
      <c r="L333" s="56"/>
      <c r="M333" s="57"/>
      <c r="N333" s="57"/>
      <c r="O333" s="58"/>
      <c r="P333" s="58"/>
      <c r="Q333" s="59"/>
      <c r="R333" s="59"/>
      <c r="S333" s="54"/>
      <c r="T333" s="54"/>
      <c r="U333" s="55"/>
      <c r="V333" s="55"/>
      <c r="W333" s="56"/>
      <c r="X333" s="56"/>
      <c r="Y333" s="57"/>
      <c r="Z333" s="57"/>
      <c r="AA333" s="58"/>
      <c r="AB333" s="58"/>
      <c r="AC333" s="59"/>
      <c r="AD333" s="59"/>
      <c r="AE333" s="96"/>
      <c r="AF333" s="97"/>
      <c r="AG333" s="98"/>
      <c r="AH333" s="99"/>
    </row>
    <row r="334" spans="1:34" x14ac:dyDescent="0.25">
      <c r="A334" s="9" t="str">
        <f t="shared" si="5"/>
        <v/>
      </c>
      <c r="B334" s="52"/>
      <c r="C334" s="53"/>
      <c r="D334" s="53"/>
      <c r="E334" s="78"/>
      <c r="F334" s="133"/>
      <c r="G334" s="54"/>
      <c r="H334" s="54"/>
      <c r="I334" s="55"/>
      <c r="J334" s="55"/>
      <c r="K334" s="56"/>
      <c r="L334" s="56"/>
      <c r="M334" s="57"/>
      <c r="N334" s="57"/>
      <c r="O334" s="58"/>
      <c r="P334" s="58"/>
      <c r="Q334" s="59"/>
      <c r="R334" s="59"/>
      <c r="S334" s="54"/>
      <c r="T334" s="54"/>
      <c r="U334" s="55"/>
      <c r="V334" s="55"/>
      <c r="W334" s="56"/>
      <c r="X334" s="56"/>
      <c r="Y334" s="57"/>
      <c r="Z334" s="57"/>
      <c r="AA334" s="58"/>
      <c r="AB334" s="58"/>
      <c r="AC334" s="59"/>
      <c r="AD334" s="59"/>
      <c r="AE334" s="96"/>
      <c r="AF334" s="97"/>
      <c r="AG334" s="98"/>
      <c r="AH334" s="99"/>
    </row>
    <row r="335" spans="1:34" x14ac:dyDescent="0.25">
      <c r="A335" s="9" t="str">
        <f t="shared" si="5"/>
        <v/>
      </c>
      <c r="B335" s="52"/>
      <c r="C335" s="53"/>
      <c r="D335" s="53"/>
      <c r="E335" s="78"/>
      <c r="F335" s="133"/>
      <c r="G335" s="54"/>
      <c r="H335" s="54"/>
      <c r="I335" s="55"/>
      <c r="J335" s="55"/>
      <c r="K335" s="56"/>
      <c r="L335" s="56"/>
      <c r="M335" s="57"/>
      <c r="N335" s="57"/>
      <c r="O335" s="58"/>
      <c r="P335" s="58"/>
      <c r="Q335" s="59"/>
      <c r="R335" s="59"/>
      <c r="S335" s="54"/>
      <c r="T335" s="54"/>
      <c r="U335" s="55"/>
      <c r="V335" s="55"/>
      <c r="W335" s="56"/>
      <c r="X335" s="56"/>
      <c r="Y335" s="57"/>
      <c r="Z335" s="57"/>
      <c r="AA335" s="58"/>
      <c r="AB335" s="58"/>
      <c r="AC335" s="59"/>
      <c r="AD335" s="59"/>
      <c r="AE335" s="96"/>
      <c r="AF335" s="97"/>
      <c r="AG335" s="98"/>
      <c r="AH335" s="99"/>
    </row>
    <row r="336" spans="1:34" x14ac:dyDescent="0.25">
      <c r="A336" s="9" t="str">
        <f t="shared" si="5"/>
        <v/>
      </c>
      <c r="B336" s="52"/>
      <c r="C336" s="53"/>
      <c r="D336" s="53"/>
      <c r="E336" s="78"/>
      <c r="F336" s="133"/>
      <c r="G336" s="54"/>
      <c r="H336" s="54"/>
      <c r="I336" s="55"/>
      <c r="J336" s="55"/>
      <c r="K336" s="56"/>
      <c r="L336" s="56"/>
      <c r="M336" s="57"/>
      <c r="N336" s="57"/>
      <c r="O336" s="58"/>
      <c r="P336" s="58"/>
      <c r="Q336" s="59"/>
      <c r="R336" s="59"/>
      <c r="S336" s="54"/>
      <c r="T336" s="54"/>
      <c r="U336" s="55"/>
      <c r="V336" s="55"/>
      <c r="W336" s="56"/>
      <c r="X336" s="56"/>
      <c r="Y336" s="57"/>
      <c r="Z336" s="57"/>
      <c r="AA336" s="58"/>
      <c r="AB336" s="58"/>
      <c r="AC336" s="59"/>
      <c r="AD336" s="59"/>
      <c r="AE336" s="96"/>
      <c r="AF336" s="97"/>
      <c r="AG336" s="98"/>
      <c r="AH336" s="99"/>
    </row>
    <row r="337" spans="1:34" x14ac:dyDescent="0.25">
      <c r="A337" s="9" t="str">
        <f t="shared" si="5"/>
        <v/>
      </c>
      <c r="B337" s="52"/>
      <c r="C337" s="53"/>
      <c r="D337" s="53"/>
      <c r="E337" s="78"/>
      <c r="F337" s="133"/>
      <c r="G337" s="54"/>
      <c r="H337" s="54"/>
      <c r="I337" s="55"/>
      <c r="J337" s="55"/>
      <c r="K337" s="56"/>
      <c r="L337" s="56"/>
      <c r="M337" s="57"/>
      <c r="N337" s="57"/>
      <c r="O337" s="58"/>
      <c r="P337" s="58"/>
      <c r="Q337" s="59"/>
      <c r="R337" s="59"/>
      <c r="S337" s="54"/>
      <c r="T337" s="54"/>
      <c r="U337" s="55"/>
      <c r="V337" s="55"/>
      <c r="W337" s="56"/>
      <c r="X337" s="56"/>
      <c r="Y337" s="57"/>
      <c r="Z337" s="57"/>
      <c r="AA337" s="58"/>
      <c r="AB337" s="58"/>
      <c r="AC337" s="59"/>
      <c r="AD337" s="59"/>
      <c r="AE337" s="96"/>
      <c r="AF337" s="97"/>
      <c r="AG337" s="98"/>
      <c r="AH337" s="99"/>
    </row>
    <row r="338" spans="1:34" x14ac:dyDescent="0.25">
      <c r="A338" s="9" t="str">
        <f t="shared" si="5"/>
        <v/>
      </c>
      <c r="B338" s="52"/>
      <c r="C338" s="53"/>
      <c r="D338" s="53"/>
      <c r="E338" s="78"/>
      <c r="F338" s="133"/>
      <c r="G338" s="54"/>
      <c r="H338" s="54"/>
      <c r="I338" s="55"/>
      <c r="J338" s="55"/>
      <c r="K338" s="56"/>
      <c r="L338" s="56"/>
      <c r="M338" s="57"/>
      <c r="N338" s="57"/>
      <c r="O338" s="58"/>
      <c r="P338" s="58"/>
      <c r="Q338" s="59"/>
      <c r="R338" s="59"/>
      <c r="S338" s="54"/>
      <c r="T338" s="54"/>
      <c r="U338" s="55"/>
      <c r="V338" s="55"/>
      <c r="W338" s="56"/>
      <c r="X338" s="56"/>
      <c r="Y338" s="57"/>
      <c r="Z338" s="57"/>
      <c r="AA338" s="58"/>
      <c r="AB338" s="58"/>
      <c r="AC338" s="59"/>
      <c r="AD338" s="59"/>
      <c r="AE338" s="96"/>
      <c r="AF338" s="97"/>
      <c r="AG338" s="98"/>
      <c r="AH338" s="99"/>
    </row>
    <row r="339" spans="1:34" x14ac:dyDescent="0.25">
      <c r="A339" s="9" t="str">
        <f t="shared" si="5"/>
        <v/>
      </c>
      <c r="B339" s="52"/>
      <c r="C339" s="53"/>
      <c r="D339" s="53"/>
      <c r="E339" s="78"/>
      <c r="F339" s="133"/>
      <c r="G339" s="54"/>
      <c r="H339" s="54"/>
      <c r="I339" s="55"/>
      <c r="J339" s="55"/>
      <c r="K339" s="56"/>
      <c r="L339" s="56"/>
      <c r="M339" s="57"/>
      <c r="N339" s="57"/>
      <c r="O339" s="58"/>
      <c r="P339" s="58"/>
      <c r="Q339" s="59"/>
      <c r="R339" s="59"/>
      <c r="S339" s="54"/>
      <c r="T339" s="54"/>
      <c r="U339" s="55"/>
      <c r="V339" s="55"/>
      <c r="W339" s="56"/>
      <c r="X339" s="56"/>
      <c r="Y339" s="57"/>
      <c r="Z339" s="57"/>
      <c r="AA339" s="58"/>
      <c r="AB339" s="58"/>
      <c r="AC339" s="59"/>
      <c r="AD339" s="59"/>
      <c r="AE339" s="96"/>
      <c r="AF339" s="97"/>
      <c r="AG339" s="98"/>
      <c r="AH339" s="99"/>
    </row>
    <row r="340" spans="1:34" x14ac:dyDescent="0.25">
      <c r="A340" s="9" t="str">
        <f t="shared" si="5"/>
        <v/>
      </c>
      <c r="B340" s="52"/>
      <c r="C340" s="53"/>
      <c r="D340" s="53"/>
      <c r="E340" s="78"/>
      <c r="F340" s="133"/>
      <c r="G340" s="54"/>
      <c r="H340" s="54"/>
      <c r="I340" s="55"/>
      <c r="J340" s="55"/>
      <c r="K340" s="56"/>
      <c r="L340" s="56"/>
      <c r="M340" s="57"/>
      <c r="N340" s="57"/>
      <c r="O340" s="58"/>
      <c r="P340" s="58"/>
      <c r="Q340" s="59"/>
      <c r="R340" s="59"/>
      <c r="S340" s="54"/>
      <c r="T340" s="54"/>
      <c r="U340" s="55"/>
      <c r="V340" s="55"/>
      <c r="W340" s="56"/>
      <c r="X340" s="56"/>
      <c r="Y340" s="57"/>
      <c r="Z340" s="57"/>
      <c r="AA340" s="58"/>
      <c r="AB340" s="58"/>
      <c r="AC340" s="59"/>
      <c r="AD340" s="59"/>
      <c r="AE340" s="96"/>
      <c r="AF340" s="97"/>
      <c r="AG340" s="98"/>
      <c r="AH340" s="99"/>
    </row>
    <row r="341" spans="1:34" x14ac:dyDescent="0.25">
      <c r="A341" s="9" t="str">
        <f t="shared" si="5"/>
        <v/>
      </c>
      <c r="B341" s="52"/>
      <c r="C341" s="53"/>
      <c r="D341" s="53"/>
      <c r="E341" s="78"/>
      <c r="F341" s="133"/>
      <c r="G341" s="54"/>
      <c r="H341" s="54"/>
      <c r="I341" s="55"/>
      <c r="J341" s="55"/>
      <c r="K341" s="56"/>
      <c r="L341" s="56"/>
      <c r="M341" s="57"/>
      <c r="N341" s="57"/>
      <c r="O341" s="58"/>
      <c r="P341" s="58"/>
      <c r="Q341" s="59"/>
      <c r="R341" s="59"/>
      <c r="S341" s="54"/>
      <c r="T341" s="54"/>
      <c r="U341" s="55"/>
      <c r="V341" s="55"/>
      <c r="W341" s="56"/>
      <c r="X341" s="56"/>
      <c r="Y341" s="57"/>
      <c r="Z341" s="57"/>
      <c r="AA341" s="58"/>
      <c r="AB341" s="58"/>
      <c r="AC341" s="59"/>
      <c r="AD341" s="59"/>
      <c r="AE341" s="96"/>
      <c r="AF341" s="97"/>
      <c r="AG341" s="98"/>
      <c r="AH341" s="99"/>
    </row>
    <row r="342" spans="1:34" x14ac:dyDescent="0.25">
      <c r="A342" s="9" t="str">
        <f t="shared" si="5"/>
        <v/>
      </c>
      <c r="B342" s="52"/>
      <c r="C342" s="53"/>
      <c r="D342" s="53"/>
      <c r="E342" s="78"/>
      <c r="F342" s="133"/>
      <c r="G342" s="54"/>
      <c r="H342" s="54"/>
      <c r="I342" s="55"/>
      <c r="J342" s="55"/>
      <c r="K342" s="56"/>
      <c r="L342" s="56"/>
      <c r="M342" s="57"/>
      <c r="N342" s="57"/>
      <c r="O342" s="58"/>
      <c r="P342" s="58"/>
      <c r="Q342" s="59"/>
      <c r="R342" s="59"/>
      <c r="S342" s="54"/>
      <c r="T342" s="54"/>
      <c r="U342" s="55"/>
      <c r="V342" s="55"/>
      <c r="W342" s="56"/>
      <c r="X342" s="56"/>
      <c r="Y342" s="57"/>
      <c r="Z342" s="57"/>
      <c r="AA342" s="58"/>
      <c r="AB342" s="58"/>
      <c r="AC342" s="59"/>
      <c r="AD342" s="59"/>
      <c r="AE342" s="96"/>
      <c r="AF342" s="97"/>
      <c r="AG342" s="98"/>
      <c r="AH342" s="99"/>
    </row>
    <row r="343" spans="1:34" x14ac:dyDescent="0.25">
      <c r="A343" s="9" t="str">
        <f t="shared" si="5"/>
        <v/>
      </c>
      <c r="B343" s="52"/>
      <c r="C343" s="53"/>
      <c r="D343" s="53"/>
      <c r="E343" s="78"/>
      <c r="F343" s="133"/>
      <c r="G343" s="54"/>
      <c r="H343" s="54"/>
      <c r="I343" s="55"/>
      <c r="J343" s="55"/>
      <c r="K343" s="56"/>
      <c r="L343" s="56"/>
      <c r="M343" s="57"/>
      <c r="N343" s="57"/>
      <c r="O343" s="58"/>
      <c r="P343" s="58"/>
      <c r="Q343" s="59"/>
      <c r="R343" s="59"/>
      <c r="S343" s="54"/>
      <c r="T343" s="54"/>
      <c r="U343" s="55"/>
      <c r="V343" s="55"/>
      <c r="W343" s="56"/>
      <c r="X343" s="56"/>
      <c r="Y343" s="57"/>
      <c r="Z343" s="57"/>
      <c r="AA343" s="58"/>
      <c r="AB343" s="58"/>
      <c r="AC343" s="59"/>
      <c r="AD343" s="59"/>
      <c r="AE343" s="96"/>
      <c r="AF343" s="97"/>
      <c r="AG343" s="98"/>
      <c r="AH343" s="99"/>
    </row>
    <row r="344" spans="1:34" x14ac:dyDescent="0.25">
      <c r="A344" s="9" t="str">
        <f t="shared" si="5"/>
        <v/>
      </c>
      <c r="B344" s="52"/>
      <c r="C344" s="53"/>
      <c r="D344" s="53"/>
      <c r="E344" s="78"/>
      <c r="F344" s="133"/>
      <c r="G344" s="54"/>
      <c r="H344" s="54"/>
      <c r="I344" s="55"/>
      <c r="J344" s="55"/>
      <c r="K344" s="56"/>
      <c r="L344" s="56"/>
      <c r="M344" s="57"/>
      <c r="N344" s="57"/>
      <c r="O344" s="58"/>
      <c r="P344" s="58"/>
      <c r="Q344" s="59"/>
      <c r="R344" s="59"/>
      <c r="S344" s="54"/>
      <c r="T344" s="54"/>
      <c r="U344" s="55"/>
      <c r="V344" s="55"/>
      <c r="W344" s="56"/>
      <c r="X344" s="56"/>
      <c r="Y344" s="57"/>
      <c r="Z344" s="57"/>
      <c r="AA344" s="58"/>
      <c r="AB344" s="58"/>
      <c r="AC344" s="59"/>
      <c r="AD344" s="59"/>
      <c r="AE344" s="96"/>
      <c r="AF344" s="97"/>
      <c r="AG344" s="98"/>
      <c r="AH344" s="99"/>
    </row>
    <row r="345" spans="1:34" x14ac:dyDescent="0.25">
      <c r="A345" s="9" t="str">
        <f t="shared" si="5"/>
        <v/>
      </c>
      <c r="B345" s="52"/>
      <c r="C345" s="53"/>
      <c r="D345" s="53"/>
      <c r="E345" s="78"/>
      <c r="F345" s="133"/>
      <c r="G345" s="54"/>
      <c r="H345" s="54"/>
      <c r="I345" s="55"/>
      <c r="J345" s="55"/>
      <c r="K345" s="56"/>
      <c r="L345" s="56"/>
      <c r="M345" s="57"/>
      <c r="N345" s="57"/>
      <c r="O345" s="58"/>
      <c r="P345" s="58"/>
      <c r="Q345" s="59"/>
      <c r="R345" s="59"/>
      <c r="S345" s="54"/>
      <c r="T345" s="54"/>
      <c r="U345" s="55"/>
      <c r="V345" s="55"/>
      <c r="W345" s="56"/>
      <c r="X345" s="56"/>
      <c r="Y345" s="57"/>
      <c r="Z345" s="57"/>
      <c r="AA345" s="58"/>
      <c r="AB345" s="58"/>
      <c r="AC345" s="59"/>
      <c r="AD345" s="59"/>
      <c r="AE345" s="96"/>
      <c r="AF345" s="97"/>
      <c r="AG345" s="98"/>
      <c r="AH345" s="99"/>
    </row>
    <row r="346" spans="1:34" x14ac:dyDescent="0.25">
      <c r="A346" s="9" t="str">
        <f t="shared" si="5"/>
        <v/>
      </c>
      <c r="B346" s="52"/>
      <c r="C346" s="53"/>
      <c r="D346" s="53"/>
      <c r="E346" s="78"/>
      <c r="F346" s="133"/>
      <c r="G346" s="54"/>
      <c r="H346" s="54"/>
      <c r="I346" s="55"/>
      <c r="J346" s="55"/>
      <c r="K346" s="56"/>
      <c r="L346" s="56"/>
      <c r="M346" s="57"/>
      <c r="N346" s="57"/>
      <c r="O346" s="58"/>
      <c r="P346" s="58"/>
      <c r="Q346" s="59"/>
      <c r="R346" s="59"/>
      <c r="S346" s="54"/>
      <c r="T346" s="54"/>
      <c r="U346" s="55"/>
      <c r="V346" s="55"/>
      <c r="W346" s="56"/>
      <c r="X346" s="56"/>
      <c r="Y346" s="57"/>
      <c r="Z346" s="57"/>
      <c r="AA346" s="58"/>
      <c r="AB346" s="58"/>
      <c r="AC346" s="59"/>
      <c r="AD346" s="59"/>
      <c r="AE346" s="96"/>
      <c r="AF346" s="97"/>
      <c r="AG346" s="98"/>
      <c r="AH346" s="99"/>
    </row>
    <row r="347" spans="1:34" x14ac:dyDescent="0.25">
      <c r="A347" s="9" t="str">
        <f t="shared" si="5"/>
        <v/>
      </c>
      <c r="B347" s="52"/>
      <c r="C347" s="53"/>
      <c r="D347" s="53"/>
      <c r="E347" s="78"/>
      <c r="F347" s="133"/>
      <c r="G347" s="54"/>
      <c r="H347" s="54"/>
      <c r="I347" s="55"/>
      <c r="J347" s="55"/>
      <c r="K347" s="56"/>
      <c r="L347" s="56"/>
      <c r="M347" s="57"/>
      <c r="N347" s="57"/>
      <c r="O347" s="58"/>
      <c r="P347" s="58"/>
      <c r="Q347" s="59"/>
      <c r="R347" s="59"/>
      <c r="S347" s="54"/>
      <c r="T347" s="54"/>
      <c r="U347" s="55"/>
      <c r="V347" s="55"/>
      <c r="W347" s="56"/>
      <c r="X347" s="56"/>
      <c r="Y347" s="57"/>
      <c r="Z347" s="57"/>
      <c r="AA347" s="58"/>
      <c r="AB347" s="58"/>
      <c r="AC347" s="59"/>
      <c r="AD347" s="59"/>
      <c r="AE347" s="96"/>
      <c r="AF347" s="97"/>
      <c r="AG347" s="98"/>
      <c r="AH347" s="99"/>
    </row>
    <row r="348" spans="1:34" x14ac:dyDescent="0.25">
      <c r="A348" s="9" t="str">
        <f t="shared" si="5"/>
        <v/>
      </c>
      <c r="B348" s="52"/>
      <c r="C348" s="53"/>
      <c r="D348" s="53"/>
      <c r="E348" s="78"/>
      <c r="F348" s="133"/>
      <c r="G348" s="54"/>
      <c r="H348" s="54"/>
      <c r="I348" s="55"/>
      <c r="J348" s="55"/>
      <c r="K348" s="56"/>
      <c r="L348" s="56"/>
      <c r="M348" s="57"/>
      <c r="N348" s="57"/>
      <c r="O348" s="58"/>
      <c r="P348" s="58"/>
      <c r="Q348" s="59"/>
      <c r="R348" s="59"/>
      <c r="S348" s="54"/>
      <c r="T348" s="54"/>
      <c r="U348" s="55"/>
      <c r="V348" s="55"/>
      <c r="W348" s="56"/>
      <c r="X348" s="56"/>
      <c r="Y348" s="57"/>
      <c r="Z348" s="57"/>
      <c r="AA348" s="58"/>
      <c r="AB348" s="58"/>
      <c r="AC348" s="59"/>
      <c r="AD348" s="59"/>
      <c r="AE348" s="96"/>
      <c r="AF348" s="97"/>
      <c r="AG348" s="98"/>
      <c r="AH348" s="99"/>
    </row>
    <row r="349" spans="1:34" x14ac:dyDescent="0.25">
      <c r="A349" s="9" t="str">
        <f t="shared" si="5"/>
        <v/>
      </c>
      <c r="B349" s="52"/>
      <c r="C349" s="53"/>
      <c r="D349" s="53"/>
      <c r="E349" s="78"/>
      <c r="F349" s="133"/>
      <c r="G349" s="54"/>
      <c r="H349" s="54"/>
      <c r="I349" s="55"/>
      <c r="J349" s="55"/>
      <c r="K349" s="56"/>
      <c r="L349" s="56"/>
      <c r="M349" s="57"/>
      <c r="N349" s="57"/>
      <c r="O349" s="58"/>
      <c r="P349" s="58"/>
      <c r="Q349" s="59"/>
      <c r="R349" s="59"/>
      <c r="S349" s="54"/>
      <c r="T349" s="54"/>
      <c r="U349" s="55"/>
      <c r="V349" s="55"/>
      <c r="W349" s="56"/>
      <c r="X349" s="56"/>
      <c r="Y349" s="57"/>
      <c r="Z349" s="57"/>
      <c r="AA349" s="58"/>
      <c r="AB349" s="58"/>
      <c r="AC349" s="59"/>
      <c r="AD349" s="59"/>
      <c r="AE349" s="96"/>
      <c r="AF349" s="97"/>
      <c r="AG349" s="98"/>
      <c r="AH349" s="99"/>
    </row>
    <row r="350" spans="1:34" x14ac:dyDescent="0.25">
      <c r="A350" s="9" t="str">
        <f t="shared" si="5"/>
        <v/>
      </c>
      <c r="B350" s="52"/>
      <c r="C350" s="53"/>
      <c r="D350" s="53"/>
      <c r="E350" s="78"/>
      <c r="F350" s="133"/>
      <c r="G350" s="54"/>
      <c r="H350" s="54"/>
      <c r="I350" s="55"/>
      <c r="J350" s="55"/>
      <c r="K350" s="56"/>
      <c r="L350" s="56"/>
      <c r="M350" s="57"/>
      <c r="N350" s="57"/>
      <c r="O350" s="58"/>
      <c r="P350" s="58"/>
      <c r="Q350" s="59"/>
      <c r="R350" s="59"/>
      <c r="S350" s="54"/>
      <c r="T350" s="54"/>
      <c r="U350" s="55"/>
      <c r="V350" s="55"/>
      <c r="W350" s="56"/>
      <c r="X350" s="56"/>
      <c r="Y350" s="57"/>
      <c r="Z350" s="57"/>
      <c r="AA350" s="58"/>
      <c r="AB350" s="58"/>
      <c r="AC350" s="59"/>
      <c r="AD350" s="59"/>
      <c r="AE350" s="96"/>
      <c r="AF350" s="97"/>
      <c r="AG350" s="98"/>
      <c r="AH350" s="99"/>
    </row>
    <row r="351" spans="1:34" x14ac:dyDescent="0.25">
      <c r="A351" s="9" t="str">
        <f t="shared" si="5"/>
        <v/>
      </c>
      <c r="B351" s="52"/>
      <c r="C351" s="53"/>
      <c r="D351" s="53"/>
      <c r="E351" s="78"/>
      <c r="F351" s="133"/>
      <c r="G351" s="54"/>
      <c r="H351" s="54"/>
      <c r="I351" s="55"/>
      <c r="J351" s="55"/>
      <c r="K351" s="56"/>
      <c r="L351" s="56"/>
      <c r="M351" s="57"/>
      <c r="N351" s="57"/>
      <c r="O351" s="58"/>
      <c r="P351" s="58"/>
      <c r="Q351" s="59"/>
      <c r="R351" s="59"/>
      <c r="S351" s="54"/>
      <c r="T351" s="54"/>
      <c r="U351" s="55"/>
      <c r="V351" s="55"/>
      <c r="W351" s="56"/>
      <c r="X351" s="56"/>
      <c r="Y351" s="57"/>
      <c r="Z351" s="57"/>
      <c r="AA351" s="58"/>
      <c r="AB351" s="58"/>
      <c r="AC351" s="59"/>
      <c r="AD351" s="59"/>
      <c r="AE351" s="96"/>
      <c r="AF351" s="97"/>
      <c r="AG351" s="98"/>
      <c r="AH351" s="99"/>
    </row>
    <row r="352" spans="1:34" x14ac:dyDescent="0.25">
      <c r="A352" s="9" t="str">
        <f t="shared" si="5"/>
        <v/>
      </c>
      <c r="B352" s="52"/>
      <c r="C352" s="53"/>
      <c r="D352" s="53"/>
      <c r="E352" s="78"/>
      <c r="F352" s="133"/>
      <c r="G352" s="54"/>
      <c r="H352" s="54"/>
      <c r="I352" s="55"/>
      <c r="J352" s="55"/>
      <c r="K352" s="56"/>
      <c r="L352" s="56"/>
      <c r="M352" s="57"/>
      <c r="N352" s="57"/>
      <c r="O352" s="58"/>
      <c r="P352" s="58"/>
      <c r="Q352" s="59"/>
      <c r="R352" s="59"/>
      <c r="S352" s="54"/>
      <c r="T352" s="54"/>
      <c r="U352" s="55"/>
      <c r="V352" s="55"/>
      <c r="W352" s="56"/>
      <c r="X352" s="56"/>
      <c r="Y352" s="57"/>
      <c r="Z352" s="57"/>
      <c r="AA352" s="58"/>
      <c r="AB352" s="58"/>
      <c r="AC352" s="59"/>
      <c r="AD352" s="59"/>
      <c r="AE352" s="96"/>
      <c r="AF352" s="97"/>
      <c r="AG352" s="98"/>
      <c r="AH352" s="99"/>
    </row>
    <row r="353" spans="1:34" x14ac:dyDescent="0.25">
      <c r="A353" s="9" t="str">
        <f t="shared" si="5"/>
        <v/>
      </c>
      <c r="B353" s="52"/>
      <c r="C353" s="53"/>
      <c r="D353" s="53"/>
      <c r="E353" s="78"/>
      <c r="F353" s="133"/>
      <c r="G353" s="54"/>
      <c r="H353" s="54"/>
      <c r="I353" s="55"/>
      <c r="J353" s="55"/>
      <c r="K353" s="56"/>
      <c r="L353" s="56"/>
      <c r="M353" s="57"/>
      <c r="N353" s="57"/>
      <c r="O353" s="58"/>
      <c r="P353" s="58"/>
      <c r="Q353" s="59"/>
      <c r="R353" s="59"/>
      <c r="S353" s="54"/>
      <c r="T353" s="54"/>
      <c r="U353" s="55"/>
      <c r="V353" s="55"/>
      <c r="W353" s="56"/>
      <c r="X353" s="56"/>
      <c r="Y353" s="57"/>
      <c r="Z353" s="57"/>
      <c r="AA353" s="58"/>
      <c r="AB353" s="58"/>
      <c r="AC353" s="59"/>
      <c r="AD353" s="59"/>
      <c r="AE353" s="96"/>
      <c r="AF353" s="97"/>
      <c r="AG353" s="98"/>
      <c r="AH353" s="99"/>
    </row>
    <row r="354" spans="1:34" x14ac:dyDescent="0.25">
      <c r="A354" s="9" t="str">
        <f t="shared" si="5"/>
        <v/>
      </c>
      <c r="B354" s="52"/>
      <c r="C354" s="53"/>
      <c r="D354" s="53"/>
      <c r="E354" s="78"/>
      <c r="F354" s="133"/>
      <c r="G354" s="54"/>
      <c r="H354" s="54"/>
      <c r="I354" s="55"/>
      <c r="J354" s="55"/>
      <c r="K354" s="56"/>
      <c r="L354" s="56"/>
      <c r="M354" s="57"/>
      <c r="N354" s="57"/>
      <c r="O354" s="58"/>
      <c r="P354" s="58"/>
      <c r="Q354" s="59"/>
      <c r="R354" s="59"/>
      <c r="S354" s="54"/>
      <c r="T354" s="54"/>
      <c r="U354" s="55"/>
      <c r="V354" s="55"/>
      <c r="W354" s="56"/>
      <c r="X354" s="56"/>
      <c r="Y354" s="57"/>
      <c r="Z354" s="57"/>
      <c r="AA354" s="58"/>
      <c r="AB354" s="58"/>
      <c r="AC354" s="59"/>
      <c r="AD354" s="59"/>
      <c r="AE354" s="96"/>
      <c r="AF354" s="97"/>
      <c r="AG354" s="98"/>
      <c r="AH354" s="99"/>
    </row>
    <row r="355" spans="1:34" x14ac:dyDescent="0.25">
      <c r="A355" s="9" t="str">
        <f t="shared" si="5"/>
        <v/>
      </c>
      <c r="B355" s="52"/>
      <c r="C355" s="53"/>
      <c r="D355" s="53"/>
      <c r="E355" s="78"/>
      <c r="F355" s="133"/>
      <c r="G355" s="54"/>
      <c r="H355" s="54"/>
      <c r="I355" s="55"/>
      <c r="J355" s="55"/>
      <c r="K355" s="56"/>
      <c r="L355" s="56"/>
      <c r="M355" s="57"/>
      <c r="N355" s="57"/>
      <c r="O355" s="58"/>
      <c r="P355" s="58"/>
      <c r="Q355" s="59"/>
      <c r="R355" s="59"/>
      <c r="S355" s="54"/>
      <c r="T355" s="54"/>
      <c r="U355" s="55"/>
      <c r="V355" s="55"/>
      <c r="W355" s="56"/>
      <c r="X355" s="56"/>
      <c r="Y355" s="57"/>
      <c r="Z355" s="57"/>
      <c r="AA355" s="58"/>
      <c r="AB355" s="58"/>
      <c r="AC355" s="59"/>
      <c r="AD355" s="59"/>
      <c r="AE355" s="96"/>
      <c r="AF355" s="97"/>
      <c r="AG355" s="98"/>
      <c r="AH355" s="99"/>
    </row>
    <row r="356" spans="1:34" x14ac:dyDescent="0.25">
      <c r="A356" s="9" t="str">
        <f t="shared" si="5"/>
        <v/>
      </c>
      <c r="B356" s="52"/>
      <c r="C356" s="53"/>
      <c r="D356" s="53"/>
      <c r="E356" s="78"/>
      <c r="F356" s="133"/>
      <c r="G356" s="54"/>
      <c r="H356" s="54"/>
      <c r="I356" s="55"/>
      <c r="J356" s="55"/>
      <c r="K356" s="56"/>
      <c r="L356" s="56"/>
      <c r="M356" s="57"/>
      <c r="N356" s="57"/>
      <c r="O356" s="58"/>
      <c r="P356" s="58"/>
      <c r="Q356" s="59"/>
      <c r="R356" s="59"/>
      <c r="S356" s="54"/>
      <c r="T356" s="54"/>
      <c r="U356" s="55"/>
      <c r="V356" s="55"/>
      <c r="W356" s="56"/>
      <c r="X356" s="56"/>
      <c r="Y356" s="57"/>
      <c r="Z356" s="57"/>
      <c r="AA356" s="58"/>
      <c r="AB356" s="58"/>
      <c r="AC356" s="59"/>
      <c r="AD356" s="59"/>
      <c r="AE356" s="96"/>
      <c r="AF356" s="97"/>
      <c r="AG356" s="98"/>
      <c r="AH356" s="99"/>
    </row>
    <row r="357" spans="1:34" x14ac:dyDescent="0.25">
      <c r="A357" s="9" t="str">
        <f t="shared" si="5"/>
        <v/>
      </c>
      <c r="B357" s="52"/>
      <c r="C357" s="53"/>
      <c r="D357" s="53"/>
      <c r="E357" s="78"/>
      <c r="F357" s="133"/>
      <c r="G357" s="54"/>
      <c r="H357" s="54"/>
      <c r="I357" s="55"/>
      <c r="J357" s="55"/>
      <c r="K357" s="56"/>
      <c r="L357" s="56"/>
      <c r="M357" s="57"/>
      <c r="N357" s="57"/>
      <c r="O357" s="58"/>
      <c r="P357" s="58"/>
      <c r="Q357" s="59"/>
      <c r="R357" s="59"/>
      <c r="S357" s="54"/>
      <c r="T357" s="54"/>
      <c r="U357" s="55"/>
      <c r="V357" s="55"/>
      <c r="W357" s="56"/>
      <c r="X357" s="56"/>
      <c r="Y357" s="57"/>
      <c r="Z357" s="57"/>
      <c r="AA357" s="58"/>
      <c r="AB357" s="58"/>
      <c r="AC357" s="59"/>
      <c r="AD357" s="59"/>
      <c r="AE357" s="96"/>
      <c r="AF357" s="97"/>
      <c r="AG357" s="98"/>
      <c r="AH357" s="99"/>
    </row>
    <row r="358" spans="1:34" x14ac:dyDescent="0.25">
      <c r="A358" s="9" t="str">
        <f t="shared" si="5"/>
        <v/>
      </c>
      <c r="B358" s="52"/>
      <c r="C358" s="53"/>
      <c r="D358" s="53"/>
      <c r="E358" s="78"/>
      <c r="F358" s="133"/>
      <c r="G358" s="54"/>
      <c r="H358" s="54"/>
      <c r="I358" s="55"/>
      <c r="J358" s="55"/>
      <c r="K358" s="56"/>
      <c r="L358" s="56"/>
      <c r="M358" s="57"/>
      <c r="N358" s="57"/>
      <c r="O358" s="58"/>
      <c r="P358" s="58"/>
      <c r="Q358" s="59"/>
      <c r="R358" s="59"/>
      <c r="S358" s="54"/>
      <c r="T358" s="54"/>
      <c r="U358" s="55"/>
      <c r="V358" s="55"/>
      <c r="W358" s="56"/>
      <c r="X358" s="56"/>
      <c r="Y358" s="57"/>
      <c r="Z358" s="57"/>
      <c r="AA358" s="58"/>
      <c r="AB358" s="58"/>
      <c r="AC358" s="59"/>
      <c r="AD358" s="59"/>
      <c r="AE358" s="96"/>
      <c r="AF358" s="97"/>
      <c r="AG358" s="98"/>
      <c r="AH358" s="99"/>
    </row>
    <row r="359" spans="1:34" x14ac:dyDescent="0.25">
      <c r="A359" s="9" t="str">
        <f t="shared" si="5"/>
        <v/>
      </c>
      <c r="B359" s="52"/>
      <c r="C359" s="53"/>
      <c r="D359" s="53"/>
      <c r="E359" s="78"/>
      <c r="F359" s="133"/>
      <c r="G359" s="54"/>
      <c r="H359" s="54"/>
      <c r="I359" s="55"/>
      <c r="J359" s="55"/>
      <c r="K359" s="56"/>
      <c r="L359" s="56"/>
      <c r="M359" s="57"/>
      <c r="N359" s="57"/>
      <c r="O359" s="58"/>
      <c r="P359" s="58"/>
      <c r="Q359" s="59"/>
      <c r="R359" s="59"/>
      <c r="S359" s="54"/>
      <c r="T359" s="54"/>
      <c r="U359" s="55"/>
      <c r="V359" s="55"/>
      <c r="W359" s="56"/>
      <c r="X359" s="56"/>
      <c r="Y359" s="57"/>
      <c r="Z359" s="57"/>
      <c r="AA359" s="58"/>
      <c r="AB359" s="58"/>
      <c r="AC359" s="59"/>
      <c r="AD359" s="59"/>
      <c r="AE359" s="96"/>
      <c r="AF359" s="97"/>
      <c r="AG359" s="98"/>
      <c r="AH359" s="99"/>
    </row>
    <row r="360" spans="1:34" x14ac:dyDescent="0.25">
      <c r="A360" s="9" t="str">
        <f t="shared" si="5"/>
        <v/>
      </c>
      <c r="B360" s="52"/>
      <c r="C360" s="53"/>
      <c r="D360" s="53"/>
      <c r="E360" s="78"/>
      <c r="F360" s="133"/>
      <c r="G360" s="54"/>
      <c r="H360" s="54"/>
      <c r="I360" s="55"/>
      <c r="J360" s="55"/>
      <c r="K360" s="56"/>
      <c r="L360" s="56"/>
      <c r="M360" s="57"/>
      <c r="N360" s="57"/>
      <c r="O360" s="58"/>
      <c r="P360" s="58"/>
      <c r="Q360" s="59"/>
      <c r="R360" s="59"/>
      <c r="S360" s="54"/>
      <c r="T360" s="54"/>
      <c r="U360" s="55"/>
      <c r="V360" s="55"/>
      <c r="W360" s="56"/>
      <c r="X360" s="56"/>
      <c r="Y360" s="57"/>
      <c r="Z360" s="57"/>
      <c r="AA360" s="58"/>
      <c r="AB360" s="58"/>
      <c r="AC360" s="59"/>
      <c r="AD360" s="59"/>
      <c r="AE360" s="96"/>
      <c r="AF360" s="97"/>
      <c r="AG360" s="98"/>
      <c r="AH360" s="99"/>
    </row>
    <row r="361" spans="1:34" x14ac:dyDescent="0.25">
      <c r="A361" s="9" t="str">
        <f t="shared" si="5"/>
        <v/>
      </c>
      <c r="B361" s="52"/>
      <c r="C361" s="53"/>
      <c r="D361" s="53"/>
      <c r="E361" s="78"/>
      <c r="F361" s="133"/>
      <c r="G361" s="54"/>
      <c r="H361" s="54"/>
      <c r="I361" s="55"/>
      <c r="J361" s="55"/>
      <c r="K361" s="56"/>
      <c r="L361" s="56"/>
      <c r="M361" s="57"/>
      <c r="N361" s="57"/>
      <c r="O361" s="58"/>
      <c r="P361" s="58"/>
      <c r="Q361" s="59"/>
      <c r="R361" s="59"/>
      <c r="S361" s="54"/>
      <c r="T361" s="54"/>
      <c r="U361" s="55"/>
      <c r="V361" s="55"/>
      <c r="W361" s="56"/>
      <c r="X361" s="56"/>
      <c r="Y361" s="57"/>
      <c r="Z361" s="57"/>
      <c r="AA361" s="58"/>
      <c r="AB361" s="58"/>
      <c r="AC361" s="59"/>
      <c r="AD361" s="59"/>
      <c r="AE361" s="96"/>
      <c r="AF361" s="97"/>
      <c r="AG361" s="98"/>
      <c r="AH361" s="99"/>
    </row>
    <row r="362" spans="1:34" x14ac:dyDescent="0.25">
      <c r="A362" s="9" t="str">
        <f t="shared" si="5"/>
        <v/>
      </c>
      <c r="B362" s="52"/>
      <c r="C362" s="53"/>
      <c r="D362" s="53"/>
      <c r="E362" s="78"/>
      <c r="F362" s="133"/>
      <c r="G362" s="54"/>
      <c r="H362" s="54"/>
      <c r="I362" s="55"/>
      <c r="J362" s="55"/>
      <c r="K362" s="56"/>
      <c r="L362" s="56"/>
      <c r="M362" s="57"/>
      <c r="N362" s="57"/>
      <c r="O362" s="58"/>
      <c r="P362" s="58"/>
      <c r="Q362" s="59"/>
      <c r="R362" s="59"/>
      <c r="S362" s="54"/>
      <c r="T362" s="54"/>
      <c r="U362" s="55"/>
      <c r="V362" s="55"/>
      <c r="W362" s="56"/>
      <c r="X362" s="56"/>
      <c r="Y362" s="57"/>
      <c r="Z362" s="57"/>
      <c r="AA362" s="58"/>
      <c r="AB362" s="58"/>
      <c r="AC362" s="59"/>
      <c r="AD362" s="59"/>
      <c r="AE362" s="96"/>
      <c r="AF362" s="97"/>
      <c r="AG362" s="98"/>
      <c r="AH362" s="99"/>
    </row>
    <row r="363" spans="1:34" x14ac:dyDescent="0.25">
      <c r="A363" s="9" t="str">
        <f t="shared" si="5"/>
        <v/>
      </c>
      <c r="B363" s="52"/>
      <c r="C363" s="53"/>
      <c r="D363" s="53"/>
      <c r="E363" s="78"/>
      <c r="F363" s="133"/>
      <c r="G363" s="54"/>
      <c r="H363" s="54"/>
      <c r="I363" s="55"/>
      <c r="J363" s="55"/>
      <c r="K363" s="56"/>
      <c r="L363" s="56"/>
      <c r="M363" s="57"/>
      <c r="N363" s="57"/>
      <c r="O363" s="58"/>
      <c r="P363" s="58"/>
      <c r="Q363" s="59"/>
      <c r="R363" s="59"/>
      <c r="S363" s="54"/>
      <c r="T363" s="54"/>
      <c r="U363" s="55"/>
      <c r="V363" s="55"/>
      <c r="W363" s="56"/>
      <c r="X363" s="56"/>
      <c r="Y363" s="57"/>
      <c r="Z363" s="57"/>
      <c r="AA363" s="58"/>
      <c r="AB363" s="58"/>
      <c r="AC363" s="59"/>
      <c r="AD363" s="59"/>
      <c r="AE363" s="96"/>
      <c r="AF363" s="97"/>
      <c r="AG363" s="98"/>
      <c r="AH363" s="99"/>
    </row>
    <row r="364" spans="1:34" x14ac:dyDescent="0.25">
      <c r="A364" s="9" t="str">
        <f t="shared" si="5"/>
        <v/>
      </c>
      <c r="B364" s="52"/>
      <c r="C364" s="53"/>
      <c r="D364" s="53"/>
      <c r="E364" s="78"/>
      <c r="F364" s="133"/>
      <c r="G364" s="54"/>
      <c r="H364" s="54"/>
      <c r="I364" s="55"/>
      <c r="J364" s="55"/>
      <c r="K364" s="56"/>
      <c r="L364" s="56"/>
      <c r="M364" s="57"/>
      <c r="N364" s="57"/>
      <c r="O364" s="58"/>
      <c r="P364" s="58"/>
      <c r="Q364" s="59"/>
      <c r="R364" s="59"/>
      <c r="S364" s="54"/>
      <c r="T364" s="54"/>
      <c r="U364" s="55"/>
      <c r="V364" s="55"/>
      <c r="W364" s="56"/>
      <c r="X364" s="56"/>
      <c r="Y364" s="57"/>
      <c r="Z364" s="57"/>
      <c r="AA364" s="58"/>
      <c r="AB364" s="58"/>
      <c r="AC364" s="59"/>
      <c r="AD364" s="59"/>
      <c r="AE364" s="96"/>
      <c r="AF364" s="97"/>
      <c r="AG364" s="98"/>
      <c r="AH364" s="99"/>
    </row>
    <row r="365" spans="1:34" x14ac:dyDescent="0.25">
      <c r="A365" s="9" t="str">
        <f t="shared" si="5"/>
        <v/>
      </c>
      <c r="B365" s="52"/>
      <c r="C365" s="53"/>
      <c r="D365" s="53"/>
      <c r="E365" s="78"/>
      <c r="F365" s="133"/>
      <c r="G365" s="54"/>
      <c r="H365" s="54"/>
      <c r="I365" s="55"/>
      <c r="J365" s="55"/>
      <c r="K365" s="56"/>
      <c r="L365" s="56"/>
      <c r="M365" s="57"/>
      <c r="N365" s="57"/>
      <c r="O365" s="58"/>
      <c r="P365" s="58"/>
      <c r="Q365" s="59"/>
      <c r="R365" s="59"/>
      <c r="S365" s="54"/>
      <c r="T365" s="54"/>
      <c r="U365" s="55"/>
      <c r="V365" s="55"/>
      <c r="W365" s="56"/>
      <c r="X365" s="56"/>
      <c r="Y365" s="57"/>
      <c r="Z365" s="57"/>
      <c r="AA365" s="58"/>
      <c r="AB365" s="58"/>
      <c r="AC365" s="59"/>
      <c r="AD365" s="59"/>
      <c r="AE365" s="96"/>
      <c r="AF365" s="97"/>
      <c r="AG365" s="98"/>
      <c r="AH365" s="99"/>
    </row>
    <row r="366" spans="1:34" x14ac:dyDescent="0.25">
      <c r="A366" s="9" t="str">
        <f t="shared" si="5"/>
        <v/>
      </c>
      <c r="B366" s="52"/>
      <c r="C366" s="53"/>
      <c r="D366" s="53"/>
      <c r="E366" s="78"/>
      <c r="F366" s="133"/>
      <c r="G366" s="54"/>
      <c r="H366" s="54"/>
      <c r="I366" s="55"/>
      <c r="J366" s="55"/>
      <c r="K366" s="56"/>
      <c r="L366" s="56"/>
      <c r="M366" s="57"/>
      <c r="N366" s="57"/>
      <c r="O366" s="58"/>
      <c r="P366" s="58"/>
      <c r="Q366" s="59"/>
      <c r="R366" s="59"/>
      <c r="S366" s="54"/>
      <c r="T366" s="54"/>
      <c r="U366" s="55"/>
      <c r="V366" s="55"/>
      <c r="W366" s="56"/>
      <c r="X366" s="56"/>
      <c r="Y366" s="57"/>
      <c r="Z366" s="57"/>
      <c r="AA366" s="58"/>
      <c r="AB366" s="58"/>
      <c r="AC366" s="59"/>
      <c r="AD366" s="59"/>
      <c r="AE366" s="96"/>
      <c r="AF366" s="97"/>
      <c r="AG366" s="98"/>
      <c r="AH366" s="99"/>
    </row>
    <row r="367" spans="1:34" x14ac:dyDescent="0.25">
      <c r="A367" s="9" t="str">
        <f t="shared" si="5"/>
        <v/>
      </c>
      <c r="B367" s="52"/>
      <c r="C367" s="53"/>
      <c r="D367" s="53"/>
      <c r="E367" s="78"/>
      <c r="F367" s="133"/>
      <c r="G367" s="54"/>
      <c r="H367" s="54"/>
      <c r="I367" s="55"/>
      <c r="J367" s="55"/>
      <c r="K367" s="56"/>
      <c r="L367" s="56"/>
      <c r="M367" s="57"/>
      <c r="N367" s="57"/>
      <c r="O367" s="58"/>
      <c r="P367" s="58"/>
      <c r="Q367" s="59"/>
      <c r="R367" s="59"/>
      <c r="S367" s="54"/>
      <c r="T367" s="54"/>
      <c r="U367" s="55"/>
      <c r="V367" s="55"/>
      <c r="W367" s="56"/>
      <c r="X367" s="56"/>
      <c r="Y367" s="57"/>
      <c r="Z367" s="57"/>
      <c r="AA367" s="58"/>
      <c r="AB367" s="58"/>
      <c r="AC367" s="59"/>
      <c r="AD367" s="59"/>
      <c r="AE367" s="96"/>
      <c r="AF367" s="97"/>
      <c r="AG367" s="98"/>
      <c r="AH367" s="99"/>
    </row>
    <row r="368" spans="1:34" x14ac:dyDescent="0.25">
      <c r="A368" s="9" t="str">
        <f t="shared" si="5"/>
        <v/>
      </c>
      <c r="B368" s="52"/>
      <c r="C368" s="53"/>
      <c r="D368" s="53"/>
      <c r="E368" s="78"/>
      <c r="F368" s="133"/>
      <c r="G368" s="54"/>
      <c r="H368" s="54"/>
      <c r="I368" s="55"/>
      <c r="J368" s="55"/>
      <c r="K368" s="56"/>
      <c r="L368" s="56"/>
      <c r="M368" s="57"/>
      <c r="N368" s="57"/>
      <c r="O368" s="58"/>
      <c r="P368" s="58"/>
      <c r="Q368" s="59"/>
      <c r="R368" s="59"/>
      <c r="S368" s="54"/>
      <c r="T368" s="54"/>
      <c r="U368" s="55"/>
      <c r="V368" s="55"/>
      <c r="W368" s="56"/>
      <c r="X368" s="56"/>
      <c r="Y368" s="57"/>
      <c r="Z368" s="57"/>
      <c r="AA368" s="58"/>
      <c r="AB368" s="58"/>
      <c r="AC368" s="59"/>
      <c r="AD368" s="59"/>
      <c r="AE368" s="96"/>
      <c r="AF368" s="97"/>
      <c r="AG368" s="98"/>
      <c r="AH368" s="99"/>
    </row>
    <row r="369" spans="1:34" x14ac:dyDescent="0.25">
      <c r="A369" s="9" t="str">
        <f t="shared" si="5"/>
        <v/>
      </c>
      <c r="B369" s="52"/>
      <c r="C369" s="53"/>
      <c r="D369" s="53"/>
      <c r="E369" s="78"/>
      <c r="F369" s="133"/>
      <c r="G369" s="54"/>
      <c r="H369" s="54"/>
      <c r="I369" s="55"/>
      <c r="J369" s="55"/>
      <c r="K369" s="56"/>
      <c r="L369" s="56"/>
      <c r="M369" s="57"/>
      <c r="N369" s="57"/>
      <c r="O369" s="58"/>
      <c r="P369" s="58"/>
      <c r="Q369" s="59"/>
      <c r="R369" s="59"/>
      <c r="S369" s="54"/>
      <c r="T369" s="54"/>
      <c r="U369" s="55"/>
      <c r="V369" s="55"/>
      <c r="W369" s="56"/>
      <c r="X369" s="56"/>
      <c r="Y369" s="57"/>
      <c r="Z369" s="57"/>
      <c r="AA369" s="58"/>
      <c r="AB369" s="58"/>
      <c r="AC369" s="59"/>
      <c r="AD369" s="59"/>
      <c r="AE369" s="96"/>
      <c r="AF369" s="97"/>
      <c r="AG369" s="98"/>
      <c r="AH369" s="99"/>
    </row>
    <row r="370" spans="1:34" x14ac:dyDescent="0.25">
      <c r="A370" s="9" t="str">
        <f t="shared" si="5"/>
        <v/>
      </c>
      <c r="B370" s="52"/>
      <c r="C370" s="53"/>
      <c r="D370" s="53"/>
      <c r="E370" s="78"/>
      <c r="F370" s="133"/>
      <c r="G370" s="54"/>
      <c r="H370" s="54"/>
      <c r="I370" s="55"/>
      <c r="J370" s="55"/>
      <c r="K370" s="56"/>
      <c r="L370" s="56"/>
      <c r="M370" s="57"/>
      <c r="N370" s="57"/>
      <c r="O370" s="58"/>
      <c r="P370" s="58"/>
      <c r="Q370" s="59"/>
      <c r="R370" s="59"/>
      <c r="S370" s="54"/>
      <c r="T370" s="54"/>
      <c r="U370" s="55"/>
      <c r="V370" s="55"/>
      <c r="W370" s="56"/>
      <c r="X370" s="56"/>
      <c r="Y370" s="57"/>
      <c r="Z370" s="57"/>
      <c r="AA370" s="58"/>
      <c r="AB370" s="58"/>
      <c r="AC370" s="59"/>
      <c r="AD370" s="59"/>
      <c r="AE370" s="96"/>
      <c r="AF370" s="97"/>
      <c r="AG370" s="98"/>
      <c r="AH370" s="99"/>
    </row>
    <row r="371" spans="1:34" x14ac:dyDescent="0.25">
      <c r="A371" s="9" t="str">
        <f t="shared" si="5"/>
        <v/>
      </c>
      <c r="B371" s="52"/>
      <c r="C371" s="53"/>
      <c r="D371" s="53"/>
      <c r="E371" s="78"/>
      <c r="F371" s="133"/>
      <c r="G371" s="54"/>
      <c r="H371" s="54"/>
      <c r="I371" s="55"/>
      <c r="J371" s="55"/>
      <c r="K371" s="56"/>
      <c r="L371" s="56"/>
      <c r="M371" s="57"/>
      <c r="N371" s="57"/>
      <c r="O371" s="58"/>
      <c r="P371" s="58"/>
      <c r="Q371" s="59"/>
      <c r="R371" s="59"/>
      <c r="S371" s="54"/>
      <c r="T371" s="54"/>
      <c r="U371" s="55"/>
      <c r="V371" s="55"/>
      <c r="W371" s="56"/>
      <c r="X371" s="56"/>
      <c r="Y371" s="57"/>
      <c r="Z371" s="57"/>
      <c r="AA371" s="58"/>
      <c r="AB371" s="58"/>
      <c r="AC371" s="59"/>
      <c r="AD371" s="59"/>
      <c r="AE371" s="96"/>
      <c r="AF371" s="97"/>
      <c r="AG371" s="98"/>
      <c r="AH371" s="99"/>
    </row>
    <row r="372" spans="1:34" x14ac:dyDescent="0.25">
      <c r="A372" s="9" t="str">
        <f t="shared" si="5"/>
        <v/>
      </c>
      <c r="B372" s="52"/>
      <c r="C372" s="53"/>
      <c r="D372" s="53"/>
      <c r="E372" s="78"/>
      <c r="F372" s="133"/>
      <c r="G372" s="54"/>
      <c r="H372" s="54"/>
      <c r="I372" s="55"/>
      <c r="J372" s="55"/>
      <c r="K372" s="56"/>
      <c r="L372" s="56"/>
      <c r="M372" s="57"/>
      <c r="N372" s="57"/>
      <c r="O372" s="58"/>
      <c r="P372" s="58"/>
      <c r="Q372" s="59"/>
      <c r="R372" s="59"/>
      <c r="S372" s="54"/>
      <c r="T372" s="54"/>
      <c r="U372" s="55"/>
      <c r="V372" s="55"/>
      <c r="W372" s="56"/>
      <c r="X372" s="56"/>
      <c r="Y372" s="57"/>
      <c r="Z372" s="57"/>
      <c r="AA372" s="58"/>
      <c r="AB372" s="58"/>
      <c r="AC372" s="59"/>
      <c r="AD372" s="59"/>
      <c r="AE372" s="96"/>
      <c r="AF372" s="97"/>
      <c r="AG372" s="98"/>
      <c r="AH372" s="99"/>
    </row>
    <row r="373" spans="1:34" x14ac:dyDescent="0.25">
      <c r="A373" s="9" t="str">
        <f t="shared" si="5"/>
        <v/>
      </c>
      <c r="B373" s="52"/>
      <c r="C373" s="53"/>
      <c r="D373" s="53"/>
      <c r="E373" s="78"/>
      <c r="F373" s="133"/>
      <c r="G373" s="54"/>
      <c r="H373" s="54"/>
      <c r="I373" s="55"/>
      <c r="J373" s="55"/>
      <c r="K373" s="56"/>
      <c r="L373" s="56"/>
      <c r="M373" s="57"/>
      <c r="N373" s="57"/>
      <c r="O373" s="58"/>
      <c r="P373" s="58"/>
      <c r="Q373" s="59"/>
      <c r="R373" s="59"/>
      <c r="S373" s="54"/>
      <c r="T373" s="54"/>
      <c r="U373" s="55"/>
      <c r="V373" s="55"/>
      <c r="W373" s="56"/>
      <c r="X373" s="56"/>
      <c r="Y373" s="57"/>
      <c r="Z373" s="57"/>
      <c r="AA373" s="58"/>
      <c r="AB373" s="58"/>
      <c r="AC373" s="59"/>
      <c r="AD373" s="59"/>
      <c r="AE373" s="96"/>
      <c r="AF373" s="97"/>
      <c r="AG373" s="98"/>
      <c r="AH373" s="99"/>
    </row>
    <row r="374" spans="1:34" x14ac:dyDescent="0.25">
      <c r="A374" s="9" t="str">
        <f t="shared" si="5"/>
        <v/>
      </c>
      <c r="B374" s="52"/>
      <c r="C374" s="53"/>
      <c r="D374" s="53"/>
      <c r="E374" s="78"/>
      <c r="F374" s="133"/>
      <c r="G374" s="54"/>
      <c r="H374" s="54"/>
      <c r="I374" s="55"/>
      <c r="J374" s="55"/>
      <c r="K374" s="56"/>
      <c r="L374" s="56"/>
      <c r="M374" s="57"/>
      <c r="N374" s="57"/>
      <c r="O374" s="58"/>
      <c r="P374" s="58"/>
      <c r="Q374" s="59"/>
      <c r="R374" s="59"/>
      <c r="S374" s="54"/>
      <c r="T374" s="54"/>
      <c r="U374" s="55"/>
      <c r="V374" s="55"/>
      <c r="W374" s="56"/>
      <c r="X374" s="56"/>
      <c r="Y374" s="57"/>
      <c r="Z374" s="57"/>
      <c r="AA374" s="58"/>
      <c r="AB374" s="58"/>
      <c r="AC374" s="59"/>
      <c r="AD374" s="59"/>
      <c r="AE374" s="96"/>
      <c r="AF374" s="97"/>
      <c r="AG374" s="98"/>
      <c r="AH374" s="99"/>
    </row>
    <row r="375" spans="1:34" x14ac:dyDescent="0.25">
      <c r="A375" s="9" t="str">
        <f t="shared" si="5"/>
        <v/>
      </c>
      <c r="B375" s="52"/>
      <c r="C375" s="53"/>
      <c r="D375" s="53"/>
      <c r="E375" s="78"/>
      <c r="F375" s="133"/>
      <c r="G375" s="54"/>
      <c r="H375" s="54"/>
      <c r="I375" s="55"/>
      <c r="J375" s="55"/>
      <c r="K375" s="56"/>
      <c r="L375" s="56"/>
      <c r="M375" s="57"/>
      <c r="N375" s="57"/>
      <c r="O375" s="58"/>
      <c r="P375" s="58"/>
      <c r="Q375" s="59"/>
      <c r="R375" s="59"/>
      <c r="S375" s="54"/>
      <c r="T375" s="54"/>
      <c r="U375" s="55"/>
      <c r="V375" s="55"/>
      <c r="W375" s="56"/>
      <c r="X375" s="56"/>
      <c r="Y375" s="57"/>
      <c r="Z375" s="57"/>
      <c r="AA375" s="58"/>
      <c r="AB375" s="58"/>
      <c r="AC375" s="59"/>
      <c r="AD375" s="59"/>
      <c r="AE375" s="96"/>
      <c r="AF375" s="97"/>
      <c r="AG375" s="98"/>
      <c r="AH375" s="99"/>
    </row>
    <row r="376" spans="1:34" x14ac:dyDescent="0.25">
      <c r="A376" s="9" t="str">
        <f t="shared" si="5"/>
        <v/>
      </c>
      <c r="B376" s="52"/>
      <c r="C376" s="53"/>
      <c r="D376" s="53"/>
      <c r="E376" s="78"/>
      <c r="F376" s="133"/>
      <c r="G376" s="54"/>
      <c r="H376" s="54"/>
      <c r="I376" s="55"/>
      <c r="J376" s="55"/>
      <c r="K376" s="56"/>
      <c r="L376" s="56"/>
      <c r="M376" s="57"/>
      <c r="N376" s="57"/>
      <c r="O376" s="58"/>
      <c r="P376" s="58"/>
      <c r="Q376" s="59"/>
      <c r="R376" s="59"/>
      <c r="S376" s="54"/>
      <c r="T376" s="54"/>
      <c r="U376" s="55"/>
      <c r="V376" s="55"/>
      <c r="W376" s="56"/>
      <c r="X376" s="56"/>
      <c r="Y376" s="57"/>
      <c r="Z376" s="57"/>
      <c r="AA376" s="58"/>
      <c r="AB376" s="58"/>
      <c r="AC376" s="59"/>
      <c r="AD376" s="59"/>
      <c r="AE376" s="96"/>
      <c r="AF376" s="97"/>
      <c r="AG376" s="98"/>
      <c r="AH376" s="99"/>
    </row>
    <row r="377" spans="1:34" x14ac:dyDescent="0.25">
      <c r="A377" s="9" t="str">
        <f t="shared" si="5"/>
        <v/>
      </c>
      <c r="B377" s="52"/>
      <c r="C377" s="53"/>
      <c r="D377" s="53"/>
      <c r="E377" s="78"/>
      <c r="F377" s="133"/>
      <c r="G377" s="54"/>
      <c r="H377" s="54"/>
      <c r="I377" s="55"/>
      <c r="J377" s="55"/>
      <c r="K377" s="56"/>
      <c r="L377" s="56"/>
      <c r="M377" s="57"/>
      <c r="N377" s="57"/>
      <c r="O377" s="58"/>
      <c r="P377" s="58"/>
      <c r="Q377" s="59"/>
      <c r="R377" s="59"/>
      <c r="S377" s="54"/>
      <c r="T377" s="54"/>
      <c r="U377" s="55"/>
      <c r="V377" s="55"/>
      <c r="W377" s="56"/>
      <c r="X377" s="56"/>
      <c r="Y377" s="57"/>
      <c r="Z377" s="57"/>
      <c r="AA377" s="58"/>
      <c r="AB377" s="58"/>
      <c r="AC377" s="59"/>
      <c r="AD377" s="59"/>
      <c r="AE377" s="96"/>
      <c r="AF377" s="97"/>
      <c r="AG377" s="98"/>
      <c r="AH377" s="99"/>
    </row>
    <row r="378" spans="1:34" x14ac:dyDescent="0.25">
      <c r="A378" s="9" t="str">
        <f t="shared" si="5"/>
        <v/>
      </c>
      <c r="B378" s="52"/>
      <c r="C378" s="53"/>
      <c r="D378" s="53"/>
      <c r="E378" s="78"/>
      <c r="F378" s="133"/>
      <c r="G378" s="54"/>
      <c r="H378" s="54"/>
      <c r="I378" s="55"/>
      <c r="J378" s="55"/>
      <c r="K378" s="56"/>
      <c r="L378" s="56"/>
      <c r="M378" s="57"/>
      <c r="N378" s="57"/>
      <c r="O378" s="58"/>
      <c r="P378" s="58"/>
      <c r="Q378" s="59"/>
      <c r="R378" s="59"/>
      <c r="S378" s="54"/>
      <c r="T378" s="54"/>
      <c r="U378" s="55"/>
      <c r="V378" s="55"/>
      <c r="W378" s="56"/>
      <c r="X378" s="56"/>
      <c r="Y378" s="57"/>
      <c r="Z378" s="57"/>
      <c r="AA378" s="58"/>
      <c r="AB378" s="58"/>
      <c r="AC378" s="59"/>
      <c r="AD378" s="59"/>
      <c r="AE378" s="96"/>
      <c r="AF378" s="97"/>
      <c r="AG378" s="98"/>
      <c r="AH378" s="99"/>
    </row>
    <row r="379" spans="1:34" x14ac:dyDescent="0.25">
      <c r="A379" s="9" t="str">
        <f t="shared" si="5"/>
        <v/>
      </c>
      <c r="B379" s="52"/>
      <c r="C379" s="53"/>
      <c r="D379" s="53"/>
      <c r="E379" s="78"/>
      <c r="F379" s="133"/>
      <c r="G379" s="54"/>
      <c r="H379" s="54"/>
      <c r="I379" s="55"/>
      <c r="J379" s="55"/>
      <c r="K379" s="56"/>
      <c r="L379" s="56"/>
      <c r="M379" s="57"/>
      <c r="N379" s="57"/>
      <c r="O379" s="58"/>
      <c r="P379" s="58"/>
      <c r="Q379" s="59"/>
      <c r="R379" s="59"/>
      <c r="S379" s="54"/>
      <c r="T379" s="54"/>
      <c r="U379" s="55"/>
      <c r="V379" s="55"/>
      <c r="W379" s="56"/>
      <c r="X379" s="56"/>
      <c r="Y379" s="57"/>
      <c r="Z379" s="57"/>
      <c r="AA379" s="58"/>
      <c r="AB379" s="58"/>
      <c r="AC379" s="59"/>
      <c r="AD379" s="59"/>
      <c r="AE379" s="96"/>
      <c r="AF379" s="97"/>
      <c r="AG379" s="98"/>
      <c r="AH379" s="99"/>
    </row>
    <row r="380" spans="1:34" x14ac:dyDescent="0.25">
      <c r="A380" s="9" t="str">
        <f t="shared" si="5"/>
        <v/>
      </c>
      <c r="B380" s="52"/>
      <c r="C380" s="53"/>
      <c r="D380" s="53"/>
      <c r="E380" s="78"/>
      <c r="F380" s="133"/>
      <c r="G380" s="54"/>
      <c r="H380" s="54"/>
      <c r="I380" s="55"/>
      <c r="J380" s="55"/>
      <c r="K380" s="56"/>
      <c r="L380" s="56"/>
      <c r="M380" s="57"/>
      <c r="N380" s="57"/>
      <c r="O380" s="58"/>
      <c r="P380" s="58"/>
      <c r="Q380" s="59"/>
      <c r="R380" s="59"/>
      <c r="S380" s="54"/>
      <c r="T380" s="54"/>
      <c r="U380" s="55"/>
      <c r="V380" s="55"/>
      <c r="W380" s="56"/>
      <c r="X380" s="56"/>
      <c r="Y380" s="57"/>
      <c r="Z380" s="57"/>
      <c r="AA380" s="58"/>
      <c r="AB380" s="58"/>
      <c r="AC380" s="59"/>
      <c r="AD380" s="59"/>
      <c r="AE380" s="96"/>
      <c r="AF380" s="97"/>
      <c r="AG380" s="98"/>
      <c r="AH380" s="99"/>
    </row>
    <row r="381" spans="1:34" x14ac:dyDescent="0.25">
      <c r="A381" s="9" t="str">
        <f t="shared" si="5"/>
        <v/>
      </c>
      <c r="B381" s="52"/>
      <c r="C381" s="53"/>
      <c r="D381" s="53"/>
      <c r="E381" s="78"/>
      <c r="F381" s="133"/>
      <c r="G381" s="54"/>
      <c r="H381" s="54"/>
      <c r="I381" s="55"/>
      <c r="J381" s="55"/>
      <c r="K381" s="56"/>
      <c r="L381" s="56"/>
      <c r="M381" s="57"/>
      <c r="N381" s="57"/>
      <c r="O381" s="58"/>
      <c r="P381" s="58"/>
      <c r="Q381" s="59"/>
      <c r="R381" s="59"/>
      <c r="S381" s="54"/>
      <c r="T381" s="54"/>
      <c r="U381" s="55"/>
      <c r="V381" s="55"/>
      <c r="W381" s="56"/>
      <c r="X381" s="56"/>
      <c r="Y381" s="57"/>
      <c r="Z381" s="57"/>
      <c r="AA381" s="58"/>
      <c r="AB381" s="58"/>
      <c r="AC381" s="59"/>
      <c r="AD381" s="59"/>
      <c r="AE381" s="96"/>
      <c r="AF381" s="97"/>
      <c r="AG381" s="98"/>
      <c r="AH381" s="99"/>
    </row>
    <row r="382" spans="1:34" x14ac:dyDescent="0.25">
      <c r="A382" s="9" t="str">
        <f t="shared" si="5"/>
        <v/>
      </c>
      <c r="B382" s="52"/>
      <c r="C382" s="53"/>
      <c r="D382" s="53"/>
      <c r="E382" s="78"/>
      <c r="F382" s="133"/>
      <c r="G382" s="54"/>
      <c r="H382" s="54"/>
      <c r="I382" s="55"/>
      <c r="J382" s="55"/>
      <c r="K382" s="56"/>
      <c r="L382" s="56"/>
      <c r="M382" s="57"/>
      <c r="N382" s="57"/>
      <c r="O382" s="58"/>
      <c r="P382" s="58"/>
      <c r="Q382" s="59"/>
      <c r="R382" s="59"/>
      <c r="S382" s="54"/>
      <c r="T382" s="54"/>
      <c r="U382" s="55"/>
      <c r="V382" s="55"/>
      <c r="W382" s="56"/>
      <c r="X382" s="56"/>
      <c r="Y382" s="57"/>
      <c r="Z382" s="57"/>
      <c r="AA382" s="58"/>
      <c r="AB382" s="58"/>
      <c r="AC382" s="59"/>
      <c r="AD382" s="59"/>
      <c r="AE382" s="96"/>
      <c r="AF382" s="97"/>
      <c r="AG382" s="98"/>
      <c r="AH382" s="99"/>
    </row>
    <row r="383" spans="1:34" x14ac:dyDescent="0.25">
      <c r="A383" s="9" t="str">
        <f t="shared" si="5"/>
        <v/>
      </c>
      <c r="B383" s="52"/>
      <c r="C383" s="53"/>
      <c r="D383" s="53"/>
      <c r="E383" s="78"/>
      <c r="F383" s="133"/>
      <c r="G383" s="54"/>
      <c r="H383" s="54"/>
      <c r="I383" s="55"/>
      <c r="J383" s="55"/>
      <c r="K383" s="56"/>
      <c r="L383" s="56"/>
      <c r="M383" s="57"/>
      <c r="N383" s="57"/>
      <c r="O383" s="58"/>
      <c r="P383" s="58"/>
      <c r="Q383" s="59"/>
      <c r="R383" s="59"/>
      <c r="S383" s="54"/>
      <c r="T383" s="54"/>
      <c r="U383" s="55"/>
      <c r="V383" s="55"/>
      <c r="W383" s="56"/>
      <c r="X383" s="56"/>
      <c r="Y383" s="57"/>
      <c r="Z383" s="57"/>
      <c r="AA383" s="58"/>
      <c r="AB383" s="58"/>
      <c r="AC383" s="59"/>
      <c r="AD383" s="59"/>
      <c r="AE383" s="96"/>
      <c r="AF383" s="97"/>
      <c r="AG383" s="98"/>
      <c r="AH383" s="99"/>
    </row>
    <row r="384" spans="1:34" x14ac:dyDescent="0.25">
      <c r="A384" s="9" t="str">
        <f t="shared" si="5"/>
        <v/>
      </c>
      <c r="B384" s="52"/>
      <c r="C384" s="53"/>
      <c r="D384" s="53"/>
      <c r="E384" s="78"/>
      <c r="F384" s="133"/>
      <c r="G384" s="54"/>
      <c r="H384" s="54"/>
      <c r="I384" s="55"/>
      <c r="J384" s="55"/>
      <c r="K384" s="56"/>
      <c r="L384" s="56"/>
      <c r="M384" s="57"/>
      <c r="N384" s="57"/>
      <c r="O384" s="58"/>
      <c r="P384" s="58"/>
      <c r="Q384" s="59"/>
      <c r="R384" s="59"/>
      <c r="S384" s="54"/>
      <c r="T384" s="54"/>
      <c r="U384" s="55"/>
      <c r="V384" s="55"/>
      <c r="W384" s="56"/>
      <c r="X384" s="56"/>
      <c r="Y384" s="57"/>
      <c r="Z384" s="57"/>
      <c r="AA384" s="58"/>
      <c r="AB384" s="58"/>
      <c r="AC384" s="59"/>
      <c r="AD384" s="59"/>
      <c r="AE384" s="96"/>
      <c r="AF384" s="97"/>
      <c r="AG384" s="98"/>
      <c r="AH384" s="99"/>
    </row>
    <row r="385" spans="1:34" x14ac:dyDescent="0.25">
      <c r="A385" s="9" t="str">
        <f t="shared" si="5"/>
        <v/>
      </c>
      <c r="B385" s="52"/>
      <c r="C385" s="53"/>
      <c r="D385" s="53"/>
      <c r="E385" s="78"/>
      <c r="F385" s="133"/>
      <c r="G385" s="54"/>
      <c r="H385" s="54"/>
      <c r="I385" s="55"/>
      <c r="J385" s="55"/>
      <c r="K385" s="56"/>
      <c r="L385" s="56"/>
      <c r="M385" s="57"/>
      <c r="N385" s="57"/>
      <c r="O385" s="58"/>
      <c r="P385" s="58"/>
      <c r="Q385" s="59"/>
      <c r="R385" s="59"/>
      <c r="S385" s="54"/>
      <c r="T385" s="54"/>
      <c r="U385" s="55"/>
      <c r="V385" s="55"/>
      <c r="W385" s="56"/>
      <c r="X385" s="56"/>
      <c r="Y385" s="57"/>
      <c r="Z385" s="57"/>
      <c r="AA385" s="58"/>
      <c r="AB385" s="58"/>
      <c r="AC385" s="59"/>
      <c r="AD385" s="59"/>
      <c r="AE385" s="96"/>
      <c r="AF385" s="97"/>
      <c r="AG385" s="98"/>
      <c r="AH385" s="99"/>
    </row>
    <row r="386" spans="1:34" x14ac:dyDescent="0.25">
      <c r="A386" s="9" t="str">
        <f t="shared" si="5"/>
        <v/>
      </c>
      <c r="B386" s="52"/>
      <c r="C386" s="53"/>
      <c r="D386" s="53"/>
      <c r="E386" s="78"/>
      <c r="F386" s="133"/>
      <c r="G386" s="54"/>
      <c r="H386" s="54"/>
      <c r="I386" s="55"/>
      <c r="J386" s="55"/>
      <c r="K386" s="56"/>
      <c r="L386" s="56"/>
      <c r="M386" s="57"/>
      <c r="N386" s="57"/>
      <c r="O386" s="58"/>
      <c r="P386" s="58"/>
      <c r="Q386" s="59"/>
      <c r="R386" s="59"/>
      <c r="S386" s="54"/>
      <c r="T386" s="54"/>
      <c r="U386" s="55"/>
      <c r="V386" s="55"/>
      <c r="W386" s="56"/>
      <c r="X386" s="56"/>
      <c r="Y386" s="57"/>
      <c r="Z386" s="57"/>
      <c r="AA386" s="58"/>
      <c r="AB386" s="58"/>
      <c r="AC386" s="59"/>
      <c r="AD386" s="59"/>
      <c r="AE386" s="96"/>
      <c r="AF386" s="97"/>
      <c r="AG386" s="98"/>
      <c r="AH386" s="99"/>
    </row>
    <row r="387" spans="1:34" x14ac:dyDescent="0.25">
      <c r="A387" s="9" t="str">
        <f t="shared" si="5"/>
        <v/>
      </c>
      <c r="B387" s="52"/>
      <c r="C387" s="53"/>
      <c r="D387" s="53"/>
      <c r="E387" s="78"/>
      <c r="F387" s="133"/>
      <c r="G387" s="54"/>
      <c r="H387" s="54"/>
      <c r="I387" s="55"/>
      <c r="J387" s="55"/>
      <c r="K387" s="56"/>
      <c r="L387" s="56"/>
      <c r="M387" s="57"/>
      <c r="N387" s="57"/>
      <c r="O387" s="58"/>
      <c r="P387" s="58"/>
      <c r="Q387" s="59"/>
      <c r="R387" s="59"/>
      <c r="S387" s="54"/>
      <c r="T387" s="54"/>
      <c r="U387" s="55"/>
      <c r="V387" s="55"/>
      <c r="W387" s="56"/>
      <c r="X387" s="56"/>
      <c r="Y387" s="57"/>
      <c r="Z387" s="57"/>
      <c r="AA387" s="58"/>
      <c r="AB387" s="58"/>
      <c r="AC387" s="59"/>
      <c r="AD387" s="59"/>
      <c r="AE387" s="96"/>
      <c r="AF387" s="97"/>
      <c r="AG387" s="98"/>
      <c r="AH387" s="99"/>
    </row>
    <row r="388" spans="1:34" x14ac:dyDescent="0.25">
      <c r="A388" s="9" t="str">
        <f t="shared" si="5"/>
        <v/>
      </c>
      <c r="B388" s="52"/>
      <c r="C388" s="53"/>
      <c r="D388" s="53"/>
      <c r="E388" s="78"/>
      <c r="F388" s="133"/>
      <c r="G388" s="54"/>
      <c r="H388" s="54"/>
      <c r="I388" s="55"/>
      <c r="J388" s="55"/>
      <c r="K388" s="56"/>
      <c r="L388" s="56"/>
      <c r="M388" s="57"/>
      <c r="N388" s="57"/>
      <c r="O388" s="58"/>
      <c r="P388" s="58"/>
      <c r="Q388" s="59"/>
      <c r="R388" s="59"/>
      <c r="S388" s="54"/>
      <c r="T388" s="54"/>
      <c r="U388" s="55"/>
      <c r="V388" s="55"/>
      <c r="W388" s="56"/>
      <c r="X388" s="56"/>
      <c r="Y388" s="57"/>
      <c r="Z388" s="57"/>
      <c r="AA388" s="58"/>
      <c r="AB388" s="58"/>
      <c r="AC388" s="59"/>
      <c r="AD388" s="59"/>
      <c r="AE388" s="96"/>
      <c r="AF388" s="97"/>
      <c r="AG388" s="98"/>
      <c r="AH388" s="99"/>
    </row>
    <row r="389" spans="1:34" x14ac:dyDescent="0.25">
      <c r="A389" s="9" t="str">
        <f t="shared" ref="A389:A452" si="6">IF(COUNTA(G389:AD389)/2=0,"",COUNTA(G389:AD389)/2)</f>
        <v/>
      </c>
      <c r="B389" s="52"/>
      <c r="C389" s="53"/>
      <c r="D389" s="53"/>
      <c r="E389" s="78"/>
      <c r="F389" s="133"/>
      <c r="G389" s="54"/>
      <c r="H389" s="54"/>
      <c r="I389" s="55"/>
      <c r="J389" s="55"/>
      <c r="K389" s="56"/>
      <c r="L389" s="56"/>
      <c r="M389" s="57"/>
      <c r="N389" s="57"/>
      <c r="O389" s="58"/>
      <c r="P389" s="58"/>
      <c r="Q389" s="59"/>
      <c r="R389" s="59"/>
      <c r="S389" s="54"/>
      <c r="T389" s="54"/>
      <c r="U389" s="55"/>
      <c r="V389" s="55"/>
      <c r="W389" s="56"/>
      <c r="X389" s="56"/>
      <c r="Y389" s="57"/>
      <c r="Z389" s="57"/>
      <c r="AA389" s="58"/>
      <c r="AB389" s="58"/>
      <c r="AC389" s="59"/>
      <c r="AD389" s="59"/>
      <c r="AE389" s="96"/>
      <c r="AF389" s="97"/>
      <c r="AG389" s="98"/>
      <c r="AH389" s="99"/>
    </row>
    <row r="390" spans="1:34" x14ac:dyDescent="0.25">
      <c r="A390" s="9" t="str">
        <f t="shared" si="6"/>
        <v/>
      </c>
      <c r="B390" s="52"/>
      <c r="C390" s="53"/>
      <c r="D390" s="53"/>
      <c r="E390" s="78"/>
      <c r="F390" s="133"/>
      <c r="G390" s="54"/>
      <c r="H390" s="54"/>
      <c r="I390" s="55"/>
      <c r="J390" s="55"/>
      <c r="K390" s="56"/>
      <c r="L390" s="56"/>
      <c r="M390" s="57"/>
      <c r="N390" s="57"/>
      <c r="O390" s="58"/>
      <c r="P390" s="58"/>
      <c r="Q390" s="59"/>
      <c r="R390" s="59"/>
      <c r="S390" s="54"/>
      <c r="T390" s="54"/>
      <c r="U390" s="55"/>
      <c r="V390" s="55"/>
      <c r="W390" s="56"/>
      <c r="X390" s="56"/>
      <c r="Y390" s="57"/>
      <c r="Z390" s="57"/>
      <c r="AA390" s="58"/>
      <c r="AB390" s="58"/>
      <c r="AC390" s="59"/>
      <c r="AD390" s="59"/>
      <c r="AE390" s="96"/>
      <c r="AF390" s="97"/>
      <c r="AG390" s="98"/>
      <c r="AH390" s="99"/>
    </row>
    <row r="391" spans="1:34" x14ac:dyDescent="0.25">
      <c r="A391" s="9" t="str">
        <f t="shared" si="6"/>
        <v/>
      </c>
      <c r="B391" s="52"/>
      <c r="C391" s="53"/>
      <c r="D391" s="53"/>
      <c r="E391" s="78"/>
      <c r="F391" s="133"/>
      <c r="G391" s="54"/>
      <c r="H391" s="54"/>
      <c r="I391" s="55"/>
      <c r="J391" s="55"/>
      <c r="K391" s="56"/>
      <c r="L391" s="56"/>
      <c r="M391" s="57"/>
      <c r="N391" s="57"/>
      <c r="O391" s="58"/>
      <c r="P391" s="58"/>
      <c r="Q391" s="59"/>
      <c r="R391" s="59"/>
      <c r="S391" s="54"/>
      <c r="T391" s="54"/>
      <c r="U391" s="55"/>
      <c r="V391" s="55"/>
      <c r="W391" s="56"/>
      <c r="X391" s="56"/>
      <c r="Y391" s="57"/>
      <c r="Z391" s="57"/>
      <c r="AA391" s="58"/>
      <c r="AB391" s="58"/>
      <c r="AC391" s="59"/>
      <c r="AD391" s="59"/>
      <c r="AE391" s="96"/>
      <c r="AF391" s="97"/>
      <c r="AG391" s="98"/>
      <c r="AH391" s="99"/>
    </row>
    <row r="392" spans="1:34" x14ac:dyDescent="0.25">
      <c r="A392" s="9" t="str">
        <f t="shared" si="6"/>
        <v/>
      </c>
      <c r="B392" s="52"/>
      <c r="C392" s="53"/>
      <c r="D392" s="53"/>
      <c r="E392" s="78"/>
      <c r="F392" s="133"/>
      <c r="G392" s="54"/>
      <c r="H392" s="54"/>
      <c r="I392" s="55"/>
      <c r="J392" s="55"/>
      <c r="K392" s="56"/>
      <c r="L392" s="56"/>
      <c r="M392" s="57"/>
      <c r="N392" s="57"/>
      <c r="O392" s="58"/>
      <c r="P392" s="58"/>
      <c r="Q392" s="59"/>
      <c r="R392" s="59"/>
      <c r="S392" s="54"/>
      <c r="T392" s="54"/>
      <c r="U392" s="55"/>
      <c r="V392" s="55"/>
      <c r="W392" s="56"/>
      <c r="X392" s="56"/>
      <c r="Y392" s="57"/>
      <c r="Z392" s="57"/>
      <c r="AA392" s="58"/>
      <c r="AB392" s="58"/>
      <c r="AC392" s="59"/>
      <c r="AD392" s="59"/>
      <c r="AE392" s="96"/>
      <c r="AF392" s="97"/>
      <c r="AG392" s="98"/>
      <c r="AH392" s="99"/>
    </row>
    <row r="393" spans="1:34" x14ac:dyDescent="0.25">
      <c r="A393" s="9" t="str">
        <f t="shared" si="6"/>
        <v/>
      </c>
      <c r="B393" s="52"/>
      <c r="C393" s="53"/>
      <c r="D393" s="53"/>
      <c r="E393" s="78"/>
      <c r="F393" s="133"/>
      <c r="G393" s="54"/>
      <c r="H393" s="54"/>
      <c r="I393" s="55"/>
      <c r="J393" s="55"/>
      <c r="K393" s="56"/>
      <c r="L393" s="56"/>
      <c r="M393" s="57"/>
      <c r="N393" s="57"/>
      <c r="O393" s="58"/>
      <c r="P393" s="58"/>
      <c r="Q393" s="59"/>
      <c r="R393" s="59"/>
      <c r="S393" s="54"/>
      <c r="T393" s="54"/>
      <c r="U393" s="55"/>
      <c r="V393" s="55"/>
      <c r="W393" s="56"/>
      <c r="X393" s="56"/>
      <c r="Y393" s="57"/>
      <c r="Z393" s="57"/>
      <c r="AA393" s="58"/>
      <c r="AB393" s="58"/>
      <c r="AC393" s="59"/>
      <c r="AD393" s="59"/>
      <c r="AE393" s="96"/>
      <c r="AF393" s="97"/>
      <c r="AG393" s="98"/>
      <c r="AH393" s="99"/>
    </row>
    <row r="394" spans="1:34" x14ac:dyDescent="0.25">
      <c r="A394" s="9" t="str">
        <f t="shared" si="6"/>
        <v/>
      </c>
      <c r="B394" s="52"/>
      <c r="C394" s="53"/>
      <c r="D394" s="53"/>
      <c r="E394" s="78"/>
      <c r="F394" s="133"/>
      <c r="G394" s="54"/>
      <c r="H394" s="54"/>
      <c r="I394" s="55"/>
      <c r="J394" s="55"/>
      <c r="K394" s="56"/>
      <c r="L394" s="56"/>
      <c r="M394" s="57"/>
      <c r="N394" s="57"/>
      <c r="O394" s="58"/>
      <c r="P394" s="58"/>
      <c r="Q394" s="59"/>
      <c r="R394" s="59"/>
      <c r="S394" s="54"/>
      <c r="T394" s="54"/>
      <c r="U394" s="55"/>
      <c r="V394" s="55"/>
      <c r="W394" s="56"/>
      <c r="X394" s="56"/>
      <c r="Y394" s="57"/>
      <c r="Z394" s="57"/>
      <c r="AA394" s="58"/>
      <c r="AB394" s="58"/>
      <c r="AC394" s="59"/>
      <c r="AD394" s="59"/>
      <c r="AE394" s="96"/>
      <c r="AF394" s="97"/>
      <c r="AG394" s="98"/>
      <c r="AH394" s="99"/>
    </row>
    <row r="395" spans="1:34" x14ac:dyDescent="0.25">
      <c r="A395" s="9" t="str">
        <f t="shared" si="6"/>
        <v/>
      </c>
      <c r="B395" s="52"/>
      <c r="C395" s="53"/>
      <c r="D395" s="53"/>
      <c r="E395" s="78"/>
      <c r="F395" s="133"/>
      <c r="G395" s="54"/>
      <c r="H395" s="54"/>
      <c r="I395" s="55"/>
      <c r="J395" s="55"/>
      <c r="K395" s="56"/>
      <c r="L395" s="56"/>
      <c r="M395" s="57"/>
      <c r="N395" s="57"/>
      <c r="O395" s="58"/>
      <c r="P395" s="58"/>
      <c r="Q395" s="59"/>
      <c r="R395" s="59"/>
      <c r="S395" s="54"/>
      <c r="T395" s="54"/>
      <c r="U395" s="55"/>
      <c r="V395" s="55"/>
      <c r="W395" s="56"/>
      <c r="X395" s="56"/>
      <c r="Y395" s="57"/>
      <c r="Z395" s="57"/>
      <c r="AA395" s="58"/>
      <c r="AB395" s="58"/>
      <c r="AC395" s="59"/>
      <c r="AD395" s="59"/>
      <c r="AE395" s="96"/>
      <c r="AF395" s="97"/>
      <c r="AG395" s="98"/>
      <c r="AH395" s="99"/>
    </row>
    <row r="396" spans="1:34" x14ac:dyDescent="0.25">
      <c r="A396" s="9" t="str">
        <f t="shared" si="6"/>
        <v/>
      </c>
      <c r="B396" s="52"/>
      <c r="C396" s="53"/>
      <c r="D396" s="53"/>
      <c r="E396" s="78"/>
      <c r="F396" s="133"/>
      <c r="G396" s="54"/>
      <c r="H396" s="54"/>
      <c r="I396" s="55"/>
      <c r="J396" s="55"/>
      <c r="K396" s="56"/>
      <c r="L396" s="56"/>
      <c r="M396" s="57"/>
      <c r="N396" s="57"/>
      <c r="O396" s="58"/>
      <c r="P396" s="58"/>
      <c r="Q396" s="59"/>
      <c r="R396" s="59"/>
      <c r="S396" s="54"/>
      <c r="T396" s="54"/>
      <c r="U396" s="55"/>
      <c r="V396" s="55"/>
      <c r="W396" s="56"/>
      <c r="X396" s="56"/>
      <c r="Y396" s="57"/>
      <c r="Z396" s="57"/>
      <c r="AA396" s="58"/>
      <c r="AB396" s="58"/>
      <c r="AC396" s="59"/>
      <c r="AD396" s="59"/>
      <c r="AE396" s="96"/>
      <c r="AF396" s="97"/>
      <c r="AG396" s="98"/>
      <c r="AH396" s="99"/>
    </row>
    <row r="397" spans="1:34" x14ac:dyDescent="0.25">
      <c r="A397" s="9" t="str">
        <f t="shared" si="6"/>
        <v/>
      </c>
      <c r="B397" s="52"/>
      <c r="C397" s="53"/>
      <c r="D397" s="53"/>
      <c r="E397" s="78"/>
      <c r="F397" s="133"/>
      <c r="G397" s="54"/>
      <c r="H397" s="54"/>
      <c r="I397" s="55"/>
      <c r="J397" s="55"/>
      <c r="K397" s="56"/>
      <c r="L397" s="56"/>
      <c r="M397" s="57"/>
      <c r="N397" s="57"/>
      <c r="O397" s="58"/>
      <c r="P397" s="58"/>
      <c r="Q397" s="59"/>
      <c r="R397" s="59"/>
      <c r="S397" s="54"/>
      <c r="T397" s="54"/>
      <c r="U397" s="55"/>
      <c r="V397" s="55"/>
      <c r="W397" s="56"/>
      <c r="X397" s="56"/>
      <c r="Y397" s="57"/>
      <c r="Z397" s="57"/>
      <c r="AA397" s="58"/>
      <c r="AB397" s="58"/>
      <c r="AC397" s="59"/>
      <c r="AD397" s="59"/>
      <c r="AE397" s="96"/>
      <c r="AF397" s="97"/>
      <c r="AG397" s="98"/>
      <c r="AH397" s="99"/>
    </row>
    <row r="398" spans="1:34" x14ac:dyDescent="0.25">
      <c r="A398" s="9" t="str">
        <f t="shared" si="6"/>
        <v/>
      </c>
      <c r="B398" s="52"/>
      <c r="C398" s="53"/>
      <c r="D398" s="53"/>
      <c r="E398" s="78"/>
      <c r="F398" s="133"/>
      <c r="G398" s="54"/>
      <c r="H398" s="54"/>
      <c r="I398" s="55"/>
      <c r="J398" s="55"/>
      <c r="K398" s="56"/>
      <c r="L398" s="56"/>
      <c r="M398" s="57"/>
      <c r="N398" s="57"/>
      <c r="O398" s="58"/>
      <c r="P398" s="58"/>
      <c r="Q398" s="59"/>
      <c r="R398" s="59"/>
      <c r="S398" s="54"/>
      <c r="T398" s="54"/>
      <c r="U398" s="55"/>
      <c r="V398" s="55"/>
      <c r="W398" s="56"/>
      <c r="X398" s="56"/>
      <c r="Y398" s="57"/>
      <c r="Z398" s="57"/>
      <c r="AA398" s="58"/>
      <c r="AB398" s="58"/>
      <c r="AC398" s="59"/>
      <c r="AD398" s="59"/>
      <c r="AE398" s="96"/>
      <c r="AF398" s="97"/>
      <c r="AG398" s="98"/>
      <c r="AH398" s="99"/>
    </row>
    <row r="399" spans="1:34" x14ac:dyDescent="0.25">
      <c r="A399" s="9" t="str">
        <f t="shared" si="6"/>
        <v/>
      </c>
      <c r="B399" s="52"/>
      <c r="C399" s="53"/>
      <c r="D399" s="53"/>
      <c r="E399" s="78"/>
      <c r="F399" s="133"/>
      <c r="G399" s="54"/>
      <c r="H399" s="54"/>
      <c r="I399" s="55"/>
      <c r="J399" s="55"/>
      <c r="K399" s="56"/>
      <c r="L399" s="56"/>
      <c r="M399" s="57"/>
      <c r="N399" s="57"/>
      <c r="O399" s="58"/>
      <c r="P399" s="58"/>
      <c r="Q399" s="59"/>
      <c r="R399" s="59"/>
      <c r="S399" s="54"/>
      <c r="T399" s="54"/>
      <c r="U399" s="55"/>
      <c r="V399" s="55"/>
      <c r="W399" s="56"/>
      <c r="X399" s="56"/>
      <c r="Y399" s="57"/>
      <c r="Z399" s="57"/>
      <c r="AA399" s="58"/>
      <c r="AB399" s="58"/>
      <c r="AC399" s="59"/>
      <c r="AD399" s="59"/>
      <c r="AE399" s="96"/>
      <c r="AF399" s="97"/>
      <c r="AG399" s="98"/>
      <c r="AH399" s="99"/>
    </row>
    <row r="400" spans="1:34" x14ac:dyDescent="0.25">
      <c r="A400" s="9" t="str">
        <f t="shared" si="6"/>
        <v/>
      </c>
      <c r="B400" s="52"/>
      <c r="C400" s="53"/>
      <c r="D400" s="53"/>
      <c r="E400" s="78"/>
      <c r="F400" s="133"/>
      <c r="G400" s="54"/>
      <c r="H400" s="54"/>
      <c r="I400" s="55"/>
      <c r="J400" s="55"/>
      <c r="K400" s="56"/>
      <c r="L400" s="56"/>
      <c r="M400" s="57"/>
      <c r="N400" s="57"/>
      <c r="O400" s="58"/>
      <c r="P400" s="58"/>
      <c r="Q400" s="59"/>
      <c r="R400" s="59"/>
      <c r="S400" s="54"/>
      <c r="T400" s="54"/>
      <c r="U400" s="55"/>
      <c r="V400" s="55"/>
      <c r="W400" s="56"/>
      <c r="X400" s="56"/>
      <c r="Y400" s="57"/>
      <c r="Z400" s="57"/>
      <c r="AA400" s="58"/>
      <c r="AB400" s="58"/>
      <c r="AC400" s="59"/>
      <c r="AD400" s="59"/>
      <c r="AE400" s="96"/>
      <c r="AF400" s="97"/>
      <c r="AG400" s="98"/>
      <c r="AH400" s="99"/>
    </row>
    <row r="401" spans="1:34" x14ac:dyDescent="0.25">
      <c r="A401" s="9" t="str">
        <f t="shared" si="6"/>
        <v/>
      </c>
      <c r="B401" s="52"/>
      <c r="C401" s="53"/>
      <c r="D401" s="53"/>
      <c r="E401" s="78"/>
      <c r="F401" s="133"/>
      <c r="G401" s="54"/>
      <c r="H401" s="54"/>
      <c r="I401" s="55"/>
      <c r="J401" s="55"/>
      <c r="K401" s="56"/>
      <c r="L401" s="56"/>
      <c r="M401" s="57"/>
      <c r="N401" s="57"/>
      <c r="O401" s="58"/>
      <c r="P401" s="58"/>
      <c r="Q401" s="59"/>
      <c r="R401" s="59"/>
      <c r="S401" s="54"/>
      <c r="T401" s="54"/>
      <c r="U401" s="55"/>
      <c r="V401" s="55"/>
      <c r="W401" s="56"/>
      <c r="X401" s="56"/>
      <c r="Y401" s="57"/>
      <c r="Z401" s="57"/>
      <c r="AA401" s="58"/>
      <c r="AB401" s="58"/>
      <c r="AC401" s="59"/>
      <c r="AD401" s="59"/>
      <c r="AE401" s="96"/>
      <c r="AF401" s="97"/>
      <c r="AG401" s="98"/>
      <c r="AH401" s="99"/>
    </row>
    <row r="402" spans="1:34" x14ac:dyDescent="0.25">
      <c r="A402" s="9" t="str">
        <f t="shared" si="6"/>
        <v/>
      </c>
      <c r="B402" s="52"/>
      <c r="C402" s="53"/>
      <c r="D402" s="53"/>
      <c r="E402" s="78"/>
      <c r="F402" s="133"/>
      <c r="G402" s="54"/>
      <c r="H402" s="54"/>
      <c r="I402" s="55"/>
      <c r="J402" s="55"/>
      <c r="K402" s="56"/>
      <c r="L402" s="56"/>
      <c r="M402" s="57"/>
      <c r="N402" s="57"/>
      <c r="O402" s="58"/>
      <c r="P402" s="58"/>
      <c r="Q402" s="59"/>
      <c r="R402" s="59"/>
      <c r="S402" s="54"/>
      <c r="T402" s="54"/>
      <c r="U402" s="55"/>
      <c r="V402" s="55"/>
      <c r="W402" s="56"/>
      <c r="X402" s="56"/>
      <c r="Y402" s="57"/>
      <c r="Z402" s="57"/>
      <c r="AA402" s="58"/>
      <c r="AB402" s="58"/>
      <c r="AC402" s="59"/>
      <c r="AD402" s="59"/>
      <c r="AE402" s="96"/>
      <c r="AF402" s="97"/>
      <c r="AG402" s="98"/>
      <c r="AH402" s="99"/>
    </row>
    <row r="403" spans="1:34" x14ac:dyDescent="0.25">
      <c r="A403" s="9" t="str">
        <f t="shared" si="6"/>
        <v/>
      </c>
      <c r="B403" s="52"/>
      <c r="C403" s="53"/>
      <c r="D403" s="53"/>
      <c r="E403" s="78"/>
      <c r="F403" s="133"/>
      <c r="G403" s="54"/>
      <c r="H403" s="54"/>
      <c r="I403" s="55"/>
      <c r="J403" s="55"/>
      <c r="K403" s="56"/>
      <c r="L403" s="56"/>
      <c r="M403" s="57"/>
      <c r="N403" s="57"/>
      <c r="O403" s="58"/>
      <c r="P403" s="58"/>
      <c r="Q403" s="59"/>
      <c r="R403" s="59"/>
      <c r="S403" s="54"/>
      <c r="T403" s="54"/>
      <c r="U403" s="55"/>
      <c r="V403" s="55"/>
      <c r="W403" s="56"/>
      <c r="X403" s="56"/>
      <c r="Y403" s="57"/>
      <c r="Z403" s="57"/>
      <c r="AA403" s="58"/>
      <c r="AB403" s="58"/>
      <c r="AC403" s="59"/>
      <c r="AD403" s="59"/>
      <c r="AE403" s="96"/>
      <c r="AF403" s="97"/>
      <c r="AG403" s="98"/>
      <c r="AH403" s="99"/>
    </row>
    <row r="404" spans="1:34" x14ac:dyDescent="0.25">
      <c r="A404" s="9" t="str">
        <f t="shared" si="6"/>
        <v/>
      </c>
      <c r="B404" s="52"/>
      <c r="C404" s="53"/>
      <c r="D404" s="53"/>
      <c r="E404" s="78"/>
      <c r="F404" s="133"/>
      <c r="G404" s="54"/>
      <c r="H404" s="54"/>
      <c r="I404" s="55"/>
      <c r="J404" s="55"/>
      <c r="K404" s="56"/>
      <c r="L404" s="56"/>
      <c r="M404" s="57"/>
      <c r="N404" s="57"/>
      <c r="O404" s="58"/>
      <c r="P404" s="58"/>
      <c r="Q404" s="59"/>
      <c r="R404" s="59"/>
      <c r="S404" s="54"/>
      <c r="T404" s="54"/>
      <c r="U404" s="55"/>
      <c r="V404" s="55"/>
      <c r="W404" s="56"/>
      <c r="X404" s="56"/>
      <c r="Y404" s="57"/>
      <c r="Z404" s="57"/>
      <c r="AA404" s="58"/>
      <c r="AB404" s="58"/>
      <c r="AC404" s="59"/>
      <c r="AD404" s="59"/>
      <c r="AE404" s="96"/>
      <c r="AF404" s="97"/>
      <c r="AG404" s="98"/>
      <c r="AH404" s="99"/>
    </row>
    <row r="405" spans="1:34" x14ac:dyDescent="0.25">
      <c r="A405" s="9" t="str">
        <f t="shared" si="6"/>
        <v/>
      </c>
      <c r="B405" s="52"/>
      <c r="C405" s="53"/>
      <c r="D405" s="53"/>
      <c r="E405" s="78"/>
      <c r="F405" s="133"/>
      <c r="G405" s="54"/>
      <c r="H405" s="54"/>
      <c r="I405" s="55"/>
      <c r="J405" s="55"/>
      <c r="K405" s="56"/>
      <c r="L405" s="56"/>
      <c r="M405" s="57"/>
      <c r="N405" s="57"/>
      <c r="O405" s="58"/>
      <c r="P405" s="58"/>
      <c r="Q405" s="59"/>
      <c r="R405" s="59"/>
      <c r="S405" s="54"/>
      <c r="T405" s="54"/>
      <c r="U405" s="55"/>
      <c r="V405" s="55"/>
      <c r="W405" s="56"/>
      <c r="X405" s="56"/>
      <c r="Y405" s="57"/>
      <c r="Z405" s="57"/>
      <c r="AA405" s="58"/>
      <c r="AB405" s="58"/>
      <c r="AC405" s="59"/>
      <c r="AD405" s="59"/>
      <c r="AE405" s="96"/>
      <c r="AF405" s="97"/>
      <c r="AG405" s="98"/>
      <c r="AH405" s="99"/>
    </row>
    <row r="406" spans="1:34" x14ac:dyDescent="0.25">
      <c r="A406" s="9" t="str">
        <f t="shared" si="6"/>
        <v/>
      </c>
      <c r="B406" s="52"/>
      <c r="C406" s="53"/>
      <c r="D406" s="53"/>
      <c r="E406" s="78"/>
      <c r="F406" s="133"/>
      <c r="G406" s="54"/>
      <c r="H406" s="54"/>
      <c r="I406" s="55"/>
      <c r="J406" s="55"/>
      <c r="K406" s="56"/>
      <c r="L406" s="56"/>
      <c r="M406" s="57"/>
      <c r="N406" s="57"/>
      <c r="O406" s="58"/>
      <c r="P406" s="58"/>
      <c r="Q406" s="59"/>
      <c r="R406" s="59"/>
      <c r="S406" s="54"/>
      <c r="T406" s="54"/>
      <c r="U406" s="55"/>
      <c r="V406" s="55"/>
      <c r="W406" s="56"/>
      <c r="X406" s="56"/>
      <c r="Y406" s="57"/>
      <c r="Z406" s="57"/>
      <c r="AA406" s="58"/>
      <c r="AB406" s="58"/>
      <c r="AC406" s="59"/>
      <c r="AD406" s="59"/>
      <c r="AE406" s="96"/>
      <c r="AF406" s="97"/>
      <c r="AG406" s="98"/>
      <c r="AH406" s="99"/>
    </row>
    <row r="407" spans="1:34" x14ac:dyDescent="0.25">
      <c r="A407" s="9" t="str">
        <f t="shared" si="6"/>
        <v/>
      </c>
      <c r="B407" s="52"/>
      <c r="C407" s="53"/>
      <c r="D407" s="53"/>
      <c r="E407" s="78"/>
      <c r="F407" s="133"/>
      <c r="G407" s="54"/>
      <c r="H407" s="54"/>
      <c r="I407" s="55"/>
      <c r="J407" s="55"/>
      <c r="K407" s="56"/>
      <c r="L407" s="56"/>
      <c r="M407" s="57"/>
      <c r="N407" s="57"/>
      <c r="O407" s="58"/>
      <c r="P407" s="58"/>
      <c r="Q407" s="59"/>
      <c r="R407" s="59"/>
      <c r="S407" s="54"/>
      <c r="T407" s="54"/>
      <c r="U407" s="55"/>
      <c r="V407" s="55"/>
      <c r="W407" s="56"/>
      <c r="X407" s="56"/>
      <c r="Y407" s="57"/>
      <c r="Z407" s="57"/>
      <c r="AA407" s="58"/>
      <c r="AB407" s="58"/>
      <c r="AC407" s="59"/>
      <c r="AD407" s="59"/>
      <c r="AE407" s="96"/>
      <c r="AF407" s="97"/>
      <c r="AG407" s="98"/>
      <c r="AH407" s="99"/>
    </row>
    <row r="408" spans="1:34" x14ac:dyDescent="0.25">
      <c r="A408" s="9" t="str">
        <f t="shared" si="6"/>
        <v/>
      </c>
      <c r="B408" s="52"/>
      <c r="C408" s="53"/>
      <c r="D408" s="53"/>
      <c r="E408" s="78"/>
      <c r="F408" s="133"/>
      <c r="G408" s="54"/>
      <c r="H408" s="54"/>
      <c r="I408" s="55"/>
      <c r="J408" s="55"/>
      <c r="K408" s="56"/>
      <c r="L408" s="56"/>
      <c r="M408" s="57"/>
      <c r="N408" s="57"/>
      <c r="O408" s="58"/>
      <c r="P408" s="58"/>
      <c r="Q408" s="59"/>
      <c r="R408" s="59"/>
      <c r="S408" s="54"/>
      <c r="T408" s="54"/>
      <c r="U408" s="55"/>
      <c r="V408" s="55"/>
      <c r="W408" s="56"/>
      <c r="X408" s="56"/>
      <c r="Y408" s="57"/>
      <c r="Z408" s="57"/>
      <c r="AA408" s="58"/>
      <c r="AB408" s="58"/>
      <c r="AC408" s="59"/>
      <c r="AD408" s="59"/>
      <c r="AE408" s="96"/>
      <c r="AF408" s="97"/>
      <c r="AG408" s="98"/>
      <c r="AH408" s="99"/>
    </row>
    <row r="409" spans="1:34" x14ac:dyDescent="0.25">
      <c r="A409" s="9" t="str">
        <f t="shared" si="6"/>
        <v/>
      </c>
      <c r="B409" s="52"/>
      <c r="C409" s="53"/>
      <c r="D409" s="53"/>
      <c r="E409" s="78"/>
      <c r="F409" s="133"/>
      <c r="G409" s="54"/>
      <c r="H409" s="54"/>
      <c r="I409" s="55"/>
      <c r="J409" s="55"/>
      <c r="K409" s="56"/>
      <c r="L409" s="56"/>
      <c r="M409" s="57"/>
      <c r="N409" s="57"/>
      <c r="O409" s="58"/>
      <c r="P409" s="58"/>
      <c r="Q409" s="59"/>
      <c r="R409" s="59"/>
      <c r="S409" s="54"/>
      <c r="T409" s="54"/>
      <c r="U409" s="55"/>
      <c r="V409" s="55"/>
      <c r="W409" s="56"/>
      <c r="X409" s="56"/>
      <c r="Y409" s="57"/>
      <c r="Z409" s="57"/>
      <c r="AA409" s="58"/>
      <c r="AB409" s="58"/>
      <c r="AC409" s="59"/>
      <c r="AD409" s="59"/>
      <c r="AE409" s="96"/>
      <c r="AF409" s="97"/>
      <c r="AG409" s="98"/>
      <c r="AH409" s="99"/>
    </row>
    <row r="410" spans="1:34" x14ac:dyDescent="0.25">
      <c r="A410" s="9" t="str">
        <f t="shared" si="6"/>
        <v/>
      </c>
      <c r="B410" s="52"/>
      <c r="C410" s="53"/>
      <c r="D410" s="53"/>
      <c r="E410" s="78"/>
      <c r="F410" s="133"/>
      <c r="G410" s="54"/>
      <c r="H410" s="54"/>
      <c r="I410" s="55"/>
      <c r="J410" s="55"/>
      <c r="K410" s="56"/>
      <c r="L410" s="56"/>
      <c r="M410" s="57"/>
      <c r="N410" s="57"/>
      <c r="O410" s="58"/>
      <c r="P410" s="58"/>
      <c r="Q410" s="59"/>
      <c r="R410" s="59"/>
      <c r="S410" s="54"/>
      <c r="T410" s="54"/>
      <c r="U410" s="55"/>
      <c r="V410" s="55"/>
      <c r="W410" s="56"/>
      <c r="X410" s="56"/>
      <c r="Y410" s="57"/>
      <c r="Z410" s="57"/>
      <c r="AA410" s="58"/>
      <c r="AB410" s="58"/>
      <c r="AC410" s="59"/>
      <c r="AD410" s="59"/>
      <c r="AE410" s="96"/>
      <c r="AF410" s="97"/>
      <c r="AG410" s="98"/>
      <c r="AH410" s="99"/>
    </row>
    <row r="411" spans="1:34" x14ac:dyDescent="0.25">
      <c r="A411" s="9" t="str">
        <f t="shared" si="6"/>
        <v/>
      </c>
      <c r="B411" s="52"/>
      <c r="C411" s="53"/>
      <c r="D411" s="53"/>
      <c r="E411" s="78"/>
      <c r="F411" s="133"/>
      <c r="G411" s="54"/>
      <c r="H411" s="54"/>
      <c r="I411" s="55"/>
      <c r="J411" s="55"/>
      <c r="K411" s="56"/>
      <c r="L411" s="56"/>
      <c r="M411" s="57"/>
      <c r="N411" s="57"/>
      <c r="O411" s="58"/>
      <c r="P411" s="58"/>
      <c r="Q411" s="59"/>
      <c r="R411" s="59"/>
      <c r="S411" s="54"/>
      <c r="T411" s="54"/>
      <c r="U411" s="55"/>
      <c r="V411" s="55"/>
      <c r="W411" s="56"/>
      <c r="X411" s="56"/>
      <c r="Y411" s="57"/>
      <c r="Z411" s="57"/>
      <c r="AA411" s="58"/>
      <c r="AB411" s="58"/>
      <c r="AC411" s="59"/>
      <c r="AD411" s="59"/>
      <c r="AE411" s="96"/>
      <c r="AF411" s="97"/>
      <c r="AG411" s="98"/>
      <c r="AH411" s="99"/>
    </row>
    <row r="412" spans="1:34" x14ac:dyDescent="0.25">
      <c r="A412" s="9" t="str">
        <f t="shared" si="6"/>
        <v/>
      </c>
      <c r="B412" s="52"/>
      <c r="C412" s="53"/>
      <c r="D412" s="53"/>
      <c r="E412" s="78"/>
      <c r="F412" s="133"/>
      <c r="G412" s="54"/>
      <c r="H412" s="54"/>
      <c r="I412" s="55"/>
      <c r="J412" s="55"/>
      <c r="K412" s="56"/>
      <c r="L412" s="56"/>
      <c r="M412" s="57"/>
      <c r="N412" s="57"/>
      <c r="O412" s="58"/>
      <c r="P412" s="58"/>
      <c r="Q412" s="59"/>
      <c r="R412" s="59"/>
      <c r="S412" s="54"/>
      <c r="T412" s="54"/>
      <c r="U412" s="55"/>
      <c r="V412" s="55"/>
      <c r="W412" s="56"/>
      <c r="X412" s="56"/>
      <c r="Y412" s="57"/>
      <c r="Z412" s="57"/>
      <c r="AA412" s="58"/>
      <c r="AB412" s="58"/>
      <c r="AC412" s="59"/>
      <c r="AD412" s="59"/>
      <c r="AE412" s="96"/>
      <c r="AF412" s="97"/>
      <c r="AG412" s="98"/>
      <c r="AH412" s="99"/>
    </row>
    <row r="413" spans="1:34" x14ac:dyDescent="0.25">
      <c r="A413" s="9" t="str">
        <f t="shared" si="6"/>
        <v/>
      </c>
      <c r="B413" s="52"/>
      <c r="C413" s="53"/>
      <c r="D413" s="53"/>
      <c r="E413" s="78"/>
      <c r="F413" s="133"/>
      <c r="G413" s="54"/>
      <c r="H413" s="54"/>
      <c r="I413" s="55"/>
      <c r="J413" s="55"/>
      <c r="K413" s="56"/>
      <c r="L413" s="56"/>
      <c r="M413" s="57"/>
      <c r="N413" s="57"/>
      <c r="O413" s="58"/>
      <c r="P413" s="58"/>
      <c r="Q413" s="59"/>
      <c r="R413" s="59"/>
      <c r="S413" s="54"/>
      <c r="T413" s="54"/>
      <c r="U413" s="55"/>
      <c r="V413" s="55"/>
      <c r="W413" s="56"/>
      <c r="X413" s="56"/>
      <c r="Y413" s="57"/>
      <c r="Z413" s="57"/>
      <c r="AA413" s="58"/>
      <c r="AB413" s="58"/>
      <c r="AC413" s="59"/>
      <c r="AD413" s="59"/>
      <c r="AE413" s="96"/>
      <c r="AF413" s="97"/>
      <c r="AG413" s="98"/>
      <c r="AH413" s="99"/>
    </row>
    <row r="414" spans="1:34" x14ac:dyDescent="0.25">
      <c r="A414" s="9" t="str">
        <f t="shared" si="6"/>
        <v/>
      </c>
      <c r="B414" s="52"/>
      <c r="C414" s="53"/>
      <c r="D414" s="53"/>
      <c r="E414" s="78"/>
      <c r="F414" s="133"/>
      <c r="G414" s="54"/>
      <c r="H414" s="54"/>
      <c r="I414" s="55"/>
      <c r="J414" s="55"/>
      <c r="K414" s="56"/>
      <c r="L414" s="56"/>
      <c r="M414" s="57"/>
      <c r="N414" s="57"/>
      <c r="O414" s="58"/>
      <c r="P414" s="58"/>
      <c r="Q414" s="59"/>
      <c r="R414" s="59"/>
      <c r="S414" s="54"/>
      <c r="T414" s="54"/>
      <c r="U414" s="55"/>
      <c r="V414" s="55"/>
      <c r="W414" s="56"/>
      <c r="X414" s="56"/>
      <c r="Y414" s="57"/>
      <c r="Z414" s="57"/>
      <c r="AA414" s="58"/>
      <c r="AB414" s="58"/>
      <c r="AC414" s="59"/>
      <c r="AD414" s="59"/>
      <c r="AE414" s="96"/>
      <c r="AF414" s="97"/>
      <c r="AG414" s="98"/>
      <c r="AH414" s="99"/>
    </row>
    <row r="415" spans="1:34" x14ac:dyDescent="0.25">
      <c r="A415" s="9" t="str">
        <f t="shared" si="6"/>
        <v/>
      </c>
      <c r="B415" s="52"/>
      <c r="C415" s="53"/>
      <c r="D415" s="53"/>
      <c r="E415" s="78"/>
      <c r="F415" s="133"/>
      <c r="G415" s="54"/>
      <c r="H415" s="54"/>
      <c r="I415" s="55"/>
      <c r="J415" s="55"/>
      <c r="K415" s="56"/>
      <c r="L415" s="56"/>
      <c r="M415" s="57"/>
      <c r="N415" s="57"/>
      <c r="O415" s="58"/>
      <c r="P415" s="58"/>
      <c r="Q415" s="59"/>
      <c r="R415" s="59"/>
      <c r="S415" s="54"/>
      <c r="T415" s="54"/>
      <c r="U415" s="55"/>
      <c r="V415" s="55"/>
      <c r="W415" s="56"/>
      <c r="X415" s="56"/>
      <c r="Y415" s="57"/>
      <c r="Z415" s="57"/>
      <c r="AA415" s="58"/>
      <c r="AB415" s="58"/>
      <c r="AC415" s="59"/>
      <c r="AD415" s="59"/>
      <c r="AE415" s="96"/>
      <c r="AF415" s="97"/>
      <c r="AG415" s="98"/>
      <c r="AH415" s="99"/>
    </row>
    <row r="416" spans="1:34" x14ac:dyDescent="0.25">
      <c r="A416" s="9" t="str">
        <f t="shared" si="6"/>
        <v/>
      </c>
      <c r="B416" s="52"/>
      <c r="C416" s="53"/>
      <c r="D416" s="53"/>
      <c r="E416" s="78"/>
      <c r="F416" s="133"/>
      <c r="G416" s="54"/>
      <c r="H416" s="54"/>
      <c r="I416" s="55"/>
      <c r="J416" s="55"/>
      <c r="K416" s="56"/>
      <c r="L416" s="56"/>
      <c r="M416" s="57"/>
      <c r="N416" s="57"/>
      <c r="O416" s="58"/>
      <c r="P416" s="58"/>
      <c r="Q416" s="59"/>
      <c r="R416" s="59"/>
      <c r="S416" s="54"/>
      <c r="T416" s="54"/>
      <c r="U416" s="55"/>
      <c r="V416" s="55"/>
      <c r="W416" s="56"/>
      <c r="X416" s="56"/>
      <c r="Y416" s="57"/>
      <c r="Z416" s="57"/>
      <c r="AA416" s="58"/>
      <c r="AB416" s="58"/>
      <c r="AC416" s="59"/>
      <c r="AD416" s="59"/>
      <c r="AE416" s="96"/>
      <c r="AF416" s="97"/>
      <c r="AG416" s="98"/>
      <c r="AH416" s="99"/>
    </row>
    <row r="417" spans="1:34" x14ac:dyDescent="0.25">
      <c r="A417" s="9" t="str">
        <f t="shared" si="6"/>
        <v/>
      </c>
      <c r="B417" s="52"/>
      <c r="C417" s="53"/>
      <c r="D417" s="53"/>
      <c r="E417" s="78"/>
      <c r="F417" s="133"/>
      <c r="G417" s="54"/>
      <c r="H417" s="54"/>
      <c r="I417" s="55"/>
      <c r="J417" s="55"/>
      <c r="K417" s="56"/>
      <c r="L417" s="56"/>
      <c r="M417" s="57"/>
      <c r="N417" s="57"/>
      <c r="O417" s="58"/>
      <c r="P417" s="58"/>
      <c r="Q417" s="59"/>
      <c r="R417" s="59"/>
      <c r="S417" s="54"/>
      <c r="T417" s="54"/>
      <c r="U417" s="55"/>
      <c r="V417" s="55"/>
      <c r="W417" s="56"/>
      <c r="X417" s="56"/>
      <c r="Y417" s="57"/>
      <c r="Z417" s="57"/>
      <c r="AA417" s="58"/>
      <c r="AB417" s="58"/>
      <c r="AC417" s="59"/>
      <c r="AD417" s="59"/>
      <c r="AE417" s="96"/>
      <c r="AF417" s="97"/>
      <c r="AG417" s="98"/>
      <c r="AH417" s="99"/>
    </row>
    <row r="418" spans="1:34" x14ac:dyDescent="0.25">
      <c r="A418" s="9" t="str">
        <f t="shared" si="6"/>
        <v/>
      </c>
      <c r="B418" s="52"/>
      <c r="C418" s="53"/>
      <c r="D418" s="53"/>
      <c r="E418" s="78"/>
      <c r="F418" s="133"/>
      <c r="G418" s="54"/>
      <c r="H418" s="54"/>
      <c r="I418" s="55"/>
      <c r="J418" s="55"/>
      <c r="K418" s="56"/>
      <c r="L418" s="56"/>
      <c r="M418" s="57"/>
      <c r="N418" s="57"/>
      <c r="O418" s="58"/>
      <c r="P418" s="58"/>
      <c r="Q418" s="59"/>
      <c r="R418" s="59"/>
      <c r="S418" s="54"/>
      <c r="T418" s="54"/>
      <c r="U418" s="55"/>
      <c r="V418" s="55"/>
      <c r="W418" s="56"/>
      <c r="X418" s="56"/>
      <c r="Y418" s="57"/>
      <c r="Z418" s="57"/>
      <c r="AA418" s="58"/>
      <c r="AB418" s="58"/>
      <c r="AC418" s="59"/>
      <c r="AD418" s="59"/>
      <c r="AE418" s="96"/>
      <c r="AF418" s="97"/>
      <c r="AG418" s="98"/>
      <c r="AH418" s="99"/>
    </row>
    <row r="419" spans="1:34" x14ac:dyDescent="0.25">
      <c r="A419" s="9" t="str">
        <f t="shared" si="6"/>
        <v/>
      </c>
      <c r="B419" s="52"/>
      <c r="C419" s="53"/>
      <c r="D419" s="53"/>
      <c r="E419" s="78"/>
      <c r="F419" s="133"/>
      <c r="G419" s="54"/>
      <c r="H419" s="54"/>
      <c r="I419" s="55"/>
      <c r="J419" s="55"/>
      <c r="K419" s="56"/>
      <c r="L419" s="56"/>
      <c r="M419" s="57"/>
      <c r="N419" s="57"/>
      <c r="O419" s="58"/>
      <c r="P419" s="58"/>
      <c r="Q419" s="59"/>
      <c r="R419" s="59"/>
      <c r="S419" s="54"/>
      <c r="T419" s="54"/>
      <c r="U419" s="55"/>
      <c r="V419" s="55"/>
      <c r="W419" s="56"/>
      <c r="X419" s="56"/>
      <c r="Y419" s="57"/>
      <c r="Z419" s="57"/>
      <c r="AA419" s="58"/>
      <c r="AB419" s="58"/>
      <c r="AC419" s="59"/>
      <c r="AD419" s="59"/>
      <c r="AE419" s="96"/>
      <c r="AF419" s="97"/>
      <c r="AG419" s="98"/>
      <c r="AH419" s="99"/>
    </row>
    <row r="420" spans="1:34" x14ac:dyDescent="0.25">
      <c r="A420" s="9" t="str">
        <f t="shared" si="6"/>
        <v/>
      </c>
      <c r="B420" s="52"/>
      <c r="C420" s="53"/>
      <c r="D420" s="53"/>
      <c r="E420" s="78"/>
      <c r="F420" s="133"/>
      <c r="G420" s="54"/>
      <c r="H420" s="54"/>
      <c r="I420" s="55"/>
      <c r="J420" s="55"/>
      <c r="K420" s="56"/>
      <c r="L420" s="56"/>
      <c r="M420" s="57"/>
      <c r="N420" s="57"/>
      <c r="O420" s="58"/>
      <c r="P420" s="58"/>
      <c r="Q420" s="59"/>
      <c r="R420" s="59"/>
      <c r="S420" s="54"/>
      <c r="T420" s="54"/>
      <c r="U420" s="55"/>
      <c r="V420" s="55"/>
      <c r="W420" s="56"/>
      <c r="X420" s="56"/>
      <c r="Y420" s="57"/>
      <c r="Z420" s="57"/>
      <c r="AA420" s="58"/>
      <c r="AB420" s="58"/>
      <c r="AC420" s="59"/>
      <c r="AD420" s="59"/>
      <c r="AE420" s="96"/>
      <c r="AF420" s="97"/>
      <c r="AG420" s="98"/>
      <c r="AH420" s="99"/>
    </row>
    <row r="421" spans="1:34" x14ac:dyDescent="0.25">
      <c r="A421" s="9" t="str">
        <f t="shared" si="6"/>
        <v/>
      </c>
      <c r="B421" s="52"/>
      <c r="C421" s="53"/>
      <c r="D421" s="53"/>
      <c r="E421" s="78"/>
      <c r="F421" s="133"/>
      <c r="G421" s="54"/>
      <c r="H421" s="54"/>
      <c r="I421" s="55"/>
      <c r="J421" s="55"/>
      <c r="K421" s="56"/>
      <c r="L421" s="56"/>
      <c r="M421" s="57"/>
      <c r="N421" s="57"/>
      <c r="O421" s="58"/>
      <c r="P421" s="58"/>
      <c r="Q421" s="59"/>
      <c r="R421" s="59"/>
      <c r="S421" s="54"/>
      <c r="T421" s="54"/>
      <c r="U421" s="55"/>
      <c r="V421" s="55"/>
      <c r="W421" s="56"/>
      <c r="X421" s="56"/>
      <c r="Y421" s="57"/>
      <c r="Z421" s="57"/>
      <c r="AA421" s="58"/>
      <c r="AB421" s="58"/>
      <c r="AC421" s="59"/>
      <c r="AD421" s="59"/>
      <c r="AE421" s="96"/>
      <c r="AF421" s="97"/>
      <c r="AG421" s="98"/>
      <c r="AH421" s="99"/>
    </row>
    <row r="422" spans="1:34" x14ac:dyDescent="0.25">
      <c r="A422" s="9" t="str">
        <f t="shared" si="6"/>
        <v/>
      </c>
      <c r="B422" s="52"/>
      <c r="C422" s="53"/>
      <c r="D422" s="53"/>
      <c r="E422" s="78"/>
      <c r="F422" s="133"/>
      <c r="G422" s="54"/>
      <c r="H422" s="54"/>
      <c r="I422" s="55"/>
      <c r="J422" s="55"/>
      <c r="K422" s="56"/>
      <c r="L422" s="56"/>
      <c r="M422" s="57"/>
      <c r="N422" s="57"/>
      <c r="O422" s="58"/>
      <c r="P422" s="58"/>
      <c r="Q422" s="59"/>
      <c r="R422" s="59"/>
      <c r="S422" s="54"/>
      <c r="T422" s="54"/>
      <c r="U422" s="55"/>
      <c r="V422" s="55"/>
      <c r="W422" s="56"/>
      <c r="X422" s="56"/>
      <c r="Y422" s="57"/>
      <c r="Z422" s="57"/>
      <c r="AA422" s="58"/>
      <c r="AB422" s="58"/>
      <c r="AC422" s="59"/>
      <c r="AD422" s="59"/>
      <c r="AE422" s="96"/>
      <c r="AF422" s="97"/>
      <c r="AG422" s="98"/>
      <c r="AH422" s="99"/>
    </row>
    <row r="423" spans="1:34" x14ac:dyDescent="0.25">
      <c r="A423" s="9" t="str">
        <f t="shared" si="6"/>
        <v/>
      </c>
      <c r="B423" s="52"/>
      <c r="C423" s="53"/>
      <c r="D423" s="53"/>
      <c r="E423" s="78"/>
      <c r="F423" s="133"/>
      <c r="G423" s="54"/>
      <c r="H423" s="54"/>
      <c r="I423" s="55"/>
      <c r="J423" s="55"/>
      <c r="K423" s="56"/>
      <c r="L423" s="56"/>
      <c r="M423" s="57"/>
      <c r="N423" s="57"/>
      <c r="O423" s="58"/>
      <c r="P423" s="58"/>
      <c r="Q423" s="59"/>
      <c r="R423" s="59"/>
      <c r="S423" s="54"/>
      <c r="T423" s="54"/>
      <c r="U423" s="55"/>
      <c r="V423" s="55"/>
      <c r="W423" s="56"/>
      <c r="X423" s="56"/>
      <c r="Y423" s="57"/>
      <c r="Z423" s="57"/>
      <c r="AA423" s="58"/>
      <c r="AB423" s="58"/>
      <c r="AC423" s="59"/>
      <c r="AD423" s="59"/>
      <c r="AE423" s="96"/>
      <c r="AF423" s="97"/>
      <c r="AG423" s="98"/>
      <c r="AH423" s="99"/>
    </row>
    <row r="424" spans="1:34" x14ac:dyDescent="0.25">
      <c r="A424" s="9" t="str">
        <f t="shared" si="6"/>
        <v/>
      </c>
      <c r="B424" s="52"/>
      <c r="C424" s="53"/>
      <c r="D424" s="53"/>
      <c r="E424" s="78"/>
      <c r="F424" s="133"/>
      <c r="G424" s="54"/>
      <c r="H424" s="54"/>
      <c r="I424" s="55"/>
      <c r="J424" s="55"/>
      <c r="K424" s="56"/>
      <c r="L424" s="56"/>
      <c r="M424" s="57"/>
      <c r="N424" s="57"/>
      <c r="O424" s="58"/>
      <c r="P424" s="58"/>
      <c r="Q424" s="59"/>
      <c r="R424" s="59"/>
      <c r="S424" s="54"/>
      <c r="T424" s="54"/>
      <c r="U424" s="55"/>
      <c r="V424" s="55"/>
      <c r="W424" s="56"/>
      <c r="X424" s="56"/>
      <c r="Y424" s="57"/>
      <c r="Z424" s="57"/>
      <c r="AA424" s="58"/>
      <c r="AB424" s="58"/>
      <c r="AC424" s="59"/>
      <c r="AD424" s="59"/>
      <c r="AE424" s="96"/>
      <c r="AF424" s="97"/>
      <c r="AG424" s="98"/>
      <c r="AH424" s="99"/>
    </row>
    <row r="425" spans="1:34" x14ac:dyDescent="0.25">
      <c r="A425" s="9" t="str">
        <f t="shared" si="6"/>
        <v/>
      </c>
      <c r="B425" s="52"/>
      <c r="C425" s="53"/>
      <c r="D425" s="53"/>
      <c r="E425" s="78"/>
      <c r="F425" s="133"/>
      <c r="G425" s="54"/>
      <c r="H425" s="54"/>
      <c r="I425" s="55"/>
      <c r="J425" s="55"/>
      <c r="K425" s="56"/>
      <c r="L425" s="56"/>
      <c r="M425" s="57"/>
      <c r="N425" s="57"/>
      <c r="O425" s="58"/>
      <c r="P425" s="58"/>
      <c r="Q425" s="59"/>
      <c r="R425" s="59"/>
      <c r="S425" s="54"/>
      <c r="T425" s="54"/>
      <c r="U425" s="55"/>
      <c r="V425" s="55"/>
      <c r="W425" s="56"/>
      <c r="X425" s="56"/>
      <c r="Y425" s="57"/>
      <c r="Z425" s="57"/>
      <c r="AA425" s="58"/>
      <c r="AB425" s="58"/>
      <c r="AC425" s="59"/>
      <c r="AD425" s="59"/>
      <c r="AE425" s="96"/>
      <c r="AF425" s="97"/>
      <c r="AG425" s="98"/>
      <c r="AH425" s="99"/>
    </row>
    <row r="426" spans="1:34" x14ac:dyDescent="0.25">
      <c r="A426" s="9" t="str">
        <f t="shared" si="6"/>
        <v/>
      </c>
      <c r="B426" s="52"/>
      <c r="C426" s="53"/>
      <c r="D426" s="53"/>
      <c r="E426" s="78"/>
      <c r="F426" s="133"/>
      <c r="G426" s="54"/>
      <c r="H426" s="54"/>
      <c r="I426" s="55"/>
      <c r="J426" s="55"/>
      <c r="K426" s="56"/>
      <c r="L426" s="56"/>
      <c r="M426" s="57"/>
      <c r="N426" s="57"/>
      <c r="O426" s="58"/>
      <c r="P426" s="58"/>
      <c r="Q426" s="59"/>
      <c r="R426" s="59"/>
      <c r="S426" s="54"/>
      <c r="T426" s="54"/>
      <c r="U426" s="55"/>
      <c r="V426" s="55"/>
      <c r="W426" s="56"/>
      <c r="X426" s="56"/>
      <c r="Y426" s="57"/>
      <c r="Z426" s="57"/>
      <c r="AA426" s="58"/>
      <c r="AB426" s="58"/>
      <c r="AC426" s="59"/>
      <c r="AD426" s="59"/>
      <c r="AE426" s="96"/>
      <c r="AF426" s="97"/>
      <c r="AG426" s="98"/>
      <c r="AH426" s="99"/>
    </row>
    <row r="427" spans="1:34" x14ac:dyDescent="0.25">
      <c r="A427" s="9" t="str">
        <f t="shared" si="6"/>
        <v/>
      </c>
      <c r="B427" s="52"/>
      <c r="C427" s="53"/>
      <c r="D427" s="53"/>
      <c r="E427" s="78"/>
      <c r="F427" s="133"/>
      <c r="G427" s="54"/>
      <c r="H427" s="54"/>
      <c r="I427" s="55"/>
      <c r="J427" s="55"/>
      <c r="K427" s="56"/>
      <c r="L427" s="56"/>
      <c r="M427" s="57"/>
      <c r="N427" s="57"/>
      <c r="O427" s="58"/>
      <c r="P427" s="58"/>
      <c r="Q427" s="59"/>
      <c r="R427" s="59"/>
      <c r="S427" s="54"/>
      <c r="T427" s="54"/>
      <c r="U427" s="55"/>
      <c r="V427" s="55"/>
      <c r="W427" s="56"/>
      <c r="X427" s="56"/>
      <c r="Y427" s="57"/>
      <c r="Z427" s="57"/>
      <c r="AA427" s="58"/>
      <c r="AB427" s="58"/>
      <c r="AC427" s="59"/>
      <c r="AD427" s="59"/>
      <c r="AE427" s="96"/>
      <c r="AF427" s="97"/>
      <c r="AG427" s="98"/>
      <c r="AH427" s="99"/>
    </row>
    <row r="428" spans="1:34" x14ac:dyDescent="0.25">
      <c r="A428" s="9" t="str">
        <f t="shared" si="6"/>
        <v/>
      </c>
      <c r="B428" s="52"/>
      <c r="C428" s="53"/>
      <c r="D428" s="53"/>
      <c r="E428" s="78"/>
      <c r="F428" s="133"/>
      <c r="G428" s="54"/>
      <c r="H428" s="54"/>
      <c r="I428" s="55"/>
      <c r="J428" s="55"/>
      <c r="K428" s="56"/>
      <c r="L428" s="56"/>
      <c r="M428" s="57"/>
      <c r="N428" s="57"/>
      <c r="O428" s="58"/>
      <c r="P428" s="58"/>
      <c r="Q428" s="59"/>
      <c r="R428" s="59"/>
      <c r="S428" s="54"/>
      <c r="T428" s="54"/>
      <c r="U428" s="55"/>
      <c r="V428" s="55"/>
      <c r="W428" s="56"/>
      <c r="X428" s="56"/>
      <c r="Y428" s="57"/>
      <c r="Z428" s="57"/>
      <c r="AA428" s="58"/>
      <c r="AB428" s="58"/>
      <c r="AC428" s="59"/>
      <c r="AD428" s="59"/>
      <c r="AE428" s="96"/>
      <c r="AF428" s="97"/>
      <c r="AG428" s="98"/>
      <c r="AH428" s="99"/>
    </row>
    <row r="429" spans="1:34" x14ac:dyDescent="0.25">
      <c r="A429" s="9" t="str">
        <f t="shared" si="6"/>
        <v/>
      </c>
      <c r="B429" s="52"/>
      <c r="C429" s="53"/>
      <c r="D429" s="53"/>
      <c r="E429" s="78"/>
      <c r="F429" s="133"/>
      <c r="G429" s="54"/>
      <c r="H429" s="54"/>
      <c r="I429" s="55"/>
      <c r="J429" s="55"/>
      <c r="K429" s="56"/>
      <c r="L429" s="56"/>
      <c r="M429" s="57"/>
      <c r="N429" s="57"/>
      <c r="O429" s="58"/>
      <c r="P429" s="58"/>
      <c r="Q429" s="59"/>
      <c r="R429" s="59"/>
      <c r="S429" s="54"/>
      <c r="T429" s="54"/>
      <c r="U429" s="55"/>
      <c r="V429" s="55"/>
      <c r="W429" s="56"/>
      <c r="X429" s="56"/>
      <c r="Y429" s="57"/>
      <c r="Z429" s="57"/>
      <c r="AA429" s="58"/>
      <c r="AB429" s="58"/>
      <c r="AC429" s="59"/>
      <c r="AD429" s="59"/>
      <c r="AE429" s="96"/>
      <c r="AF429" s="97"/>
      <c r="AG429" s="98"/>
      <c r="AH429" s="99"/>
    </row>
    <row r="430" spans="1:34" x14ac:dyDescent="0.25">
      <c r="A430" s="9" t="str">
        <f t="shared" si="6"/>
        <v/>
      </c>
      <c r="B430" s="52"/>
      <c r="C430" s="53"/>
      <c r="D430" s="53"/>
      <c r="E430" s="78"/>
      <c r="F430" s="133"/>
      <c r="G430" s="54"/>
      <c r="H430" s="54"/>
      <c r="I430" s="55"/>
      <c r="J430" s="55"/>
      <c r="K430" s="56"/>
      <c r="L430" s="56"/>
      <c r="M430" s="57"/>
      <c r="N430" s="57"/>
      <c r="O430" s="58"/>
      <c r="P430" s="58"/>
      <c r="Q430" s="59"/>
      <c r="R430" s="59"/>
      <c r="S430" s="54"/>
      <c r="T430" s="54"/>
      <c r="U430" s="55"/>
      <c r="V430" s="55"/>
      <c r="W430" s="56"/>
      <c r="X430" s="56"/>
      <c r="Y430" s="57"/>
      <c r="Z430" s="57"/>
      <c r="AA430" s="58"/>
      <c r="AB430" s="58"/>
      <c r="AC430" s="59"/>
      <c r="AD430" s="59"/>
      <c r="AE430" s="96"/>
      <c r="AF430" s="97"/>
      <c r="AG430" s="98"/>
      <c r="AH430" s="99"/>
    </row>
    <row r="431" spans="1:34" x14ac:dyDescent="0.25">
      <c r="A431" s="9" t="str">
        <f t="shared" si="6"/>
        <v/>
      </c>
      <c r="B431" s="52"/>
      <c r="C431" s="53"/>
      <c r="D431" s="53"/>
      <c r="E431" s="78"/>
      <c r="F431" s="133"/>
      <c r="G431" s="54"/>
      <c r="H431" s="54"/>
      <c r="I431" s="55"/>
      <c r="J431" s="55"/>
      <c r="K431" s="56"/>
      <c r="L431" s="56"/>
      <c r="M431" s="57"/>
      <c r="N431" s="57"/>
      <c r="O431" s="58"/>
      <c r="P431" s="58"/>
      <c r="Q431" s="59"/>
      <c r="R431" s="59"/>
      <c r="S431" s="54"/>
      <c r="T431" s="54"/>
      <c r="U431" s="55"/>
      <c r="V431" s="55"/>
      <c r="W431" s="56"/>
      <c r="X431" s="56"/>
      <c r="Y431" s="57"/>
      <c r="Z431" s="57"/>
      <c r="AA431" s="58"/>
      <c r="AB431" s="58"/>
      <c r="AC431" s="59"/>
      <c r="AD431" s="59"/>
      <c r="AE431" s="96"/>
      <c r="AF431" s="97"/>
      <c r="AG431" s="98"/>
      <c r="AH431" s="99"/>
    </row>
    <row r="432" spans="1:34" x14ac:dyDescent="0.25">
      <c r="A432" s="9" t="str">
        <f t="shared" si="6"/>
        <v/>
      </c>
      <c r="B432" s="52"/>
      <c r="C432" s="53"/>
      <c r="D432" s="53"/>
      <c r="E432" s="78"/>
      <c r="F432" s="133"/>
      <c r="G432" s="54"/>
      <c r="H432" s="54"/>
      <c r="I432" s="55"/>
      <c r="J432" s="55"/>
      <c r="K432" s="56"/>
      <c r="L432" s="56"/>
      <c r="M432" s="57"/>
      <c r="N432" s="57"/>
      <c r="O432" s="58"/>
      <c r="P432" s="58"/>
      <c r="Q432" s="59"/>
      <c r="R432" s="59"/>
      <c r="S432" s="54"/>
      <c r="T432" s="54"/>
      <c r="U432" s="55"/>
      <c r="V432" s="55"/>
      <c r="W432" s="56"/>
      <c r="X432" s="56"/>
      <c r="Y432" s="57"/>
      <c r="Z432" s="57"/>
      <c r="AA432" s="58"/>
      <c r="AB432" s="58"/>
      <c r="AC432" s="59"/>
      <c r="AD432" s="59"/>
      <c r="AE432" s="96"/>
      <c r="AF432" s="97"/>
      <c r="AG432" s="98"/>
      <c r="AH432" s="99"/>
    </row>
    <row r="433" spans="1:34" x14ac:dyDescent="0.25">
      <c r="A433" s="9" t="str">
        <f t="shared" si="6"/>
        <v/>
      </c>
      <c r="B433" s="52"/>
      <c r="C433" s="53"/>
      <c r="D433" s="53"/>
      <c r="E433" s="78"/>
      <c r="F433" s="133"/>
      <c r="G433" s="54"/>
      <c r="H433" s="54"/>
      <c r="I433" s="55"/>
      <c r="J433" s="55"/>
      <c r="K433" s="56"/>
      <c r="L433" s="56"/>
      <c r="M433" s="57"/>
      <c r="N433" s="57"/>
      <c r="O433" s="58"/>
      <c r="P433" s="58"/>
      <c r="Q433" s="59"/>
      <c r="R433" s="59"/>
      <c r="S433" s="54"/>
      <c r="T433" s="54"/>
      <c r="U433" s="55"/>
      <c r="V433" s="55"/>
      <c r="W433" s="56"/>
      <c r="X433" s="56"/>
      <c r="Y433" s="57"/>
      <c r="Z433" s="57"/>
      <c r="AA433" s="58"/>
      <c r="AB433" s="58"/>
      <c r="AC433" s="59"/>
      <c r="AD433" s="59"/>
      <c r="AE433" s="96"/>
      <c r="AF433" s="97"/>
      <c r="AG433" s="98"/>
      <c r="AH433" s="99"/>
    </row>
    <row r="434" spans="1:34" x14ac:dyDescent="0.25">
      <c r="A434" s="9" t="str">
        <f t="shared" si="6"/>
        <v/>
      </c>
      <c r="B434" s="52"/>
      <c r="C434" s="53"/>
      <c r="D434" s="53"/>
      <c r="E434" s="78"/>
      <c r="F434" s="133"/>
      <c r="G434" s="54"/>
      <c r="H434" s="54"/>
      <c r="I434" s="55"/>
      <c r="J434" s="55"/>
      <c r="K434" s="56"/>
      <c r="L434" s="56"/>
      <c r="M434" s="57"/>
      <c r="N434" s="57"/>
      <c r="O434" s="58"/>
      <c r="P434" s="58"/>
      <c r="Q434" s="59"/>
      <c r="R434" s="59"/>
      <c r="S434" s="54"/>
      <c r="T434" s="54"/>
      <c r="U434" s="55"/>
      <c r="V434" s="55"/>
      <c r="W434" s="56"/>
      <c r="X434" s="56"/>
      <c r="Y434" s="57"/>
      <c r="Z434" s="57"/>
      <c r="AA434" s="58"/>
      <c r="AB434" s="58"/>
      <c r="AC434" s="59"/>
      <c r="AD434" s="59"/>
      <c r="AE434" s="96"/>
      <c r="AF434" s="97"/>
      <c r="AG434" s="98"/>
      <c r="AH434" s="99"/>
    </row>
    <row r="435" spans="1:34" x14ac:dyDescent="0.25">
      <c r="A435" s="9" t="str">
        <f t="shared" si="6"/>
        <v/>
      </c>
      <c r="B435" s="52"/>
      <c r="C435" s="53"/>
      <c r="D435" s="53"/>
      <c r="E435" s="78"/>
      <c r="F435" s="133"/>
      <c r="G435" s="54"/>
      <c r="H435" s="54"/>
      <c r="I435" s="55"/>
      <c r="J435" s="55"/>
      <c r="K435" s="56"/>
      <c r="L435" s="56"/>
      <c r="M435" s="57"/>
      <c r="N435" s="57"/>
      <c r="O435" s="58"/>
      <c r="P435" s="58"/>
      <c r="Q435" s="59"/>
      <c r="R435" s="59"/>
      <c r="S435" s="54"/>
      <c r="T435" s="54"/>
      <c r="U435" s="55"/>
      <c r="V435" s="55"/>
      <c r="W435" s="56"/>
      <c r="X435" s="56"/>
      <c r="Y435" s="57"/>
      <c r="Z435" s="57"/>
      <c r="AA435" s="58"/>
      <c r="AB435" s="58"/>
      <c r="AC435" s="59"/>
      <c r="AD435" s="59"/>
      <c r="AE435" s="96"/>
      <c r="AF435" s="97"/>
      <c r="AG435" s="98"/>
      <c r="AH435" s="99"/>
    </row>
    <row r="436" spans="1:34" x14ac:dyDescent="0.25">
      <c r="A436" s="9" t="str">
        <f t="shared" si="6"/>
        <v/>
      </c>
      <c r="B436" s="52"/>
      <c r="C436" s="53"/>
      <c r="D436" s="53"/>
      <c r="E436" s="78"/>
      <c r="F436" s="133"/>
      <c r="G436" s="54"/>
      <c r="H436" s="54"/>
      <c r="I436" s="55"/>
      <c r="J436" s="55"/>
      <c r="K436" s="56"/>
      <c r="L436" s="56"/>
      <c r="M436" s="57"/>
      <c r="N436" s="57"/>
      <c r="O436" s="58"/>
      <c r="P436" s="58"/>
      <c r="Q436" s="59"/>
      <c r="R436" s="59"/>
      <c r="S436" s="54"/>
      <c r="T436" s="54"/>
      <c r="U436" s="55"/>
      <c r="V436" s="55"/>
      <c r="W436" s="56"/>
      <c r="X436" s="56"/>
      <c r="Y436" s="57"/>
      <c r="Z436" s="57"/>
      <c r="AA436" s="58"/>
      <c r="AB436" s="58"/>
      <c r="AC436" s="59"/>
      <c r="AD436" s="59"/>
      <c r="AE436" s="96"/>
      <c r="AF436" s="97"/>
      <c r="AG436" s="98"/>
      <c r="AH436" s="99"/>
    </row>
    <row r="437" spans="1:34" x14ac:dyDescent="0.25">
      <c r="A437" s="9" t="str">
        <f t="shared" si="6"/>
        <v/>
      </c>
      <c r="B437" s="52"/>
      <c r="C437" s="53"/>
      <c r="D437" s="53"/>
      <c r="E437" s="78"/>
      <c r="F437" s="133"/>
      <c r="G437" s="54"/>
      <c r="H437" s="54"/>
      <c r="I437" s="55"/>
      <c r="J437" s="55"/>
      <c r="K437" s="56"/>
      <c r="L437" s="56"/>
      <c r="M437" s="57"/>
      <c r="N437" s="57"/>
      <c r="O437" s="58"/>
      <c r="P437" s="58"/>
      <c r="Q437" s="59"/>
      <c r="R437" s="59"/>
      <c r="S437" s="54"/>
      <c r="T437" s="54"/>
      <c r="U437" s="55"/>
      <c r="V437" s="55"/>
      <c r="W437" s="56"/>
      <c r="X437" s="56"/>
      <c r="Y437" s="57"/>
      <c r="Z437" s="57"/>
      <c r="AA437" s="58"/>
      <c r="AB437" s="58"/>
      <c r="AC437" s="59"/>
      <c r="AD437" s="59"/>
      <c r="AE437" s="96"/>
      <c r="AF437" s="97"/>
      <c r="AG437" s="98"/>
      <c r="AH437" s="99"/>
    </row>
    <row r="438" spans="1:34" x14ac:dyDescent="0.25">
      <c r="A438" s="9" t="str">
        <f t="shared" si="6"/>
        <v/>
      </c>
      <c r="B438" s="52"/>
      <c r="C438" s="53"/>
      <c r="D438" s="53"/>
      <c r="E438" s="78"/>
      <c r="F438" s="133"/>
      <c r="G438" s="54"/>
      <c r="H438" s="54"/>
      <c r="I438" s="55"/>
      <c r="J438" s="55"/>
      <c r="K438" s="56"/>
      <c r="L438" s="56"/>
      <c r="M438" s="57"/>
      <c r="N438" s="57"/>
      <c r="O438" s="58"/>
      <c r="P438" s="58"/>
      <c r="Q438" s="59"/>
      <c r="R438" s="59"/>
      <c r="S438" s="54"/>
      <c r="T438" s="54"/>
      <c r="U438" s="55"/>
      <c r="V438" s="55"/>
      <c r="W438" s="56"/>
      <c r="X438" s="56"/>
      <c r="Y438" s="57"/>
      <c r="Z438" s="57"/>
      <c r="AA438" s="58"/>
      <c r="AB438" s="58"/>
      <c r="AC438" s="59"/>
      <c r="AD438" s="59"/>
      <c r="AE438" s="96"/>
      <c r="AF438" s="97"/>
      <c r="AG438" s="98"/>
      <c r="AH438" s="99"/>
    </row>
    <row r="439" spans="1:34" x14ac:dyDescent="0.25">
      <c r="A439" s="9" t="str">
        <f t="shared" si="6"/>
        <v/>
      </c>
      <c r="B439" s="52"/>
      <c r="C439" s="53"/>
      <c r="D439" s="53"/>
      <c r="E439" s="78"/>
      <c r="F439" s="133"/>
      <c r="G439" s="54"/>
      <c r="H439" s="54"/>
      <c r="I439" s="55"/>
      <c r="J439" s="55"/>
      <c r="K439" s="56"/>
      <c r="L439" s="56"/>
      <c r="M439" s="57"/>
      <c r="N439" s="57"/>
      <c r="O439" s="58"/>
      <c r="P439" s="58"/>
      <c r="Q439" s="59"/>
      <c r="R439" s="59"/>
      <c r="S439" s="54"/>
      <c r="T439" s="54"/>
      <c r="U439" s="55"/>
      <c r="V439" s="55"/>
      <c r="W439" s="56"/>
      <c r="X439" s="56"/>
      <c r="Y439" s="57"/>
      <c r="Z439" s="57"/>
      <c r="AA439" s="58"/>
      <c r="AB439" s="58"/>
      <c r="AC439" s="59"/>
      <c r="AD439" s="59"/>
      <c r="AE439" s="96"/>
      <c r="AF439" s="97"/>
      <c r="AG439" s="98"/>
      <c r="AH439" s="99"/>
    </row>
    <row r="440" spans="1:34" x14ac:dyDescent="0.25">
      <c r="A440" s="9" t="str">
        <f t="shared" si="6"/>
        <v/>
      </c>
      <c r="B440" s="52"/>
      <c r="C440" s="53"/>
      <c r="D440" s="53"/>
      <c r="E440" s="78"/>
      <c r="F440" s="133"/>
      <c r="G440" s="54"/>
      <c r="H440" s="54"/>
      <c r="I440" s="55"/>
      <c r="J440" s="55"/>
      <c r="K440" s="56"/>
      <c r="L440" s="56"/>
      <c r="M440" s="57"/>
      <c r="N440" s="57"/>
      <c r="O440" s="58"/>
      <c r="P440" s="58"/>
      <c r="Q440" s="59"/>
      <c r="R440" s="59"/>
      <c r="S440" s="54"/>
      <c r="T440" s="54"/>
      <c r="U440" s="55"/>
      <c r="V440" s="55"/>
      <c r="W440" s="56"/>
      <c r="X440" s="56"/>
      <c r="Y440" s="57"/>
      <c r="Z440" s="57"/>
      <c r="AA440" s="58"/>
      <c r="AB440" s="58"/>
      <c r="AC440" s="59"/>
      <c r="AD440" s="59"/>
      <c r="AE440" s="96"/>
      <c r="AF440" s="97"/>
      <c r="AG440" s="98"/>
      <c r="AH440" s="99"/>
    </row>
    <row r="441" spans="1:34" x14ac:dyDescent="0.25">
      <c r="A441" s="9" t="str">
        <f t="shared" si="6"/>
        <v/>
      </c>
      <c r="B441" s="52"/>
      <c r="C441" s="53"/>
      <c r="D441" s="53"/>
      <c r="E441" s="78"/>
      <c r="F441" s="133"/>
      <c r="G441" s="54"/>
      <c r="H441" s="54"/>
      <c r="I441" s="55"/>
      <c r="J441" s="55"/>
      <c r="K441" s="56"/>
      <c r="L441" s="56"/>
      <c r="M441" s="57"/>
      <c r="N441" s="57"/>
      <c r="O441" s="58"/>
      <c r="P441" s="58"/>
      <c r="Q441" s="59"/>
      <c r="R441" s="59"/>
      <c r="S441" s="54"/>
      <c r="T441" s="54"/>
      <c r="U441" s="55"/>
      <c r="V441" s="55"/>
      <c r="W441" s="56"/>
      <c r="X441" s="56"/>
      <c r="Y441" s="57"/>
      <c r="Z441" s="57"/>
      <c r="AA441" s="58"/>
      <c r="AB441" s="58"/>
      <c r="AC441" s="59"/>
      <c r="AD441" s="59"/>
      <c r="AE441" s="96"/>
      <c r="AF441" s="97"/>
      <c r="AG441" s="98"/>
      <c r="AH441" s="99"/>
    </row>
    <row r="442" spans="1:34" x14ac:dyDescent="0.25">
      <c r="A442" s="9" t="str">
        <f t="shared" si="6"/>
        <v/>
      </c>
      <c r="B442" s="52"/>
      <c r="C442" s="53"/>
      <c r="D442" s="53"/>
      <c r="E442" s="78"/>
      <c r="F442" s="133"/>
      <c r="G442" s="54"/>
      <c r="H442" s="54"/>
      <c r="I442" s="55"/>
      <c r="J442" s="55"/>
      <c r="K442" s="56"/>
      <c r="L442" s="56"/>
      <c r="M442" s="57"/>
      <c r="N442" s="57"/>
      <c r="O442" s="58"/>
      <c r="P442" s="58"/>
      <c r="Q442" s="59"/>
      <c r="R442" s="59"/>
      <c r="S442" s="54"/>
      <c r="T442" s="54"/>
      <c r="U442" s="55"/>
      <c r="V442" s="55"/>
      <c r="W442" s="56"/>
      <c r="X442" s="56"/>
      <c r="Y442" s="57"/>
      <c r="Z442" s="57"/>
      <c r="AA442" s="58"/>
      <c r="AB442" s="58"/>
      <c r="AC442" s="59"/>
      <c r="AD442" s="59"/>
      <c r="AE442" s="96"/>
      <c r="AF442" s="97"/>
      <c r="AG442" s="98"/>
      <c r="AH442" s="99"/>
    </row>
    <row r="443" spans="1:34" x14ac:dyDescent="0.25">
      <c r="A443" s="9" t="str">
        <f t="shared" si="6"/>
        <v/>
      </c>
      <c r="B443" s="52"/>
      <c r="C443" s="53"/>
      <c r="D443" s="53"/>
      <c r="E443" s="78"/>
      <c r="F443" s="133"/>
      <c r="G443" s="54"/>
      <c r="H443" s="54"/>
      <c r="I443" s="55"/>
      <c r="J443" s="55"/>
      <c r="K443" s="56"/>
      <c r="L443" s="56"/>
      <c r="M443" s="57"/>
      <c r="N443" s="57"/>
      <c r="O443" s="58"/>
      <c r="P443" s="58"/>
      <c r="Q443" s="59"/>
      <c r="R443" s="59"/>
      <c r="S443" s="54"/>
      <c r="T443" s="54"/>
      <c r="U443" s="55"/>
      <c r="V443" s="55"/>
      <c r="W443" s="56"/>
      <c r="X443" s="56"/>
      <c r="Y443" s="57"/>
      <c r="Z443" s="57"/>
      <c r="AA443" s="58"/>
      <c r="AB443" s="58"/>
      <c r="AC443" s="59"/>
      <c r="AD443" s="59"/>
      <c r="AE443" s="96"/>
      <c r="AF443" s="97"/>
      <c r="AG443" s="98"/>
      <c r="AH443" s="99"/>
    </row>
    <row r="444" spans="1:34" x14ac:dyDescent="0.25">
      <c r="A444" s="9" t="str">
        <f t="shared" si="6"/>
        <v/>
      </c>
      <c r="B444" s="52"/>
      <c r="C444" s="53"/>
      <c r="D444" s="53"/>
      <c r="E444" s="78"/>
      <c r="F444" s="133"/>
      <c r="G444" s="54"/>
      <c r="H444" s="54"/>
      <c r="I444" s="55"/>
      <c r="J444" s="55"/>
      <c r="K444" s="56"/>
      <c r="L444" s="56"/>
      <c r="M444" s="57"/>
      <c r="N444" s="57"/>
      <c r="O444" s="58"/>
      <c r="P444" s="58"/>
      <c r="Q444" s="59"/>
      <c r="R444" s="59"/>
      <c r="S444" s="54"/>
      <c r="T444" s="54"/>
      <c r="U444" s="55"/>
      <c r="V444" s="55"/>
      <c r="W444" s="56"/>
      <c r="X444" s="56"/>
      <c r="Y444" s="57"/>
      <c r="Z444" s="57"/>
      <c r="AA444" s="58"/>
      <c r="AB444" s="58"/>
      <c r="AC444" s="59"/>
      <c r="AD444" s="59"/>
      <c r="AE444" s="96"/>
      <c r="AF444" s="97"/>
      <c r="AG444" s="98"/>
      <c r="AH444" s="99"/>
    </row>
    <row r="445" spans="1:34" x14ac:dyDescent="0.25">
      <c r="A445" s="9" t="str">
        <f t="shared" si="6"/>
        <v/>
      </c>
      <c r="B445" s="52"/>
      <c r="C445" s="53"/>
      <c r="D445" s="53"/>
      <c r="E445" s="78"/>
      <c r="F445" s="133"/>
      <c r="G445" s="54"/>
      <c r="H445" s="54"/>
      <c r="I445" s="55"/>
      <c r="J445" s="55"/>
      <c r="K445" s="56"/>
      <c r="L445" s="56"/>
      <c r="M445" s="57"/>
      <c r="N445" s="57"/>
      <c r="O445" s="58"/>
      <c r="P445" s="58"/>
      <c r="Q445" s="59"/>
      <c r="R445" s="59"/>
      <c r="S445" s="54"/>
      <c r="T445" s="54"/>
      <c r="U445" s="55"/>
      <c r="V445" s="55"/>
      <c r="W445" s="56"/>
      <c r="X445" s="56"/>
      <c r="Y445" s="57"/>
      <c r="Z445" s="57"/>
      <c r="AA445" s="58"/>
      <c r="AB445" s="58"/>
      <c r="AC445" s="59"/>
      <c r="AD445" s="59"/>
      <c r="AE445" s="96"/>
      <c r="AF445" s="97"/>
      <c r="AG445" s="98"/>
      <c r="AH445" s="99"/>
    </row>
    <row r="446" spans="1:34" x14ac:dyDescent="0.25">
      <c r="A446" s="9" t="str">
        <f t="shared" si="6"/>
        <v/>
      </c>
      <c r="B446" s="52"/>
      <c r="C446" s="53"/>
      <c r="D446" s="53"/>
      <c r="E446" s="78"/>
      <c r="F446" s="133"/>
      <c r="G446" s="54"/>
      <c r="H446" s="54"/>
      <c r="I446" s="55"/>
      <c r="J446" s="55"/>
      <c r="K446" s="56"/>
      <c r="L446" s="56"/>
      <c r="M446" s="57"/>
      <c r="N446" s="57"/>
      <c r="O446" s="58"/>
      <c r="P446" s="58"/>
      <c r="Q446" s="59"/>
      <c r="R446" s="59"/>
      <c r="S446" s="54"/>
      <c r="T446" s="54"/>
      <c r="U446" s="55"/>
      <c r="V446" s="55"/>
      <c r="W446" s="56"/>
      <c r="X446" s="56"/>
      <c r="Y446" s="57"/>
      <c r="Z446" s="57"/>
      <c r="AA446" s="58"/>
      <c r="AB446" s="58"/>
      <c r="AC446" s="59"/>
      <c r="AD446" s="59"/>
      <c r="AE446" s="96"/>
      <c r="AF446" s="97"/>
      <c r="AG446" s="98"/>
      <c r="AH446" s="99"/>
    </row>
    <row r="447" spans="1:34" x14ac:dyDescent="0.25">
      <c r="A447" s="9" t="str">
        <f t="shared" si="6"/>
        <v/>
      </c>
      <c r="B447" s="52"/>
      <c r="C447" s="53"/>
      <c r="D447" s="53"/>
      <c r="E447" s="78"/>
      <c r="F447" s="133"/>
      <c r="G447" s="54"/>
      <c r="H447" s="54"/>
      <c r="I447" s="55"/>
      <c r="J447" s="55"/>
      <c r="K447" s="56"/>
      <c r="L447" s="56"/>
      <c r="M447" s="57"/>
      <c r="N447" s="57"/>
      <c r="O447" s="58"/>
      <c r="P447" s="58"/>
      <c r="Q447" s="59"/>
      <c r="R447" s="59"/>
      <c r="S447" s="54"/>
      <c r="T447" s="54"/>
      <c r="U447" s="55"/>
      <c r="V447" s="55"/>
      <c r="W447" s="56"/>
      <c r="X447" s="56"/>
      <c r="Y447" s="57"/>
      <c r="Z447" s="57"/>
      <c r="AA447" s="58"/>
      <c r="AB447" s="58"/>
      <c r="AC447" s="59"/>
      <c r="AD447" s="59"/>
      <c r="AE447" s="96"/>
      <c r="AF447" s="97"/>
      <c r="AG447" s="98"/>
      <c r="AH447" s="99"/>
    </row>
    <row r="448" spans="1:34" x14ac:dyDescent="0.25">
      <c r="A448" s="9" t="str">
        <f t="shared" si="6"/>
        <v/>
      </c>
      <c r="B448" s="52"/>
      <c r="C448" s="53"/>
      <c r="D448" s="53"/>
      <c r="E448" s="78"/>
      <c r="F448" s="133"/>
      <c r="G448" s="54"/>
      <c r="H448" s="54"/>
      <c r="I448" s="55"/>
      <c r="J448" s="55"/>
      <c r="K448" s="56"/>
      <c r="L448" s="56"/>
      <c r="M448" s="57"/>
      <c r="N448" s="57"/>
      <c r="O448" s="58"/>
      <c r="P448" s="58"/>
      <c r="Q448" s="59"/>
      <c r="R448" s="59"/>
      <c r="S448" s="54"/>
      <c r="T448" s="54"/>
      <c r="U448" s="55"/>
      <c r="V448" s="55"/>
      <c r="W448" s="56"/>
      <c r="X448" s="56"/>
      <c r="Y448" s="57"/>
      <c r="Z448" s="57"/>
      <c r="AA448" s="58"/>
      <c r="AB448" s="58"/>
      <c r="AC448" s="59"/>
      <c r="AD448" s="59"/>
      <c r="AE448" s="96"/>
      <c r="AF448" s="97"/>
      <c r="AG448" s="98"/>
      <c r="AH448" s="99"/>
    </row>
    <row r="449" spans="1:34" x14ac:dyDescent="0.25">
      <c r="A449" s="9" t="str">
        <f t="shared" si="6"/>
        <v/>
      </c>
      <c r="B449" s="52"/>
      <c r="C449" s="53"/>
      <c r="D449" s="53"/>
      <c r="E449" s="78"/>
      <c r="F449" s="133"/>
      <c r="G449" s="54"/>
      <c r="H449" s="54"/>
      <c r="I449" s="55"/>
      <c r="J449" s="55"/>
      <c r="K449" s="56"/>
      <c r="L449" s="56"/>
      <c r="M449" s="57"/>
      <c r="N449" s="57"/>
      <c r="O449" s="58"/>
      <c r="P449" s="58"/>
      <c r="Q449" s="59"/>
      <c r="R449" s="59"/>
      <c r="S449" s="54"/>
      <c r="T449" s="54"/>
      <c r="U449" s="55"/>
      <c r="V449" s="55"/>
      <c r="W449" s="56"/>
      <c r="X449" s="56"/>
      <c r="Y449" s="57"/>
      <c r="Z449" s="57"/>
      <c r="AA449" s="58"/>
      <c r="AB449" s="58"/>
      <c r="AC449" s="59"/>
      <c r="AD449" s="59"/>
      <c r="AE449" s="96"/>
      <c r="AF449" s="97"/>
      <c r="AG449" s="98"/>
      <c r="AH449" s="99"/>
    </row>
    <row r="450" spans="1:34" x14ac:dyDescent="0.25">
      <c r="A450" s="9" t="str">
        <f t="shared" si="6"/>
        <v/>
      </c>
      <c r="B450" s="52"/>
      <c r="C450" s="53"/>
      <c r="D450" s="53"/>
      <c r="E450" s="78"/>
      <c r="F450" s="133"/>
      <c r="G450" s="54"/>
      <c r="H450" s="54"/>
      <c r="I450" s="55"/>
      <c r="J450" s="55"/>
      <c r="K450" s="56"/>
      <c r="L450" s="56"/>
      <c r="M450" s="57"/>
      <c r="N450" s="57"/>
      <c r="O450" s="58"/>
      <c r="P450" s="58"/>
      <c r="Q450" s="59"/>
      <c r="R450" s="59"/>
      <c r="S450" s="54"/>
      <c r="T450" s="54"/>
      <c r="U450" s="55"/>
      <c r="V450" s="55"/>
      <c r="W450" s="56"/>
      <c r="X450" s="56"/>
      <c r="Y450" s="57"/>
      <c r="Z450" s="57"/>
      <c r="AA450" s="58"/>
      <c r="AB450" s="58"/>
      <c r="AC450" s="59"/>
      <c r="AD450" s="59"/>
      <c r="AE450" s="96"/>
      <c r="AF450" s="97"/>
      <c r="AG450" s="98"/>
      <c r="AH450" s="99"/>
    </row>
    <row r="451" spans="1:34" x14ac:dyDescent="0.25">
      <c r="A451" s="9" t="str">
        <f t="shared" si="6"/>
        <v/>
      </c>
      <c r="B451" s="52"/>
      <c r="C451" s="53"/>
      <c r="D451" s="53"/>
      <c r="E451" s="78"/>
      <c r="F451" s="133"/>
      <c r="G451" s="54"/>
      <c r="H451" s="54"/>
      <c r="I451" s="55"/>
      <c r="J451" s="55"/>
      <c r="K451" s="56"/>
      <c r="L451" s="56"/>
      <c r="M451" s="57"/>
      <c r="N451" s="57"/>
      <c r="O451" s="58"/>
      <c r="P451" s="58"/>
      <c r="Q451" s="59"/>
      <c r="R451" s="59"/>
      <c r="S451" s="54"/>
      <c r="T451" s="54"/>
      <c r="U451" s="55"/>
      <c r="V451" s="55"/>
      <c r="W451" s="56"/>
      <c r="X451" s="56"/>
      <c r="Y451" s="57"/>
      <c r="Z451" s="57"/>
      <c r="AA451" s="58"/>
      <c r="AB451" s="58"/>
      <c r="AC451" s="59"/>
      <c r="AD451" s="59"/>
      <c r="AE451" s="96"/>
      <c r="AF451" s="97"/>
      <c r="AG451" s="98"/>
      <c r="AH451" s="99"/>
    </row>
    <row r="452" spans="1:34" x14ac:dyDescent="0.25">
      <c r="A452" s="9" t="str">
        <f t="shared" si="6"/>
        <v/>
      </c>
      <c r="B452" s="52"/>
      <c r="C452" s="53"/>
      <c r="D452" s="53"/>
      <c r="E452" s="78"/>
      <c r="F452" s="133"/>
      <c r="G452" s="54"/>
      <c r="H452" s="54"/>
      <c r="I452" s="55"/>
      <c r="J452" s="55"/>
      <c r="K452" s="56"/>
      <c r="L452" s="56"/>
      <c r="M452" s="57"/>
      <c r="N452" s="57"/>
      <c r="O452" s="58"/>
      <c r="P452" s="58"/>
      <c r="Q452" s="59"/>
      <c r="R452" s="59"/>
      <c r="S452" s="54"/>
      <c r="T452" s="54"/>
      <c r="U452" s="55"/>
      <c r="V452" s="55"/>
      <c r="W452" s="56"/>
      <c r="X452" s="56"/>
      <c r="Y452" s="57"/>
      <c r="Z452" s="57"/>
      <c r="AA452" s="58"/>
      <c r="AB452" s="58"/>
      <c r="AC452" s="59"/>
      <c r="AD452" s="59"/>
      <c r="AE452" s="96"/>
      <c r="AF452" s="97"/>
      <c r="AG452" s="98"/>
      <c r="AH452" s="99"/>
    </row>
    <row r="453" spans="1:34" x14ac:dyDescent="0.25">
      <c r="A453" s="9" t="str">
        <f t="shared" ref="A453:A505" si="7">IF(COUNTA(G453:AD453)/2=0,"",COUNTA(G453:AD453)/2)</f>
        <v/>
      </c>
      <c r="B453" s="52"/>
      <c r="C453" s="53"/>
      <c r="D453" s="53"/>
      <c r="E453" s="78"/>
      <c r="F453" s="133"/>
      <c r="G453" s="54"/>
      <c r="H453" s="54"/>
      <c r="I453" s="55"/>
      <c r="J453" s="55"/>
      <c r="K453" s="56"/>
      <c r="L453" s="56"/>
      <c r="M453" s="57"/>
      <c r="N453" s="57"/>
      <c r="O453" s="58"/>
      <c r="P453" s="58"/>
      <c r="Q453" s="59"/>
      <c r="R453" s="59"/>
      <c r="S453" s="54"/>
      <c r="T453" s="54"/>
      <c r="U453" s="55"/>
      <c r="V453" s="55"/>
      <c r="W453" s="56"/>
      <c r="X453" s="56"/>
      <c r="Y453" s="57"/>
      <c r="Z453" s="57"/>
      <c r="AA453" s="58"/>
      <c r="AB453" s="58"/>
      <c r="AC453" s="59"/>
      <c r="AD453" s="59"/>
      <c r="AE453" s="96"/>
      <c r="AF453" s="97"/>
      <c r="AG453" s="98"/>
      <c r="AH453" s="99"/>
    </row>
    <row r="454" spans="1:34" x14ac:dyDescent="0.25">
      <c r="A454" s="9" t="str">
        <f t="shared" si="7"/>
        <v/>
      </c>
      <c r="B454" s="52"/>
      <c r="C454" s="53"/>
      <c r="D454" s="53"/>
      <c r="E454" s="78"/>
      <c r="F454" s="133"/>
      <c r="G454" s="54"/>
      <c r="H454" s="54"/>
      <c r="I454" s="55"/>
      <c r="J454" s="55"/>
      <c r="K454" s="56"/>
      <c r="L454" s="56"/>
      <c r="M454" s="57"/>
      <c r="N454" s="57"/>
      <c r="O454" s="58"/>
      <c r="P454" s="58"/>
      <c r="Q454" s="59"/>
      <c r="R454" s="59"/>
      <c r="S454" s="54"/>
      <c r="T454" s="54"/>
      <c r="U454" s="55"/>
      <c r="V454" s="55"/>
      <c r="W454" s="56"/>
      <c r="X454" s="56"/>
      <c r="Y454" s="57"/>
      <c r="Z454" s="57"/>
      <c r="AA454" s="58"/>
      <c r="AB454" s="58"/>
      <c r="AC454" s="59"/>
      <c r="AD454" s="59"/>
      <c r="AE454" s="96"/>
      <c r="AF454" s="97"/>
      <c r="AG454" s="98"/>
      <c r="AH454" s="99"/>
    </row>
    <row r="455" spans="1:34" x14ac:dyDescent="0.25">
      <c r="A455" s="9" t="str">
        <f t="shared" si="7"/>
        <v/>
      </c>
      <c r="B455" s="52"/>
      <c r="C455" s="53"/>
      <c r="D455" s="53"/>
      <c r="E455" s="78"/>
      <c r="F455" s="133"/>
      <c r="G455" s="54"/>
      <c r="H455" s="54"/>
      <c r="I455" s="55"/>
      <c r="J455" s="55"/>
      <c r="K455" s="56"/>
      <c r="L455" s="56"/>
      <c r="M455" s="57"/>
      <c r="N455" s="57"/>
      <c r="O455" s="58"/>
      <c r="P455" s="58"/>
      <c r="Q455" s="59"/>
      <c r="R455" s="59"/>
      <c r="S455" s="54"/>
      <c r="T455" s="54"/>
      <c r="U455" s="55"/>
      <c r="V455" s="55"/>
      <c r="W455" s="56"/>
      <c r="X455" s="56"/>
      <c r="Y455" s="57"/>
      <c r="Z455" s="57"/>
      <c r="AA455" s="58"/>
      <c r="AB455" s="58"/>
      <c r="AC455" s="59"/>
      <c r="AD455" s="59"/>
      <c r="AE455" s="96"/>
      <c r="AF455" s="97"/>
      <c r="AG455" s="98"/>
      <c r="AH455" s="99"/>
    </row>
    <row r="456" spans="1:34" x14ac:dyDescent="0.25">
      <c r="A456" s="9" t="str">
        <f t="shared" si="7"/>
        <v/>
      </c>
      <c r="B456" s="52"/>
      <c r="C456" s="53"/>
      <c r="D456" s="53"/>
      <c r="E456" s="78"/>
      <c r="F456" s="133"/>
      <c r="G456" s="54"/>
      <c r="H456" s="54"/>
      <c r="I456" s="55"/>
      <c r="J456" s="55"/>
      <c r="K456" s="56"/>
      <c r="L456" s="56"/>
      <c r="M456" s="57"/>
      <c r="N456" s="57"/>
      <c r="O456" s="58"/>
      <c r="P456" s="58"/>
      <c r="Q456" s="59"/>
      <c r="R456" s="59"/>
      <c r="S456" s="54"/>
      <c r="T456" s="54"/>
      <c r="U456" s="55"/>
      <c r="V456" s="55"/>
      <c r="W456" s="56"/>
      <c r="X456" s="56"/>
      <c r="Y456" s="57"/>
      <c r="Z456" s="57"/>
      <c r="AA456" s="58"/>
      <c r="AB456" s="58"/>
      <c r="AC456" s="59"/>
      <c r="AD456" s="59"/>
      <c r="AE456" s="96"/>
      <c r="AF456" s="97"/>
      <c r="AG456" s="98"/>
      <c r="AH456" s="99"/>
    </row>
    <row r="457" spans="1:34" x14ac:dyDescent="0.25">
      <c r="A457" s="9" t="str">
        <f t="shared" si="7"/>
        <v/>
      </c>
      <c r="B457" s="52"/>
      <c r="C457" s="53"/>
      <c r="D457" s="53"/>
      <c r="E457" s="78"/>
      <c r="F457" s="133"/>
      <c r="G457" s="54"/>
      <c r="H457" s="54"/>
      <c r="I457" s="55"/>
      <c r="J457" s="55"/>
      <c r="K457" s="56"/>
      <c r="L457" s="56"/>
      <c r="M457" s="57"/>
      <c r="N457" s="57"/>
      <c r="O457" s="58"/>
      <c r="P457" s="58"/>
      <c r="Q457" s="59"/>
      <c r="R457" s="59"/>
      <c r="S457" s="54"/>
      <c r="T457" s="54"/>
      <c r="U457" s="55"/>
      <c r="V457" s="55"/>
      <c r="W457" s="56"/>
      <c r="X457" s="56"/>
      <c r="Y457" s="57"/>
      <c r="Z457" s="57"/>
      <c r="AA457" s="58"/>
      <c r="AB457" s="58"/>
      <c r="AC457" s="59"/>
      <c r="AD457" s="59"/>
      <c r="AE457" s="96"/>
      <c r="AF457" s="97"/>
      <c r="AG457" s="98"/>
      <c r="AH457" s="99"/>
    </row>
    <row r="458" spans="1:34" x14ac:dyDescent="0.25">
      <c r="A458" s="9" t="str">
        <f t="shared" si="7"/>
        <v/>
      </c>
      <c r="B458" s="52"/>
      <c r="C458" s="53"/>
      <c r="D458" s="53"/>
      <c r="E458" s="78"/>
      <c r="F458" s="133"/>
      <c r="G458" s="54"/>
      <c r="H458" s="54"/>
      <c r="I458" s="55"/>
      <c r="J458" s="55"/>
      <c r="K458" s="56"/>
      <c r="L458" s="56"/>
      <c r="M458" s="57"/>
      <c r="N458" s="57"/>
      <c r="O458" s="58"/>
      <c r="P458" s="58"/>
      <c r="Q458" s="59"/>
      <c r="R458" s="59"/>
      <c r="S458" s="54"/>
      <c r="T458" s="54"/>
      <c r="U458" s="55"/>
      <c r="V458" s="55"/>
      <c r="W458" s="56"/>
      <c r="X458" s="56"/>
      <c r="Y458" s="57"/>
      <c r="Z458" s="57"/>
      <c r="AA458" s="58"/>
      <c r="AB458" s="58"/>
      <c r="AC458" s="59"/>
      <c r="AD458" s="59"/>
      <c r="AE458" s="96"/>
      <c r="AF458" s="97"/>
      <c r="AG458" s="98"/>
      <c r="AH458" s="99"/>
    </row>
    <row r="459" spans="1:34" x14ac:dyDescent="0.25">
      <c r="A459" s="9" t="str">
        <f t="shared" si="7"/>
        <v/>
      </c>
      <c r="B459" s="52"/>
      <c r="C459" s="53"/>
      <c r="D459" s="53"/>
      <c r="E459" s="78"/>
      <c r="F459" s="133"/>
      <c r="G459" s="54"/>
      <c r="H459" s="54"/>
      <c r="I459" s="55"/>
      <c r="J459" s="55"/>
      <c r="K459" s="56"/>
      <c r="L459" s="56"/>
      <c r="M459" s="57"/>
      <c r="N459" s="57"/>
      <c r="O459" s="58"/>
      <c r="P459" s="58"/>
      <c r="Q459" s="59"/>
      <c r="R459" s="59"/>
      <c r="S459" s="54"/>
      <c r="T459" s="54"/>
      <c r="U459" s="55"/>
      <c r="V459" s="55"/>
      <c r="W459" s="56"/>
      <c r="X459" s="56"/>
      <c r="Y459" s="57"/>
      <c r="Z459" s="57"/>
      <c r="AA459" s="58"/>
      <c r="AB459" s="58"/>
      <c r="AC459" s="59"/>
      <c r="AD459" s="59"/>
      <c r="AE459" s="96"/>
      <c r="AF459" s="97"/>
      <c r="AG459" s="98"/>
      <c r="AH459" s="99"/>
    </row>
    <row r="460" spans="1:34" x14ac:dyDescent="0.25">
      <c r="A460" s="9" t="str">
        <f t="shared" si="7"/>
        <v/>
      </c>
      <c r="B460" s="52"/>
      <c r="C460" s="53"/>
      <c r="D460" s="53"/>
      <c r="E460" s="78"/>
      <c r="F460" s="133"/>
      <c r="G460" s="54"/>
      <c r="H460" s="54"/>
      <c r="I460" s="55"/>
      <c r="J460" s="55"/>
      <c r="K460" s="56"/>
      <c r="L460" s="56"/>
      <c r="M460" s="57"/>
      <c r="N460" s="57"/>
      <c r="O460" s="58"/>
      <c r="P460" s="58"/>
      <c r="Q460" s="59"/>
      <c r="R460" s="59"/>
      <c r="S460" s="54"/>
      <c r="T460" s="54"/>
      <c r="U460" s="55"/>
      <c r="V460" s="55"/>
      <c r="W460" s="56"/>
      <c r="X460" s="56"/>
      <c r="Y460" s="57"/>
      <c r="Z460" s="57"/>
      <c r="AA460" s="58"/>
      <c r="AB460" s="58"/>
      <c r="AC460" s="59"/>
      <c r="AD460" s="59"/>
      <c r="AE460" s="96"/>
      <c r="AF460" s="97"/>
      <c r="AG460" s="98"/>
      <c r="AH460" s="99"/>
    </row>
    <row r="461" spans="1:34" x14ac:dyDescent="0.25">
      <c r="A461" s="9" t="str">
        <f t="shared" si="7"/>
        <v/>
      </c>
      <c r="B461" s="52"/>
      <c r="C461" s="53"/>
      <c r="D461" s="53"/>
      <c r="E461" s="78"/>
      <c r="F461" s="133"/>
      <c r="G461" s="54"/>
      <c r="H461" s="54"/>
      <c r="I461" s="55"/>
      <c r="J461" s="55"/>
      <c r="K461" s="56"/>
      <c r="L461" s="56"/>
      <c r="M461" s="57"/>
      <c r="N461" s="57"/>
      <c r="O461" s="58"/>
      <c r="P461" s="58"/>
      <c r="Q461" s="59"/>
      <c r="R461" s="59"/>
      <c r="S461" s="54"/>
      <c r="T461" s="54"/>
      <c r="U461" s="55"/>
      <c r="V461" s="55"/>
      <c r="W461" s="56"/>
      <c r="X461" s="56"/>
      <c r="Y461" s="57"/>
      <c r="Z461" s="57"/>
      <c r="AA461" s="58"/>
      <c r="AB461" s="58"/>
      <c r="AC461" s="59"/>
      <c r="AD461" s="59"/>
      <c r="AE461" s="96"/>
      <c r="AF461" s="97"/>
      <c r="AG461" s="98"/>
      <c r="AH461" s="99"/>
    </row>
    <row r="462" spans="1:34" x14ac:dyDescent="0.25">
      <c r="A462" s="9" t="str">
        <f t="shared" si="7"/>
        <v/>
      </c>
      <c r="B462" s="52"/>
      <c r="C462" s="53"/>
      <c r="D462" s="53"/>
      <c r="E462" s="78"/>
      <c r="F462" s="133"/>
      <c r="G462" s="54"/>
      <c r="H462" s="54"/>
      <c r="I462" s="55"/>
      <c r="J462" s="55"/>
      <c r="K462" s="56"/>
      <c r="L462" s="56"/>
      <c r="M462" s="57"/>
      <c r="N462" s="57"/>
      <c r="O462" s="58"/>
      <c r="P462" s="58"/>
      <c r="Q462" s="59"/>
      <c r="R462" s="59"/>
      <c r="S462" s="54"/>
      <c r="T462" s="54"/>
      <c r="U462" s="55"/>
      <c r="V462" s="55"/>
      <c r="W462" s="56"/>
      <c r="X462" s="56"/>
      <c r="Y462" s="57"/>
      <c r="Z462" s="57"/>
      <c r="AA462" s="58"/>
      <c r="AB462" s="58"/>
      <c r="AC462" s="59"/>
      <c r="AD462" s="59"/>
      <c r="AE462" s="96"/>
      <c r="AF462" s="97"/>
      <c r="AG462" s="98"/>
      <c r="AH462" s="99"/>
    </row>
    <row r="463" spans="1:34" x14ac:dyDescent="0.25">
      <c r="A463" s="9" t="str">
        <f t="shared" si="7"/>
        <v/>
      </c>
      <c r="B463" s="52"/>
      <c r="C463" s="53"/>
      <c r="D463" s="53"/>
      <c r="E463" s="78"/>
      <c r="F463" s="133"/>
      <c r="G463" s="54"/>
      <c r="H463" s="54"/>
      <c r="I463" s="55"/>
      <c r="J463" s="55"/>
      <c r="K463" s="56"/>
      <c r="L463" s="56"/>
      <c r="M463" s="57"/>
      <c r="N463" s="57"/>
      <c r="O463" s="58"/>
      <c r="P463" s="58"/>
      <c r="Q463" s="59"/>
      <c r="R463" s="59"/>
      <c r="S463" s="54"/>
      <c r="T463" s="54"/>
      <c r="U463" s="55"/>
      <c r="V463" s="55"/>
      <c r="W463" s="56"/>
      <c r="X463" s="56"/>
      <c r="Y463" s="57"/>
      <c r="Z463" s="57"/>
      <c r="AA463" s="58"/>
      <c r="AB463" s="58"/>
      <c r="AC463" s="59"/>
      <c r="AD463" s="59"/>
      <c r="AE463" s="96"/>
      <c r="AF463" s="97"/>
      <c r="AG463" s="98"/>
      <c r="AH463" s="99"/>
    </row>
    <row r="464" spans="1:34" x14ac:dyDescent="0.25">
      <c r="A464" s="9" t="str">
        <f t="shared" si="7"/>
        <v/>
      </c>
      <c r="B464" s="52"/>
      <c r="C464" s="53"/>
      <c r="D464" s="53"/>
      <c r="E464" s="78"/>
      <c r="F464" s="133"/>
      <c r="G464" s="54"/>
      <c r="H464" s="54"/>
      <c r="I464" s="55"/>
      <c r="J464" s="55"/>
      <c r="K464" s="56"/>
      <c r="L464" s="56"/>
      <c r="M464" s="57"/>
      <c r="N464" s="57"/>
      <c r="O464" s="58"/>
      <c r="P464" s="58"/>
      <c r="Q464" s="59"/>
      <c r="R464" s="59"/>
      <c r="S464" s="54"/>
      <c r="T464" s="54"/>
      <c r="U464" s="55"/>
      <c r="V464" s="55"/>
      <c r="W464" s="56"/>
      <c r="X464" s="56"/>
      <c r="Y464" s="57"/>
      <c r="Z464" s="57"/>
      <c r="AA464" s="58"/>
      <c r="AB464" s="58"/>
      <c r="AC464" s="59"/>
      <c r="AD464" s="59"/>
      <c r="AE464" s="96"/>
      <c r="AF464" s="97"/>
      <c r="AG464" s="98"/>
      <c r="AH464" s="99"/>
    </row>
    <row r="465" spans="1:34" x14ac:dyDescent="0.25">
      <c r="A465" s="9" t="str">
        <f t="shared" si="7"/>
        <v/>
      </c>
      <c r="B465" s="52"/>
      <c r="C465" s="53"/>
      <c r="D465" s="53"/>
      <c r="E465" s="78"/>
      <c r="F465" s="133"/>
      <c r="G465" s="54"/>
      <c r="H465" s="54"/>
      <c r="I465" s="55"/>
      <c r="J465" s="55"/>
      <c r="K465" s="56"/>
      <c r="L465" s="56"/>
      <c r="M465" s="57"/>
      <c r="N465" s="57"/>
      <c r="O465" s="58"/>
      <c r="P465" s="58"/>
      <c r="Q465" s="59"/>
      <c r="R465" s="59"/>
      <c r="S465" s="54"/>
      <c r="T465" s="54"/>
      <c r="U465" s="55"/>
      <c r="V465" s="55"/>
      <c r="W465" s="56"/>
      <c r="X465" s="56"/>
      <c r="Y465" s="57"/>
      <c r="Z465" s="57"/>
      <c r="AA465" s="58"/>
      <c r="AB465" s="58"/>
      <c r="AC465" s="59"/>
      <c r="AD465" s="59"/>
      <c r="AE465" s="96"/>
      <c r="AF465" s="97"/>
      <c r="AG465" s="98"/>
      <c r="AH465" s="99"/>
    </row>
    <row r="466" spans="1:34" x14ac:dyDescent="0.25">
      <c r="A466" s="9" t="str">
        <f t="shared" si="7"/>
        <v/>
      </c>
      <c r="B466" s="52"/>
      <c r="C466" s="53"/>
      <c r="D466" s="53"/>
      <c r="E466" s="78"/>
      <c r="F466" s="133"/>
      <c r="G466" s="54"/>
      <c r="H466" s="54"/>
      <c r="I466" s="55"/>
      <c r="J466" s="55"/>
      <c r="K466" s="56"/>
      <c r="L466" s="56"/>
      <c r="M466" s="57"/>
      <c r="N466" s="57"/>
      <c r="O466" s="58"/>
      <c r="P466" s="58"/>
      <c r="Q466" s="59"/>
      <c r="R466" s="59"/>
      <c r="S466" s="54"/>
      <c r="T466" s="54"/>
      <c r="U466" s="55"/>
      <c r="V466" s="55"/>
      <c r="W466" s="56"/>
      <c r="X466" s="56"/>
      <c r="Y466" s="57"/>
      <c r="Z466" s="57"/>
      <c r="AA466" s="58"/>
      <c r="AB466" s="58"/>
      <c r="AC466" s="59"/>
      <c r="AD466" s="59"/>
      <c r="AE466" s="96"/>
      <c r="AF466" s="97"/>
      <c r="AG466" s="98"/>
      <c r="AH466" s="99"/>
    </row>
    <row r="467" spans="1:34" x14ac:dyDescent="0.25">
      <c r="A467" s="9" t="str">
        <f t="shared" si="7"/>
        <v/>
      </c>
      <c r="B467" s="52"/>
      <c r="C467" s="53"/>
      <c r="D467" s="53"/>
      <c r="E467" s="78"/>
      <c r="F467" s="133"/>
      <c r="G467" s="54"/>
      <c r="H467" s="54"/>
      <c r="I467" s="55"/>
      <c r="J467" s="55"/>
      <c r="K467" s="56"/>
      <c r="L467" s="56"/>
      <c r="M467" s="57"/>
      <c r="N467" s="57"/>
      <c r="O467" s="58"/>
      <c r="P467" s="58"/>
      <c r="Q467" s="59"/>
      <c r="R467" s="59"/>
      <c r="S467" s="54"/>
      <c r="T467" s="54"/>
      <c r="U467" s="55"/>
      <c r="V467" s="55"/>
      <c r="W467" s="56"/>
      <c r="X467" s="56"/>
      <c r="Y467" s="57"/>
      <c r="Z467" s="57"/>
      <c r="AA467" s="58"/>
      <c r="AB467" s="58"/>
      <c r="AC467" s="59"/>
      <c r="AD467" s="59"/>
      <c r="AE467" s="96"/>
      <c r="AF467" s="97"/>
      <c r="AG467" s="98"/>
      <c r="AH467" s="99"/>
    </row>
    <row r="468" spans="1:34" x14ac:dyDescent="0.25">
      <c r="A468" s="9" t="str">
        <f t="shared" si="7"/>
        <v/>
      </c>
      <c r="B468" s="52"/>
      <c r="C468" s="53"/>
      <c r="D468" s="53"/>
      <c r="E468" s="78"/>
      <c r="F468" s="133"/>
      <c r="G468" s="54"/>
      <c r="H468" s="54"/>
      <c r="I468" s="55"/>
      <c r="J468" s="55"/>
      <c r="K468" s="56"/>
      <c r="L468" s="56"/>
      <c r="M468" s="57"/>
      <c r="N468" s="57"/>
      <c r="O468" s="58"/>
      <c r="P468" s="58"/>
      <c r="Q468" s="59"/>
      <c r="R468" s="59"/>
      <c r="S468" s="54"/>
      <c r="T468" s="54"/>
      <c r="U468" s="55"/>
      <c r="V468" s="55"/>
      <c r="W468" s="56"/>
      <c r="X468" s="56"/>
      <c r="Y468" s="57"/>
      <c r="Z468" s="57"/>
      <c r="AA468" s="58"/>
      <c r="AB468" s="58"/>
      <c r="AC468" s="59"/>
      <c r="AD468" s="59"/>
      <c r="AE468" s="96"/>
      <c r="AF468" s="97"/>
      <c r="AG468" s="98"/>
      <c r="AH468" s="99"/>
    </row>
    <row r="469" spans="1:34" x14ac:dyDescent="0.25">
      <c r="A469" s="9" t="str">
        <f t="shared" si="7"/>
        <v/>
      </c>
      <c r="B469" s="52"/>
      <c r="C469" s="53"/>
      <c r="D469" s="53"/>
      <c r="E469" s="78"/>
      <c r="F469" s="133"/>
      <c r="G469" s="54"/>
      <c r="H469" s="54"/>
      <c r="I469" s="55"/>
      <c r="J469" s="55"/>
      <c r="K469" s="56"/>
      <c r="L469" s="56"/>
      <c r="M469" s="57"/>
      <c r="N469" s="57"/>
      <c r="O469" s="58"/>
      <c r="P469" s="58"/>
      <c r="Q469" s="59"/>
      <c r="R469" s="59"/>
      <c r="S469" s="54"/>
      <c r="T469" s="54"/>
      <c r="U469" s="55"/>
      <c r="V469" s="55"/>
      <c r="W469" s="56"/>
      <c r="X469" s="56"/>
      <c r="Y469" s="57"/>
      <c r="Z469" s="57"/>
      <c r="AA469" s="58"/>
      <c r="AB469" s="58"/>
      <c r="AC469" s="59"/>
      <c r="AD469" s="59"/>
      <c r="AE469" s="96"/>
      <c r="AF469" s="97"/>
      <c r="AG469" s="98"/>
      <c r="AH469" s="99"/>
    </row>
    <row r="470" spans="1:34" x14ac:dyDescent="0.25">
      <c r="A470" s="9" t="str">
        <f t="shared" si="7"/>
        <v/>
      </c>
      <c r="B470" s="52"/>
      <c r="C470" s="53"/>
      <c r="D470" s="53"/>
      <c r="E470" s="78"/>
      <c r="F470" s="133"/>
      <c r="G470" s="54"/>
      <c r="H470" s="54"/>
      <c r="I470" s="55"/>
      <c r="J470" s="55"/>
      <c r="K470" s="56"/>
      <c r="L470" s="56"/>
      <c r="M470" s="57"/>
      <c r="N470" s="57"/>
      <c r="O470" s="58"/>
      <c r="P470" s="58"/>
      <c r="Q470" s="59"/>
      <c r="R470" s="59"/>
      <c r="S470" s="54"/>
      <c r="T470" s="54"/>
      <c r="U470" s="55"/>
      <c r="V470" s="55"/>
      <c r="W470" s="56"/>
      <c r="X470" s="56"/>
      <c r="Y470" s="57"/>
      <c r="Z470" s="57"/>
      <c r="AA470" s="58"/>
      <c r="AB470" s="58"/>
      <c r="AC470" s="59"/>
      <c r="AD470" s="59"/>
      <c r="AE470" s="96"/>
      <c r="AF470" s="97"/>
      <c r="AG470" s="98"/>
      <c r="AH470" s="99"/>
    </row>
    <row r="471" spans="1:34" x14ac:dyDescent="0.25">
      <c r="A471" s="9" t="str">
        <f t="shared" si="7"/>
        <v/>
      </c>
      <c r="B471" s="52"/>
      <c r="C471" s="53"/>
      <c r="D471" s="53"/>
      <c r="E471" s="78"/>
      <c r="F471" s="133"/>
      <c r="G471" s="54"/>
      <c r="H471" s="54"/>
      <c r="I471" s="55"/>
      <c r="J471" s="55"/>
      <c r="K471" s="56"/>
      <c r="L471" s="56"/>
      <c r="M471" s="57"/>
      <c r="N471" s="57"/>
      <c r="O471" s="58"/>
      <c r="P471" s="58"/>
      <c r="Q471" s="59"/>
      <c r="R471" s="59"/>
      <c r="S471" s="54"/>
      <c r="T471" s="54"/>
      <c r="U471" s="55"/>
      <c r="V471" s="55"/>
      <c r="W471" s="56"/>
      <c r="X471" s="56"/>
      <c r="Y471" s="57"/>
      <c r="Z471" s="57"/>
      <c r="AA471" s="58"/>
      <c r="AB471" s="58"/>
      <c r="AC471" s="59"/>
      <c r="AD471" s="59"/>
      <c r="AE471" s="96"/>
      <c r="AF471" s="97"/>
      <c r="AG471" s="98"/>
      <c r="AH471" s="99"/>
    </row>
    <row r="472" spans="1:34" x14ac:dyDescent="0.25">
      <c r="A472" s="9" t="str">
        <f t="shared" si="7"/>
        <v/>
      </c>
      <c r="B472" s="52"/>
      <c r="C472" s="53"/>
      <c r="D472" s="53"/>
      <c r="E472" s="78"/>
      <c r="F472" s="133"/>
      <c r="G472" s="54"/>
      <c r="H472" s="54"/>
      <c r="I472" s="55"/>
      <c r="J472" s="55"/>
      <c r="K472" s="56"/>
      <c r="L472" s="56"/>
      <c r="M472" s="57"/>
      <c r="N472" s="57"/>
      <c r="O472" s="58"/>
      <c r="P472" s="58"/>
      <c r="Q472" s="59"/>
      <c r="R472" s="59"/>
      <c r="S472" s="54"/>
      <c r="T472" s="54"/>
      <c r="U472" s="55"/>
      <c r="V472" s="55"/>
      <c r="W472" s="56"/>
      <c r="X472" s="56"/>
      <c r="Y472" s="57"/>
      <c r="Z472" s="57"/>
      <c r="AA472" s="58"/>
      <c r="AB472" s="58"/>
      <c r="AC472" s="59"/>
      <c r="AD472" s="59"/>
      <c r="AE472" s="96"/>
      <c r="AF472" s="97"/>
      <c r="AG472" s="98"/>
      <c r="AH472" s="99"/>
    </row>
    <row r="473" spans="1:34" x14ac:dyDescent="0.25">
      <c r="A473" s="9" t="str">
        <f t="shared" si="7"/>
        <v/>
      </c>
      <c r="B473" s="52"/>
      <c r="C473" s="53"/>
      <c r="D473" s="53"/>
      <c r="E473" s="78"/>
      <c r="F473" s="133"/>
      <c r="G473" s="54"/>
      <c r="H473" s="54"/>
      <c r="I473" s="55"/>
      <c r="J473" s="55"/>
      <c r="K473" s="56"/>
      <c r="L473" s="56"/>
      <c r="M473" s="57"/>
      <c r="N473" s="57"/>
      <c r="O473" s="58"/>
      <c r="P473" s="58"/>
      <c r="Q473" s="59"/>
      <c r="R473" s="59"/>
      <c r="S473" s="54"/>
      <c r="T473" s="54"/>
      <c r="U473" s="55"/>
      <c r="V473" s="55"/>
      <c r="W473" s="56"/>
      <c r="X473" s="56"/>
      <c r="Y473" s="57"/>
      <c r="Z473" s="57"/>
      <c r="AA473" s="58"/>
      <c r="AB473" s="58"/>
      <c r="AC473" s="59"/>
      <c r="AD473" s="59"/>
      <c r="AE473" s="96"/>
      <c r="AF473" s="97"/>
      <c r="AG473" s="98"/>
      <c r="AH473" s="99"/>
    </row>
    <row r="474" spans="1:34" x14ac:dyDescent="0.25">
      <c r="A474" s="9" t="str">
        <f t="shared" si="7"/>
        <v/>
      </c>
      <c r="B474" s="52"/>
      <c r="C474" s="53"/>
      <c r="D474" s="53"/>
      <c r="E474" s="78"/>
      <c r="F474" s="133"/>
      <c r="G474" s="54"/>
      <c r="H474" s="54"/>
      <c r="I474" s="55"/>
      <c r="J474" s="55"/>
      <c r="K474" s="56"/>
      <c r="L474" s="56"/>
      <c r="M474" s="57"/>
      <c r="N474" s="57"/>
      <c r="O474" s="58"/>
      <c r="P474" s="58"/>
      <c r="Q474" s="59"/>
      <c r="R474" s="59"/>
      <c r="S474" s="54"/>
      <c r="T474" s="54"/>
      <c r="U474" s="55"/>
      <c r="V474" s="55"/>
      <c r="W474" s="56"/>
      <c r="X474" s="56"/>
      <c r="Y474" s="57"/>
      <c r="Z474" s="57"/>
      <c r="AA474" s="58"/>
      <c r="AB474" s="58"/>
      <c r="AC474" s="59"/>
      <c r="AD474" s="59"/>
      <c r="AE474" s="96"/>
      <c r="AF474" s="97"/>
      <c r="AG474" s="98"/>
      <c r="AH474" s="99"/>
    </row>
    <row r="475" spans="1:34" x14ac:dyDescent="0.25">
      <c r="A475" s="9" t="str">
        <f t="shared" si="7"/>
        <v/>
      </c>
      <c r="B475" s="52"/>
      <c r="C475" s="53"/>
      <c r="D475" s="53"/>
      <c r="E475" s="78"/>
      <c r="F475" s="133"/>
      <c r="G475" s="54"/>
      <c r="H475" s="54"/>
      <c r="I475" s="55"/>
      <c r="J475" s="55"/>
      <c r="K475" s="56"/>
      <c r="L475" s="56"/>
      <c r="M475" s="57"/>
      <c r="N475" s="57"/>
      <c r="O475" s="58"/>
      <c r="P475" s="58"/>
      <c r="Q475" s="59"/>
      <c r="R475" s="59"/>
      <c r="S475" s="54"/>
      <c r="T475" s="54"/>
      <c r="U475" s="55"/>
      <c r="V475" s="55"/>
      <c r="W475" s="56"/>
      <c r="X475" s="56"/>
      <c r="Y475" s="57"/>
      <c r="Z475" s="57"/>
      <c r="AA475" s="58"/>
      <c r="AB475" s="58"/>
      <c r="AC475" s="59"/>
      <c r="AD475" s="59"/>
      <c r="AE475" s="96"/>
      <c r="AF475" s="97"/>
      <c r="AG475" s="98"/>
      <c r="AH475" s="99"/>
    </row>
    <row r="476" spans="1:34" x14ac:dyDescent="0.25">
      <c r="A476" s="9" t="str">
        <f t="shared" si="7"/>
        <v/>
      </c>
      <c r="B476" s="52"/>
      <c r="C476" s="53"/>
      <c r="D476" s="53"/>
      <c r="E476" s="78"/>
      <c r="F476" s="133"/>
      <c r="G476" s="54"/>
      <c r="H476" s="54"/>
      <c r="I476" s="55"/>
      <c r="J476" s="55"/>
      <c r="K476" s="56"/>
      <c r="L476" s="56"/>
      <c r="M476" s="57"/>
      <c r="N476" s="57"/>
      <c r="O476" s="58"/>
      <c r="P476" s="58"/>
      <c r="Q476" s="59"/>
      <c r="R476" s="59"/>
      <c r="S476" s="54"/>
      <c r="T476" s="54"/>
      <c r="U476" s="55"/>
      <c r="V476" s="55"/>
      <c r="W476" s="56"/>
      <c r="X476" s="56"/>
      <c r="Y476" s="57"/>
      <c r="Z476" s="57"/>
      <c r="AA476" s="58"/>
      <c r="AB476" s="58"/>
      <c r="AC476" s="59"/>
      <c r="AD476" s="59"/>
      <c r="AE476" s="96"/>
      <c r="AF476" s="97"/>
      <c r="AG476" s="98"/>
      <c r="AH476" s="99"/>
    </row>
    <row r="477" spans="1:34" x14ac:dyDescent="0.25">
      <c r="A477" s="9" t="str">
        <f t="shared" si="7"/>
        <v/>
      </c>
      <c r="B477" s="52"/>
      <c r="C477" s="53"/>
      <c r="D477" s="53"/>
      <c r="E477" s="78"/>
      <c r="F477" s="133"/>
      <c r="G477" s="54"/>
      <c r="H477" s="54"/>
      <c r="I477" s="55"/>
      <c r="J477" s="55"/>
      <c r="K477" s="56"/>
      <c r="L477" s="56"/>
      <c r="M477" s="57"/>
      <c r="N477" s="57"/>
      <c r="O477" s="58"/>
      <c r="P477" s="58"/>
      <c r="Q477" s="59"/>
      <c r="R477" s="59"/>
      <c r="S477" s="54"/>
      <c r="T477" s="54"/>
      <c r="U477" s="55"/>
      <c r="V477" s="55"/>
      <c r="W477" s="56"/>
      <c r="X477" s="56"/>
      <c r="Y477" s="57"/>
      <c r="Z477" s="57"/>
      <c r="AA477" s="58"/>
      <c r="AB477" s="58"/>
      <c r="AC477" s="59"/>
      <c r="AD477" s="59"/>
      <c r="AE477" s="96"/>
      <c r="AF477" s="97"/>
      <c r="AG477" s="98"/>
      <c r="AH477" s="99"/>
    </row>
    <row r="478" spans="1:34" x14ac:dyDescent="0.25">
      <c r="A478" s="9" t="str">
        <f t="shared" si="7"/>
        <v/>
      </c>
      <c r="B478" s="52"/>
      <c r="C478" s="53"/>
      <c r="D478" s="53"/>
      <c r="E478" s="78"/>
      <c r="F478" s="133"/>
      <c r="G478" s="54"/>
      <c r="H478" s="54"/>
      <c r="I478" s="55"/>
      <c r="J478" s="55"/>
      <c r="K478" s="56"/>
      <c r="L478" s="56"/>
      <c r="M478" s="57"/>
      <c r="N478" s="57"/>
      <c r="O478" s="58"/>
      <c r="P478" s="58"/>
      <c r="Q478" s="59"/>
      <c r="R478" s="59"/>
      <c r="S478" s="54"/>
      <c r="T478" s="54"/>
      <c r="U478" s="55"/>
      <c r="V478" s="55"/>
      <c r="W478" s="56"/>
      <c r="X478" s="56"/>
      <c r="Y478" s="57"/>
      <c r="Z478" s="57"/>
      <c r="AA478" s="58"/>
      <c r="AB478" s="58"/>
      <c r="AC478" s="59"/>
      <c r="AD478" s="59"/>
      <c r="AE478" s="96"/>
      <c r="AF478" s="97"/>
      <c r="AG478" s="98"/>
      <c r="AH478" s="99"/>
    </row>
    <row r="479" spans="1:34" x14ac:dyDescent="0.25">
      <c r="A479" s="9" t="str">
        <f t="shared" si="7"/>
        <v/>
      </c>
      <c r="B479" s="52"/>
      <c r="C479" s="53"/>
      <c r="D479" s="53"/>
      <c r="E479" s="78"/>
      <c r="F479" s="133"/>
      <c r="G479" s="54"/>
      <c r="H479" s="54"/>
      <c r="I479" s="55"/>
      <c r="J479" s="55"/>
      <c r="K479" s="56"/>
      <c r="L479" s="56"/>
      <c r="M479" s="57"/>
      <c r="N479" s="57"/>
      <c r="O479" s="58"/>
      <c r="P479" s="58"/>
      <c r="Q479" s="59"/>
      <c r="R479" s="59"/>
      <c r="S479" s="54"/>
      <c r="T479" s="54"/>
      <c r="U479" s="55"/>
      <c r="V479" s="55"/>
      <c r="W479" s="56"/>
      <c r="X479" s="56"/>
      <c r="Y479" s="57"/>
      <c r="Z479" s="57"/>
      <c r="AA479" s="58"/>
      <c r="AB479" s="58"/>
      <c r="AC479" s="59"/>
      <c r="AD479" s="59"/>
      <c r="AE479" s="96"/>
      <c r="AF479" s="97"/>
      <c r="AG479" s="98"/>
      <c r="AH479" s="99"/>
    </row>
    <row r="480" spans="1:34" x14ac:dyDescent="0.25">
      <c r="A480" s="9" t="str">
        <f t="shared" si="7"/>
        <v/>
      </c>
      <c r="B480" s="52"/>
      <c r="C480" s="53"/>
      <c r="D480" s="53"/>
      <c r="E480" s="78"/>
      <c r="F480" s="133"/>
      <c r="G480" s="54"/>
      <c r="H480" s="54"/>
      <c r="I480" s="55"/>
      <c r="J480" s="55"/>
      <c r="K480" s="56"/>
      <c r="L480" s="56"/>
      <c r="M480" s="57"/>
      <c r="N480" s="57"/>
      <c r="O480" s="58"/>
      <c r="P480" s="58"/>
      <c r="Q480" s="59"/>
      <c r="R480" s="59"/>
      <c r="S480" s="54"/>
      <c r="T480" s="54"/>
      <c r="U480" s="55"/>
      <c r="V480" s="55"/>
      <c r="W480" s="56"/>
      <c r="X480" s="56"/>
      <c r="Y480" s="57"/>
      <c r="Z480" s="57"/>
      <c r="AA480" s="58"/>
      <c r="AB480" s="58"/>
      <c r="AC480" s="59"/>
      <c r="AD480" s="59"/>
      <c r="AE480" s="96"/>
      <c r="AF480" s="97"/>
      <c r="AG480" s="98"/>
      <c r="AH480" s="99"/>
    </row>
    <row r="481" spans="1:34" x14ac:dyDescent="0.25">
      <c r="A481" s="9" t="str">
        <f t="shared" si="7"/>
        <v/>
      </c>
      <c r="B481" s="52"/>
      <c r="C481" s="53"/>
      <c r="D481" s="53"/>
      <c r="E481" s="78"/>
      <c r="F481" s="133"/>
      <c r="G481" s="54"/>
      <c r="H481" s="54"/>
      <c r="I481" s="55"/>
      <c r="J481" s="55"/>
      <c r="K481" s="56"/>
      <c r="L481" s="56"/>
      <c r="M481" s="57"/>
      <c r="N481" s="57"/>
      <c r="O481" s="58"/>
      <c r="P481" s="58"/>
      <c r="Q481" s="59"/>
      <c r="R481" s="59"/>
      <c r="S481" s="54"/>
      <c r="T481" s="54"/>
      <c r="U481" s="55"/>
      <c r="V481" s="55"/>
      <c r="W481" s="56"/>
      <c r="X481" s="56"/>
      <c r="Y481" s="57"/>
      <c r="Z481" s="57"/>
      <c r="AA481" s="58"/>
      <c r="AB481" s="58"/>
      <c r="AC481" s="59"/>
      <c r="AD481" s="59"/>
      <c r="AE481" s="96"/>
      <c r="AF481" s="97"/>
      <c r="AG481" s="98"/>
      <c r="AH481" s="99"/>
    </row>
    <row r="482" spans="1:34" x14ac:dyDescent="0.25">
      <c r="A482" s="9" t="str">
        <f t="shared" si="7"/>
        <v/>
      </c>
      <c r="B482" s="52"/>
      <c r="C482" s="53"/>
      <c r="D482" s="53"/>
      <c r="E482" s="78"/>
      <c r="F482" s="133"/>
      <c r="G482" s="54"/>
      <c r="H482" s="54"/>
      <c r="I482" s="55"/>
      <c r="J482" s="55"/>
      <c r="K482" s="56"/>
      <c r="L482" s="56"/>
      <c r="M482" s="57"/>
      <c r="N482" s="57"/>
      <c r="O482" s="58"/>
      <c r="P482" s="58"/>
      <c r="Q482" s="59"/>
      <c r="R482" s="59"/>
      <c r="S482" s="54"/>
      <c r="T482" s="54"/>
      <c r="U482" s="55"/>
      <c r="V482" s="55"/>
      <c r="W482" s="56"/>
      <c r="X482" s="56"/>
      <c r="Y482" s="57"/>
      <c r="Z482" s="57"/>
      <c r="AA482" s="58"/>
      <c r="AB482" s="58"/>
      <c r="AC482" s="59"/>
      <c r="AD482" s="59"/>
      <c r="AE482" s="96"/>
      <c r="AF482" s="97"/>
      <c r="AG482" s="98"/>
      <c r="AH482" s="99"/>
    </row>
    <row r="483" spans="1:34" x14ac:dyDescent="0.25">
      <c r="A483" s="9" t="str">
        <f t="shared" si="7"/>
        <v/>
      </c>
      <c r="B483" s="52"/>
      <c r="C483" s="53"/>
      <c r="D483" s="53"/>
      <c r="E483" s="78"/>
      <c r="F483" s="133"/>
      <c r="G483" s="54"/>
      <c r="H483" s="54"/>
      <c r="I483" s="55"/>
      <c r="J483" s="55"/>
      <c r="K483" s="56"/>
      <c r="L483" s="56"/>
      <c r="M483" s="57"/>
      <c r="N483" s="57"/>
      <c r="O483" s="58"/>
      <c r="P483" s="58"/>
      <c r="Q483" s="59"/>
      <c r="R483" s="59"/>
      <c r="S483" s="54"/>
      <c r="T483" s="54"/>
      <c r="U483" s="55"/>
      <c r="V483" s="55"/>
      <c r="W483" s="56"/>
      <c r="X483" s="56"/>
      <c r="Y483" s="57"/>
      <c r="Z483" s="57"/>
      <c r="AA483" s="58"/>
      <c r="AB483" s="58"/>
      <c r="AC483" s="59"/>
      <c r="AD483" s="59"/>
      <c r="AE483" s="96"/>
      <c r="AF483" s="97"/>
      <c r="AG483" s="98"/>
      <c r="AH483" s="99"/>
    </row>
    <row r="484" spans="1:34" x14ac:dyDescent="0.25">
      <c r="A484" s="9" t="str">
        <f t="shared" si="7"/>
        <v/>
      </c>
      <c r="B484" s="52"/>
      <c r="C484" s="53"/>
      <c r="D484" s="53"/>
      <c r="E484" s="78"/>
      <c r="F484" s="133"/>
      <c r="G484" s="54"/>
      <c r="H484" s="54"/>
      <c r="I484" s="55"/>
      <c r="J484" s="55"/>
      <c r="K484" s="56"/>
      <c r="L484" s="56"/>
      <c r="M484" s="57"/>
      <c r="N484" s="57"/>
      <c r="O484" s="58"/>
      <c r="P484" s="58"/>
      <c r="Q484" s="59"/>
      <c r="R484" s="59"/>
      <c r="S484" s="54"/>
      <c r="T484" s="54"/>
      <c r="U484" s="55"/>
      <c r="V484" s="55"/>
      <c r="W484" s="56"/>
      <c r="X484" s="56"/>
      <c r="Y484" s="57"/>
      <c r="Z484" s="57"/>
      <c r="AA484" s="58"/>
      <c r="AB484" s="58"/>
      <c r="AC484" s="59"/>
      <c r="AD484" s="59"/>
      <c r="AE484" s="96"/>
      <c r="AF484" s="97"/>
      <c r="AG484" s="98"/>
      <c r="AH484" s="99"/>
    </row>
    <row r="485" spans="1:34" x14ac:dyDescent="0.25">
      <c r="A485" s="9" t="str">
        <f t="shared" si="7"/>
        <v/>
      </c>
      <c r="B485" s="52"/>
      <c r="C485" s="53"/>
      <c r="D485" s="53"/>
      <c r="E485" s="78"/>
      <c r="F485" s="133"/>
      <c r="G485" s="54"/>
      <c r="H485" s="54"/>
      <c r="I485" s="55"/>
      <c r="J485" s="55"/>
      <c r="K485" s="56"/>
      <c r="L485" s="56"/>
      <c r="M485" s="57"/>
      <c r="N485" s="57"/>
      <c r="O485" s="58"/>
      <c r="P485" s="58"/>
      <c r="Q485" s="59"/>
      <c r="R485" s="59"/>
      <c r="S485" s="54"/>
      <c r="T485" s="54"/>
      <c r="U485" s="55"/>
      <c r="V485" s="55"/>
      <c r="W485" s="56"/>
      <c r="X485" s="56"/>
      <c r="Y485" s="57"/>
      <c r="Z485" s="57"/>
      <c r="AA485" s="58"/>
      <c r="AB485" s="58"/>
      <c r="AC485" s="59"/>
      <c r="AD485" s="59"/>
      <c r="AE485" s="96"/>
      <c r="AF485" s="97"/>
      <c r="AG485" s="98"/>
      <c r="AH485" s="99"/>
    </row>
    <row r="486" spans="1:34" x14ac:dyDescent="0.25">
      <c r="A486" s="9" t="str">
        <f t="shared" si="7"/>
        <v/>
      </c>
      <c r="B486" s="52"/>
      <c r="C486" s="53"/>
      <c r="D486" s="53"/>
      <c r="E486" s="78"/>
      <c r="F486" s="133"/>
      <c r="G486" s="54"/>
      <c r="H486" s="54"/>
      <c r="I486" s="55"/>
      <c r="J486" s="55"/>
      <c r="K486" s="56"/>
      <c r="L486" s="56"/>
      <c r="M486" s="57"/>
      <c r="N486" s="57"/>
      <c r="O486" s="58"/>
      <c r="P486" s="58"/>
      <c r="Q486" s="59"/>
      <c r="R486" s="59"/>
      <c r="S486" s="54"/>
      <c r="T486" s="54"/>
      <c r="U486" s="55"/>
      <c r="V486" s="55"/>
      <c r="W486" s="56"/>
      <c r="X486" s="56"/>
      <c r="Y486" s="57"/>
      <c r="Z486" s="57"/>
      <c r="AA486" s="58"/>
      <c r="AB486" s="58"/>
      <c r="AC486" s="59"/>
      <c r="AD486" s="59"/>
      <c r="AE486" s="96"/>
      <c r="AF486" s="97"/>
      <c r="AG486" s="98"/>
      <c r="AH486" s="99"/>
    </row>
    <row r="487" spans="1:34" x14ac:dyDescent="0.25">
      <c r="A487" s="9" t="str">
        <f t="shared" si="7"/>
        <v/>
      </c>
      <c r="B487" s="52"/>
      <c r="C487" s="53"/>
      <c r="D487" s="53"/>
      <c r="E487" s="78"/>
      <c r="F487" s="133"/>
      <c r="G487" s="54"/>
      <c r="H487" s="54"/>
      <c r="I487" s="55"/>
      <c r="J487" s="55"/>
      <c r="K487" s="56"/>
      <c r="L487" s="56"/>
      <c r="M487" s="57"/>
      <c r="N487" s="57"/>
      <c r="O487" s="58"/>
      <c r="P487" s="58"/>
      <c r="Q487" s="59"/>
      <c r="R487" s="59"/>
      <c r="S487" s="54"/>
      <c r="T487" s="54"/>
      <c r="U487" s="55"/>
      <c r="V487" s="55"/>
      <c r="W487" s="56"/>
      <c r="X487" s="56"/>
      <c r="Y487" s="57"/>
      <c r="Z487" s="57"/>
      <c r="AA487" s="58"/>
      <c r="AB487" s="58"/>
      <c r="AC487" s="59"/>
      <c r="AD487" s="59"/>
      <c r="AE487" s="96"/>
      <c r="AF487" s="97"/>
      <c r="AG487" s="98"/>
      <c r="AH487" s="99"/>
    </row>
    <row r="488" spans="1:34" x14ac:dyDescent="0.25">
      <c r="A488" s="9" t="str">
        <f t="shared" si="7"/>
        <v/>
      </c>
      <c r="B488" s="52"/>
      <c r="C488" s="53"/>
      <c r="D488" s="53"/>
      <c r="E488" s="78"/>
      <c r="F488" s="133"/>
      <c r="G488" s="54"/>
      <c r="H488" s="54"/>
      <c r="I488" s="55"/>
      <c r="J488" s="55"/>
      <c r="K488" s="56"/>
      <c r="L488" s="56"/>
      <c r="M488" s="57"/>
      <c r="N488" s="57"/>
      <c r="O488" s="58"/>
      <c r="P488" s="58"/>
      <c r="Q488" s="59"/>
      <c r="R488" s="59"/>
      <c r="S488" s="54"/>
      <c r="T488" s="54"/>
      <c r="U488" s="55"/>
      <c r="V488" s="55"/>
      <c r="W488" s="56"/>
      <c r="X488" s="56"/>
      <c r="Y488" s="57"/>
      <c r="Z488" s="57"/>
      <c r="AA488" s="58"/>
      <c r="AB488" s="58"/>
      <c r="AC488" s="59"/>
      <c r="AD488" s="59"/>
      <c r="AE488" s="96"/>
      <c r="AF488" s="97"/>
      <c r="AG488" s="98"/>
      <c r="AH488" s="99"/>
    </row>
    <row r="489" spans="1:34" x14ac:dyDescent="0.25">
      <c r="A489" s="9" t="str">
        <f t="shared" si="7"/>
        <v/>
      </c>
      <c r="B489" s="52"/>
      <c r="C489" s="53"/>
      <c r="D489" s="53"/>
      <c r="E489" s="78"/>
      <c r="F489" s="133"/>
      <c r="G489" s="54"/>
      <c r="H489" s="54"/>
      <c r="I489" s="55"/>
      <c r="J489" s="55"/>
      <c r="K489" s="56"/>
      <c r="L489" s="56"/>
      <c r="M489" s="57"/>
      <c r="N489" s="57"/>
      <c r="O489" s="58"/>
      <c r="P489" s="58"/>
      <c r="Q489" s="59"/>
      <c r="R489" s="59"/>
      <c r="S489" s="54"/>
      <c r="T489" s="54"/>
      <c r="U489" s="55"/>
      <c r="V489" s="55"/>
      <c r="W489" s="56"/>
      <c r="X489" s="56"/>
      <c r="Y489" s="57"/>
      <c r="Z489" s="57"/>
      <c r="AA489" s="58"/>
      <c r="AB489" s="58"/>
      <c r="AC489" s="59"/>
      <c r="AD489" s="59"/>
      <c r="AE489" s="96"/>
      <c r="AF489" s="97"/>
      <c r="AG489" s="98"/>
      <c r="AH489" s="99"/>
    </row>
    <row r="490" spans="1:34" x14ac:dyDescent="0.25">
      <c r="A490" s="9" t="str">
        <f t="shared" si="7"/>
        <v/>
      </c>
      <c r="B490" s="52"/>
      <c r="C490" s="53"/>
      <c r="D490" s="53"/>
      <c r="E490" s="78"/>
      <c r="F490" s="133"/>
      <c r="G490" s="54"/>
      <c r="H490" s="54"/>
      <c r="I490" s="55"/>
      <c r="J490" s="55"/>
      <c r="K490" s="56"/>
      <c r="L490" s="56"/>
      <c r="M490" s="57"/>
      <c r="N490" s="57"/>
      <c r="O490" s="58"/>
      <c r="P490" s="58"/>
      <c r="Q490" s="59"/>
      <c r="R490" s="59"/>
      <c r="S490" s="54"/>
      <c r="T490" s="54"/>
      <c r="U490" s="55"/>
      <c r="V490" s="55"/>
      <c r="W490" s="56"/>
      <c r="X490" s="56"/>
      <c r="Y490" s="57"/>
      <c r="Z490" s="57"/>
      <c r="AA490" s="58"/>
      <c r="AB490" s="58"/>
      <c r="AC490" s="59"/>
      <c r="AD490" s="59"/>
      <c r="AE490" s="96"/>
      <c r="AF490" s="97"/>
      <c r="AG490" s="98"/>
      <c r="AH490" s="99"/>
    </row>
    <row r="491" spans="1:34" x14ac:dyDescent="0.25">
      <c r="A491" s="9" t="str">
        <f t="shared" si="7"/>
        <v/>
      </c>
      <c r="B491" s="52"/>
      <c r="C491" s="53"/>
      <c r="D491" s="53"/>
      <c r="E491" s="78"/>
      <c r="F491" s="133"/>
      <c r="G491" s="54"/>
      <c r="H491" s="54"/>
      <c r="I491" s="55"/>
      <c r="J491" s="55"/>
      <c r="K491" s="56"/>
      <c r="L491" s="56"/>
      <c r="M491" s="57"/>
      <c r="N491" s="57"/>
      <c r="O491" s="58"/>
      <c r="P491" s="58"/>
      <c r="Q491" s="59"/>
      <c r="R491" s="59"/>
      <c r="S491" s="54"/>
      <c r="T491" s="54"/>
      <c r="U491" s="55"/>
      <c r="V491" s="55"/>
      <c r="W491" s="56"/>
      <c r="X491" s="56"/>
      <c r="Y491" s="57"/>
      <c r="Z491" s="57"/>
      <c r="AA491" s="58"/>
      <c r="AB491" s="58"/>
      <c r="AC491" s="59"/>
      <c r="AD491" s="59"/>
      <c r="AE491" s="96"/>
      <c r="AF491" s="97"/>
      <c r="AG491" s="98"/>
      <c r="AH491" s="99"/>
    </row>
    <row r="492" spans="1:34" x14ac:dyDescent="0.25">
      <c r="A492" s="9" t="str">
        <f t="shared" si="7"/>
        <v/>
      </c>
      <c r="B492" s="52"/>
      <c r="C492" s="53"/>
      <c r="D492" s="53"/>
      <c r="E492" s="78"/>
      <c r="F492" s="133"/>
      <c r="G492" s="54"/>
      <c r="H492" s="54"/>
      <c r="I492" s="55"/>
      <c r="J492" s="55"/>
      <c r="K492" s="56"/>
      <c r="L492" s="56"/>
      <c r="M492" s="57"/>
      <c r="N492" s="57"/>
      <c r="O492" s="58"/>
      <c r="P492" s="58"/>
      <c r="Q492" s="59"/>
      <c r="R492" s="59"/>
      <c r="S492" s="54"/>
      <c r="T492" s="54"/>
      <c r="U492" s="55"/>
      <c r="V492" s="55"/>
      <c r="W492" s="56"/>
      <c r="X492" s="56"/>
      <c r="Y492" s="57"/>
      <c r="Z492" s="57"/>
      <c r="AA492" s="58"/>
      <c r="AB492" s="58"/>
      <c r="AC492" s="59"/>
      <c r="AD492" s="59"/>
      <c r="AE492" s="96"/>
      <c r="AF492" s="97"/>
      <c r="AG492" s="98"/>
      <c r="AH492" s="99"/>
    </row>
    <row r="493" spans="1:34" x14ac:dyDescent="0.25">
      <c r="A493" s="9" t="str">
        <f t="shared" si="7"/>
        <v/>
      </c>
      <c r="B493" s="52"/>
      <c r="C493" s="53"/>
      <c r="D493" s="53"/>
      <c r="E493" s="78"/>
      <c r="F493" s="133"/>
      <c r="G493" s="54"/>
      <c r="H493" s="54"/>
      <c r="I493" s="55"/>
      <c r="J493" s="55"/>
      <c r="K493" s="56"/>
      <c r="L493" s="56"/>
      <c r="M493" s="57"/>
      <c r="N493" s="57"/>
      <c r="O493" s="58"/>
      <c r="P493" s="58"/>
      <c r="Q493" s="59"/>
      <c r="R493" s="59"/>
      <c r="S493" s="54"/>
      <c r="T493" s="54"/>
      <c r="U493" s="55"/>
      <c r="V493" s="55"/>
      <c r="W493" s="56"/>
      <c r="X493" s="56"/>
      <c r="Y493" s="57"/>
      <c r="Z493" s="57"/>
      <c r="AA493" s="58"/>
      <c r="AB493" s="58"/>
      <c r="AC493" s="59"/>
      <c r="AD493" s="59"/>
      <c r="AE493" s="96"/>
      <c r="AF493" s="97"/>
      <c r="AG493" s="98"/>
      <c r="AH493" s="99"/>
    </row>
    <row r="494" spans="1:34" x14ac:dyDescent="0.25">
      <c r="A494" s="9" t="str">
        <f t="shared" si="7"/>
        <v/>
      </c>
      <c r="B494" s="52"/>
      <c r="C494" s="53"/>
      <c r="D494" s="53"/>
      <c r="E494" s="78"/>
      <c r="F494" s="133"/>
      <c r="G494" s="54"/>
      <c r="H494" s="54"/>
      <c r="I494" s="55"/>
      <c r="J494" s="55"/>
      <c r="K494" s="56"/>
      <c r="L494" s="56"/>
      <c r="M494" s="57"/>
      <c r="N494" s="57"/>
      <c r="O494" s="58"/>
      <c r="P494" s="58"/>
      <c r="Q494" s="59"/>
      <c r="R494" s="59"/>
      <c r="S494" s="54"/>
      <c r="T494" s="54"/>
      <c r="U494" s="55"/>
      <c r="V494" s="55"/>
      <c r="W494" s="56"/>
      <c r="X494" s="56"/>
      <c r="Y494" s="57"/>
      <c r="Z494" s="57"/>
      <c r="AA494" s="58"/>
      <c r="AB494" s="58"/>
      <c r="AC494" s="59"/>
      <c r="AD494" s="59"/>
      <c r="AE494" s="96"/>
      <c r="AF494" s="97"/>
      <c r="AG494" s="98"/>
      <c r="AH494" s="99"/>
    </row>
    <row r="495" spans="1:34" x14ac:dyDescent="0.25">
      <c r="A495" s="9" t="str">
        <f t="shared" si="7"/>
        <v/>
      </c>
      <c r="B495" s="52"/>
      <c r="C495" s="53"/>
      <c r="D495" s="53"/>
      <c r="E495" s="78"/>
      <c r="F495" s="133"/>
      <c r="G495" s="54"/>
      <c r="H495" s="54"/>
      <c r="I495" s="55"/>
      <c r="J495" s="55"/>
      <c r="K495" s="56"/>
      <c r="L495" s="56"/>
      <c r="M495" s="57"/>
      <c r="N495" s="57"/>
      <c r="O495" s="58"/>
      <c r="P495" s="58"/>
      <c r="Q495" s="59"/>
      <c r="R495" s="59"/>
      <c r="S495" s="54"/>
      <c r="T495" s="54"/>
      <c r="U495" s="55"/>
      <c r="V495" s="55"/>
      <c r="W495" s="56"/>
      <c r="X495" s="56"/>
      <c r="Y495" s="57"/>
      <c r="Z495" s="57"/>
      <c r="AA495" s="58"/>
      <c r="AB495" s="58"/>
      <c r="AC495" s="59"/>
      <c r="AD495" s="59"/>
      <c r="AE495" s="96"/>
      <c r="AF495" s="97"/>
      <c r="AG495" s="98"/>
      <c r="AH495" s="99"/>
    </row>
    <row r="496" spans="1:34" x14ac:dyDescent="0.25">
      <c r="A496" s="9" t="str">
        <f t="shared" si="7"/>
        <v/>
      </c>
      <c r="B496" s="52"/>
      <c r="C496" s="53"/>
      <c r="D496" s="53"/>
      <c r="E496" s="78"/>
      <c r="F496" s="133"/>
      <c r="G496" s="54"/>
      <c r="H496" s="54"/>
      <c r="I496" s="55"/>
      <c r="J496" s="55"/>
      <c r="K496" s="56"/>
      <c r="L496" s="56"/>
      <c r="M496" s="57"/>
      <c r="N496" s="57"/>
      <c r="O496" s="58"/>
      <c r="P496" s="58"/>
      <c r="Q496" s="59"/>
      <c r="R496" s="59"/>
      <c r="S496" s="54"/>
      <c r="T496" s="54"/>
      <c r="U496" s="55"/>
      <c r="V496" s="55"/>
      <c r="W496" s="56"/>
      <c r="X496" s="56"/>
      <c r="Y496" s="57"/>
      <c r="Z496" s="57"/>
      <c r="AA496" s="58"/>
      <c r="AB496" s="58"/>
      <c r="AC496" s="59"/>
      <c r="AD496" s="59"/>
      <c r="AE496" s="96"/>
      <c r="AF496" s="97"/>
      <c r="AG496" s="98"/>
      <c r="AH496" s="99"/>
    </row>
    <row r="497" spans="1:34" x14ac:dyDescent="0.25">
      <c r="A497" s="9" t="str">
        <f t="shared" si="7"/>
        <v/>
      </c>
      <c r="B497" s="52"/>
      <c r="C497" s="53"/>
      <c r="D497" s="53"/>
      <c r="E497" s="78"/>
      <c r="F497" s="133"/>
      <c r="G497" s="54"/>
      <c r="H497" s="54"/>
      <c r="I497" s="55"/>
      <c r="J497" s="55"/>
      <c r="K497" s="56"/>
      <c r="L497" s="56"/>
      <c r="M497" s="57"/>
      <c r="N497" s="57"/>
      <c r="O497" s="58"/>
      <c r="P497" s="58"/>
      <c r="Q497" s="59"/>
      <c r="R497" s="59"/>
      <c r="S497" s="54"/>
      <c r="T497" s="54"/>
      <c r="U497" s="55"/>
      <c r="V497" s="55"/>
      <c r="W497" s="56"/>
      <c r="X497" s="56"/>
      <c r="Y497" s="57"/>
      <c r="Z497" s="57"/>
      <c r="AA497" s="58"/>
      <c r="AB497" s="58"/>
      <c r="AC497" s="59"/>
      <c r="AD497" s="59"/>
      <c r="AE497" s="96"/>
      <c r="AF497" s="97"/>
      <c r="AG497" s="98"/>
      <c r="AH497" s="99"/>
    </row>
    <row r="498" spans="1:34" x14ac:dyDescent="0.25">
      <c r="A498" s="9" t="str">
        <f t="shared" si="7"/>
        <v/>
      </c>
      <c r="B498" s="52"/>
      <c r="C498" s="53"/>
      <c r="D498" s="53"/>
      <c r="E498" s="78"/>
      <c r="F498" s="133"/>
      <c r="G498" s="54"/>
      <c r="H498" s="54"/>
      <c r="I498" s="55"/>
      <c r="J498" s="55"/>
      <c r="K498" s="56"/>
      <c r="L498" s="56"/>
      <c r="M498" s="57"/>
      <c r="N498" s="57"/>
      <c r="O498" s="58"/>
      <c r="P498" s="58"/>
      <c r="Q498" s="59"/>
      <c r="R498" s="59"/>
      <c r="S498" s="54"/>
      <c r="T498" s="54"/>
      <c r="U498" s="55"/>
      <c r="V498" s="55"/>
      <c r="W498" s="56"/>
      <c r="X498" s="56"/>
      <c r="Y498" s="57"/>
      <c r="Z498" s="57"/>
      <c r="AA498" s="58"/>
      <c r="AB498" s="58"/>
      <c r="AC498" s="59"/>
      <c r="AD498" s="59"/>
      <c r="AE498" s="96"/>
      <c r="AF498" s="97"/>
      <c r="AG498" s="98"/>
      <c r="AH498" s="99"/>
    </row>
    <row r="499" spans="1:34" x14ac:dyDescent="0.25">
      <c r="A499" s="9" t="str">
        <f t="shared" si="7"/>
        <v/>
      </c>
      <c r="B499" s="52"/>
      <c r="C499" s="53"/>
      <c r="D499" s="53"/>
      <c r="E499" s="78"/>
      <c r="F499" s="133"/>
      <c r="G499" s="54"/>
      <c r="H499" s="54"/>
      <c r="I499" s="55"/>
      <c r="J499" s="55"/>
      <c r="K499" s="56"/>
      <c r="L499" s="56"/>
      <c r="M499" s="57"/>
      <c r="N499" s="57"/>
      <c r="O499" s="58"/>
      <c r="P499" s="58"/>
      <c r="Q499" s="59"/>
      <c r="R499" s="59"/>
      <c r="S499" s="54"/>
      <c r="T499" s="54"/>
      <c r="U499" s="55"/>
      <c r="V499" s="55"/>
      <c r="W499" s="56"/>
      <c r="X499" s="56"/>
      <c r="Y499" s="57"/>
      <c r="Z499" s="57"/>
      <c r="AA499" s="58"/>
      <c r="AB499" s="58"/>
      <c r="AC499" s="59"/>
      <c r="AD499" s="59"/>
      <c r="AE499" s="96"/>
      <c r="AF499" s="97"/>
      <c r="AG499" s="98"/>
      <c r="AH499" s="99"/>
    </row>
    <row r="500" spans="1:34" x14ac:dyDescent="0.25">
      <c r="A500" s="9" t="str">
        <f t="shared" si="7"/>
        <v/>
      </c>
      <c r="B500" s="52"/>
      <c r="C500" s="53"/>
      <c r="D500" s="53"/>
      <c r="E500" s="78"/>
      <c r="F500" s="133"/>
      <c r="G500" s="54"/>
      <c r="H500" s="54"/>
      <c r="I500" s="55"/>
      <c r="J500" s="55"/>
      <c r="K500" s="56"/>
      <c r="L500" s="56"/>
      <c r="M500" s="57"/>
      <c r="N500" s="57"/>
      <c r="O500" s="58"/>
      <c r="P500" s="58"/>
      <c r="Q500" s="59"/>
      <c r="R500" s="59"/>
      <c r="S500" s="54"/>
      <c r="T500" s="54"/>
      <c r="U500" s="55"/>
      <c r="V500" s="55"/>
      <c r="W500" s="56"/>
      <c r="X500" s="56"/>
      <c r="Y500" s="57"/>
      <c r="Z500" s="57"/>
      <c r="AA500" s="58"/>
      <c r="AB500" s="58"/>
      <c r="AC500" s="59"/>
      <c r="AD500" s="59"/>
      <c r="AE500" s="96"/>
      <c r="AF500" s="97"/>
      <c r="AG500" s="98"/>
      <c r="AH500" s="99"/>
    </row>
    <row r="501" spans="1:34" x14ac:dyDescent="0.25">
      <c r="A501" s="9" t="str">
        <f t="shared" si="7"/>
        <v/>
      </c>
      <c r="B501" s="52"/>
      <c r="C501" s="53"/>
      <c r="D501" s="53"/>
      <c r="E501" s="78"/>
      <c r="F501" s="133"/>
      <c r="G501" s="54"/>
      <c r="H501" s="54"/>
      <c r="I501" s="55"/>
      <c r="J501" s="55"/>
      <c r="K501" s="56"/>
      <c r="L501" s="56"/>
      <c r="M501" s="57"/>
      <c r="N501" s="57"/>
      <c r="O501" s="58"/>
      <c r="P501" s="58"/>
      <c r="Q501" s="59"/>
      <c r="R501" s="59"/>
      <c r="S501" s="54"/>
      <c r="T501" s="54"/>
      <c r="U501" s="55"/>
      <c r="V501" s="55"/>
      <c r="W501" s="56"/>
      <c r="X501" s="56"/>
      <c r="Y501" s="57"/>
      <c r="Z501" s="57"/>
      <c r="AA501" s="58"/>
      <c r="AB501" s="58"/>
      <c r="AC501" s="59"/>
      <c r="AD501" s="59"/>
      <c r="AE501" s="96"/>
      <c r="AF501" s="97"/>
      <c r="AG501" s="98"/>
      <c r="AH501" s="99"/>
    </row>
    <row r="502" spans="1:34" x14ac:dyDescent="0.25">
      <c r="A502" s="9" t="str">
        <f t="shared" si="7"/>
        <v/>
      </c>
      <c r="B502" s="52"/>
      <c r="C502" s="53"/>
      <c r="D502" s="53"/>
      <c r="E502" s="78"/>
      <c r="F502" s="133"/>
      <c r="G502" s="54"/>
      <c r="H502" s="54"/>
      <c r="I502" s="55"/>
      <c r="J502" s="55"/>
      <c r="K502" s="56"/>
      <c r="L502" s="56"/>
      <c r="M502" s="57"/>
      <c r="N502" s="57"/>
      <c r="O502" s="58"/>
      <c r="P502" s="58"/>
      <c r="Q502" s="59"/>
      <c r="R502" s="59"/>
      <c r="S502" s="54"/>
      <c r="T502" s="54"/>
      <c r="U502" s="55"/>
      <c r="V502" s="55"/>
      <c r="W502" s="56"/>
      <c r="X502" s="56"/>
      <c r="Y502" s="57"/>
      <c r="Z502" s="57"/>
      <c r="AA502" s="58"/>
      <c r="AB502" s="58"/>
      <c r="AC502" s="59"/>
      <c r="AD502" s="59"/>
      <c r="AE502" s="96"/>
      <c r="AF502" s="97"/>
      <c r="AG502" s="98"/>
      <c r="AH502" s="99"/>
    </row>
    <row r="503" spans="1:34" x14ac:dyDescent="0.25">
      <c r="A503" s="9" t="str">
        <f t="shared" si="7"/>
        <v/>
      </c>
      <c r="B503" s="52"/>
      <c r="C503" s="53"/>
      <c r="D503" s="53"/>
      <c r="E503" s="78"/>
      <c r="F503" s="133"/>
      <c r="G503" s="54"/>
      <c r="H503" s="54"/>
      <c r="I503" s="55"/>
      <c r="J503" s="55"/>
      <c r="K503" s="56"/>
      <c r="L503" s="56"/>
      <c r="M503" s="57"/>
      <c r="N503" s="57"/>
      <c r="O503" s="58"/>
      <c r="P503" s="58"/>
      <c r="Q503" s="59"/>
      <c r="R503" s="59"/>
      <c r="S503" s="54"/>
      <c r="T503" s="54"/>
      <c r="U503" s="55"/>
      <c r="V503" s="55"/>
      <c r="W503" s="56"/>
      <c r="X503" s="56"/>
      <c r="Y503" s="57"/>
      <c r="Z503" s="57"/>
      <c r="AA503" s="58"/>
      <c r="AB503" s="58"/>
      <c r="AC503" s="59"/>
      <c r="AD503" s="59"/>
      <c r="AE503" s="96"/>
      <c r="AF503" s="97"/>
      <c r="AG503" s="98"/>
      <c r="AH503" s="99"/>
    </row>
    <row r="504" spans="1:34" x14ac:dyDescent="0.25">
      <c r="A504" s="9" t="str">
        <f t="shared" si="7"/>
        <v/>
      </c>
      <c r="B504" s="52"/>
      <c r="C504" s="53"/>
      <c r="D504" s="53"/>
      <c r="E504" s="78"/>
      <c r="F504" s="133"/>
      <c r="G504" s="54"/>
      <c r="H504" s="54"/>
      <c r="I504" s="55"/>
      <c r="J504" s="55"/>
      <c r="K504" s="56"/>
      <c r="L504" s="56"/>
      <c r="M504" s="57"/>
      <c r="N504" s="57"/>
      <c r="O504" s="58"/>
      <c r="P504" s="58"/>
      <c r="Q504" s="59"/>
      <c r="R504" s="59"/>
      <c r="S504" s="54"/>
      <c r="T504" s="54"/>
      <c r="U504" s="55"/>
      <c r="V504" s="55"/>
      <c r="W504" s="56"/>
      <c r="X504" s="56"/>
      <c r="Y504" s="57"/>
      <c r="Z504" s="57"/>
      <c r="AA504" s="58"/>
      <c r="AB504" s="58"/>
      <c r="AC504" s="59"/>
      <c r="AD504" s="59"/>
      <c r="AE504" s="96"/>
      <c r="AF504" s="97"/>
      <c r="AG504" s="98"/>
      <c r="AH504" s="99"/>
    </row>
    <row r="505" spans="1:34" x14ac:dyDescent="0.25">
      <c r="A505" s="9" t="str">
        <f t="shared" si="7"/>
        <v/>
      </c>
      <c r="B505" s="52"/>
      <c r="C505" s="53"/>
      <c r="D505" s="53"/>
      <c r="E505" s="78"/>
      <c r="F505" s="133"/>
      <c r="G505" s="54"/>
      <c r="H505" s="54"/>
      <c r="I505" s="55"/>
      <c r="J505" s="55"/>
      <c r="K505" s="56"/>
      <c r="L505" s="56"/>
      <c r="M505" s="57"/>
      <c r="N505" s="57"/>
      <c r="O505" s="58"/>
      <c r="P505" s="58"/>
      <c r="Q505" s="59"/>
      <c r="R505" s="59"/>
      <c r="S505" s="54"/>
      <c r="T505" s="54"/>
      <c r="U505" s="55"/>
      <c r="V505" s="55"/>
      <c r="W505" s="56"/>
      <c r="X505" s="56"/>
      <c r="Y505" s="57"/>
      <c r="Z505" s="57"/>
      <c r="AA505" s="58"/>
      <c r="AB505" s="58"/>
      <c r="AC505" s="59"/>
      <c r="AD505" s="59"/>
      <c r="AE505" s="96"/>
      <c r="AF505" s="97"/>
      <c r="AG505" s="98"/>
      <c r="AH505" s="99"/>
    </row>
  </sheetData>
  <sheetProtection algorithmName="SHA-512" hashValue="Y4ObcO+zjI6Yoby9/AZ+wV5YlNngKJvSE+fY7fAW+9gE3RDJJTOW2znSvXnUKNxm9LCGMd4sd21LGsjgxpSlsg==" saltValue="yIpEQcJgPAupvHyZZtvr3A=="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34" r:id="rId3" name="Button 23">
              <controlPr defaultSize="0" print="0" autoFill="0" autoPict="0" macro="[0]!IR_VF">
                <anchor moveWithCells="1" sizeWithCells="1">
                  <from>
                    <xdr:col>5</xdr:col>
                    <xdr:colOff>2152650</xdr:colOff>
                    <xdr:row>0</xdr:row>
                    <xdr:rowOff>0</xdr:rowOff>
                  </from>
                  <to>
                    <xdr:col>6</xdr:col>
                    <xdr:colOff>114300</xdr:colOff>
                    <xdr:row>0</xdr:row>
                    <xdr:rowOff>152400</xdr:rowOff>
                  </to>
                </anchor>
              </controlPr>
            </control>
          </mc:Choice>
        </mc:AlternateContent>
        <mc:AlternateContent xmlns:mc="http://schemas.openxmlformats.org/markup-compatibility/2006">
          <mc:Choice Requires="x14">
            <control shapeId="3135" r:id="rId4" name="Button 24">
              <controlPr defaultSize="0" print="0" autoFill="0" autoPict="0" macro="[0]!IR_OM">
                <anchor moveWithCells="1" sizeWithCells="1">
                  <from>
                    <xdr:col>5</xdr:col>
                    <xdr:colOff>876300</xdr:colOff>
                    <xdr:row>0</xdr:row>
                    <xdr:rowOff>0</xdr:rowOff>
                  </from>
                  <to>
                    <xdr:col>5</xdr:col>
                    <xdr:colOff>2152650</xdr:colOff>
                    <xdr:row>0</xdr:row>
                    <xdr:rowOff>152400</xdr:rowOff>
                  </to>
                </anchor>
              </controlPr>
            </control>
          </mc:Choice>
        </mc:AlternateContent>
        <mc:AlternateContent xmlns:mc="http://schemas.openxmlformats.org/markup-compatibility/2006">
          <mc:Choice Requires="x14">
            <control shapeId="3136" r:id="rId5" name="Button 25">
              <controlPr defaultSize="0" print="0" autoFill="0" autoPict="0" macro="[0]!IR_RC">
                <anchor moveWithCells="1" sizeWithCells="1">
                  <from>
                    <xdr:col>5</xdr:col>
                    <xdr:colOff>866775</xdr:colOff>
                    <xdr:row>0</xdr:row>
                    <xdr:rowOff>161925</xdr:rowOff>
                  </from>
                  <to>
                    <xdr:col>5</xdr:col>
                    <xdr:colOff>2143125</xdr:colOff>
                    <xdr:row>0</xdr:row>
                    <xdr:rowOff>314325</xdr:rowOff>
                  </to>
                </anchor>
              </controlPr>
            </control>
          </mc:Choice>
        </mc:AlternateContent>
        <mc:AlternateContent xmlns:mc="http://schemas.openxmlformats.org/markup-compatibility/2006">
          <mc:Choice Requires="x14">
            <control shapeId="3137" r:id="rId6" name="Button 26">
              <controlPr defaultSize="0" print="0" autoFill="0" autoPict="0" macro="[0]!IR_E">
                <anchor moveWithCells="1" sizeWithCells="1">
                  <from>
                    <xdr:col>6</xdr:col>
                    <xdr:colOff>123825</xdr:colOff>
                    <xdr:row>0</xdr:row>
                    <xdr:rowOff>0</xdr:rowOff>
                  </from>
                  <to>
                    <xdr:col>7</xdr:col>
                    <xdr:colOff>561975</xdr:colOff>
                    <xdr:row>0</xdr:row>
                    <xdr:rowOff>152400</xdr:rowOff>
                  </to>
                </anchor>
              </controlPr>
            </control>
          </mc:Choice>
        </mc:AlternateContent>
        <mc:AlternateContent xmlns:mc="http://schemas.openxmlformats.org/markup-compatibility/2006">
          <mc:Choice Requires="x14">
            <control shapeId="3138" r:id="rId7" name="Button 27">
              <controlPr defaultSize="0" print="0" autoFill="0" autoPict="0" macro="[0]!IR_PP">
                <anchor moveWithCells="1" sizeWithCells="1">
                  <from>
                    <xdr:col>5</xdr:col>
                    <xdr:colOff>2152650</xdr:colOff>
                    <xdr:row>0</xdr:row>
                    <xdr:rowOff>161925</xdr:rowOff>
                  </from>
                  <to>
                    <xdr:col>6</xdr:col>
                    <xdr:colOff>114300</xdr:colOff>
                    <xdr:row>0</xdr:row>
                    <xdr:rowOff>314325</xdr:rowOff>
                  </to>
                </anchor>
              </controlPr>
            </control>
          </mc:Choice>
        </mc:AlternateContent>
        <mc:AlternateContent xmlns:mc="http://schemas.openxmlformats.org/markup-compatibility/2006">
          <mc:Choice Requires="x14">
            <control shapeId="3139" r:id="rId8" name="Button 28">
              <controlPr defaultSize="0" print="0" autoFill="0" autoPict="0" macro="[0]!IR_INICIO">
                <anchor moveWithCells="1" sizeWithCells="1">
                  <from>
                    <xdr:col>6</xdr:col>
                    <xdr:colOff>123825</xdr:colOff>
                    <xdr:row>0</xdr:row>
                    <xdr:rowOff>161925</xdr:rowOff>
                  </from>
                  <to>
                    <xdr:col>7</xdr:col>
                    <xdr:colOff>561975</xdr:colOff>
                    <xdr:row>0</xdr:row>
                    <xdr:rowOff>314325</xdr:rowOff>
                  </to>
                </anchor>
              </controlPr>
            </control>
          </mc:Choice>
        </mc:AlternateContent>
        <mc:AlternateContent xmlns:mc="http://schemas.openxmlformats.org/markup-compatibility/2006">
          <mc:Choice Requires="x14">
            <control shapeId="3140" r:id="rId9" name="Button 29">
              <controlPr defaultSize="0" autoFill="0" autoPict="0" macro="[0]!IR_INICIO">
                <anchor moveWithCells="1" sizeWithCells="1">
                  <from>
                    <xdr:col>5</xdr:col>
                    <xdr:colOff>314325</xdr:colOff>
                    <xdr:row>0</xdr:row>
                    <xdr:rowOff>0</xdr:rowOff>
                  </from>
                  <to>
                    <xdr:col>5</xdr:col>
                    <xdr:colOff>857250</xdr:colOff>
                    <xdr:row>0</xdr:row>
                    <xdr:rowOff>161925</xdr:rowOff>
                  </to>
                </anchor>
              </controlPr>
            </control>
          </mc:Choice>
        </mc:AlternateContent>
        <mc:AlternateContent xmlns:mc="http://schemas.openxmlformats.org/markup-compatibility/2006">
          <mc:Choice Requires="x14">
            <control shapeId="3141" r:id="rId10" name="Button 30">
              <controlPr defaultSize="0" autoFill="0" autoPict="0" macro="[0]!Copiar_Formatos">
                <anchor moveWithCells="1" sizeWithCells="1">
                  <from>
                    <xdr:col>5</xdr:col>
                    <xdr:colOff>314325</xdr:colOff>
                    <xdr:row>0</xdr:row>
                    <xdr:rowOff>161925</xdr:rowOff>
                  </from>
                  <to>
                    <xdr:col>5</xdr:col>
                    <xdr:colOff>857250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5"/>
  <dimension ref="A1:AH505"/>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E4" sqref="E4"/>
    </sheetView>
  </sheetViews>
  <sheetFormatPr baseColWidth="10" defaultColWidth="11.42578125" defaultRowHeight="15" x14ac:dyDescent="0.25"/>
  <cols>
    <col min="1" max="1" width="5.7109375" style="5" customWidth="1"/>
    <col min="2" max="2" width="3.42578125" style="5" hidden="1" customWidth="1"/>
    <col min="3" max="3" width="5.28515625" style="6" hidden="1" customWidth="1"/>
    <col min="4" max="4" width="4.140625" style="6" customWidth="1"/>
    <col min="5" max="5" width="14.42578125" style="6" customWidth="1"/>
    <col min="6" max="6" width="49" style="5" customWidth="1"/>
    <col min="7" max="7" width="12.5703125" style="5" customWidth="1"/>
    <col min="8" max="8" width="11.85546875" style="5" customWidth="1"/>
    <col min="9" max="12" width="12.5703125" style="5" customWidth="1"/>
    <col min="13" max="27" width="14.28515625" style="5" customWidth="1"/>
    <col min="28" max="29" width="11.42578125" style="5"/>
    <col min="30" max="30" width="12.28515625" style="5" customWidth="1"/>
    <col min="31" max="34" width="11.42578125" style="5"/>
    <col min="35" max="16384" width="11.42578125" style="2"/>
  </cols>
  <sheetData>
    <row r="1" spans="1:34" ht="24.95" customHeight="1" thickBot="1" x14ac:dyDescent="0.3">
      <c r="A1" s="2"/>
      <c r="B1" s="120"/>
      <c r="C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ht="24.95" customHeight="1" x14ac:dyDescent="0.25">
      <c r="A2" s="2"/>
      <c r="B2" s="3"/>
      <c r="C2" s="4"/>
      <c r="D2" s="4"/>
      <c r="E2" s="2"/>
      <c r="F2" s="122" t="str">
        <f ca="1">'Datos OM'!F2</f>
        <v>EM                                 RC                             PP</v>
      </c>
      <c r="G2" s="119">
        <f>COUNTA(F4:F505)</f>
        <v>2</v>
      </c>
      <c r="H2" s="148" t="str">
        <f ca="1">'Datos OM'!H2</f>
        <v>Preguntas Almacenadas</v>
      </c>
      <c r="I2" s="2"/>
      <c r="J2" s="2"/>
      <c r="K2" s="2"/>
      <c r="L2" s="2"/>
      <c r="M2" s="2"/>
      <c r="N2" s="2"/>
      <c r="O2" s="2"/>
      <c r="P2" s="2"/>
      <c r="Q2" s="2"/>
      <c r="R2" s="2"/>
      <c r="S2" s="2"/>
      <c r="T2" s="2"/>
      <c r="U2" s="2"/>
      <c r="V2" s="2"/>
      <c r="W2" s="2"/>
      <c r="X2" s="2"/>
      <c r="Y2" s="2"/>
      <c r="Z2" s="2"/>
      <c r="AA2" s="2"/>
      <c r="AB2" s="2"/>
      <c r="AC2" s="2"/>
      <c r="AD2" s="2"/>
      <c r="AE2" s="2"/>
      <c r="AF2" s="2"/>
      <c r="AG2" s="2"/>
      <c r="AH2" s="2"/>
    </row>
    <row r="3" spans="1:34" s="23" customFormat="1" ht="50.1" customHeight="1" x14ac:dyDescent="0.25">
      <c r="A3" s="151" t="str">
        <f ca="1">INDIRECT("Z_BP_19_"&amp;IDIOMA)</f>
        <v>Respuesta</v>
      </c>
      <c r="B3" s="8"/>
      <c r="C3" s="51"/>
      <c r="D3" s="152" t="str">
        <f ca="1">INDIRECT("Z_BP_18_"&amp;IDIOMA)</f>
        <v>Mayúsculas</v>
      </c>
      <c r="E3" s="66" t="str">
        <f ca="1">'Datos OM'!E3</f>
        <v>Descripción</v>
      </c>
      <c r="F3" s="121" t="str">
        <f ca="1">"FastTest PlugIn - "&amp;UPPER(INICIO!P23)&amp;"
"&amp;INDIRECT("Z_BP_03_"&amp;IDIOMA)</f>
        <v>FastTest PlugIn - RESPUESTA CORTA
Enunciado de la pregunta</v>
      </c>
      <c r="G3" s="60" t="str">
        <f ca="1">$A$3&amp;" 01"</f>
        <v>Respuesta 01</v>
      </c>
      <c r="H3" s="100" t="str">
        <f ca="1">INDIRECT("Z_BP_09_"&amp;IDIOMA)&amp;" 01"</f>
        <v>Puntos 01</v>
      </c>
      <c r="I3" s="100" t="str">
        <f ca="1">INDIRECT("Z_BP_07_"&amp;IDIOMA)&amp;" 01"</f>
        <v>Retroalim. 01</v>
      </c>
      <c r="J3" s="61" t="str">
        <f ca="1">$A$3&amp;" 02"</f>
        <v>Respuesta 02</v>
      </c>
      <c r="K3" s="101" t="str">
        <f ca="1">INDIRECT("Z_BP_09_"&amp;IDIOMA)&amp;" 02"</f>
        <v>Puntos 02</v>
      </c>
      <c r="L3" s="101" t="str">
        <f ca="1">INDIRECT("Z_BP_07_"&amp;IDIOMA)&amp;" 02"</f>
        <v>Retroalim. 02</v>
      </c>
      <c r="M3" s="61" t="str">
        <f ca="1">$A$3&amp;" 03"</f>
        <v>Respuesta 03</v>
      </c>
      <c r="N3" s="101" t="str">
        <f ca="1">INDIRECT("Z_BP_09_"&amp;IDIOMA)&amp;" 03"</f>
        <v>Puntos 03</v>
      </c>
      <c r="O3" s="101" t="str">
        <f ca="1">INDIRECT("Z_BP_07_"&amp;IDIOMA)&amp;" 03"</f>
        <v>Retroalim. 03</v>
      </c>
      <c r="P3" s="62" t="str">
        <f ca="1">$A$3&amp;" 04"</f>
        <v>Respuesta 04</v>
      </c>
      <c r="Q3" s="102" t="str">
        <f ca="1">INDIRECT("Z_BP_09_"&amp;IDIOMA)&amp;" 04"</f>
        <v>Puntos 04</v>
      </c>
      <c r="R3" s="102" t="str">
        <f ca="1">INDIRECT("Z_BP_07_"&amp;IDIOMA)&amp;" 04"</f>
        <v>Retroalim. 04</v>
      </c>
      <c r="S3" s="63" t="str">
        <f ca="1">$A$3&amp;" 05"</f>
        <v>Respuesta 05</v>
      </c>
      <c r="T3" s="103" t="str">
        <f ca="1">INDIRECT("Z_BP_09_"&amp;IDIOMA)&amp;" 05"</f>
        <v>Puntos 05</v>
      </c>
      <c r="U3" s="103" t="str">
        <f ca="1">INDIRECT("Z_BP_07_"&amp;IDIOMA)&amp;" 05"</f>
        <v>Retroalim. 05</v>
      </c>
      <c r="V3" s="64" t="str">
        <f ca="1">$A$3&amp;" 06"</f>
        <v>Respuesta 06</v>
      </c>
      <c r="W3" s="104" t="str">
        <f ca="1">INDIRECT("Z_BP_09_"&amp;IDIOMA)&amp;" 06"</f>
        <v>Puntos 06</v>
      </c>
      <c r="X3" s="104" t="str">
        <f ca="1">INDIRECT("Z_BP_07_"&amp;IDIOMA)&amp;" 06"</f>
        <v>Retroalim. 06</v>
      </c>
      <c r="Y3" s="60" t="str">
        <f ca="1">$A$3&amp;" 07"</f>
        <v>Respuesta 07</v>
      </c>
      <c r="Z3" s="100" t="str">
        <f ca="1">INDIRECT("Z_BP_09_"&amp;IDIOMA)&amp;" 07"</f>
        <v>Puntos 07</v>
      </c>
      <c r="AA3" s="100" t="str">
        <f ca="1">INDIRECT("Z_BP_07_"&amp;IDIOMA)&amp;" 07"</f>
        <v>Retroalim. 07</v>
      </c>
      <c r="AB3" s="61" t="str">
        <f ca="1">$A$3&amp;" 08"</f>
        <v>Respuesta 08</v>
      </c>
      <c r="AC3" s="101" t="str">
        <f ca="1">INDIRECT("Z_BP_09_"&amp;IDIOMA)&amp;" 08"</f>
        <v>Puntos 08</v>
      </c>
      <c r="AD3" s="101" t="str">
        <f ca="1">INDIRECT("Z_BP_07_"&amp;IDIOMA)&amp;" 08"</f>
        <v>Retroalim. 08</v>
      </c>
      <c r="AE3" s="105" t="str">
        <f ca="1">'Datos OM'!AE3</f>
        <v>Pista 1</v>
      </c>
      <c r="AF3" s="106" t="str">
        <f ca="1">'Datos OM'!AF3</f>
        <v>Pista 2</v>
      </c>
      <c r="AG3" s="107" t="str">
        <f ca="1">'Datos OM'!AG3</f>
        <v>Pista 3</v>
      </c>
      <c r="AH3" s="108" t="str">
        <f ca="1">'Datos OM'!AH3</f>
        <v>Pista 4</v>
      </c>
    </row>
    <row r="4" spans="1:34" ht="30" x14ac:dyDescent="0.25">
      <c r="A4" s="10">
        <f>IF(COUNTA(G4:AD4)/3=0,"",COUNTA(G4:AD4)/3)</f>
        <v>8</v>
      </c>
      <c r="B4" s="52"/>
      <c r="C4" s="53"/>
      <c r="D4" s="156">
        <v>1</v>
      </c>
      <c r="E4" s="78" t="s">
        <v>106</v>
      </c>
      <c r="F4" s="133" t="s">
        <v>107</v>
      </c>
      <c r="G4" s="54" t="s">
        <v>108</v>
      </c>
      <c r="H4" s="109">
        <v>100</v>
      </c>
      <c r="I4" s="109" t="s">
        <v>109</v>
      </c>
      <c r="J4" s="55" t="s">
        <v>110</v>
      </c>
      <c r="K4" s="110">
        <v>100</v>
      </c>
      <c r="L4" s="110" t="s">
        <v>109</v>
      </c>
      <c r="M4" s="55" t="s">
        <v>111</v>
      </c>
      <c r="N4" s="110">
        <v>100</v>
      </c>
      <c r="O4" s="110" t="s">
        <v>109</v>
      </c>
      <c r="P4" s="57" t="s">
        <v>112</v>
      </c>
      <c r="Q4" s="111">
        <v>100</v>
      </c>
      <c r="R4" s="111" t="s">
        <v>109</v>
      </c>
      <c r="S4" s="58" t="s">
        <v>113</v>
      </c>
      <c r="T4" s="112">
        <v>100</v>
      </c>
      <c r="U4" s="112" t="s">
        <v>109</v>
      </c>
      <c r="V4" s="59" t="s">
        <v>114</v>
      </c>
      <c r="W4" s="113">
        <v>100</v>
      </c>
      <c r="X4" s="113" t="s">
        <v>109</v>
      </c>
      <c r="Y4" s="54" t="s">
        <v>115</v>
      </c>
      <c r="Z4" s="109">
        <v>100</v>
      </c>
      <c r="AA4" s="109" t="s">
        <v>109</v>
      </c>
      <c r="AB4" s="55" t="s">
        <v>116</v>
      </c>
      <c r="AC4" s="110">
        <v>100</v>
      </c>
      <c r="AD4" s="110" t="s">
        <v>109</v>
      </c>
      <c r="AE4" s="96" t="s">
        <v>117</v>
      </c>
      <c r="AF4" s="97" t="s">
        <v>118</v>
      </c>
      <c r="AG4" s="98" t="s">
        <v>119</v>
      </c>
      <c r="AH4" s="99" t="s">
        <v>120</v>
      </c>
    </row>
    <row r="5" spans="1:34" x14ac:dyDescent="0.25">
      <c r="A5" s="10">
        <f t="shared" ref="A5:A68" si="0">IF(COUNTA(G5:AD5)/3=0,"",COUNTA(G5:AD5)/3)</f>
        <v>3</v>
      </c>
      <c r="B5" s="52"/>
      <c r="C5" s="53"/>
      <c r="D5" s="156">
        <v>0</v>
      </c>
      <c r="E5" s="78" t="s">
        <v>121</v>
      </c>
      <c r="F5" s="133" t="s">
        <v>122</v>
      </c>
      <c r="G5" s="54" t="s">
        <v>123</v>
      </c>
      <c r="H5" s="109">
        <v>100</v>
      </c>
      <c r="I5" s="109" t="s">
        <v>109</v>
      </c>
      <c r="J5" s="55" t="s">
        <v>124</v>
      </c>
      <c r="K5" s="110">
        <v>50</v>
      </c>
      <c r="L5" s="110" t="s">
        <v>125</v>
      </c>
      <c r="M5" s="55" t="s">
        <v>126</v>
      </c>
      <c r="N5" s="110">
        <v>100</v>
      </c>
      <c r="O5" s="110" t="s">
        <v>127</v>
      </c>
      <c r="P5" s="57"/>
      <c r="Q5" s="111"/>
      <c r="R5" s="111"/>
      <c r="S5" s="58"/>
      <c r="T5" s="112"/>
      <c r="U5" s="112"/>
      <c r="V5" s="59"/>
      <c r="W5" s="113"/>
      <c r="X5" s="113"/>
      <c r="Y5" s="54"/>
      <c r="Z5" s="109"/>
      <c r="AA5" s="109"/>
      <c r="AB5" s="55"/>
      <c r="AC5" s="110"/>
      <c r="AD5" s="110"/>
      <c r="AE5" s="96"/>
      <c r="AF5" s="97"/>
      <c r="AG5" s="98"/>
      <c r="AH5" s="99"/>
    </row>
    <row r="6" spans="1:34" x14ac:dyDescent="0.25">
      <c r="A6" s="10" t="str">
        <f t="shared" si="0"/>
        <v/>
      </c>
      <c r="B6" s="52"/>
      <c r="C6" s="53"/>
      <c r="D6" s="153"/>
      <c r="E6" s="78"/>
      <c r="F6" s="133"/>
      <c r="G6" s="54"/>
      <c r="H6" s="109"/>
      <c r="I6" s="109"/>
      <c r="J6" s="55"/>
      <c r="K6" s="110"/>
      <c r="L6" s="110"/>
      <c r="M6" s="55"/>
      <c r="N6" s="110"/>
      <c r="O6" s="110"/>
      <c r="P6" s="57"/>
      <c r="Q6" s="111"/>
      <c r="R6" s="111"/>
      <c r="S6" s="58"/>
      <c r="T6" s="112"/>
      <c r="U6" s="112"/>
      <c r="V6" s="59"/>
      <c r="W6" s="113"/>
      <c r="X6" s="113"/>
      <c r="Y6" s="54"/>
      <c r="Z6" s="109"/>
      <c r="AA6" s="109"/>
      <c r="AB6" s="55"/>
      <c r="AC6" s="110"/>
      <c r="AD6" s="110"/>
      <c r="AE6" s="96"/>
      <c r="AF6" s="97"/>
      <c r="AG6" s="98"/>
      <c r="AH6" s="99"/>
    </row>
    <row r="7" spans="1:34" x14ac:dyDescent="0.25">
      <c r="A7" s="10" t="str">
        <f t="shared" si="0"/>
        <v/>
      </c>
      <c r="B7" s="52"/>
      <c r="C7" s="53"/>
      <c r="D7" s="153"/>
      <c r="E7" s="78"/>
      <c r="F7" s="133"/>
      <c r="G7" s="54"/>
      <c r="H7" s="109"/>
      <c r="I7" s="109"/>
      <c r="J7" s="55"/>
      <c r="K7" s="110"/>
      <c r="L7" s="110"/>
      <c r="M7" s="55"/>
      <c r="N7" s="110"/>
      <c r="O7" s="110"/>
      <c r="P7" s="57"/>
      <c r="Q7" s="111"/>
      <c r="R7" s="111"/>
      <c r="S7" s="58"/>
      <c r="T7" s="112"/>
      <c r="U7" s="112"/>
      <c r="V7" s="59"/>
      <c r="W7" s="113"/>
      <c r="X7" s="113"/>
      <c r="Y7" s="54"/>
      <c r="Z7" s="109"/>
      <c r="AA7" s="109"/>
      <c r="AB7" s="55"/>
      <c r="AC7" s="110"/>
      <c r="AD7" s="110"/>
      <c r="AE7" s="96"/>
      <c r="AF7" s="97"/>
      <c r="AG7" s="98"/>
      <c r="AH7" s="99"/>
    </row>
    <row r="8" spans="1:34" x14ac:dyDescent="0.25">
      <c r="A8" s="10" t="str">
        <f t="shared" si="0"/>
        <v/>
      </c>
      <c r="B8" s="52"/>
      <c r="C8" s="53"/>
      <c r="D8" s="153"/>
      <c r="E8" s="78"/>
      <c r="F8" s="133"/>
      <c r="G8" s="54"/>
      <c r="H8" s="109"/>
      <c r="I8" s="109"/>
      <c r="J8" s="55"/>
      <c r="K8" s="110"/>
      <c r="L8" s="110"/>
      <c r="M8" s="55"/>
      <c r="N8" s="110"/>
      <c r="O8" s="110"/>
      <c r="P8" s="57"/>
      <c r="Q8" s="111"/>
      <c r="R8" s="111"/>
      <c r="S8" s="58"/>
      <c r="T8" s="112"/>
      <c r="U8" s="112"/>
      <c r="V8" s="59"/>
      <c r="W8" s="113"/>
      <c r="X8" s="113"/>
      <c r="Y8" s="54"/>
      <c r="Z8" s="109"/>
      <c r="AA8" s="109"/>
      <c r="AB8" s="55"/>
      <c r="AC8" s="110"/>
      <c r="AD8" s="110"/>
      <c r="AE8" s="96"/>
      <c r="AF8" s="97"/>
      <c r="AG8" s="98"/>
      <c r="AH8" s="99"/>
    </row>
    <row r="9" spans="1:34" x14ac:dyDescent="0.25">
      <c r="A9" s="10" t="str">
        <f t="shared" si="0"/>
        <v/>
      </c>
      <c r="B9" s="52"/>
      <c r="C9" s="53"/>
      <c r="D9" s="153"/>
      <c r="E9" s="78"/>
      <c r="F9" s="133"/>
      <c r="G9" s="54"/>
      <c r="H9" s="109"/>
      <c r="I9" s="109"/>
      <c r="J9" s="55"/>
      <c r="K9" s="110"/>
      <c r="L9" s="110"/>
      <c r="M9" s="55"/>
      <c r="N9" s="110"/>
      <c r="O9" s="110"/>
      <c r="P9" s="57"/>
      <c r="Q9" s="111"/>
      <c r="R9" s="111"/>
      <c r="S9" s="58"/>
      <c r="T9" s="112"/>
      <c r="U9" s="112"/>
      <c r="V9" s="59"/>
      <c r="W9" s="113"/>
      <c r="X9" s="113"/>
      <c r="Y9" s="54"/>
      <c r="Z9" s="109"/>
      <c r="AA9" s="109"/>
      <c r="AB9" s="55"/>
      <c r="AC9" s="110"/>
      <c r="AD9" s="110"/>
      <c r="AE9" s="96"/>
      <c r="AF9" s="97"/>
      <c r="AG9" s="98"/>
      <c r="AH9" s="99"/>
    </row>
    <row r="10" spans="1:34" x14ac:dyDescent="0.25">
      <c r="A10" s="10" t="str">
        <f t="shared" si="0"/>
        <v/>
      </c>
      <c r="B10" s="52"/>
      <c r="C10" s="53"/>
      <c r="D10" s="153"/>
      <c r="E10" s="78"/>
      <c r="F10" s="133"/>
      <c r="G10" s="54"/>
      <c r="H10" s="109"/>
      <c r="I10" s="109"/>
      <c r="J10" s="55"/>
      <c r="K10" s="110"/>
      <c r="L10" s="110"/>
      <c r="M10" s="55"/>
      <c r="N10" s="110"/>
      <c r="O10" s="110"/>
      <c r="P10" s="57"/>
      <c r="Q10" s="111"/>
      <c r="R10" s="111"/>
      <c r="S10" s="58"/>
      <c r="T10" s="112"/>
      <c r="U10" s="112"/>
      <c r="V10" s="59"/>
      <c r="W10" s="113"/>
      <c r="X10" s="113"/>
      <c r="Y10" s="54"/>
      <c r="Z10" s="109"/>
      <c r="AA10" s="109"/>
      <c r="AB10" s="55"/>
      <c r="AC10" s="110"/>
      <c r="AD10" s="110"/>
      <c r="AE10" s="96"/>
      <c r="AF10" s="97"/>
      <c r="AG10" s="98"/>
      <c r="AH10" s="99"/>
    </row>
    <row r="11" spans="1:34" x14ac:dyDescent="0.25">
      <c r="A11" s="10" t="str">
        <f t="shared" si="0"/>
        <v/>
      </c>
      <c r="B11" s="52"/>
      <c r="C11" s="53"/>
      <c r="D11" s="153"/>
      <c r="E11" s="78"/>
      <c r="F11" s="133"/>
      <c r="G11" s="54"/>
      <c r="H11" s="109"/>
      <c r="I11" s="109"/>
      <c r="J11" s="55"/>
      <c r="K11" s="110"/>
      <c r="L11" s="110"/>
      <c r="M11" s="55"/>
      <c r="N11" s="110"/>
      <c r="O11" s="110"/>
      <c r="P11" s="57"/>
      <c r="Q11" s="111"/>
      <c r="R11" s="111"/>
      <c r="S11" s="58"/>
      <c r="T11" s="112"/>
      <c r="U11" s="112"/>
      <c r="V11" s="59"/>
      <c r="W11" s="113"/>
      <c r="X11" s="113"/>
      <c r="Y11" s="54"/>
      <c r="Z11" s="109"/>
      <c r="AA11" s="109"/>
      <c r="AB11" s="55"/>
      <c r="AC11" s="110"/>
      <c r="AD11" s="110"/>
      <c r="AE11" s="96"/>
      <c r="AF11" s="97"/>
      <c r="AG11" s="98"/>
      <c r="AH11" s="99"/>
    </row>
    <row r="12" spans="1:34" x14ac:dyDescent="0.25">
      <c r="A12" s="10" t="str">
        <f t="shared" si="0"/>
        <v/>
      </c>
      <c r="B12" s="52"/>
      <c r="C12" s="53"/>
      <c r="D12" s="153"/>
      <c r="E12" s="78"/>
      <c r="F12" s="133"/>
      <c r="G12" s="54"/>
      <c r="H12" s="109"/>
      <c r="I12" s="109"/>
      <c r="J12" s="55"/>
      <c r="K12" s="110"/>
      <c r="L12" s="110"/>
      <c r="M12" s="55"/>
      <c r="N12" s="110"/>
      <c r="O12" s="110"/>
      <c r="P12" s="57"/>
      <c r="Q12" s="111"/>
      <c r="R12" s="111"/>
      <c r="S12" s="58"/>
      <c r="T12" s="112"/>
      <c r="U12" s="112"/>
      <c r="V12" s="59"/>
      <c r="W12" s="113"/>
      <c r="X12" s="113"/>
      <c r="Y12" s="54"/>
      <c r="Z12" s="109"/>
      <c r="AA12" s="109"/>
      <c r="AB12" s="55"/>
      <c r="AC12" s="110"/>
      <c r="AD12" s="110"/>
      <c r="AE12" s="96"/>
      <c r="AF12" s="97"/>
      <c r="AG12" s="98"/>
      <c r="AH12" s="99"/>
    </row>
    <row r="13" spans="1:34" x14ac:dyDescent="0.25">
      <c r="A13" s="10" t="str">
        <f t="shared" si="0"/>
        <v/>
      </c>
      <c r="B13" s="52"/>
      <c r="C13" s="53"/>
      <c r="D13" s="153"/>
      <c r="E13" s="78"/>
      <c r="F13" s="133"/>
      <c r="G13" s="54"/>
      <c r="H13" s="109"/>
      <c r="I13" s="109"/>
      <c r="J13" s="55"/>
      <c r="K13" s="110"/>
      <c r="L13" s="110"/>
      <c r="M13" s="55"/>
      <c r="N13" s="110"/>
      <c r="O13" s="110"/>
      <c r="P13" s="57"/>
      <c r="Q13" s="111"/>
      <c r="R13" s="111"/>
      <c r="S13" s="58"/>
      <c r="T13" s="112"/>
      <c r="U13" s="112"/>
      <c r="V13" s="59"/>
      <c r="W13" s="113"/>
      <c r="X13" s="113"/>
      <c r="Y13" s="54"/>
      <c r="Z13" s="109"/>
      <c r="AA13" s="109"/>
      <c r="AB13" s="55"/>
      <c r="AC13" s="110"/>
      <c r="AD13" s="110"/>
      <c r="AE13" s="96"/>
      <c r="AF13" s="97"/>
      <c r="AG13" s="98"/>
      <c r="AH13" s="99"/>
    </row>
    <row r="14" spans="1:34" x14ac:dyDescent="0.25">
      <c r="A14" s="10" t="str">
        <f t="shared" si="0"/>
        <v/>
      </c>
      <c r="B14" s="52"/>
      <c r="C14" s="53"/>
      <c r="D14" s="153"/>
      <c r="E14" s="78"/>
      <c r="F14" s="133"/>
      <c r="G14" s="54"/>
      <c r="H14" s="109"/>
      <c r="I14" s="109"/>
      <c r="J14" s="55"/>
      <c r="K14" s="110"/>
      <c r="L14" s="110"/>
      <c r="M14" s="55"/>
      <c r="N14" s="110"/>
      <c r="O14" s="110"/>
      <c r="P14" s="57"/>
      <c r="Q14" s="111"/>
      <c r="R14" s="111"/>
      <c r="S14" s="58"/>
      <c r="T14" s="112"/>
      <c r="U14" s="112"/>
      <c r="V14" s="59"/>
      <c r="W14" s="113"/>
      <c r="X14" s="113"/>
      <c r="Y14" s="54"/>
      <c r="Z14" s="109"/>
      <c r="AA14" s="109"/>
      <c r="AB14" s="55"/>
      <c r="AC14" s="110"/>
      <c r="AD14" s="110"/>
      <c r="AE14" s="96"/>
      <c r="AF14" s="97"/>
      <c r="AG14" s="98"/>
      <c r="AH14" s="99"/>
    </row>
    <row r="15" spans="1:34" x14ac:dyDescent="0.25">
      <c r="A15" s="10" t="str">
        <f t="shared" si="0"/>
        <v/>
      </c>
      <c r="B15" s="52"/>
      <c r="C15" s="53"/>
      <c r="D15" s="153"/>
      <c r="E15" s="78"/>
      <c r="F15" s="133"/>
      <c r="G15" s="54"/>
      <c r="H15" s="109"/>
      <c r="I15" s="109"/>
      <c r="J15" s="55"/>
      <c r="K15" s="110"/>
      <c r="L15" s="110"/>
      <c r="M15" s="55"/>
      <c r="N15" s="110"/>
      <c r="O15" s="110"/>
      <c r="P15" s="57"/>
      <c r="Q15" s="111"/>
      <c r="R15" s="111"/>
      <c r="S15" s="58"/>
      <c r="T15" s="112"/>
      <c r="U15" s="112"/>
      <c r="V15" s="59"/>
      <c r="W15" s="113"/>
      <c r="X15" s="113"/>
      <c r="Y15" s="54"/>
      <c r="Z15" s="109"/>
      <c r="AA15" s="109"/>
      <c r="AB15" s="55"/>
      <c r="AC15" s="110"/>
      <c r="AD15" s="110"/>
      <c r="AE15" s="96"/>
      <c r="AF15" s="97"/>
      <c r="AG15" s="98"/>
      <c r="AH15" s="99"/>
    </row>
    <row r="16" spans="1:34" x14ac:dyDescent="0.25">
      <c r="A16" s="10" t="str">
        <f t="shared" si="0"/>
        <v/>
      </c>
      <c r="B16" s="52"/>
      <c r="C16" s="53"/>
      <c r="D16" s="153"/>
      <c r="E16" s="78"/>
      <c r="F16" s="133"/>
      <c r="G16" s="54"/>
      <c r="H16" s="109"/>
      <c r="I16" s="109"/>
      <c r="J16" s="55"/>
      <c r="K16" s="110"/>
      <c r="L16" s="110"/>
      <c r="M16" s="55"/>
      <c r="N16" s="110"/>
      <c r="O16" s="110"/>
      <c r="P16" s="57"/>
      <c r="Q16" s="111"/>
      <c r="R16" s="111"/>
      <c r="S16" s="58"/>
      <c r="T16" s="112"/>
      <c r="U16" s="112"/>
      <c r="V16" s="59"/>
      <c r="W16" s="113"/>
      <c r="X16" s="113"/>
      <c r="Y16" s="54"/>
      <c r="Z16" s="109"/>
      <c r="AA16" s="109"/>
      <c r="AB16" s="55"/>
      <c r="AC16" s="110"/>
      <c r="AD16" s="110"/>
      <c r="AE16" s="96"/>
      <c r="AF16" s="97"/>
      <c r="AG16" s="98"/>
      <c r="AH16" s="99"/>
    </row>
    <row r="17" spans="1:34" x14ac:dyDescent="0.25">
      <c r="A17" s="10" t="str">
        <f t="shared" si="0"/>
        <v/>
      </c>
      <c r="B17" s="52"/>
      <c r="C17" s="53"/>
      <c r="D17" s="153"/>
      <c r="E17" s="78"/>
      <c r="F17" s="133"/>
      <c r="G17" s="54"/>
      <c r="H17" s="109"/>
      <c r="I17" s="109"/>
      <c r="J17" s="55"/>
      <c r="K17" s="110"/>
      <c r="L17" s="110"/>
      <c r="M17" s="55"/>
      <c r="N17" s="110"/>
      <c r="O17" s="110"/>
      <c r="P17" s="57"/>
      <c r="Q17" s="111"/>
      <c r="R17" s="111"/>
      <c r="S17" s="58"/>
      <c r="T17" s="112"/>
      <c r="U17" s="112"/>
      <c r="V17" s="59"/>
      <c r="W17" s="113"/>
      <c r="X17" s="113"/>
      <c r="Y17" s="54"/>
      <c r="Z17" s="109"/>
      <c r="AA17" s="109"/>
      <c r="AB17" s="55"/>
      <c r="AC17" s="110"/>
      <c r="AD17" s="110"/>
      <c r="AE17" s="96"/>
      <c r="AF17" s="97"/>
      <c r="AG17" s="98"/>
      <c r="AH17" s="99"/>
    </row>
    <row r="18" spans="1:34" x14ac:dyDescent="0.25">
      <c r="A18" s="10" t="str">
        <f t="shared" si="0"/>
        <v/>
      </c>
      <c r="B18" s="52"/>
      <c r="C18" s="53"/>
      <c r="D18" s="153"/>
      <c r="E18" s="78"/>
      <c r="F18" s="133"/>
      <c r="G18" s="54"/>
      <c r="H18" s="109"/>
      <c r="I18" s="109"/>
      <c r="J18" s="55"/>
      <c r="K18" s="110"/>
      <c r="L18" s="110"/>
      <c r="M18" s="55"/>
      <c r="N18" s="110"/>
      <c r="O18" s="110"/>
      <c r="P18" s="57"/>
      <c r="Q18" s="111"/>
      <c r="R18" s="111"/>
      <c r="S18" s="58"/>
      <c r="T18" s="112"/>
      <c r="U18" s="112"/>
      <c r="V18" s="59"/>
      <c r="W18" s="113"/>
      <c r="X18" s="113"/>
      <c r="Y18" s="54"/>
      <c r="Z18" s="109"/>
      <c r="AA18" s="109"/>
      <c r="AB18" s="55"/>
      <c r="AC18" s="110"/>
      <c r="AD18" s="110"/>
      <c r="AE18" s="96"/>
      <c r="AF18" s="97"/>
      <c r="AG18" s="98"/>
      <c r="AH18" s="99"/>
    </row>
    <row r="19" spans="1:34" x14ac:dyDescent="0.25">
      <c r="A19" s="10" t="str">
        <f t="shared" si="0"/>
        <v/>
      </c>
      <c r="B19" s="52"/>
      <c r="C19" s="53"/>
      <c r="D19" s="153"/>
      <c r="E19" s="78"/>
      <c r="F19" s="133"/>
      <c r="G19" s="54"/>
      <c r="H19" s="109"/>
      <c r="I19" s="109"/>
      <c r="J19" s="55"/>
      <c r="K19" s="110"/>
      <c r="L19" s="110"/>
      <c r="M19" s="55"/>
      <c r="N19" s="110"/>
      <c r="O19" s="110"/>
      <c r="P19" s="57"/>
      <c r="Q19" s="111"/>
      <c r="R19" s="111"/>
      <c r="S19" s="58"/>
      <c r="T19" s="112"/>
      <c r="U19" s="112"/>
      <c r="V19" s="59"/>
      <c r="W19" s="113"/>
      <c r="X19" s="113"/>
      <c r="Y19" s="54"/>
      <c r="Z19" s="109"/>
      <c r="AA19" s="109"/>
      <c r="AB19" s="55"/>
      <c r="AC19" s="110"/>
      <c r="AD19" s="110"/>
      <c r="AE19" s="96"/>
      <c r="AF19" s="97"/>
      <c r="AG19" s="98"/>
      <c r="AH19" s="99"/>
    </row>
    <row r="20" spans="1:34" x14ac:dyDescent="0.25">
      <c r="A20" s="10" t="str">
        <f t="shared" si="0"/>
        <v/>
      </c>
      <c r="B20" s="52"/>
      <c r="C20" s="53"/>
      <c r="D20" s="153"/>
      <c r="E20" s="78"/>
      <c r="F20" s="133"/>
      <c r="G20" s="54"/>
      <c r="H20" s="109"/>
      <c r="I20" s="109"/>
      <c r="J20" s="55"/>
      <c r="K20" s="110"/>
      <c r="L20" s="110"/>
      <c r="M20" s="55"/>
      <c r="N20" s="110"/>
      <c r="O20" s="110"/>
      <c r="P20" s="57"/>
      <c r="Q20" s="111"/>
      <c r="R20" s="111"/>
      <c r="S20" s="58"/>
      <c r="T20" s="112"/>
      <c r="U20" s="112"/>
      <c r="V20" s="59"/>
      <c r="W20" s="113"/>
      <c r="X20" s="113"/>
      <c r="Y20" s="54"/>
      <c r="Z20" s="109"/>
      <c r="AA20" s="109"/>
      <c r="AB20" s="55"/>
      <c r="AC20" s="110"/>
      <c r="AD20" s="110"/>
      <c r="AE20" s="96"/>
      <c r="AF20" s="97"/>
      <c r="AG20" s="98"/>
      <c r="AH20" s="99"/>
    </row>
    <row r="21" spans="1:34" x14ac:dyDescent="0.25">
      <c r="A21" s="10" t="str">
        <f t="shared" si="0"/>
        <v/>
      </c>
      <c r="B21" s="52"/>
      <c r="C21" s="53"/>
      <c r="D21" s="153"/>
      <c r="E21" s="78"/>
      <c r="F21" s="133"/>
      <c r="G21" s="54"/>
      <c r="H21" s="109"/>
      <c r="I21" s="109"/>
      <c r="J21" s="55"/>
      <c r="K21" s="110"/>
      <c r="L21" s="110"/>
      <c r="M21" s="55"/>
      <c r="N21" s="110"/>
      <c r="O21" s="110"/>
      <c r="P21" s="57"/>
      <c r="Q21" s="111"/>
      <c r="R21" s="111"/>
      <c r="S21" s="58"/>
      <c r="T21" s="112"/>
      <c r="U21" s="112"/>
      <c r="V21" s="59"/>
      <c r="W21" s="113"/>
      <c r="X21" s="113"/>
      <c r="Y21" s="54"/>
      <c r="Z21" s="109"/>
      <c r="AA21" s="109"/>
      <c r="AB21" s="55"/>
      <c r="AC21" s="110"/>
      <c r="AD21" s="110"/>
      <c r="AE21" s="96"/>
      <c r="AF21" s="97"/>
      <c r="AG21" s="98"/>
      <c r="AH21" s="99"/>
    </row>
    <row r="22" spans="1:34" x14ac:dyDescent="0.25">
      <c r="A22" s="10" t="str">
        <f t="shared" si="0"/>
        <v/>
      </c>
      <c r="B22" s="52"/>
      <c r="C22" s="53"/>
      <c r="D22" s="153"/>
      <c r="E22" s="78"/>
      <c r="F22" s="133"/>
      <c r="G22" s="54"/>
      <c r="H22" s="109"/>
      <c r="I22" s="109"/>
      <c r="J22" s="55"/>
      <c r="K22" s="110"/>
      <c r="L22" s="110"/>
      <c r="M22" s="55"/>
      <c r="N22" s="110"/>
      <c r="O22" s="110"/>
      <c r="P22" s="57"/>
      <c r="Q22" s="111"/>
      <c r="R22" s="111"/>
      <c r="S22" s="58"/>
      <c r="T22" s="112"/>
      <c r="U22" s="112"/>
      <c r="V22" s="59"/>
      <c r="W22" s="113"/>
      <c r="X22" s="113"/>
      <c r="Y22" s="54"/>
      <c r="Z22" s="109"/>
      <c r="AA22" s="109"/>
      <c r="AB22" s="55"/>
      <c r="AC22" s="110"/>
      <c r="AD22" s="110"/>
      <c r="AE22" s="96"/>
      <c r="AF22" s="97"/>
      <c r="AG22" s="98"/>
      <c r="AH22" s="99"/>
    </row>
    <row r="23" spans="1:34" x14ac:dyDescent="0.25">
      <c r="A23" s="10" t="str">
        <f t="shared" si="0"/>
        <v/>
      </c>
      <c r="B23" s="52"/>
      <c r="C23" s="53"/>
      <c r="D23" s="153"/>
      <c r="E23" s="78"/>
      <c r="F23" s="133"/>
      <c r="G23" s="54"/>
      <c r="H23" s="109"/>
      <c r="I23" s="109"/>
      <c r="J23" s="55"/>
      <c r="K23" s="110"/>
      <c r="L23" s="110"/>
      <c r="M23" s="55"/>
      <c r="N23" s="110"/>
      <c r="O23" s="110"/>
      <c r="P23" s="57"/>
      <c r="Q23" s="111"/>
      <c r="R23" s="111"/>
      <c r="S23" s="58"/>
      <c r="T23" s="112"/>
      <c r="U23" s="112"/>
      <c r="V23" s="59"/>
      <c r="W23" s="113"/>
      <c r="X23" s="113"/>
      <c r="Y23" s="54"/>
      <c r="Z23" s="109"/>
      <c r="AA23" s="109"/>
      <c r="AB23" s="55"/>
      <c r="AC23" s="110"/>
      <c r="AD23" s="110"/>
      <c r="AE23" s="96"/>
      <c r="AF23" s="97"/>
      <c r="AG23" s="98"/>
      <c r="AH23" s="99"/>
    </row>
    <row r="24" spans="1:34" x14ac:dyDescent="0.25">
      <c r="A24" s="10" t="str">
        <f t="shared" si="0"/>
        <v/>
      </c>
      <c r="B24" s="52"/>
      <c r="C24" s="53"/>
      <c r="D24" s="153"/>
      <c r="E24" s="78"/>
      <c r="F24" s="133"/>
      <c r="G24" s="54"/>
      <c r="H24" s="109"/>
      <c r="I24" s="109"/>
      <c r="J24" s="55"/>
      <c r="K24" s="110"/>
      <c r="L24" s="110"/>
      <c r="M24" s="55"/>
      <c r="N24" s="110"/>
      <c r="O24" s="110"/>
      <c r="P24" s="57"/>
      <c r="Q24" s="111"/>
      <c r="R24" s="111"/>
      <c r="S24" s="58"/>
      <c r="T24" s="112"/>
      <c r="U24" s="112"/>
      <c r="V24" s="59"/>
      <c r="W24" s="113"/>
      <c r="X24" s="113"/>
      <c r="Y24" s="54"/>
      <c r="Z24" s="109"/>
      <c r="AA24" s="109"/>
      <c r="AB24" s="55"/>
      <c r="AC24" s="110"/>
      <c r="AD24" s="110"/>
      <c r="AE24" s="96"/>
      <c r="AF24" s="97"/>
      <c r="AG24" s="98"/>
      <c r="AH24" s="99"/>
    </row>
    <row r="25" spans="1:34" x14ac:dyDescent="0.25">
      <c r="A25" s="10" t="str">
        <f t="shared" si="0"/>
        <v/>
      </c>
      <c r="B25" s="52"/>
      <c r="C25" s="53"/>
      <c r="D25" s="153"/>
      <c r="E25" s="78"/>
      <c r="F25" s="133"/>
      <c r="G25" s="54"/>
      <c r="H25" s="109"/>
      <c r="I25" s="109"/>
      <c r="J25" s="55"/>
      <c r="K25" s="110"/>
      <c r="L25" s="110"/>
      <c r="M25" s="55"/>
      <c r="N25" s="110"/>
      <c r="O25" s="110"/>
      <c r="P25" s="57"/>
      <c r="Q25" s="111"/>
      <c r="R25" s="111"/>
      <c r="S25" s="58"/>
      <c r="T25" s="112"/>
      <c r="U25" s="112"/>
      <c r="V25" s="59"/>
      <c r="W25" s="113"/>
      <c r="X25" s="113"/>
      <c r="Y25" s="54"/>
      <c r="Z25" s="109"/>
      <c r="AA25" s="109"/>
      <c r="AB25" s="55"/>
      <c r="AC25" s="110"/>
      <c r="AD25" s="110"/>
      <c r="AE25" s="96"/>
      <c r="AF25" s="97"/>
      <c r="AG25" s="98"/>
      <c r="AH25" s="99"/>
    </row>
    <row r="26" spans="1:34" x14ac:dyDescent="0.25">
      <c r="A26" s="10" t="str">
        <f t="shared" si="0"/>
        <v/>
      </c>
      <c r="B26" s="52"/>
      <c r="C26" s="53"/>
      <c r="D26" s="153"/>
      <c r="E26" s="78"/>
      <c r="F26" s="133"/>
      <c r="G26" s="54"/>
      <c r="H26" s="109"/>
      <c r="I26" s="109"/>
      <c r="J26" s="55"/>
      <c r="K26" s="110"/>
      <c r="L26" s="110"/>
      <c r="M26" s="55"/>
      <c r="N26" s="110"/>
      <c r="O26" s="110"/>
      <c r="P26" s="57"/>
      <c r="Q26" s="111"/>
      <c r="R26" s="111"/>
      <c r="S26" s="58"/>
      <c r="T26" s="112"/>
      <c r="U26" s="112"/>
      <c r="V26" s="59"/>
      <c r="W26" s="113"/>
      <c r="X26" s="113"/>
      <c r="Y26" s="54"/>
      <c r="Z26" s="109"/>
      <c r="AA26" s="109"/>
      <c r="AB26" s="55"/>
      <c r="AC26" s="110"/>
      <c r="AD26" s="110"/>
      <c r="AE26" s="96"/>
      <c r="AF26" s="97"/>
      <c r="AG26" s="98"/>
      <c r="AH26" s="99"/>
    </row>
    <row r="27" spans="1:34" x14ac:dyDescent="0.25">
      <c r="A27" s="10" t="str">
        <f t="shared" si="0"/>
        <v/>
      </c>
      <c r="B27" s="52"/>
      <c r="C27" s="53"/>
      <c r="D27" s="153"/>
      <c r="E27" s="78"/>
      <c r="F27" s="133"/>
      <c r="G27" s="54"/>
      <c r="H27" s="109"/>
      <c r="I27" s="109"/>
      <c r="J27" s="55"/>
      <c r="K27" s="110"/>
      <c r="L27" s="110"/>
      <c r="M27" s="55"/>
      <c r="N27" s="110"/>
      <c r="O27" s="110"/>
      <c r="P27" s="57"/>
      <c r="Q27" s="111"/>
      <c r="R27" s="111"/>
      <c r="S27" s="58"/>
      <c r="T27" s="112"/>
      <c r="U27" s="112"/>
      <c r="V27" s="59"/>
      <c r="W27" s="113"/>
      <c r="X27" s="113"/>
      <c r="Y27" s="54"/>
      <c r="Z27" s="109"/>
      <c r="AA27" s="109"/>
      <c r="AB27" s="55"/>
      <c r="AC27" s="110"/>
      <c r="AD27" s="110"/>
      <c r="AE27" s="96"/>
      <c r="AF27" s="97"/>
      <c r="AG27" s="98"/>
      <c r="AH27" s="99"/>
    </row>
    <row r="28" spans="1:34" x14ac:dyDescent="0.25">
      <c r="A28" s="10" t="str">
        <f t="shared" si="0"/>
        <v/>
      </c>
      <c r="B28" s="52"/>
      <c r="C28" s="53"/>
      <c r="D28" s="153"/>
      <c r="E28" s="78"/>
      <c r="F28" s="133"/>
      <c r="G28" s="54"/>
      <c r="H28" s="109"/>
      <c r="I28" s="109"/>
      <c r="J28" s="55"/>
      <c r="K28" s="110"/>
      <c r="L28" s="110"/>
      <c r="M28" s="55"/>
      <c r="N28" s="110"/>
      <c r="O28" s="110"/>
      <c r="P28" s="57"/>
      <c r="Q28" s="111"/>
      <c r="R28" s="111"/>
      <c r="S28" s="58"/>
      <c r="T28" s="112"/>
      <c r="U28" s="112"/>
      <c r="V28" s="59"/>
      <c r="W28" s="113"/>
      <c r="X28" s="113"/>
      <c r="Y28" s="54"/>
      <c r="Z28" s="109"/>
      <c r="AA28" s="109"/>
      <c r="AB28" s="55"/>
      <c r="AC28" s="110"/>
      <c r="AD28" s="110"/>
      <c r="AE28" s="96"/>
      <c r="AF28" s="97"/>
      <c r="AG28" s="98"/>
      <c r="AH28" s="99"/>
    </row>
    <row r="29" spans="1:34" x14ac:dyDescent="0.25">
      <c r="A29" s="10" t="str">
        <f t="shared" si="0"/>
        <v/>
      </c>
      <c r="B29" s="52"/>
      <c r="C29" s="53"/>
      <c r="D29" s="153"/>
      <c r="E29" s="78"/>
      <c r="F29" s="133"/>
      <c r="G29" s="54"/>
      <c r="H29" s="109"/>
      <c r="I29" s="109"/>
      <c r="J29" s="55"/>
      <c r="K29" s="110"/>
      <c r="L29" s="110"/>
      <c r="M29" s="55"/>
      <c r="N29" s="110"/>
      <c r="O29" s="110"/>
      <c r="P29" s="57"/>
      <c r="Q29" s="111"/>
      <c r="R29" s="111"/>
      <c r="S29" s="58"/>
      <c r="T29" s="112"/>
      <c r="U29" s="112"/>
      <c r="V29" s="59"/>
      <c r="W29" s="113"/>
      <c r="X29" s="113"/>
      <c r="Y29" s="54"/>
      <c r="Z29" s="109"/>
      <c r="AA29" s="109"/>
      <c r="AB29" s="55"/>
      <c r="AC29" s="110"/>
      <c r="AD29" s="110"/>
      <c r="AE29" s="96"/>
      <c r="AF29" s="97"/>
      <c r="AG29" s="98"/>
      <c r="AH29" s="99"/>
    </row>
    <row r="30" spans="1:34" x14ac:dyDescent="0.25">
      <c r="A30" s="10" t="str">
        <f t="shared" si="0"/>
        <v/>
      </c>
      <c r="B30" s="52"/>
      <c r="C30" s="53"/>
      <c r="D30" s="153"/>
      <c r="E30" s="78"/>
      <c r="F30" s="133"/>
      <c r="G30" s="54"/>
      <c r="H30" s="109"/>
      <c r="I30" s="109"/>
      <c r="J30" s="55"/>
      <c r="K30" s="110"/>
      <c r="L30" s="110"/>
      <c r="M30" s="55"/>
      <c r="N30" s="110"/>
      <c r="O30" s="110"/>
      <c r="P30" s="57"/>
      <c r="Q30" s="111"/>
      <c r="R30" s="111"/>
      <c r="S30" s="58"/>
      <c r="T30" s="112"/>
      <c r="U30" s="112"/>
      <c r="V30" s="59"/>
      <c r="W30" s="113"/>
      <c r="X30" s="113"/>
      <c r="Y30" s="54"/>
      <c r="Z30" s="109"/>
      <c r="AA30" s="109"/>
      <c r="AB30" s="55"/>
      <c r="AC30" s="110"/>
      <c r="AD30" s="110"/>
      <c r="AE30" s="96"/>
      <c r="AF30" s="97"/>
      <c r="AG30" s="98"/>
      <c r="AH30" s="99"/>
    </row>
    <row r="31" spans="1:34" x14ac:dyDescent="0.25">
      <c r="A31" s="10" t="str">
        <f t="shared" si="0"/>
        <v/>
      </c>
      <c r="B31" s="52"/>
      <c r="C31" s="53"/>
      <c r="D31" s="153"/>
      <c r="E31" s="78"/>
      <c r="F31" s="133"/>
      <c r="G31" s="54"/>
      <c r="H31" s="109"/>
      <c r="I31" s="109"/>
      <c r="J31" s="55"/>
      <c r="K31" s="110"/>
      <c r="L31" s="110"/>
      <c r="M31" s="55"/>
      <c r="N31" s="110"/>
      <c r="O31" s="110"/>
      <c r="P31" s="57"/>
      <c r="Q31" s="111"/>
      <c r="R31" s="111"/>
      <c r="S31" s="58"/>
      <c r="T31" s="112"/>
      <c r="U31" s="112"/>
      <c r="V31" s="59"/>
      <c r="W31" s="113"/>
      <c r="X31" s="113"/>
      <c r="Y31" s="54"/>
      <c r="Z31" s="109"/>
      <c r="AA31" s="109"/>
      <c r="AB31" s="55"/>
      <c r="AC31" s="110"/>
      <c r="AD31" s="110"/>
      <c r="AE31" s="96"/>
      <c r="AF31" s="97"/>
      <c r="AG31" s="98"/>
      <c r="AH31" s="99"/>
    </row>
    <row r="32" spans="1:34" x14ac:dyDescent="0.25">
      <c r="A32" s="10" t="str">
        <f t="shared" si="0"/>
        <v/>
      </c>
      <c r="B32" s="52"/>
      <c r="C32" s="53"/>
      <c r="D32" s="153"/>
      <c r="E32" s="78"/>
      <c r="F32" s="133"/>
      <c r="G32" s="54"/>
      <c r="H32" s="109"/>
      <c r="I32" s="109"/>
      <c r="J32" s="55"/>
      <c r="K32" s="110"/>
      <c r="L32" s="110"/>
      <c r="M32" s="55"/>
      <c r="N32" s="110"/>
      <c r="O32" s="110"/>
      <c r="P32" s="57"/>
      <c r="Q32" s="111"/>
      <c r="R32" s="111"/>
      <c r="S32" s="58"/>
      <c r="T32" s="112"/>
      <c r="U32" s="112"/>
      <c r="V32" s="59"/>
      <c r="W32" s="113"/>
      <c r="X32" s="113"/>
      <c r="Y32" s="54"/>
      <c r="Z32" s="109"/>
      <c r="AA32" s="109"/>
      <c r="AB32" s="55"/>
      <c r="AC32" s="110"/>
      <c r="AD32" s="110"/>
      <c r="AE32" s="96"/>
      <c r="AF32" s="97"/>
      <c r="AG32" s="98"/>
      <c r="AH32" s="99"/>
    </row>
    <row r="33" spans="1:34" x14ac:dyDescent="0.25">
      <c r="A33" s="10" t="str">
        <f t="shared" si="0"/>
        <v/>
      </c>
      <c r="B33" s="52"/>
      <c r="C33" s="53"/>
      <c r="D33" s="153"/>
      <c r="E33" s="78"/>
      <c r="F33" s="133"/>
      <c r="G33" s="54"/>
      <c r="H33" s="109"/>
      <c r="I33" s="109"/>
      <c r="J33" s="55"/>
      <c r="K33" s="110"/>
      <c r="L33" s="110"/>
      <c r="M33" s="55"/>
      <c r="N33" s="110"/>
      <c r="O33" s="110"/>
      <c r="P33" s="57"/>
      <c r="Q33" s="111"/>
      <c r="R33" s="111"/>
      <c r="S33" s="58"/>
      <c r="T33" s="112"/>
      <c r="U33" s="112"/>
      <c r="V33" s="59"/>
      <c r="W33" s="113"/>
      <c r="X33" s="113"/>
      <c r="Y33" s="54"/>
      <c r="Z33" s="109"/>
      <c r="AA33" s="109"/>
      <c r="AB33" s="55"/>
      <c r="AC33" s="110"/>
      <c r="AD33" s="110"/>
      <c r="AE33" s="96"/>
      <c r="AF33" s="97"/>
      <c r="AG33" s="98"/>
      <c r="AH33" s="99"/>
    </row>
    <row r="34" spans="1:34" x14ac:dyDescent="0.25">
      <c r="A34" s="10" t="str">
        <f t="shared" si="0"/>
        <v/>
      </c>
      <c r="B34" s="52"/>
      <c r="C34" s="53"/>
      <c r="D34" s="153"/>
      <c r="E34" s="78"/>
      <c r="F34" s="133"/>
      <c r="G34" s="54"/>
      <c r="H34" s="109"/>
      <c r="I34" s="109"/>
      <c r="J34" s="55"/>
      <c r="K34" s="110"/>
      <c r="L34" s="110"/>
      <c r="M34" s="55"/>
      <c r="N34" s="110"/>
      <c r="O34" s="110"/>
      <c r="P34" s="57"/>
      <c r="Q34" s="111"/>
      <c r="R34" s="111"/>
      <c r="S34" s="58"/>
      <c r="T34" s="112"/>
      <c r="U34" s="112"/>
      <c r="V34" s="59"/>
      <c r="W34" s="113"/>
      <c r="X34" s="113"/>
      <c r="Y34" s="54"/>
      <c r="Z34" s="109"/>
      <c r="AA34" s="109"/>
      <c r="AB34" s="55"/>
      <c r="AC34" s="110"/>
      <c r="AD34" s="110"/>
      <c r="AE34" s="96"/>
      <c r="AF34" s="97"/>
      <c r="AG34" s="98"/>
      <c r="AH34" s="99"/>
    </row>
    <row r="35" spans="1:34" x14ac:dyDescent="0.25">
      <c r="A35" s="10" t="str">
        <f t="shared" si="0"/>
        <v/>
      </c>
      <c r="B35" s="52"/>
      <c r="C35" s="53"/>
      <c r="D35" s="153"/>
      <c r="E35" s="78"/>
      <c r="F35" s="133"/>
      <c r="G35" s="54"/>
      <c r="H35" s="109"/>
      <c r="I35" s="109"/>
      <c r="J35" s="55"/>
      <c r="K35" s="110"/>
      <c r="L35" s="110"/>
      <c r="M35" s="55"/>
      <c r="N35" s="110"/>
      <c r="O35" s="110"/>
      <c r="P35" s="57"/>
      <c r="Q35" s="111"/>
      <c r="R35" s="111"/>
      <c r="S35" s="58"/>
      <c r="T35" s="112"/>
      <c r="U35" s="112"/>
      <c r="V35" s="59"/>
      <c r="W35" s="113"/>
      <c r="X35" s="113"/>
      <c r="Y35" s="54"/>
      <c r="Z35" s="109"/>
      <c r="AA35" s="109"/>
      <c r="AB35" s="55"/>
      <c r="AC35" s="110"/>
      <c r="AD35" s="110"/>
      <c r="AE35" s="96"/>
      <c r="AF35" s="97"/>
      <c r="AG35" s="98"/>
      <c r="AH35" s="99"/>
    </row>
    <row r="36" spans="1:34" x14ac:dyDescent="0.25">
      <c r="A36" s="10" t="str">
        <f t="shared" si="0"/>
        <v/>
      </c>
      <c r="B36" s="52"/>
      <c r="C36" s="53"/>
      <c r="D36" s="153"/>
      <c r="E36" s="78"/>
      <c r="F36" s="133"/>
      <c r="G36" s="54"/>
      <c r="H36" s="109"/>
      <c r="I36" s="109"/>
      <c r="J36" s="55"/>
      <c r="K36" s="110"/>
      <c r="L36" s="110"/>
      <c r="M36" s="55"/>
      <c r="N36" s="110"/>
      <c r="O36" s="110"/>
      <c r="P36" s="57"/>
      <c r="Q36" s="111"/>
      <c r="R36" s="111"/>
      <c r="S36" s="58"/>
      <c r="T36" s="112"/>
      <c r="U36" s="112"/>
      <c r="V36" s="59"/>
      <c r="W36" s="113"/>
      <c r="X36" s="113"/>
      <c r="Y36" s="54"/>
      <c r="Z36" s="109"/>
      <c r="AA36" s="109"/>
      <c r="AB36" s="55"/>
      <c r="AC36" s="110"/>
      <c r="AD36" s="110"/>
      <c r="AE36" s="96"/>
      <c r="AF36" s="97"/>
      <c r="AG36" s="98"/>
      <c r="AH36" s="99"/>
    </row>
    <row r="37" spans="1:34" x14ac:dyDescent="0.25">
      <c r="A37" s="10" t="str">
        <f t="shared" si="0"/>
        <v/>
      </c>
      <c r="B37" s="52"/>
      <c r="C37" s="53"/>
      <c r="D37" s="153"/>
      <c r="E37" s="78"/>
      <c r="F37" s="133"/>
      <c r="G37" s="54"/>
      <c r="H37" s="109"/>
      <c r="I37" s="109"/>
      <c r="J37" s="55"/>
      <c r="K37" s="110"/>
      <c r="L37" s="110"/>
      <c r="M37" s="55"/>
      <c r="N37" s="110"/>
      <c r="O37" s="110"/>
      <c r="P37" s="57"/>
      <c r="Q37" s="111"/>
      <c r="R37" s="111"/>
      <c r="S37" s="58"/>
      <c r="T37" s="112"/>
      <c r="U37" s="112"/>
      <c r="V37" s="59"/>
      <c r="W37" s="113"/>
      <c r="X37" s="113"/>
      <c r="Y37" s="54"/>
      <c r="Z37" s="109"/>
      <c r="AA37" s="109"/>
      <c r="AB37" s="55"/>
      <c r="AC37" s="110"/>
      <c r="AD37" s="110"/>
      <c r="AE37" s="96"/>
      <c r="AF37" s="97"/>
      <c r="AG37" s="98"/>
      <c r="AH37" s="99"/>
    </row>
    <row r="38" spans="1:34" x14ac:dyDescent="0.25">
      <c r="A38" s="10" t="str">
        <f t="shared" si="0"/>
        <v/>
      </c>
      <c r="B38" s="52"/>
      <c r="C38" s="53"/>
      <c r="D38" s="153"/>
      <c r="E38" s="78"/>
      <c r="F38" s="133"/>
      <c r="G38" s="54"/>
      <c r="H38" s="109"/>
      <c r="I38" s="109"/>
      <c r="J38" s="55"/>
      <c r="K38" s="110"/>
      <c r="L38" s="110"/>
      <c r="M38" s="55"/>
      <c r="N38" s="110"/>
      <c r="O38" s="110"/>
      <c r="P38" s="57"/>
      <c r="Q38" s="111"/>
      <c r="R38" s="111"/>
      <c r="S38" s="58"/>
      <c r="T38" s="112"/>
      <c r="U38" s="112"/>
      <c r="V38" s="59"/>
      <c r="W38" s="113"/>
      <c r="X38" s="113"/>
      <c r="Y38" s="54"/>
      <c r="Z38" s="109"/>
      <c r="AA38" s="109"/>
      <c r="AB38" s="55"/>
      <c r="AC38" s="110"/>
      <c r="AD38" s="110"/>
      <c r="AE38" s="96"/>
      <c r="AF38" s="97"/>
      <c r="AG38" s="98"/>
      <c r="AH38" s="99"/>
    </row>
    <row r="39" spans="1:34" x14ac:dyDescent="0.25">
      <c r="A39" s="10" t="str">
        <f t="shared" si="0"/>
        <v/>
      </c>
      <c r="B39" s="52"/>
      <c r="C39" s="53"/>
      <c r="D39" s="153"/>
      <c r="E39" s="78"/>
      <c r="F39" s="133"/>
      <c r="G39" s="54"/>
      <c r="H39" s="109"/>
      <c r="I39" s="109"/>
      <c r="J39" s="55"/>
      <c r="K39" s="110"/>
      <c r="L39" s="110"/>
      <c r="M39" s="55"/>
      <c r="N39" s="110"/>
      <c r="O39" s="110"/>
      <c r="P39" s="57"/>
      <c r="Q39" s="111"/>
      <c r="R39" s="111"/>
      <c r="S39" s="58"/>
      <c r="T39" s="112"/>
      <c r="U39" s="112"/>
      <c r="V39" s="59"/>
      <c r="W39" s="113"/>
      <c r="X39" s="113"/>
      <c r="Y39" s="54"/>
      <c r="Z39" s="109"/>
      <c r="AA39" s="109"/>
      <c r="AB39" s="55"/>
      <c r="AC39" s="110"/>
      <c r="AD39" s="110"/>
      <c r="AE39" s="96"/>
      <c r="AF39" s="97"/>
      <c r="AG39" s="98"/>
      <c r="AH39" s="99"/>
    </row>
    <row r="40" spans="1:34" x14ac:dyDescent="0.25">
      <c r="A40" s="10" t="str">
        <f t="shared" si="0"/>
        <v/>
      </c>
      <c r="B40" s="52"/>
      <c r="C40" s="53"/>
      <c r="D40" s="153"/>
      <c r="E40" s="78"/>
      <c r="F40" s="133"/>
      <c r="G40" s="54"/>
      <c r="H40" s="109"/>
      <c r="I40" s="109"/>
      <c r="J40" s="55"/>
      <c r="K40" s="110"/>
      <c r="L40" s="110"/>
      <c r="M40" s="55"/>
      <c r="N40" s="110"/>
      <c r="O40" s="110"/>
      <c r="P40" s="57"/>
      <c r="Q40" s="111"/>
      <c r="R40" s="111"/>
      <c r="S40" s="58"/>
      <c r="T40" s="112"/>
      <c r="U40" s="112"/>
      <c r="V40" s="59"/>
      <c r="W40" s="113"/>
      <c r="X40" s="113"/>
      <c r="Y40" s="54"/>
      <c r="Z40" s="109"/>
      <c r="AA40" s="109"/>
      <c r="AB40" s="55"/>
      <c r="AC40" s="110"/>
      <c r="AD40" s="110"/>
      <c r="AE40" s="96"/>
      <c r="AF40" s="97"/>
      <c r="AG40" s="98"/>
      <c r="AH40" s="99"/>
    </row>
    <row r="41" spans="1:34" x14ac:dyDescent="0.25">
      <c r="A41" s="10" t="str">
        <f t="shared" si="0"/>
        <v/>
      </c>
      <c r="B41" s="52"/>
      <c r="C41" s="53"/>
      <c r="D41" s="153"/>
      <c r="E41" s="78"/>
      <c r="F41" s="133"/>
      <c r="G41" s="54"/>
      <c r="H41" s="109"/>
      <c r="I41" s="109"/>
      <c r="J41" s="55"/>
      <c r="K41" s="110"/>
      <c r="L41" s="110"/>
      <c r="M41" s="55"/>
      <c r="N41" s="110"/>
      <c r="O41" s="110"/>
      <c r="P41" s="57"/>
      <c r="Q41" s="111"/>
      <c r="R41" s="111"/>
      <c r="S41" s="58"/>
      <c r="T41" s="112"/>
      <c r="U41" s="112"/>
      <c r="V41" s="59"/>
      <c r="W41" s="113"/>
      <c r="X41" s="113"/>
      <c r="Y41" s="54"/>
      <c r="Z41" s="109"/>
      <c r="AA41" s="109"/>
      <c r="AB41" s="55"/>
      <c r="AC41" s="110"/>
      <c r="AD41" s="110"/>
      <c r="AE41" s="96"/>
      <c r="AF41" s="97"/>
      <c r="AG41" s="98"/>
      <c r="AH41" s="99"/>
    </row>
    <row r="42" spans="1:34" x14ac:dyDescent="0.25">
      <c r="A42" s="10" t="str">
        <f t="shared" si="0"/>
        <v/>
      </c>
      <c r="B42" s="52"/>
      <c r="C42" s="53"/>
      <c r="D42" s="153"/>
      <c r="E42" s="78"/>
      <c r="F42" s="133"/>
      <c r="G42" s="54"/>
      <c r="H42" s="109"/>
      <c r="I42" s="109"/>
      <c r="J42" s="55"/>
      <c r="K42" s="110"/>
      <c r="L42" s="110"/>
      <c r="M42" s="55"/>
      <c r="N42" s="110"/>
      <c r="O42" s="110"/>
      <c r="P42" s="57"/>
      <c r="Q42" s="111"/>
      <c r="R42" s="111"/>
      <c r="S42" s="58"/>
      <c r="T42" s="112"/>
      <c r="U42" s="112"/>
      <c r="V42" s="59"/>
      <c r="W42" s="113"/>
      <c r="X42" s="113"/>
      <c r="Y42" s="54"/>
      <c r="Z42" s="109"/>
      <c r="AA42" s="109"/>
      <c r="AB42" s="55"/>
      <c r="AC42" s="110"/>
      <c r="AD42" s="110"/>
      <c r="AE42" s="96"/>
      <c r="AF42" s="97"/>
      <c r="AG42" s="98"/>
      <c r="AH42" s="99"/>
    </row>
    <row r="43" spans="1:34" x14ac:dyDescent="0.25">
      <c r="A43" s="10" t="str">
        <f t="shared" si="0"/>
        <v/>
      </c>
      <c r="B43" s="52"/>
      <c r="C43" s="53"/>
      <c r="D43" s="153"/>
      <c r="E43" s="78"/>
      <c r="F43" s="133"/>
      <c r="G43" s="54"/>
      <c r="H43" s="109"/>
      <c r="I43" s="109"/>
      <c r="J43" s="55"/>
      <c r="K43" s="110"/>
      <c r="L43" s="110"/>
      <c r="M43" s="55"/>
      <c r="N43" s="110"/>
      <c r="O43" s="110"/>
      <c r="P43" s="57"/>
      <c r="Q43" s="111"/>
      <c r="R43" s="111"/>
      <c r="S43" s="58"/>
      <c r="T43" s="112"/>
      <c r="U43" s="112"/>
      <c r="V43" s="59"/>
      <c r="W43" s="113"/>
      <c r="X43" s="113"/>
      <c r="Y43" s="54"/>
      <c r="Z43" s="109"/>
      <c r="AA43" s="109"/>
      <c r="AB43" s="55"/>
      <c r="AC43" s="110"/>
      <c r="AD43" s="110"/>
      <c r="AE43" s="96"/>
      <c r="AF43" s="97"/>
      <c r="AG43" s="98"/>
      <c r="AH43" s="99"/>
    </row>
    <row r="44" spans="1:34" x14ac:dyDescent="0.25">
      <c r="A44" s="10" t="str">
        <f t="shared" si="0"/>
        <v/>
      </c>
      <c r="B44" s="52"/>
      <c r="C44" s="53"/>
      <c r="D44" s="153"/>
      <c r="E44" s="78"/>
      <c r="F44" s="133"/>
      <c r="G44" s="54"/>
      <c r="H44" s="109"/>
      <c r="I44" s="109"/>
      <c r="J44" s="55"/>
      <c r="K44" s="110"/>
      <c r="L44" s="110"/>
      <c r="M44" s="55"/>
      <c r="N44" s="110"/>
      <c r="O44" s="110"/>
      <c r="P44" s="57"/>
      <c r="Q44" s="111"/>
      <c r="R44" s="111"/>
      <c r="S44" s="58"/>
      <c r="T44" s="112"/>
      <c r="U44" s="112"/>
      <c r="V44" s="59"/>
      <c r="W44" s="113"/>
      <c r="X44" s="113"/>
      <c r="Y44" s="54"/>
      <c r="Z44" s="109"/>
      <c r="AA44" s="109"/>
      <c r="AB44" s="55"/>
      <c r="AC44" s="110"/>
      <c r="AD44" s="110"/>
      <c r="AE44" s="96"/>
      <c r="AF44" s="97"/>
      <c r="AG44" s="98"/>
      <c r="AH44" s="99"/>
    </row>
    <row r="45" spans="1:34" x14ac:dyDescent="0.25">
      <c r="A45" s="10" t="str">
        <f t="shared" si="0"/>
        <v/>
      </c>
      <c r="B45" s="52"/>
      <c r="C45" s="53"/>
      <c r="D45" s="153"/>
      <c r="E45" s="78"/>
      <c r="F45" s="133"/>
      <c r="G45" s="54"/>
      <c r="H45" s="109"/>
      <c r="I45" s="109"/>
      <c r="J45" s="55"/>
      <c r="K45" s="110"/>
      <c r="L45" s="110"/>
      <c r="M45" s="55"/>
      <c r="N45" s="110"/>
      <c r="O45" s="110"/>
      <c r="P45" s="57"/>
      <c r="Q45" s="111"/>
      <c r="R45" s="111"/>
      <c r="S45" s="58"/>
      <c r="T45" s="112"/>
      <c r="U45" s="112"/>
      <c r="V45" s="59"/>
      <c r="W45" s="113"/>
      <c r="X45" s="113"/>
      <c r="Y45" s="54"/>
      <c r="Z45" s="109"/>
      <c r="AA45" s="109"/>
      <c r="AB45" s="55"/>
      <c r="AC45" s="110"/>
      <c r="AD45" s="110"/>
      <c r="AE45" s="96"/>
      <c r="AF45" s="97"/>
      <c r="AG45" s="98"/>
      <c r="AH45" s="99"/>
    </row>
    <row r="46" spans="1:34" x14ac:dyDescent="0.25">
      <c r="A46" s="10" t="str">
        <f t="shared" si="0"/>
        <v/>
      </c>
      <c r="B46" s="52"/>
      <c r="C46" s="53"/>
      <c r="D46" s="153"/>
      <c r="E46" s="78"/>
      <c r="F46" s="133"/>
      <c r="G46" s="54"/>
      <c r="H46" s="109"/>
      <c r="I46" s="109"/>
      <c r="J46" s="55"/>
      <c r="K46" s="110"/>
      <c r="L46" s="110"/>
      <c r="M46" s="55"/>
      <c r="N46" s="110"/>
      <c r="O46" s="110"/>
      <c r="P46" s="57"/>
      <c r="Q46" s="111"/>
      <c r="R46" s="111"/>
      <c r="S46" s="58"/>
      <c r="T46" s="112"/>
      <c r="U46" s="112"/>
      <c r="V46" s="59"/>
      <c r="W46" s="113"/>
      <c r="X46" s="113"/>
      <c r="Y46" s="54"/>
      <c r="Z46" s="109"/>
      <c r="AA46" s="109"/>
      <c r="AB46" s="55"/>
      <c r="AC46" s="110"/>
      <c r="AD46" s="110"/>
      <c r="AE46" s="96"/>
      <c r="AF46" s="97"/>
      <c r="AG46" s="98"/>
      <c r="AH46" s="99"/>
    </row>
    <row r="47" spans="1:34" x14ac:dyDescent="0.25">
      <c r="A47" s="10" t="str">
        <f t="shared" si="0"/>
        <v/>
      </c>
      <c r="B47" s="52"/>
      <c r="C47" s="53"/>
      <c r="D47" s="153"/>
      <c r="E47" s="78"/>
      <c r="F47" s="133"/>
      <c r="G47" s="54"/>
      <c r="H47" s="109"/>
      <c r="I47" s="109"/>
      <c r="J47" s="55"/>
      <c r="K47" s="110"/>
      <c r="L47" s="110"/>
      <c r="M47" s="55"/>
      <c r="N47" s="110"/>
      <c r="O47" s="110"/>
      <c r="P47" s="57"/>
      <c r="Q47" s="111"/>
      <c r="R47" s="111"/>
      <c r="S47" s="58"/>
      <c r="T47" s="112"/>
      <c r="U47" s="112"/>
      <c r="V47" s="59"/>
      <c r="W47" s="113"/>
      <c r="X47" s="113"/>
      <c r="Y47" s="54"/>
      <c r="Z47" s="109"/>
      <c r="AA47" s="109"/>
      <c r="AB47" s="55"/>
      <c r="AC47" s="110"/>
      <c r="AD47" s="110"/>
      <c r="AE47" s="96"/>
      <c r="AF47" s="97"/>
      <c r="AG47" s="98"/>
      <c r="AH47" s="99"/>
    </row>
    <row r="48" spans="1:34" x14ac:dyDescent="0.25">
      <c r="A48" s="10" t="str">
        <f t="shared" si="0"/>
        <v/>
      </c>
      <c r="B48" s="52"/>
      <c r="C48" s="53"/>
      <c r="D48" s="153"/>
      <c r="E48" s="78"/>
      <c r="F48" s="133"/>
      <c r="G48" s="54"/>
      <c r="H48" s="109"/>
      <c r="I48" s="109"/>
      <c r="J48" s="55"/>
      <c r="K48" s="110"/>
      <c r="L48" s="110"/>
      <c r="M48" s="55"/>
      <c r="N48" s="110"/>
      <c r="O48" s="110"/>
      <c r="P48" s="57"/>
      <c r="Q48" s="111"/>
      <c r="R48" s="111"/>
      <c r="S48" s="58"/>
      <c r="T48" s="112"/>
      <c r="U48" s="112"/>
      <c r="V48" s="59"/>
      <c r="W48" s="113"/>
      <c r="X48" s="113"/>
      <c r="Y48" s="54"/>
      <c r="Z48" s="109"/>
      <c r="AA48" s="109"/>
      <c r="AB48" s="55"/>
      <c r="AC48" s="110"/>
      <c r="AD48" s="110"/>
      <c r="AE48" s="96"/>
      <c r="AF48" s="97"/>
      <c r="AG48" s="98"/>
      <c r="AH48" s="99"/>
    </row>
    <row r="49" spans="1:34" x14ac:dyDescent="0.25">
      <c r="A49" s="10" t="str">
        <f t="shared" si="0"/>
        <v/>
      </c>
      <c r="B49" s="52"/>
      <c r="C49" s="53"/>
      <c r="D49" s="153"/>
      <c r="E49" s="78"/>
      <c r="F49" s="133"/>
      <c r="G49" s="54"/>
      <c r="H49" s="109"/>
      <c r="I49" s="109"/>
      <c r="J49" s="55"/>
      <c r="K49" s="110"/>
      <c r="L49" s="110"/>
      <c r="M49" s="55"/>
      <c r="N49" s="110"/>
      <c r="O49" s="110"/>
      <c r="P49" s="57"/>
      <c r="Q49" s="111"/>
      <c r="R49" s="111"/>
      <c r="S49" s="58"/>
      <c r="T49" s="112"/>
      <c r="U49" s="112"/>
      <c r="V49" s="59"/>
      <c r="W49" s="113"/>
      <c r="X49" s="113"/>
      <c r="Y49" s="54"/>
      <c r="Z49" s="109"/>
      <c r="AA49" s="109"/>
      <c r="AB49" s="55"/>
      <c r="AC49" s="110"/>
      <c r="AD49" s="110"/>
      <c r="AE49" s="96"/>
      <c r="AF49" s="97"/>
      <c r="AG49" s="98"/>
      <c r="AH49" s="99"/>
    </row>
    <row r="50" spans="1:34" x14ac:dyDescent="0.25">
      <c r="A50" s="10" t="str">
        <f t="shared" si="0"/>
        <v/>
      </c>
      <c r="B50" s="52"/>
      <c r="C50" s="53"/>
      <c r="D50" s="153"/>
      <c r="E50" s="78"/>
      <c r="F50" s="133"/>
      <c r="G50" s="54"/>
      <c r="H50" s="109"/>
      <c r="I50" s="109"/>
      <c r="J50" s="55"/>
      <c r="K50" s="110"/>
      <c r="L50" s="110"/>
      <c r="M50" s="55"/>
      <c r="N50" s="110"/>
      <c r="O50" s="110"/>
      <c r="P50" s="57"/>
      <c r="Q50" s="111"/>
      <c r="R50" s="111"/>
      <c r="S50" s="58"/>
      <c r="T50" s="112"/>
      <c r="U50" s="112"/>
      <c r="V50" s="59"/>
      <c r="W50" s="113"/>
      <c r="X50" s="113"/>
      <c r="Y50" s="54"/>
      <c r="Z50" s="109"/>
      <c r="AA50" s="109"/>
      <c r="AB50" s="55"/>
      <c r="AC50" s="110"/>
      <c r="AD50" s="110"/>
      <c r="AE50" s="96"/>
      <c r="AF50" s="97"/>
      <c r="AG50" s="98"/>
      <c r="AH50" s="99"/>
    </row>
    <row r="51" spans="1:34" x14ac:dyDescent="0.25">
      <c r="A51" s="10" t="str">
        <f t="shared" si="0"/>
        <v/>
      </c>
      <c r="B51" s="52"/>
      <c r="C51" s="53"/>
      <c r="D51" s="153"/>
      <c r="E51" s="78"/>
      <c r="F51" s="133"/>
      <c r="G51" s="54"/>
      <c r="H51" s="109"/>
      <c r="I51" s="109"/>
      <c r="J51" s="55"/>
      <c r="K51" s="110"/>
      <c r="L51" s="110"/>
      <c r="M51" s="55"/>
      <c r="N51" s="110"/>
      <c r="O51" s="110"/>
      <c r="P51" s="57"/>
      <c r="Q51" s="111"/>
      <c r="R51" s="111"/>
      <c r="S51" s="58"/>
      <c r="T51" s="112"/>
      <c r="U51" s="112"/>
      <c r="V51" s="59"/>
      <c r="W51" s="113"/>
      <c r="X51" s="113"/>
      <c r="Y51" s="54"/>
      <c r="Z51" s="109"/>
      <c r="AA51" s="109"/>
      <c r="AB51" s="55"/>
      <c r="AC51" s="110"/>
      <c r="AD51" s="110"/>
      <c r="AE51" s="96"/>
      <c r="AF51" s="97"/>
      <c r="AG51" s="98"/>
      <c r="AH51" s="99"/>
    </row>
    <row r="52" spans="1:34" x14ac:dyDescent="0.25">
      <c r="A52" s="10" t="str">
        <f t="shared" si="0"/>
        <v/>
      </c>
      <c r="B52" s="52"/>
      <c r="C52" s="53"/>
      <c r="D52" s="153"/>
      <c r="E52" s="78"/>
      <c r="F52" s="133"/>
      <c r="G52" s="54"/>
      <c r="H52" s="109"/>
      <c r="I52" s="109"/>
      <c r="J52" s="55"/>
      <c r="K52" s="110"/>
      <c r="L52" s="110"/>
      <c r="M52" s="55"/>
      <c r="N52" s="110"/>
      <c r="O52" s="110"/>
      <c r="P52" s="57"/>
      <c r="Q52" s="111"/>
      <c r="R52" s="111"/>
      <c r="S52" s="58"/>
      <c r="T52" s="112"/>
      <c r="U52" s="112"/>
      <c r="V52" s="59"/>
      <c r="W52" s="113"/>
      <c r="X52" s="113"/>
      <c r="Y52" s="54"/>
      <c r="Z52" s="109"/>
      <c r="AA52" s="109"/>
      <c r="AB52" s="55"/>
      <c r="AC52" s="110"/>
      <c r="AD52" s="110"/>
      <c r="AE52" s="96"/>
      <c r="AF52" s="97"/>
      <c r="AG52" s="98"/>
      <c r="AH52" s="99"/>
    </row>
    <row r="53" spans="1:34" x14ac:dyDescent="0.25">
      <c r="A53" s="10" t="str">
        <f t="shared" si="0"/>
        <v/>
      </c>
      <c r="B53" s="52"/>
      <c r="C53" s="53"/>
      <c r="D53" s="153"/>
      <c r="E53" s="78"/>
      <c r="F53" s="133"/>
      <c r="G53" s="54"/>
      <c r="H53" s="109"/>
      <c r="I53" s="109"/>
      <c r="J53" s="55"/>
      <c r="K53" s="110"/>
      <c r="L53" s="110"/>
      <c r="M53" s="55"/>
      <c r="N53" s="110"/>
      <c r="O53" s="110"/>
      <c r="P53" s="57"/>
      <c r="Q53" s="111"/>
      <c r="R53" s="111"/>
      <c r="S53" s="58"/>
      <c r="T53" s="112"/>
      <c r="U53" s="112"/>
      <c r="V53" s="59"/>
      <c r="W53" s="113"/>
      <c r="X53" s="113"/>
      <c r="Y53" s="54"/>
      <c r="Z53" s="109"/>
      <c r="AA53" s="109"/>
      <c r="AB53" s="55"/>
      <c r="AC53" s="110"/>
      <c r="AD53" s="110"/>
      <c r="AE53" s="96"/>
      <c r="AF53" s="97"/>
      <c r="AG53" s="98"/>
      <c r="AH53" s="99"/>
    </row>
    <row r="54" spans="1:34" x14ac:dyDescent="0.25">
      <c r="A54" s="10" t="str">
        <f t="shared" si="0"/>
        <v/>
      </c>
      <c r="B54" s="52"/>
      <c r="C54" s="53"/>
      <c r="D54" s="153"/>
      <c r="E54" s="78"/>
      <c r="F54" s="133"/>
      <c r="G54" s="54"/>
      <c r="H54" s="109"/>
      <c r="I54" s="109"/>
      <c r="J54" s="55"/>
      <c r="K54" s="110"/>
      <c r="L54" s="110"/>
      <c r="M54" s="55"/>
      <c r="N54" s="110"/>
      <c r="O54" s="110"/>
      <c r="P54" s="57"/>
      <c r="Q54" s="111"/>
      <c r="R54" s="111"/>
      <c r="S54" s="58"/>
      <c r="T54" s="112"/>
      <c r="U54" s="112"/>
      <c r="V54" s="59"/>
      <c r="W54" s="113"/>
      <c r="X54" s="113"/>
      <c r="Y54" s="54"/>
      <c r="Z54" s="109"/>
      <c r="AA54" s="109"/>
      <c r="AB54" s="55"/>
      <c r="AC54" s="110"/>
      <c r="AD54" s="110"/>
      <c r="AE54" s="96"/>
      <c r="AF54" s="97"/>
      <c r="AG54" s="98"/>
      <c r="AH54" s="99"/>
    </row>
    <row r="55" spans="1:34" x14ac:dyDescent="0.25">
      <c r="A55" s="10" t="str">
        <f t="shared" si="0"/>
        <v/>
      </c>
      <c r="B55" s="52"/>
      <c r="C55" s="53"/>
      <c r="D55" s="153"/>
      <c r="E55" s="78"/>
      <c r="F55" s="133"/>
      <c r="G55" s="54"/>
      <c r="H55" s="109"/>
      <c r="I55" s="109"/>
      <c r="J55" s="55"/>
      <c r="K55" s="110"/>
      <c r="L55" s="110"/>
      <c r="M55" s="55"/>
      <c r="N55" s="110"/>
      <c r="O55" s="110"/>
      <c r="P55" s="57"/>
      <c r="Q55" s="111"/>
      <c r="R55" s="111"/>
      <c r="S55" s="58"/>
      <c r="T55" s="112"/>
      <c r="U55" s="112"/>
      <c r="V55" s="59"/>
      <c r="W55" s="113"/>
      <c r="X55" s="113"/>
      <c r="Y55" s="54"/>
      <c r="Z55" s="109"/>
      <c r="AA55" s="109"/>
      <c r="AB55" s="55"/>
      <c r="AC55" s="110"/>
      <c r="AD55" s="110"/>
      <c r="AE55" s="96"/>
      <c r="AF55" s="97"/>
      <c r="AG55" s="98"/>
      <c r="AH55" s="99"/>
    </row>
    <row r="56" spans="1:34" x14ac:dyDescent="0.25">
      <c r="A56" s="10" t="str">
        <f t="shared" si="0"/>
        <v/>
      </c>
      <c r="B56" s="52"/>
      <c r="C56" s="53"/>
      <c r="D56" s="153"/>
      <c r="E56" s="78"/>
      <c r="F56" s="133"/>
      <c r="G56" s="54"/>
      <c r="H56" s="109"/>
      <c r="I56" s="109"/>
      <c r="J56" s="55"/>
      <c r="K56" s="110"/>
      <c r="L56" s="110"/>
      <c r="M56" s="55"/>
      <c r="N56" s="110"/>
      <c r="O56" s="110"/>
      <c r="P56" s="57"/>
      <c r="Q56" s="111"/>
      <c r="R56" s="111"/>
      <c r="S56" s="58"/>
      <c r="T56" s="112"/>
      <c r="U56" s="112"/>
      <c r="V56" s="59"/>
      <c r="W56" s="113"/>
      <c r="X56" s="113"/>
      <c r="Y56" s="54"/>
      <c r="Z56" s="109"/>
      <c r="AA56" s="109"/>
      <c r="AB56" s="55"/>
      <c r="AC56" s="110"/>
      <c r="AD56" s="110"/>
      <c r="AE56" s="96"/>
      <c r="AF56" s="97"/>
      <c r="AG56" s="98"/>
      <c r="AH56" s="99"/>
    </row>
    <row r="57" spans="1:34" x14ac:dyDescent="0.25">
      <c r="A57" s="10" t="str">
        <f t="shared" si="0"/>
        <v/>
      </c>
      <c r="B57" s="52"/>
      <c r="C57" s="53"/>
      <c r="D57" s="153"/>
      <c r="E57" s="78"/>
      <c r="F57" s="133"/>
      <c r="G57" s="54"/>
      <c r="H57" s="109"/>
      <c r="I57" s="109"/>
      <c r="J57" s="55"/>
      <c r="K57" s="110"/>
      <c r="L57" s="110"/>
      <c r="M57" s="55"/>
      <c r="N57" s="110"/>
      <c r="O57" s="110"/>
      <c r="P57" s="57"/>
      <c r="Q57" s="111"/>
      <c r="R57" s="111"/>
      <c r="S57" s="58"/>
      <c r="T57" s="112"/>
      <c r="U57" s="112"/>
      <c r="V57" s="59"/>
      <c r="W57" s="113"/>
      <c r="X57" s="113"/>
      <c r="Y57" s="54"/>
      <c r="Z57" s="109"/>
      <c r="AA57" s="109"/>
      <c r="AB57" s="55"/>
      <c r="AC57" s="110"/>
      <c r="AD57" s="110"/>
      <c r="AE57" s="96"/>
      <c r="AF57" s="97"/>
      <c r="AG57" s="98"/>
      <c r="AH57" s="99"/>
    </row>
    <row r="58" spans="1:34" x14ac:dyDescent="0.25">
      <c r="A58" s="10" t="str">
        <f t="shared" si="0"/>
        <v/>
      </c>
      <c r="B58" s="52"/>
      <c r="C58" s="53"/>
      <c r="D58" s="153"/>
      <c r="E58" s="78"/>
      <c r="F58" s="133"/>
      <c r="G58" s="54"/>
      <c r="H58" s="109"/>
      <c r="I58" s="109"/>
      <c r="J58" s="55"/>
      <c r="K58" s="110"/>
      <c r="L58" s="110"/>
      <c r="M58" s="55"/>
      <c r="N58" s="110"/>
      <c r="O58" s="110"/>
      <c r="P58" s="57"/>
      <c r="Q58" s="111"/>
      <c r="R58" s="111"/>
      <c r="S58" s="58"/>
      <c r="T58" s="112"/>
      <c r="U58" s="112"/>
      <c r="V58" s="59"/>
      <c r="W58" s="113"/>
      <c r="X58" s="113"/>
      <c r="Y58" s="54"/>
      <c r="Z58" s="109"/>
      <c r="AA58" s="109"/>
      <c r="AB58" s="55"/>
      <c r="AC58" s="110"/>
      <c r="AD58" s="110"/>
      <c r="AE58" s="96"/>
      <c r="AF58" s="97"/>
      <c r="AG58" s="98"/>
      <c r="AH58" s="99"/>
    </row>
    <row r="59" spans="1:34" x14ac:dyDescent="0.25">
      <c r="A59" s="10" t="str">
        <f t="shared" si="0"/>
        <v/>
      </c>
      <c r="B59" s="52"/>
      <c r="C59" s="53"/>
      <c r="D59" s="153"/>
      <c r="E59" s="78"/>
      <c r="F59" s="133"/>
      <c r="G59" s="54"/>
      <c r="H59" s="109"/>
      <c r="I59" s="109"/>
      <c r="J59" s="55"/>
      <c r="K59" s="110"/>
      <c r="L59" s="110"/>
      <c r="M59" s="55"/>
      <c r="N59" s="110"/>
      <c r="O59" s="110"/>
      <c r="P59" s="57"/>
      <c r="Q59" s="111"/>
      <c r="R59" s="111"/>
      <c r="S59" s="58"/>
      <c r="T59" s="112"/>
      <c r="U59" s="112"/>
      <c r="V59" s="59"/>
      <c r="W59" s="113"/>
      <c r="X59" s="113"/>
      <c r="Y59" s="54"/>
      <c r="Z59" s="109"/>
      <c r="AA59" s="109"/>
      <c r="AB59" s="55"/>
      <c r="AC59" s="110"/>
      <c r="AD59" s="110"/>
      <c r="AE59" s="96"/>
      <c r="AF59" s="97"/>
      <c r="AG59" s="98"/>
      <c r="AH59" s="99"/>
    </row>
    <row r="60" spans="1:34" x14ac:dyDescent="0.25">
      <c r="A60" s="10" t="str">
        <f t="shared" si="0"/>
        <v/>
      </c>
      <c r="B60" s="52"/>
      <c r="C60" s="53"/>
      <c r="D60" s="153"/>
      <c r="E60" s="78"/>
      <c r="F60" s="133"/>
      <c r="G60" s="54"/>
      <c r="H60" s="109"/>
      <c r="I60" s="109"/>
      <c r="J60" s="55"/>
      <c r="K60" s="110"/>
      <c r="L60" s="110"/>
      <c r="M60" s="55"/>
      <c r="N60" s="110"/>
      <c r="O60" s="110"/>
      <c r="P60" s="57"/>
      <c r="Q60" s="111"/>
      <c r="R60" s="111"/>
      <c r="S60" s="58"/>
      <c r="T60" s="112"/>
      <c r="U60" s="112"/>
      <c r="V60" s="59"/>
      <c r="W60" s="113"/>
      <c r="X60" s="113"/>
      <c r="Y60" s="54"/>
      <c r="Z60" s="109"/>
      <c r="AA60" s="109"/>
      <c r="AB60" s="55"/>
      <c r="AC60" s="110"/>
      <c r="AD60" s="110"/>
      <c r="AE60" s="96"/>
      <c r="AF60" s="97"/>
      <c r="AG60" s="98"/>
      <c r="AH60" s="99"/>
    </row>
    <row r="61" spans="1:34" x14ac:dyDescent="0.25">
      <c r="A61" s="10" t="str">
        <f t="shared" si="0"/>
        <v/>
      </c>
      <c r="B61" s="52"/>
      <c r="C61" s="53"/>
      <c r="D61" s="153"/>
      <c r="E61" s="78"/>
      <c r="F61" s="133"/>
      <c r="G61" s="54"/>
      <c r="H61" s="109"/>
      <c r="I61" s="109"/>
      <c r="J61" s="55"/>
      <c r="K61" s="110"/>
      <c r="L61" s="110"/>
      <c r="M61" s="55"/>
      <c r="N61" s="110"/>
      <c r="O61" s="110"/>
      <c r="P61" s="57"/>
      <c r="Q61" s="111"/>
      <c r="R61" s="111"/>
      <c r="S61" s="58"/>
      <c r="T61" s="112"/>
      <c r="U61" s="112"/>
      <c r="V61" s="59"/>
      <c r="W61" s="113"/>
      <c r="X61" s="113"/>
      <c r="Y61" s="54"/>
      <c r="Z61" s="109"/>
      <c r="AA61" s="109"/>
      <c r="AB61" s="55"/>
      <c r="AC61" s="110"/>
      <c r="AD61" s="110"/>
      <c r="AE61" s="96"/>
      <c r="AF61" s="97"/>
      <c r="AG61" s="98"/>
      <c r="AH61" s="99"/>
    </row>
    <row r="62" spans="1:34" x14ac:dyDescent="0.25">
      <c r="A62" s="10" t="str">
        <f t="shared" si="0"/>
        <v/>
      </c>
      <c r="B62" s="52"/>
      <c r="C62" s="53"/>
      <c r="D62" s="153"/>
      <c r="E62" s="78"/>
      <c r="F62" s="133"/>
      <c r="G62" s="54"/>
      <c r="H62" s="109"/>
      <c r="I62" s="109"/>
      <c r="J62" s="55"/>
      <c r="K62" s="110"/>
      <c r="L62" s="110"/>
      <c r="M62" s="55"/>
      <c r="N62" s="110"/>
      <c r="O62" s="110"/>
      <c r="P62" s="57"/>
      <c r="Q62" s="111"/>
      <c r="R62" s="111"/>
      <c r="S62" s="58"/>
      <c r="T62" s="112"/>
      <c r="U62" s="112"/>
      <c r="V62" s="59"/>
      <c r="W62" s="113"/>
      <c r="X62" s="113"/>
      <c r="Y62" s="54"/>
      <c r="Z62" s="109"/>
      <c r="AA62" s="109"/>
      <c r="AB62" s="55"/>
      <c r="AC62" s="110"/>
      <c r="AD62" s="110"/>
      <c r="AE62" s="96"/>
      <c r="AF62" s="97"/>
      <c r="AG62" s="98"/>
      <c r="AH62" s="99"/>
    </row>
    <row r="63" spans="1:34" x14ac:dyDescent="0.25">
      <c r="A63" s="10" t="str">
        <f t="shared" si="0"/>
        <v/>
      </c>
      <c r="B63" s="52"/>
      <c r="C63" s="53"/>
      <c r="D63" s="153"/>
      <c r="E63" s="78"/>
      <c r="F63" s="133"/>
      <c r="G63" s="54"/>
      <c r="H63" s="109"/>
      <c r="I63" s="109"/>
      <c r="J63" s="55"/>
      <c r="K63" s="110"/>
      <c r="L63" s="110"/>
      <c r="M63" s="55"/>
      <c r="N63" s="110"/>
      <c r="O63" s="110"/>
      <c r="P63" s="57"/>
      <c r="Q63" s="111"/>
      <c r="R63" s="111"/>
      <c r="S63" s="58"/>
      <c r="T63" s="112"/>
      <c r="U63" s="112"/>
      <c r="V63" s="59"/>
      <c r="W63" s="113"/>
      <c r="X63" s="113"/>
      <c r="Y63" s="54"/>
      <c r="Z63" s="109"/>
      <c r="AA63" s="109"/>
      <c r="AB63" s="55"/>
      <c r="AC63" s="110"/>
      <c r="AD63" s="110"/>
      <c r="AE63" s="96"/>
      <c r="AF63" s="97"/>
      <c r="AG63" s="98"/>
      <c r="AH63" s="99"/>
    </row>
    <row r="64" spans="1:34" x14ac:dyDescent="0.25">
      <c r="A64" s="10" t="str">
        <f t="shared" si="0"/>
        <v/>
      </c>
      <c r="B64" s="52"/>
      <c r="C64" s="53"/>
      <c r="D64" s="153"/>
      <c r="E64" s="78"/>
      <c r="F64" s="133"/>
      <c r="G64" s="54"/>
      <c r="H64" s="109"/>
      <c r="I64" s="109"/>
      <c r="J64" s="55"/>
      <c r="K64" s="110"/>
      <c r="L64" s="110"/>
      <c r="M64" s="55"/>
      <c r="N64" s="110"/>
      <c r="O64" s="110"/>
      <c r="P64" s="57"/>
      <c r="Q64" s="111"/>
      <c r="R64" s="111"/>
      <c r="S64" s="58"/>
      <c r="T64" s="112"/>
      <c r="U64" s="112"/>
      <c r="V64" s="59"/>
      <c r="W64" s="113"/>
      <c r="X64" s="113"/>
      <c r="Y64" s="54"/>
      <c r="Z64" s="109"/>
      <c r="AA64" s="109"/>
      <c r="AB64" s="55"/>
      <c r="AC64" s="110"/>
      <c r="AD64" s="110"/>
      <c r="AE64" s="96"/>
      <c r="AF64" s="97"/>
      <c r="AG64" s="98"/>
      <c r="AH64" s="99"/>
    </row>
    <row r="65" spans="1:34" x14ac:dyDescent="0.25">
      <c r="A65" s="10" t="str">
        <f t="shared" si="0"/>
        <v/>
      </c>
      <c r="B65" s="52"/>
      <c r="C65" s="53"/>
      <c r="D65" s="153"/>
      <c r="E65" s="78"/>
      <c r="F65" s="133"/>
      <c r="G65" s="54"/>
      <c r="H65" s="109"/>
      <c r="I65" s="109"/>
      <c r="J65" s="55"/>
      <c r="K65" s="110"/>
      <c r="L65" s="110"/>
      <c r="M65" s="55"/>
      <c r="N65" s="110"/>
      <c r="O65" s="110"/>
      <c r="P65" s="57"/>
      <c r="Q65" s="111"/>
      <c r="R65" s="111"/>
      <c r="S65" s="58"/>
      <c r="T65" s="112"/>
      <c r="U65" s="112"/>
      <c r="V65" s="59"/>
      <c r="W65" s="113"/>
      <c r="X65" s="113"/>
      <c r="Y65" s="54"/>
      <c r="Z65" s="109"/>
      <c r="AA65" s="109"/>
      <c r="AB65" s="55"/>
      <c r="AC65" s="110"/>
      <c r="AD65" s="110"/>
      <c r="AE65" s="96"/>
      <c r="AF65" s="97"/>
      <c r="AG65" s="98"/>
      <c r="AH65" s="99"/>
    </row>
    <row r="66" spans="1:34" x14ac:dyDescent="0.25">
      <c r="A66" s="10" t="str">
        <f t="shared" si="0"/>
        <v/>
      </c>
      <c r="B66" s="52"/>
      <c r="C66" s="53"/>
      <c r="D66" s="153"/>
      <c r="E66" s="78"/>
      <c r="F66" s="133"/>
      <c r="G66" s="54"/>
      <c r="H66" s="109"/>
      <c r="I66" s="109"/>
      <c r="J66" s="55"/>
      <c r="K66" s="110"/>
      <c r="L66" s="110"/>
      <c r="M66" s="55"/>
      <c r="N66" s="110"/>
      <c r="O66" s="110"/>
      <c r="P66" s="57"/>
      <c r="Q66" s="111"/>
      <c r="R66" s="111"/>
      <c r="S66" s="58"/>
      <c r="T66" s="112"/>
      <c r="U66" s="112"/>
      <c r="V66" s="59"/>
      <c r="W66" s="113"/>
      <c r="X66" s="113"/>
      <c r="Y66" s="54"/>
      <c r="Z66" s="109"/>
      <c r="AA66" s="109"/>
      <c r="AB66" s="55"/>
      <c r="AC66" s="110"/>
      <c r="AD66" s="110"/>
      <c r="AE66" s="96"/>
      <c r="AF66" s="97"/>
      <c r="AG66" s="98"/>
      <c r="AH66" s="99"/>
    </row>
    <row r="67" spans="1:34" x14ac:dyDescent="0.25">
      <c r="A67" s="10" t="str">
        <f t="shared" si="0"/>
        <v/>
      </c>
      <c r="B67" s="52"/>
      <c r="C67" s="53"/>
      <c r="D67" s="153"/>
      <c r="E67" s="78"/>
      <c r="F67" s="133"/>
      <c r="G67" s="54"/>
      <c r="H67" s="109"/>
      <c r="I67" s="109"/>
      <c r="J67" s="55"/>
      <c r="K67" s="110"/>
      <c r="L67" s="110"/>
      <c r="M67" s="55"/>
      <c r="N67" s="110"/>
      <c r="O67" s="110"/>
      <c r="P67" s="57"/>
      <c r="Q67" s="111"/>
      <c r="R67" s="111"/>
      <c r="S67" s="58"/>
      <c r="T67" s="112"/>
      <c r="U67" s="112"/>
      <c r="V67" s="59"/>
      <c r="W67" s="113"/>
      <c r="X67" s="113"/>
      <c r="Y67" s="54"/>
      <c r="Z67" s="109"/>
      <c r="AA67" s="109"/>
      <c r="AB67" s="55"/>
      <c r="AC67" s="110"/>
      <c r="AD67" s="110"/>
      <c r="AE67" s="96"/>
      <c r="AF67" s="97"/>
      <c r="AG67" s="98"/>
      <c r="AH67" s="99"/>
    </row>
    <row r="68" spans="1:34" x14ac:dyDescent="0.25">
      <c r="A68" s="10" t="str">
        <f t="shared" si="0"/>
        <v/>
      </c>
      <c r="B68" s="52"/>
      <c r="C68" s="53"/>
      <c r="D68" s="153"/>
      <c r="E68" s="78"/>
      <c r="F68" s="133"/>
      <c r="G68" s="54"/>
      <c r="H68" s="109"/>
      <c r="I68" s="109"/>
      <c r="J68" s="55"/>
      <c r="K68" s="110"/>
      <c r="L68" s="110"/>
      <c r="M68" s="55"/>
      <c r="N68" s="110"/>
      <c r="O68" s="110"/>
      <c r="P68" s="57"/>
      <c r="Q68" s="111"/>
      <c r="R68" s="111"/>
      <c r="S68" s="58"/>
      <c r="T68" s="112"/>
      <c r="U68" s="112"/>
      <c r="V68" s="59"/>
      <c r="W68" s="113"/>
      <c r="X68" s="113"/>
      <c r="Y68" s="54"/>
      <c r="Z68" s="109"/>
      <c r="AA68" s="109"/>
      <c r="AB68" s="55"/>
      <c r="AC68" s="110"/>
      <c r="AD68" s="110"/>
      <c r="AE68" s="96"/>
      <c r="AF68" s="97"/>
      <c r="AG68" s="98"/>
      <c r="AH68" s="99"/>
    </row>
    <row r="69" spans="1:34" x14ac:dyDescent="0.25">
      <c r="A69" s="10" t="str">
        <f t="shared" ref="A69:A132" si="1">IF(COUNTA(G69:AD69)/3=0,"",COUNTA(G69:AD69)/3)</f>
        <v/>
      </c>
      <c r="B69" s="52"/>
      <c r="C69" s="53"/>
      <c r="D69" s="153"/>
      <c r="E69" s="78"/>
      <c r="F69" s="133"/>
      <c r="G69" s="54"/>
      <c r="H69" s="109"/>
      <c r="I69" s="109"/>
      <c r="J69" s="55"/>
      <c r="K69" s="110"/>
      <c r="L69" s="110"/>
      <c r="M69" s="55"/>
      <c r="N69" s="110"/>
      <c r="O69" s="110"/>
      <c r="P69" s="57"/>
      <c r="Q69" s="111"/>
      <c r="R69" s="111"/>
      <c r="S69" s="58"/>
      <c r="T69" s="112"/>
      <c r="U69" s="112"/>
      <c r="V69" s="59"/>
      <c r="W69" s="113"/>
      <c r="X69" s="113"/>
      <c r="Y69" s="54"/>
      <c r="Z69" s="109"/>
      <c r="AA69" s="109"/>
      <c r="AB69" s="55"/>
      <c r="AC69" s="110"/>
      <c r="AD69" s="110"/>
      <c r="AE69" s="96"/>
      <c r="AF69" s="97"/>
      <c r="AG69" s="98"/>
      <c r="AH69" s="99"/>
    </row>
    <row r="70" spans="1:34" x14ac:dyDescent="0.25">
      <c r="A70" s="10" t="str">
        <f t="shared" si="1"/>
        <v/>
      </c>
      <c r="B70" s="52"/>
      <c r="C70" s="53"/>
      <c r="D70" s="153"/>
      <c r="E70" s="78"/>
      <c r="F70" s="133"/>
      <c r="G70" s="54"/>
      <c r="H70" s="109"/>
      <c r="I70" s="109"/>
      <c r="J70" s="55"/>
      <c r="K70" s="110"/>
      <c r="L70" s="110"/>
      <c r="M70" s="55"/>
      <c r="N70" s="110"/>
      <c r="O70" s="110"/>
      <c r="P70" s="57"/>
      <c r="Q70" s="111"/>
      <c r="R70" s="111"/>
      <c r="S70" s="58"/>
      <c r="T70" s="112"/>
      <c r="U70" s="112"/>
      <c r="V70" s="59"/>
      <c r="W70" s="113"/>
      <c r="X70" s="113"/>
      <c r="Y70" s="54"/>
      <c r="Z70" s="109"/>
      <c r="AA70" s="109"/>
      <c r="AB70" s="55"/>
      <c r="AC70" s="110"/>
      <c r="AD70" s="110"/>
      <c r="AE70" s="96"/>
      <c r="AF70" s="97"/>
      <c r="AG70" s="98"/>
      <c r="AH70" s="99"/>
    </row>
    <row r="71" spans="1:34" x14ac:dyDescent="0.25">
      <c r="A71" s="10" t="str">
        <f t="shared" si="1"/>
        <v/>
      </c>
      <c r="B71" s="52"/>
      <c r="C71" s="53"/>
      <c r="D71" s="153"/>
      <c r="E71" s="78"/>
      <c r="F71" s="133"/>
      <c r="G71" s="54"/>
      <c r="H71" s="109"/>
      <c r="I71" s="109"/>
      <c r="J71" s="55"/>
      <c r="K71" s="110"/>
      <c r="L71" s="110"/>
      <c r="M71" s="55"/>
      <c r="N71" s="110"/>
      <c r="O71" s="110"/>
      <c r="P71" s="57"/>
      <c r="Q71" s="111"/>
      <c r="R71" s="111"/>
      <c r="S71" s="58"/>
      <c r="T71" s="112"/>
      <c r="U71" s="112"/>
      <c r="V71" s="59"/>
      <c r="W71" s="113"/>
      <c r="X71" s="113"/>
      <c r="Y71" s="54"/>
      <c r="Z71" s="109"/>
      <c r="AA71" s="109"/>
      <c r="AB71" s="55"/>
      <c r="AC71" s="110"/>
      <c r="AD71" s="110"/>
      <c r="AE71" s="96"/>
      <c r="AF71" s="97"/>
      <c r="AG71" s="98"/>
      <c r="AH71" s="99"/>
    </row>
    <row r="72" spans="1:34" x14ac:dyDescent="0.25">
      <c r="A72" s="10" t="str">
        <f t="shared" si="1"/>
        <v/>
      </c>
      <c r="B72" s="52"/>
      <c r="C72" s="53"/>
      <c r="D72" s="153"/>
      <c r="E72" s="78"/>
      <c r="F72" s="133"/>
      <c r="G72" s="54"/>
      <c r="H72" s="109"/>
      <c r="I72" s="109"/>
      <c r="J72" s="55"/>
      <c r="K72" s="110"/>
      <c r="L72" s="110"/>
      <c r="M72" s="55"/>
      <c r="N72" s="110"/>
      <c r="O72" s="110"/>
      <c r="P72" s="57"/>
      <c r="Q72" s="111"/>
      <c r="R72" s="111"/>
      <c r="S72" s="58"/>
      <c r="T72" s="112"/>
      <c r="U72" s="112"/>
      <c r="V72" s="59"/>
      <c r="W72" s="113"/>
      <c r="X72" s="113"/>
      <c r="Y72" s="54"/>
      <c r="Z72" s="109"/>
      <c r="AA72" s="109"/>
      <c r="AB72" s="55"/>
      <c r="AC72" s="110"/>
      <c r="AD72" s="110"/>
      <c r="AE72" s="96"/>
      <c r="AF72" s="97"/>
      <c r="AG72" s="98"/>
      <c r="AH72" s="99"/>
    </row>
    <row r="73" spans="1:34" x14ac:dyDescent="0.25">
      <c r="A73" s="10" t="str">
        <f t="shared" si="1"/>
        <v/>
      </c>
      <c r="B73" s="52"/>
      <c r="C73" s="53"/>
      <c r="D73" s="153"/>
      <c r="E73" s="78"/>
      <c r="F73" s="133"/>
      <c r="G73" s="54"/>
      <c r="H73" s="109"/>
      <c r="I73" s="109"/>
      <c r="J73" s="55"/>
      <c r="K73" s="110"/>
      <c r="L73" s="110"/>
      <c r="M73" s="55"/>
      <c r="N73" s="110"/>
      <c r="O73" s="110"/>
      <c r="P73" s="57"/>
      <c r="Q73" s="111"/>
      <c r="R73" s="111"/>
      <c r="S73" s="58"/>
      <c r="T73" s="112"/>
      <c r="U73" s="112"/>
      <c r="V73" s="59"/>
      <c r="W73" s="113"/>
      <c r="X73" s="113"/>
      <c r="Y73" s="54"/>
      <c r="Z73" s="109"/>
      <c r="AA73" s="109"/>
      <c r="AB73" s="55"/>
      <c r="AC73" s="110"/>
      <c r="AD73" s="110"/>
      <c r="AE73" s="96"/>
      <c r="AF73" s="97"/>
      <c r="AG73" s="98"/>
      <c r="AH73" s="99"/>
    </row>
    <row r="74" spans="1:34" x14ac:dyDescent="0.25">
      <c r="A74" s="10" t="str">
        <f t="shared" si="1"/>
        <v/>
      </c>
      <c r="B74" s="52"/>
      <c r="C74" s="53"/>
      <c r="D74" s="153"/>
      <c r="E74" s="78"/>
      <c r="F74" s="133"/>
      <c r="G74" s="54"/>
      <c r="H74" s="109"/>
      <c r="I74" s="109"/>
      <c r="J74" s="55"/>
      <c r="K74" s="110"/>
      <c r="L74" s="110"/>
      <c r="M74" s="55"/>
      <c r="N74" s="110"/>
      <c r="O74" s="110"/>
      <c r="P74" s="57"/>
      <c r="Q74" s="111"/>
      <c r="R74" s="111"/>
      <c r="S74" s="58"/>
      <c r="T74" s="112"/>
      <c r="U74" s="112"/>
      <c r="V74" s="59"/>
      <c r="W74" s="113"/>
      <c r="X74" s="113"/>
      <c r="Y74" s="54"/>
      <c r="Z74" s="109"/>
      <c r="AA74" s="109"/>
      <c r="AB74" s="55"/>
      <c r="AC74" s="110"/>
      <c r="AD74" s="110"/>
      <c r="AE74" s="96"/>
      <c r="AF74" s="97"/>
      <c r="AG74" s="98"/>
      <c r="AH74" s="99"/>
    </row>
    <row r="75" spans="1:34" x14ac:dyDescent="0.25">
      <c r="A75" s="10" t="str">
        <f t="shared" si="1"/>
        <v/>
      </c>
      <c r="B75" s="52"/>
      <c r="C75" s="53"/>
      <c r="D75" s="153"/>
      <c r="E75" s="78"/>
      <c r="F75" s="133"/>
      <c r="G75" s="54"/>
      <c r="H75" s="109"/>
      <c r="I75" s="109"/>
      <c r="J75" s="55"/>
      <c r="K75" s="110"/>
      <c r="L75" s="110"/>
      <c r="M75" s="55"/>
      <c r="N75" s="110"/>
      <c r="O75" s="110"/>
      <c r="P75" s="57"/>
      <c r="Q75" s="111"/>
      <c r="R75" s="111"/>
      <c r="S75" s="58"/>
      <c r="T75" s="112"/>
      <c r="U75" s="112"/>
      <c r="V75" s="59"/>
      <c r="W75" s="113"/>
      <c r="X75" s="113"/>
      <c r="Y75" s="54"/>
      <c r="Z75" s="109"/>
      <c r="AA75" s="109"/>
      <c r="AB75" s="55"/>
      <c r="AC75" s="110"/>
      <c r="AD75" s="110"/>
      <c r="AE75" s="96"/>
      <c r="AF75" s="97"/>
      <c r="AG75" s="98"/>
      <c r="AH75" s="99"/>
    </row>
    <row r="76" spans="1:34" x14ac:dyDescent="0.25">
      <c r="A76" s="10" t="str">
        <f t="shared" si="1"/>
        <v/>
      </c>
      <c r="B76" s="52"/>
      <c r="C76" s="53"/>
      <c r="D76" s="153"/>
      <c r="E76" s="78"/>
      <c r="F76" s="133"/>
      <c r="G76" s="54"/>
      <c r="H76" s="109"/>
      <c r="I76" s="109"/>
      <c r="J76" s="55"/>
      <c r="K76" s="110"/>
      <c r="L76" s="110"/>
      <c r="M76" s="55"/>
      <c r="N76" s="110"/>
      <c r="O76" s="110"/>
      <c r="P76" s="57"/>
      <c r="Q76" s="111"/>
      <c r="R76" s="111"/>
      <c r="S76" s="58"/>
      <c r="T76" s="112"/>
      <c r="U76" s="112"/>
      <c r="V76" s="59"/>
      <c r="W76" s="113"/>
      <c r="X76" s="113"/>
      <c r="Y76" s="54"/>
      <c r="Z76" s="109"/>
      <c r="AA76" s="109"/>
      <c r="AB76" s="55"/>
      <c r="AC76" s="110"/>
      <c r="AD76" s="110"/>
      <c r="AE76" s="96"/>
      <c r="AF76" s="97"/>
      <c r="AG76" s="98"/>
      <c r="AH76" s="99"/>
    </row>
    <row r="77" spans="1:34" x14ac:dyDescent="0.25">
      <c r="A77" s="10" t="str">
        <f t="shared" si="1"/>
        <v/>
      </c>
      <c r="B77" s="52"/>
      <c r="C77" s="53"/>
      <c r="D77" s="153"/>
      <c r="E77" s="78"/>
      <c r="F77" s="133"/>
      <c r="G77" s="54"/>
      <c r="H77" s="109"/>
      <c r="I77" s="109"/>
      <c r="J77" s="55"/>
      <c r="K77" s="110"/>
      <c r="L77" s="110"/>
      <c r="M77" s="55"/>
      <c r="N77" s="110"/>
      <c r="O77" s="110"/>
      <c r="P77" s="57"/>
      <c r="Q77" s="111"/>
      <c r="R77" s="111"/>
      <c r="S77" s="58"/>
      <c r="T77" s="112"/>
      <c r="U77" s="112"/>
      <c r="V77" s="59"/>
      <c r="W77" s="113"/>
      <c r="X77" s="113"/>
      <c r="Y77" s="54"/>
      <c r="Z77" s="109"/>
      <c r="AA77" s="109"/>
      <c r="AB77" s="55"/>
      <c r="AC77" s="110"/>
      <c r="AD77" s="110"/>
      <c r="AE77" s="96"/>
      <c r="AF77" s="97"/>
      <c r="AG77" s="98"/>
      <c r="AH77" s="99"/>
    </row>
    <row r="78" spans="1:34" x14ac:dyDescent="0.25">
      <c r="A78" s="10" t="str">
        <f t="shared" si="1"/>
        <v/>
      </c>
      <c r="B78" s="52"/>
      <c r="C78" s="53"/>
      <c r="D78" s="153"/>
      <c r="E78" s="78"/>
      <c r="F78" s="133"/>
      <c r="G78" s="54"/>
      <c r="H78" s="109"/>
      <c r="I78" s="109"/>
      <c r="J78" s="55"/>
      <c r="K78" s="110"/>
      <c r="L78" s="110"/>
      <c r="M78" s="55"/>
      <c r="N78" s="110"/>
      <c r="O78" s="110"/>
      <c r="P78" s="57"/>
      <c r="Q78" s="111"/>
      <c r="R78" s="111"/>
      <c r="S78" s="58"/>
      <c r="T78" s="112"/>
      <c r="U78" s="112"/>
      <c r="V78" s="59"/>
      <c r="W78" s="113"/>
      <c r="X78" s="113"/>
      <c r="Y78" s="54"/>
      <c r="Z78" s="109"/>
      <c r="AA78" s="109"/>
      <c r="AB78" s="55"/>
      <c r="AC78" s="110"/>
      <c r="AD78" s="110"/>
      <c r="AE78" s="96"/>
      <c r="AF78" s="97"/>
      <c r="AG78" s="98"/>
      <c r="AH78" s="99"/>
    </row>
    <row r="79" spans="1:34" x14ac:dyDescent="0.25">
      <c r="A79" s="10" t="str">
        <f t="shared" si="1"/>
        <v/>
      </c>
      <c r="B79" s="52"/>
      <c r="C79" s="53"/>
      <c r="D79" s="153"/>
      <c r="E79" s="78"/>
      <c r="F79" s="133"/>
      <c r="G79" s="54"/>
      <c r="H79" s="109"/>
      <c r="I79" s="109"/>
      <c r="J79" s="55"/>
      <c r="K79" s="110"/>
      <c r="L79" s="110"/>
      <c r="M79" s="55"/>
      <c r="N79" s="110"/>
      <c r="O79" s="110"/>
      <c r="P79" s="57"/>
      <c r="Q79" s="111"/>
      <c r="R79" s="111"/>
      <c r="S79" s="58"/>
      <c r="T79" s="112"/>
      <c r="U79" s="112"/>
      <c r="V79" s="59"/>
      <c r="W79" s="113"/>
      <c r="X79" s="113"/>
      <c r="Y79" s="54"/>
      <c r="Z79" s="109"/>
      <c r="AA79" s="109"/>
      <c r="AB79" s="55"/>
      <c r="AC79" s="110"/>
      <c r="AD79" s="110"/>
      <c r="AE79" s="96"/>
      <c r="AF79" s="97"/>
      <c r="AG79" s="98"/>
      <c r="AH79" s="99"/>
    </row>
    <row r="80" spans="1:34" x14ac:dyDescent="0.25">
      <c r="A80" s="10" t="str">
        <f t="shared" si="1"/>
        <v/>
      </c>
      <c r="B80" s="52"/>
      <c r="C80" s="53"/>
      <c r="D80" s="153"/>
      <c r="E80" s="78"/>
      <c r="F80" s="133"/>
      <c r="G80" s="54"/>
      <c r="H80" s="109"/>
      <c r="I80" s="109"/>
      <c r="J80" s="55"/>
      <c r="K80" s="110"/>
      <c r="L80" s="110"/>
      <c r="M80" s="55"/>
      <c r="N80" s="110"/>
      <c r="O80" s="110"/>
      <c r="P80" s="57"/>
      <c r="Q80" s="111"/>
      <c r="R80" s="111"/>
      <c r="S80" s="58"/>
      <c r="T80" s="112"/>
      <c r="U80" s="112"/>
      <c r="V80" s="59"/>
      <c r="W80" s="113"/>
      <c r="X80" s="113"/>
      <c r="Y80" s="54"/>
      <c r="Z80" s="109"/>
      <c r="AA80" s="109"/>
      <c r="AB80" s="55"/>
      <c r="AC80" s="110"/>
      <c r="AD80" s="110"/>
      <c r="AE80" s="96"/>
      <c r="AF80" s="97"/>
      <c r="AG80" s="98"/>
      <c r="AH80" s="99"/>
    </row>
    <row r="81" spans="1:34" x14ac:dyDescent="0.25">
      <c r="A81" s="10" t="str">
        <f t="shared" si="1"/>
        <v/>
      </c>
      <c r="B81" s="52"/>
      <c r="C81" s="53"/>
      <c r="D81" s="153"/>
      <c r="E81" s="78"/>
      <c r="F81" s="133"/>
      <c r="G81" s="54"/>
      <c r="H81" s="109"/>
      <c r="I81" s="109"/>
      <c r="J81" s="55"/>
      <c r="K81" s="110"/>
      <c r="L81" s="110"/>
      <c r="M81" s="55"/>
      <c r="N81" s="110"/>
      <c r="O81" s="110"/>
      <c r="P81" s="57"/>
      <c r="Q81" s="111"/>
      <c r="R81" s="111"/>
      <c r="S81" s="58"/>
      <c r="T81" s="112"/>
      <c r="U81" s="112"/>
      <c r="V81" s="59"/>
      <c r="W81" s="113"/>
      <c r="X81" s="113"/>
      <c r="Y81" s="54"/>
      <c r="Z81" s="109"/>
      <c r="AA81" s="109"/>
      <c r="AB81" s="55"/>
      <c r="AC81" s="110"/>
      <c r="AD81" s="110"/>
      <c r="AE81" s="96"/>
      <c r="AF81" s="97"/>
      <c r="AG81" s="98"/>
      <c r="AH81" s="99"/>
    </row>
    <row r="82" spans="1:34" x14ac:dyDescent="0.25">
      <c r="A82" s="10" t="str">
        <f t="shared" si="1"/>
        <v/>
      </c>
      <c r="B82" s="52"/>
      <c r="C82" s="53"/>
      <c r="D82" s="153"/>
      <c r="E82" s="78"/>
      <c r="F82" s="133"/>
      <c r="G82" s="54"/>
      <c r="H82" s="109"/>
      <c r="I82" s="109"/>
      <c r="J82" s="55"/>
      <c r="K82" s="110"/>
      <c r="L82" s="110"/>
      <c r="M82" s="55"/>
      <c r="N82" s="110"/>
      <c r="O82" s="110"/>
      <c r="P82" s="57"/>
      <c r="Q82" s="111"/>
      <c r="R82" s="111"/>
      <c r="S82" s="58"/>
      <c r="T82" s="112"/>
      <c r="U82" s="112"/>
      <c r="V82" s="59"/>
      <c r="W82" s="113"/>
      <c r="X82" s="113"/>
      <c r="Y82" s="54"/>
      <c r="Z82" s="109"/>
      <c r="AA82" s="109"/>
      <c r="AB82" s="55"/>
      <c r="AC82" s="110"/>
      <c r="AD82" s="110"/>
      <c r="AE82" s="96"/>
      <c r="AF82" s="97"/>
      <c r="AG82" s="98"/>
      <c r="AH82" s="99"/>
    </row>
    <row r="83" spans="1:34" x14ac:dyDescent="0.25">
      <c r="A83" s="10" t="str">
        <f t="shared" si="1"/>
        <v/>
      </c>
      <c r="B83" s="52"/>
      <c r="C83" s="53"/>
      <c r="D83" s="153"/>
      <c r="E83" s="78"/>
      <c r="F83" s="133"/>
      <c r="G83" s="54"/>
      <c r="H83" s="109"/>
      <c r="I83" s="109"/>
      <c r="J83" s="55"/>
      <c r="K83" s="110"/>
      <c r="L83" s="110"/>
      <c r="M83" s="55"/>
      <c r="N83" s="110"/>
      <c r="O83" s="110"/>
      <c r="P83" s="57"/>
      <c r="Q83" s="111"/>
      <c r="R83" s="111"/>
      <c r="S83" s="58"/>
      <c r="T83" s="112"/>
      <c r="U83" s="112"/>
      <c r="V83" s="59"/>
      <c r="W83" s="113"/>
      <c r="X83" s="113"/>
      <c r="Y83" s="54"/>
      <c r="Z83" s="109"/>
      <c r="AA83" s="109"/>
      <c r="AB83" s="55"/>
      <c r="AC83" s="110"/>
      <c r="AD83" s="110"/>
      <c r="AE83" s="96"/>
      <c r="AF83" s="97"/>
      <c r="AG83" s="98"/>
      <c r="AH83" s="99"/>
    </row>
    <row r="84" spans="1:34" x14ac:dyDescent="0.25">
      <c r="A84" s="10" t="str">
        <f t="shared" si="1"/>
        <v/>
      </c>
      <c r="B84" s="52"/>
      <c r="C84" s="53"/>
      <c r="D84" s="153"/>
      <c r="E84" s="78"/>
      <c r="F84" s="133"/>
      <c r="G84" s="54"/>
      <c r="H84" s="109"/>
      <c r="I84" s="109"/>
      <c r="J84" s="55"/>
      <c r="K84" s="110"/>
      <c r="L84" s="110"/>
      <c r="M84" s="55"/>
      <c r="N84" s="110"/>
      <c r="O84" s="110"/>
      <c r="P84" s="57"/>
      <c r="Q84" s="111"/>
      <c r="R84" s="111"/>
      <c r="S84" s="58"/>
      <c r="T84" s="112"/>
      <c r="U84" s="112"/>
      <c r="V84" s="59"/>
      <c r="W84" s="113"/>
      <c r="X84" s="113"/>
      <c r="Y84" s="54"/>
      <c r="Z84" s="109"/>
      <c r="AA84" s="109"/>
      <c r="AB84" s="55"/>
      <c r="AC84" s="110"/>
      <c r="AD84" s="110"/>
      <c r="AE84" s="96"/>
      <c r="AF84" s="97"/>
      <c r="AG84" s="98"/>
      <c r="AH84" s="99"/>
    </row>
    <row r="85" spans="1:34" x14ac:dyDescent="0.25">
      <c r="A85" s="10" t="str">
        <f t="shared" si="1"/>
        <v/>
      </c>
      <c r="B85" s="52"/>
      <c r="C85" s="53"/>
      <c r="D85" s="153"/>
      <c r="E85" s="78"/>
      <c r="F85" s="133"/>
      <c r="G85" s="54"/>
      <c r="H85" s="109"/>
      <c r="I85" s="109"/>
      <c r="J85" s="55"/>
      <c r="K85" s="110"/>
      <c r="L85" s="110"/>
      <c r="M85" s="55"/>
      <c r="N85" s="110"/>
      <c r="O85" s="110"/>
      <c r="P85" s="57"/>
      <c r="Q85" s="111"/>
      <c r="R85" s="111"/>
      <c r="S85" s="58"/>
      <c r="T85" s="112"/>
      <c r="U85" s="112"/>
      <c r="V85" s="59"/>
      <c r="W85" s="113"/>
      <c r="X85" s="113"/>
      <c r="Y85" s="54"/>
      <c r="Z85" s="109"/>
      <c r="AA85" s="109"/>
      <c r="AB85" s="55"/>
      <c r="AC85" s="110"/>
      <c r="AD85" s="110"/>
      <c r="AE85" s="96"/>
      <c r="AF85" s="97"/>
      <c r="AG85" s="98"/>
      <c r="AH85" s="99"/>
    </row>
    <row r="86" spans="1:34" x14ac:dyDescent="0.25">
      <c r="A86" s="10" t="str">
        <f t="shared" si="1"/>
        <v/>
      </c>
      <c r="B86" s="52"/>
      <c r="C86" s="53"/>
      <c r="D86" s="153"/>
      <c r="E86" s="78"/>
      <c r="F86" s="133"/>
      <c r="G86" s="54"/>
      <c r="H86" s="109"/>
      <c r="I86" s="109"/>
      <c r="J86" s="55"/>
      <c r="K86" s="110"/>
      <c r="L86" s="110"/>
      <c r="M86" s="55"/>
      <c r="N86" s="110"/>
      <c r="O86" s="110"/>
      <c r="P86" s="57"/>
      <c r="Q86" s="111"/>
      <c r="R86" s="111"/>
      <c r="S86" s="58"/>
      <c r="T86" s="112"/>
      <c r="U86" s="112"/>
      <c r="V86" s="59"/>
      <c r="W86" s="113"/>
      <c r="X86" s="113"/>
      <c r="Y86" s="54"/>
      <c r="Z86" s="109"/>
      <c r="AA86" s="109"/>
      <c r="AB86" s="55"/>
      <c r="AC86" s="110"/>
      <c r="AD86" s="110"/>
      <c r="AE86" s="96"/>
      <c r="AF86" s="97"/>
      <c r="AG86" s="98"/>
      <c r="AH86" s="99"/>
    </row>
    <row r="87" spans="1:34" x14ac:dyDescent="0.25">
      <c r="A87" s="10" t="str">
        <f t="shared" si="1"/>
        <v/>
      </c>
      <c r="B87" s="52"/>
      <c r="C87" s="53"/>
      <c r="D87" s="153"/>
      <c r="E87" s="78"/>
      <c r="F87" s="133"/>
      <c r="G87" s="54"/>
      <c r="H87" s="109"/>
      <c r="I87" s="109"/>
      <c r="J87" s="55"/>
      <c r="K87" s="110"/>
      <c r="L87" s="110"/>
      <c r="M87" s="55"/>
      <c r="N87" s="110"/>
      <c r="O87" s="110"/>
      <c r="P87" s="57"/>
      <c r="Q87" s="111"/>
      <c r="R87" s="111"/>
      <c r="S87" s="58"/>
      <c r="T87" s="112"/>
      <c r="U87" s="112"/>
      <c r="V87" s="59"/>
      <c r="W87" s="113"/>
      <c r="X87" s="113"/>
      <c r="Y87" s="54"/>
      <c r="Z87" s="109"/>
      <c r="AA87" s="109"/>
      <c r="AB87" s="55"/>
      <c r="AC87" s="110"/>
      <c r="AD87" s="110"/>
      <c r="AE87" s="96"/>
      <c r="AF87" s="97"/>
      <c r="AG87" s="98"/>
      <c r="AH87" s="99"/>
    </row>
    <row r="88" spans="1:34" x14ac:dyDescent="0.25">
      <c r="A88" s="10" t="str">
        <f t="shared" si="1"/>
        <v/>
      </c>
      <c r="B88" s="52"/>
      <c r="C88" s="53"/>
      <c r="D88" s="153"/>
      <c r="E88" s="78"/>
      <c r="F88" s="133"/>
      <c r="G88" s="54"/>
      <c r="H88" s="109"/>
      <c r="I88" s="109"/>
      <c r="J88" s="55"/>
      <c r="K88" s="110"/>
      <c r="L88" s="110"/>
      <c r="M88" s="55"/>
      <c r="N88" s="110"/>
      <c r="O88" s="110"/>
      <c r="P88" s="57"/>
      <c r="Q88" s="111"/>
      <c r="R88" s="111"/>
      <c r="S88" s="58"/>
      <c r="T88" s="112"/>
      <c r="U88" s="112"/>
      <c r="V88" s="59"/>
      <c r="W88" s="113"/>
      <c r="X88" s="113"/>
      <c r="Y88" s="54"/>
      <c r="Z88" s="109"/>
      <c r="AA88" s="109"/>
      <c r="AB88" s="55"/>
      <c r="AC88" s="110"/>
      <c r="AD88" s="110"/>
      <c r="AE88" s="96"/>
      <c r="AF88" s="97"/>
      <c r="AG88" s="98"/>
      <c r="AH88" s="99"/>
    </row>
    <row r="89" spans="1:34" x14ac:dyDescent="0.25">
      <c r="A89" s="10" t="str">
        <f t="shared" si="1"/>
        <v/>
      </c>
      <c r="B89" s="52"/>
      <c r="C89" s="53"/>
      <c r="D89" s="153"/>
      <c r="E89" s="78"/>
      <c r="F89" s="133"/>
      <c r="G89" s="54"/>
      <c r="H89" s="109"/>
      <c r="I89" s="109"/>
      <c r="J89" s="55"/>
      <c r="K89" s="110"/>
      <c r="L89" s="110"/>
      <c r="M89" s="55"/>
      <c r="N89" s="110"/>
      <c r="O89" s="110"/>
      <c r="P89" s="57"/>
      <c r="Q89" s="111"/>
      <c r="R89" s="111"/>
      <c r="S89" s="58"/>
      <c r="T89" s="112"/>
      <c r="U89" s="112"/>
      <c r="V89" s="59"/>
      <c r="W89" s="113"/>
      <c r="X89" s="113"/>
      <c r="Y89" s="54"/>
      <c r="Z89" s="109"/>
      <c r="AA89" s="109"/>
      <c r="AB89" s="55"/>
      <c r="AC89" s="110"/>
      <c r="AD89" s="110"/>
      <c r="AE89" s="96"/>
      <c r="AF89" s="97"/>
      <c r="AG89" s="98"/>
      <c r="AH89" s="99"/>
    </row>
    <row r="90" spans="1:34" x14ac:dyDescent="0.25">
      <c r="A90" s="10" t="str">
        <f t="shared" si="1"/>
        <v/>
      </c>
      <c r="B90" s="52"/>
      <c r="C90" s="53"/>
      <c r="D90" s="153"/>
      <c r="E90" s="78"/>
      <c r="F90" s="133"/>
      <c r="G90" s="54"/>
      <c r="H90" s="109"/>
      <c r="I90" s="109"/>
      <c r="J90" s="55"/>
      <c r="K90" s="110"/>
      <c r="L90" s="110"/>
      <c r="M90" s="55"/>
      <c r="N90" s="110"/>
      <c r="O90" s="110"/>
      <c r="P90" s="57"/>
      <c r="Q90" s="111"/>
      <c r="R90" s="111"/>
      <c r="S90" s="58"/>
      <c r="T90" s="112"/>
      <c r="U90" s="112"/>
      <c r="V90" s="59"/>
      <c r="W90" s="113"/>
      <c r="X90" s="113"/>
      <c r="Y90" s="54"/>
      <c r="Z90" s="109"/>
      <c r="AA90" s="109"/>
      <c r="AB90" s="55"/>
      <c r="AC90" s="110"/>
      <c r="AD90" s="110"/>
      <c r="AE90" s="96"/>
      <c r="AF90" s="97"/>
      <c r="AG90" s="98"/>
      <c r="AH90" s="99"/>
    </row>
    <row r="91" spans="1:34" x14ac:dyDescent="0.25">
      <c r="A91" s="10" t="str">
        <f t="shared" si="1"/>
        <v/>
      </c>
      <c r="B91" s="52"/>
      <c r="C91" s="53"/>
      <c r="D91" s="153"/>
      <c r="E91" s="78"/>
      <c r="F91" s="133"/>
      <c r="G91" s="54"/>
      <c r="H91" s="109"/>
      <c r="I91" s="109"/>
      <c r="J91" s="55"/>
      <c r="K91" s="110"/>
      <c r="L91" s="110"/>
      <c r="M91" s="55"/>
      <c r="N91" s="110"/>
      <c r="O91" s="110"/>
      <c r="P91" s="57"/>
      <c r="Q91" s="111"/>
      <c r="R91" s="111"/>
      <c r="S91" s="58"/>
      <c r="T91" s="112"/>
      <c r="U91" s="112"/>
      <c r="V91" s="59"/>
      <c r="W91" s="113"/>
      <c r="X91" s="113"/>
      <c r="Y91" s="54"/>
      <c r="Z91" s="109"/>
      <c r="AA91" s="109"/>
      <c r="AB91" s="55"/>
      <c r="AC91" s="110"/>
      <c r="AD91" s="110"/>
      <c r="AE91" s="96"/>
      <c r="AF91" s="97"/>
      <c r="AG91" s="98"/>
      <c r="AH91" s="99"/>
    </row>
    <row r="92" spans="1:34" x14ac:dyDescent="0.25">
      <c r="A92" s="10" t="str">
        <f t="shared" si="1"/>
        <v/>
      </c>
      <c r="B92" s="52"/>
      <c r="C92" s="53"/>
      <c r="D92" s="153"/>
      <c r="E92" s="78"/>
      <c r="F92" s="133"/>
      <c r="G92" s="54"/>
      <c r="H92" s="109"/>
      <c r="I92" s="109"/>
      <c r="J92" s="55"/>
      <c r="K92" s="110"/>
      <c r="L92" s="110"/>
      <c r="M92" s="55"/>
      <c r="N92" s="110"/>
      <c r="O92" s="110"/>
      <c r="P92" s="57"/>
      <c r="Q92" s="111"/>
      <c r="R92" s="111"/>
      <c r="S92" s="58"/>
      <c r="T92" s="112"/>
      <c r="U92" s="112"/>
      <c r="V92" s="59"/>
      <c r="W92" s="113"/>
      <c r="X92" s="113"/>
      <c r="Y92" s="54"/>
      <c r="Z92" s="109"/>
      <c r="AA92" s="109"/>
      <c r="AB92" s="55"/>
      <c r="AC92" s="110"/>
      <c r="AD92" s="110"/>
      <c r="AE92" s="96"/>
      <c r="AF92" s="97"/>
      <c r="AG92" s="98"/>
      <c r="AH92" s="99"/>
    </row>
    <row r="93" spans="1:34" x14ac:dyDescent="0.25">
      <c r="A93" s="10" t="str">
        <f t="shared" si="1"/>
        <v/>
      </c>
      <c r="B93" s="52"/>
      <c r="C93" s="53"/>
      <c r="D93" s="153"/>
      <c r="E93" s="78"/>
      <c r="F93" s="133"/>
      <c r="G93" s="54"/>
      <c r="H93" s="109"/>
      <c r="I93" s="109"/>
      <c r="J93" s="55"/>
      <c r="K93" s="110"/>
      <c r="L93" s="110"/>
      <c r="M93" s="55"/>
      <c r="N93" s="110"/>
      <c r="O93" s="110"/>
      <c r="P93" s="57"/>
      <c r="Q93" s="111"/>
      <c r="R93" s="111"/>
      <c r="S93" s="58"/>
      <c r="T93" s="112"/>
      <c r="U93" s="112"/>
      <c r="V93" s="59"/>
      <c r="W93" s="113"/>
      <c r="X93" s="113"/>
      <c r="Y93" s="54"/>
      <c r="Z93" s="109"/>
      <c r="AA93" s="109"/>
      <c r="AB93" s="55"/>
      <c r="AC93" s="110"/>
      <c r="AD93" s="110"/>
      <c r="AE93" s="96"/>
      <c r="AF93" s="97"/>
      <c r="AG93" s="98"/>
      <c r="AH93" s="99"/>
    </row>
    <row r="94" spans="1:34" x14ac:dyDescent="0.25">
      <c r="A94" s="10" t="str">
        <f t="shared" si="1"/>
        <v/>
      </c>
      <c r="B94" s="52"/>
      <c r="C94" s="53"/>
      <c r="D94" s="153"/>
      <c r="E94" s="78"/>
      <c r="F94" s="133"/>
      <c r="G94" s="54"/>
      <c r="H94" s="109"/>
      <c r="I94" s="109"/>
      <c r="J94" s="55"/>
      <c r="K94" s="110"/>
      <c r="L94" s="110"/>
      <c r="M94" s="55"/>
      <c r="N94" s="110"/>
      <c r="O94" s="110"/>
      <c r="P94" s="57"/>
      <c r="Q94" s="111"/>
      <c r="R94" s="111"/>
      <c r="S94" s="58"/>
      <c r="T94" s="112"/>
      <c r="U94" s="112"/>
      <c r="V94" s="59"/>
      <c r="W94" s="113"/>
      <c r="X94" s="113"/>
      <c r="Y94" s="54"/>
      <c r="Z94" s="109"/>
      <c r="AA94" s="109"/>
      <c r="AB94" s="55"/>
      <c r="AC94" s="110"/>
      <c r="AD94" s="110"/>
      <c r="AE94" s="96"/>
      <c r="AF94" s="97"/>
      <c r="AG94" s="98"/>
      <c r="AH94" s="99"/>
    </row>
    <row r="95" spans="1:34" x14ac:dyDescent="0.25">
      <c r="A95" s="10" t="str">
        <f t="shared" si="1"/>
        <v/>
      </c>
      <c r="B95" s="52"/>
      <c r="C95" s="53"/>
      <c r="D95" s="153"/>
      <c r="E95" s="78"/>
      <c r="F95" s="133"/>
      <c r="G95" s="54"/>
      <c r="H95" s="109"/>
      <c r="I95" s="109"/>
      <c r="J95" s="55"/>
      <c r="K95" s="110"/>
      <c r="L95" s="110"/>
      <c r="M95" s="55"/>
      <c r="N95" s="110"/>
      <c r="O95" s="110"/>
      <c r="P95" s="57"/>
      <c r="Q95" s="111"/>
      <c r="R95" s="111"/>
      <c r="S95" s="58"/>
      <c r="T95" s="112"/>
      <c r="U95" s="112"/>
      <c r="V95" s="59"/>
      <c r="W95" s="113"/>
      <c r="X95" s="113"/>
      <c r="Y95" s="54"/>
      <c r="Z95" s="109"/>
      <c r="AA95" s="109"/>
      <c r="AB95" s="55"/>
      <c r="AC95" s="110"/>
      <c r="AD95" s="110"/>
      <c r="AE95" s="96"/>
      <c r="AF95" s="97"/>
      <c r="AG95" s="98"/>
      <c r="AH95" s="99"/>
    </row>
    <row r="96" spans="1:34" x14ac:dyDescent="0.25">
      <c r="A96" s="10" t="str">
        <f t="shared" si="1"/>
        <v/>
      </c>
      <c r="B96" s="52"/>
      <c r="C96" s="53"/>
      <c r="D96" s="153"/>
      <c r="E96" s="78"/>
      <c r="F96" s="133"/>
      <c r="G96" s="54"/>
      <c r="H96" s="109"/>
      <c r="I96" s="109"/>
      <c r="J96" s="55"/>
      <c r="K96" s="110"/>
      <c r="L96" s="110"/>
      <c r="M96" s="55"/>
      <c r="N96" s="110"/>
      <c r="O96" s="110"/>
      <c r="P96" s="57"/>
      <c r="Q96" s="111"/>
      <c r="R96" s="111"/>
      <c r="S96" s="58"/>
      <c r="T96" s="112"/>
      <c r="U96" s="112"/>
      <c r="V96" s="59"/>
      <c r="W96" s="113"/>
      <c r="X96" s="113"/>
      <c r="Y96" s="54"/>
      <c r="Z96" s="109"/>
      <c r="AA96" s="109"/>
      <c r="AB96" s="55"/>
      <c r="AC96" s="110"/>
      <c r="AD96" s="110"/>
      <c r="AE96" s="96"/>
      <c r="AF96" s="97"/>
      <c r="AG96" s="98"/>
      <c r="AH96" s="99"/>
    </row>
    <row r="97" spans="1:34" x14ac:dyDescent="0.25">
      <c r="A97" s="10" t="str">
        <f t="shared" si="1"/>
        <v/>
      </c>
      <c r="B97" s="52"/>
      <c r="C97" s="53"/>
      <c r="D97" s="153"/>
      <c r="E97" s="78"/>
      <c r="F97" s="133"/>
      <c r="G97" s="54"/>
      <c r="H97" s="109"/>
      <c r="I97" s="109"/>
      <c r="J97" s="55"/>
      <c r="K97" s="110"/>
      <c r="L97" s="110"/>
      <c r="M97" s="55"/>
      <c r="N97" s="110"/>
      <c r="O97" s="110"/>
      <c r="P97" s="57"/>
      <c r="Q97" s="111"/>
      <c r="R97" s="111"/>
      <c r="S97" s="58"/>
      <c r="T97" s="112"/>
      <c r="U97" s="112"/>
      <c r="V97" s="59"/>
      <c r="W97" s="113"/>
      <c r="X97" s="113"/>
      <c r="Y97" s="54"/>
      <c r="Z97" s="109"/>
      <c r="AA97" s="109"/>
      <c r="AB97" s="55"/>
      <c r="AC97" s="110"/>
      <c r="AD97" s="110"/>
      <c r="AE97" s="96"/>
      <c r="AF97" s="97"/>
      <c r="AG97" s="98"/>
      <c r="AH97" s="99"/>
    </row>
    <row r="98" spans="1:34" x14ac:dyDescent="0.25">
      <c r="A98" s="10" t="str">
        <f t="shared" si="1"/>
        <v/>
      </c>
      <c r="B98" s="52"/>
      <c r="C98" s="53"/>
      <c r="D98" s="153"/>
      <c r="E98" s="78"/>
      <c r="F98" s="133"/>
      <c r="G98" s="54"/>
      <c r="H98" s="109"/>
      <c r="I98" s="109"/>
      <c r="J98" s="55"/>
      <c r="K98" s="110"/>
      <c r="L98" s="110"/>
      <c r="M98" s="55"/>
      <c r="N98" s="110"/>
      <c r="O98" s="110"/>
      <c r="P98" s="57"/>
      <c r="Q98" s="111"/>
      <c r="R98" s="111"/>
      <c r="S98" s="58"/>
      <c r="T98" s="112"/>
      <c r="U98" s="112"/>
      <c r="V98" s="59"/>
      <c r="W98" s="113"/>
      <c r="X98" s="113"/>
      <c r="Y98" s="54"/>
      <c r="Z98" s="109"/>
      <c r="AA98" s="109"/>
      <c r="AB98" s="55"/>
      <c r="AC98" s="110"/>
      <c r="AD98" s="110"/>
      <c r="AE98" s="96"/>
      <c r="AF98" s="97"/>
      <c r="AG98" s="98"/>
      <c r="AH98" s="99"/>
    </row>
    <row r="99" spans="1:34" x14ac:dyDescent="0.25">
      <c r="A99" s="10" t="str">
        <f t="shared" si="1"/>
        <v/>
      </c>
      <c r="B99" s="52"/>
      <c r="C99" s="53"/>
      <c r="D99" s="153"/>
      <c r="E99" s="78"/>
      <c r="F99" s="133"/>
      <c r="G99" s="54"/>
      <c r="H99" s="109"/>
      <c r="I99" s="109"/>
      <c r="J99" s="55"/>
      <c r="K99" s="110"/>
      <c r="L99" s="110"/>
      <c r="M99" s="55"/>
      <c r="N99" s="110"/>
      <c r="O99" s="110"/>
      <c r="P99" s="57"/>
      <c r="Q99" s="111"/>
      <c r="R99" s="111"/>
      <c r="S99" s="58"/>
      <c r="T99" s="112"/>
      <c r="U99" s="112"/>
      <c r="V99" s="59"/>
      <c r="W99" s="113"/>
      <c r="X99" s="113"/>
      <c r="Y99" s="54"/>
      <c r="Z99" s="109"/>
      <c r="AA99" s="109"/>
      <c r="AB99" s="55"/>
      <c r="AC99" s="110"/>
      <c r="AD99" s="110"/>
      <c r="AE99" s="96"/>
      <c r="AF99" s="97"/>
      <c r="AG99" s="98"/>
      <c r="AH99" s="99"/>
    </row>
    <row r="100" spans="1:34" x14ac:dyDescent="0.25">
      <c r="A100" s="10" t="str">
        <f t="shared" si="1"/>
        <v/>
      </c>
      <c r="B100" s="52"/>
      <c r="C100" s="53"/>
      <c r="D100" s="153"/>
      <c r="E100" s="78"/>
      <c r="F100" s="133"/>
      <c r="G100" s="54"/>
      <c r="H100" s="109"/>
      <c r="I100" s="109"/>
      <c r="J100" s="55"/>
      <c r="K100" s="110"/>
      <c r="L100" s="110"/>
      <c r="M100" s="55"/>
      <c r="N100" s="110"/>
      <c r="O100" s="110"/>
      <c r="P100" s="57"/>
      <c r="Q100" s="111"/>
      <c r="R100" s="111"/>
      <c r="S100" s="58"/>
      <c r="T100" s="112"/>
      <c r="U100" s="112"/>
      <c r="V100" s="59"/>
      <c r="W100" s="113"/>
      <c r="X100" s="113"/>
      <c r="Y100" s="54"/>
      <c r="Z100" s="109"/>
      <c r="AA100" s="109"/>
      <c r="AB100" s="55"/>
      <c r="AC100" s="110"/>
      <c r="AD100" s="110"/>
      <c r="AE100" s="96"/>
      <c r="AF100" s="97"/>
      <c r="AG100" s="98"/>
      <c r="AH100" s="99"/>
    </row>
    <row r="101" spans="1:34" x14ac:dyDescent="0.25">
      <c r="A101" s="10" t="str">
        <f t="shared" si="1"/>
        <v/>
      </c>
      <c r="B101" s="52"/>
      <c r="C101" s="53"/>
      <c r="D101" s="153"/>
      <c r="E101" s="78"/>
      <c r="F101" s="133"/>
      <c r="G101" s="54"/>
      <c r="H101" s="109"/>
      <c r="I101" s="109"/>
      <c r="J101" s="55"/>
      <c r="K101" s="110"/>
      <c r="L101" s="110"/>
      <c r="M101" s="55"/>
      <c r="N101" s="110"/>
      <c r="O101" s="110"/>
      <c r="P101" s="57"/>
      <c r="Q101" s="111"/>
      <c r="R101" s="111"/>
      <c r="S101" s="58"/>
      <c r="T101" s="112"/>
      <c r="U101" s="112"/>
      <c r="V101" s="59"/>
      <c r="W101" s="113"/>
      <c r="X101" s="113"/>
      <c r="Y101" s="54"/>
      <c r="Z101" s="109"/>
      <c r="AA101" s="109"/>
      <c r="AB101" s="55"/>
      <c r="AC101" s="110"/>
      <c r="AD101" s="110"/>
      <c r="AE101" s="96"/>
      <c r="AF101" s="97"/>
      <c r="AG101" s="98"/>
      <c r="AH101" s="99"/>
    </row>
    <row r="102" spans="1:34" x14ac:dyDescent="0.25">
      <c r="A102" s="10" t="str">
        <f t="shared" si="1"/>
        <v/>
      </c>
      <c r="B102" s="52"/>
      <c r="C102" s="53"/>
      <c r="D102" s="153"/>
      <c r="E102" s="78"/>
      <c r="F102" s="133"/>
      <c r="G102" s="54"/>
      <c r="H102" s="109"/>
      <c r="I102" s="109"/>
      <c r="J102" s="55"/>
      <c r="K102" s="110"/>
      <c r="L102" s="110"/>
      <c r="M102" s="55"/>
      <c r="N102" s="110"/>
      <c r="O102" s="110"/>
      <c r="P102" s="57"/>
      <c r="Q102" s="111"/>
      <c r="R102" s="111"/>
      <c r="S102" s="58"/>
      <c r="T102" s="112"/>
      <c r="U102" s="112"/>
      <c r="V102" s="59"/>
      <c r="W102" s="113"/>
      <c r="X102" s="113"/>
      <c r="Y102" s="54"/>
      <c r="Z102" s="109"/>
      <c r="AA102" s="109"/>
      <c r="AB102" s="55"/>
      <c r="AC102" s="110"/>
      <c r="AD102" s="110"/>
      <c r="AE102" s="96"/>
      <c r="AF102" s="97"/>
      <c r="AG102" s="98"/>
      <c r="AH102" s="99"/>
    </row>
    <row r="103" spans="1:34" x14ac:dyDescent="0.25">
      <c r="A103" s="10" t="str">
        <f t="shared" si="1"/>
        <v/>
      </c>
      <c r="B103" s="52"/>
      <c r="C103" s="53"/>
      <c r="D103" s="153"/>
      <c r="E103" s="78"/>
      <c r="F103" s="133"/>
      <c r="G103" s="54"/>
      <c r="H103" s="109"/>
      <c r="I103" s="109"/>
      <c r="J103" s="55"/>
      <c r="K103" s="110"/>
      <c r="L103" s="110"/>
      <c r="M103" s="55"/>
      <c r="N103" s="110"/>
      <c r="O103" s="110"/>
      <c r="P103" s="57"/>
      <c r="Q103" s="111"/>
      <c r="R103" s="111"/>
      <c r="S103" s="58"/>
      <c r="T103" s="112"/>
      <c r="U103" s="112"/>
      <c r="V103" s="59"/>
      <c r="W103" s="113"/>
      <c r="X103" s="113"/>
      <c r="Y103" s="54"/>
      <c r="Z103" s="109"/>
      <c r="AA103" s="109"/>
      <c r="AB103" s="55"/>
      <c r="AC103" s="110"/>
      <c r="AD103" s="110"/>
      <c r="AE103" s="96"/>
      <c r="AF103" s="97"/>
      <c r="AG103" s="98"/>
      <c r="AH103" s="99"/>
    </row>
    <row r="104" spans="1:34" x14ac:dyDescent="0.25">
      <c r="A104" s="10" t="str">
        <f t="shared" si="1"/>
        <v/>
      </c>
      <c r="B104" s="52"/>
      <c r="C104" s="53"/>
      <c r="D104" s="153"/>
      <c r="E104" s="78"/>
      <c r="F104" s="133"/>
      <c r="G104" s="54"/>
      <c r="H104" s="109"/>
      <c r="I104" s="109"/>
      <c r="J104" s="55"/>
      <c r="K104" s="110"/>
      <c r="L104" s="110"/>
      <c r="M104" s="55"/>
      <c r="N104" s="110"/>
      <c r="O104" s="110"/>
      <c r="P104" s="57"/>
      <c r="Q104" s="111"/>
      <c r="R104" s="111"/>
      <c r="S104" s="58"/>
      <c r="T104" s="112"/>
      <c r="U104" s="112"/>
      <c r="V104" s="59"/>
      <c r="W104" s="113"/>
      <c r="X104" s="113"/>
      <c r="Y104" s="54"/>
      <c r="Z104" s="109"/>
      <c r="AA104" s="109"/>
      <c r="AB104" s="55"/>
      <c r="AC104" s="110"/>
      <c r="AD104" s="110"/>
      <c r="AE104" s="96"/>
      <c r="AF104" s="97"/>
      <c r="AG104" s="98"/>
      <c r="AH104" s="99"/>
    </row>
    <row r="105" spans="1:34" x14ac:dyDescent="0.25">
      <c r="A105" s="10" t="str">
        <f t="shared" si="1"/>
        <v/>
      </c>
      <c r="B105" s="52"/>
      <c r="C105" s="53"/>
      <c r="D105" s="153"/>
      <c r="E105" s="78"/>
      <c r="F105" s="133"/>
      <c r="G105" s="54"/>
      <c r="H105" s="109"/>
      <c r="I105" s="109"/>
      <c r="J105" s="55"/>
      <c r="K105" s="110"/>
      <c r="L105" s="110"/>
      <c r="M105" s="55"/>
      <c r="N105" s="110"/>
      <c r="O105" s="110"/>
      <c r="P105" s="57"/>
      <c r="Q105" s="111"/>
      <c r="R105" s="111"/>
      <c r="S105" s="58"/>
      <c r="T105" s="112"/>
      <c r="U105" s="112"/>
      <c r="V105" s="59"/>
      <c r="W105" s="113"/>
      <c r="X105" s="113"/>
      <c r="Y105" s="54"/>
      <c r="Z105" s="109"/>
      <c r="AA105" s="109"/>
      <c r="AB105" s="55"/>
      <c r="AC105" s="110"/>
      <c r="AD105" s="110"/>
      <c r="AE105" s="96"/>
      <c r="AF105" s="97"/>
      <c r="AG105" s="98"/>
      <c r="AH105" s="99"/>
    </row>
    <row r="106" spans="1:34" x14ac:dyDescent="0.25">
      <c r="A106" s="10" t="str">
        <f t="shared" si="1"/>
        <v/>
      </c>
      <c r="B106" s="52"/>
      <c r="C106" s="53"/>
      <c r="D106" s="153"/>
      <c r="E106" s="78"/>
      <c r="F106" s="133"/>
      <c r="G106" s="54"/>
      <c r="H106" s="109"/>
      <c r="I106" s="109"/>
      <c r="J106" s="55"/>
      <c r="K106" s="110"/>
      <c r="L106" s="110"/>
      <c r="M106" s="55"/>
      <c r="N106" s="110"/>
      <c r="O106" s="110"/>
      <c r="P106" s="57"/>
      <c r="Q106" s="111"/>
      <c r="R106" s="111"/>
      <c r="S106" s="58"/>
      <c r="T106" s="112"/>
      <c r="U106" s="112"/>
      <c r="V106" s="59"/>
      <c r="W106" s="113"/>
      <c r="X106" s="113"/>
      <c r="Y106" s="54"/>
      <c r="Z106" s="109"/>
      <c r="AA106" s="109"/>
      <c r="AB106" s="55"/>
      <c r="AC106" s="110"/>
      <c r="AD106" s="110"/>
      <c r="AE106" s="96"/>
      <c r="AF106" s="97"/>
      <c r="AG106" s="98"/>
      <c r="AH106" s="99"/>
    </row>
    <row r="107" spans="1:34" x14ac:dyDescent="0.25">
      <c r="A107" s="10" t="str">
        <f t="shared" si="1"/>
        <v/>
      </c>
      <c r="B107" s="52"/>
      <c r="C107" s="53"/>
      <c r="D107" s="153"/>
      <c r="E107" s="78"/>
      <c r="F107" s="133"/>
      <c r="G107" s="54"/>
      <c r="H107" s="109"/>
      <c r="I107" s="109"/>
      <c r="J107" s="55"/>
      <c r="K107" s="110"/>
      <c r="L107" s="110"/>
      <c r="M107" s="55"/>
      <c r="N107" s="110"/>
      <c r="O107" s="110"/>
      <c r="P107" s="57"/>
      <c r="Q107" s="111"/>
      <c r="R107" s="111"/>
      <c r="S107" s="58"/>
      <c r="T107" s="112"/>
      <c r="U107" s="112"/>
      <c r="V107" s="59"/>
      <c r="W107" s="113"/>
      <c r="X107" s="113"/>
      <c r="Y107" s="54"/>
      <c r="Z107" s="109"/>
      <c r="AA107" s="109"/>
      <c r="AB107" s="55"/>
      <c r="AC107" s="110"/>
      <c r="AD107" s="110"/>
      <c r="AE107" s="96"/>
      <c r="AF107" s="97"/>
      <c r="AG107" s="98"/>
      <c r="AH107" s="99"/>
    </row>
    <row r="108" spans="1:34" x14ac:dyDescent="0.25">
      <c r="A108" s="10" t="str">
        <f t="shared" si="1"/>
        <v/>
      </c>
      <c r="B108" s="52"/>
      <c r="C108" s="53"/>
      <c r="D108" s="153"/>
      <c r="E108" s="78"/>
      <c r="F108" s="133"/>
      <c r="G108" s="54"/>
      <c r="H108" s="109"/>
      <c r="I108" s="109"/>
      <c r="J108" s="55"/>
      <c r="K108" s="110"/>
      <c r="L108" s="110"/>
      <c r="M108" s="55"/>
      <c r="N108" s="110"/>
      <c r="O108" s="110"/>
      <c r="P108" s="57"/>
      <c r="Q108" s="111"/>
      <c r="R108" s="111"/>
      <c r="S108" s="58"/>
      <c r="T108" s="112"/>
      <c r="U108" s="112"/>
      <c r="V108" s="59"/>
      <c r="W108" s="113"/>
      <c r="X108" s="113"/>
      <c r="Y108" s="54"/>
      <c r="Z108" s="109"/>
      <c r="AA108" s="109"/>
      <c r="AB108" s="55"/>
      <c r="AC108" s="110"/>
      <c r="AD108" s="110"/>
      <c r="AE108" s="96"/>
      <c r="AF108" s="97"/>
      <c r="AG108" s="98"/>
      <c r="AH108" s="99"/>
    </row>
    <row r="109" spans="1:34" x14ac:dyDescent="0.25">
      <c r="A109" s="10" t="str">
        <f t="shared" si="1"/>
        <v/>
      </c>
      <c r="B109" s="52"/>
      <c r="C109" s="53"/>
      <c r="D109" s="153"/>
      <c r="E109" s="78"/>
      <c r="F109" s="133"/>
      <c r="G109" s="54"/>
      <c r="H109" s="109"/>
      <c r="I109" s="109"/>
      <c r="J109" s="55"/>
      <c r="K109" s="110"/>
      <c r="L109" s="110"/>
      <c r="M109" s="55"/>
      <c r="N109" s="110"/>
      <c r="O109" s="110"/>
      <c r="P109" s="57"/>
      <c r="Q109" s="111"/>
      <c r="R109" s="111"/>
      <c r="S109" s="58"/>
      <c r="T109" s="112"/>
      <c r="U109" s="112"/>
      <c r="V109" s="59"/>
      <c r="W109" s="113"/>
      <c r="X109" s="113"/>
      <c r="Y109" s="54"/>
      <c r="Z109" s="109"/>
      <c r="AA109" s="109"/>
      <c r="AB109" s="55"/>
      <c r="AC109" s="110"/>
      <c r="AD109" s="110"/>
      <c r="AE109" s="96"/>
      <c r="AF109" s="97"/>
      <c r="AG109" s="98"/>
      <c r="AH109" s="99"/>
    </row>
    <row r="110" spans="1:34" x14ac:dyDescent="0.25">
      <c r="A110" s="10" t="str">
        <f t="shared" si="1"/>
        <v/>
      </c>
      <c r="B110" s="52"/>
      <c r="C110" s="53"/>
      <c r="D110" s="153"/>
      <c r="E110" s="78"/>
      <c r="F110" s="133"/>
      <c r="G110" s="54"/>
      <c r="H110" s="109"/>
      <c r="I110" s="109"/>
      <c r="J110" s="55"/>
      <c r="K110" s="110"/>
      <c r="L110" s="110"/>
      <c r="M110" s="55"/>
      <c r="N110" s="110"/>
      <c r="O110" s="110"/>
      <c r="P110" s="57"/>
      <c r="Q110" s="111"/>
      <c r="R110" s="111"/>
      <c r="S110" s="58"/>
      <c r="T110" s="112"/>
      <c r="U110" s="112"/>
      <c r="V110" s="59"/>
      <c r="W110" s="113"/>
      <c r="X110" s="113"/>
      <c r="Y110" s="54"/>
      <c r="Z110" s="109"/>
      <c r="AA110" s="109"/>
      <c r="AB110" s="55"/>
      <c r="AC110" s="110"/>
      <c r="AD110" s="110"/>
      <c r="AE110" s="96"/>
      <c r="AF110" s="97"/>
      <c r="AG110" s="98"/>
      <c r="AH110" s="99"/>
    </row>
    <row r="111" spans="1:34" x14ac:dyDescent="0.25">
      <c r="A111" s="10" t="str">
        <f t="shared" si="1"/>
        <v/>
      </c>
      <c r="B111" s="52"/>
      <c r="C111" s="53"/>
      <c r="D111" s="153"/>
      <c r="E111" s="78"/>
      <c r="F111" s="133"/>
      <c r="G111" s="54"/>
      <c r="H111" s="109"/>
      <c r="I111" s="109"/>
      <c r="J111" s="55"/>
      <c r="K111" s="110"/>
      <c r="L111" s="110"/>
      <c r="M111" s="55"/>
      <c r="N111" s="110"/>
      <c r="O111" s="110"/>
      <c r="P111" s="57"/>
      <c r="Q111" s="111"/>
      <c r="R111" s="111"/>
      <c r="S111" s="58"/>
      <c r="T111" s="112"/>
      <c r="U111" s="112"/>
      <c r="V111" s="59"/>
      <c r="W111" s="113"/>
      <c r="X111" s="113"/>
      <c r="Y111" s="54"/>
      <c r="Z111" s="109"/>
      <c r="AA111" s="109"/>
      <c r="AB111" s="55"/>
      <c r="AC111" s="110"/>
      <c r="AD111" s="110"/>
      <c r="AE111" s="96"/>
      <c r="AF111" s="97"/>
      <c r="AG111" s="98"/>
      <c r="AH111" s="99"/>
    </row>
    <row r="112" spans="1:34" x14ac:dyDescent="0.25">
      <c r="A112" s="10" t="str">
        <f t="shared" si="1"/>
        <v/>
      </c>
      <c r="B112" s="52"/>
      <c r="C112" s="53"/>
      <c r="D112" s="153"/>
      <c r="E112" s="78"/>
      <c r="F112" s="133"/>
      <c r="G112" s="54"/>
      <c r="H112" s="109"/>
      <c r="I112" s="109"/>
      <c r="J112" s="55"/>
      <c r="K112" s="110"/>
      <c r="L112" s="110"/>
      <c r="M112" s="55"/>
      <c r="N112" s="110"/>
      <c r="O112" s="110"/>
      <c r="P112" s="57"/>
      <c r="Q112" s="111"/>
      <c r="R112" s="111"/>
      <c r="S112" s="58"/>
      <c r="T112" s="112"/>
      <c r="U112" s="112"/>
      <c r="V112" s="59"/>
      <c r="W112" s="113"/>
      <c r="X112" s="113"/>
      <c r="Y112" s="54"/>
      <c r="Z112" s="109"/>
      <c r="AA112" s="109"/>
      <c r="AB112" s="55"/>
      <c r="AC112" s="110"/>
      <c r="AD112" s="110"/>
      <c r="AE112" s="96"/>
      <c r="AF112" s="97"/>
      <c r="AG112" s="98"/>
      <c r="AH112" s="99"/>
    </row>
    <row r="113" spans="1:34" x14ac:dyDescent="0.25">
      <c r="A113" s="10" t="str">
        <f t="shared" si="1"/>
        <v/>
      </c>
      <c r="B113" s="52"/>
      <c r="C113" s="53"/>
      <c r="D113" s="153"/>
      <c r="E113" s="78"/>
      <c r="F113" s="133"/>
      <c r="G113" s="54"/>
      <c r="H113" s="109"/>
      <c r="I113" s="109"/>
      <c r="J113" s="55"/>
      <c r="K113" s="110"/>
      <c r="L113" s="110"/>
      <c r="M113" s="55"/>
      <c r="N113" s="110"/>
      <c r="O113" s="110"/>
      <c r="P113" s="57"/>
      <c r="Q113" s="111"/>
      <c r="R113" s="111"/>
      <c r="S113" s="58"/>
      <c r="T113" s="112"/>
      <c r="U113" s="112"/>
      <c r="V113" s="59"/>
      <c r="W113" s="113"/>
      <c r="X113" s="113"/>
      <c r="Y113" s="54"/>
      <c r="Z113" s="109"/>
      <c r="AA113" s="109"/>
      <c r="AB113" s="55"/>
      <c r="AC113" s="110"/>
      <c r="AD113" s="110"/>
      <c r="AE113" s="96"/>
      <c r="AF113" s="97"/>
      <c r="AG113" s="98"/>
      <c r="AH113" s="99"/>
    </row>
    <row r="114" spans="1:34" x14ac:dyDescent="0.25">
      <c r="A114" s="10" t="str">
        <f t="shared" si="1"/>
        <v/>
      </c>
      <c r="B114" s="52"/>
      <c r="C114" s="53"/>
      <c r="D114" s="153"/>
      <c r="E114" s="78"/>
      <c r="F114" s="133"/>
      <c r="G114" s="54"/>
      <c r="H114" s="109"/>
      <c r="I114" s="109"/>
      <c r="J114" s="55"/>
      <c r="K114" s="110"/>
      <c r="L114" s="110"/>
      <c r="M114" s="55"/>
      <c r="N114" s="110"/>
      <c r="O114" s="110"/>
      <c r="P114" s="57"/>
      <c r="Q114" s="111"/>
      <c r="R114" s="111"/>
      <c r="S114" s="58"/>
      <c r="T114" s="112"/>
      <c r="U114" s="112"/>
      <c r="V114" s="59"/>
      <c r="W114" s="113"/>
      <c r="X114" s="113"/>
      <c r="Y114" s="54"/>
      <c r="Z114" s="109"/>
      <c r="AA114" s="109"/>
      <c r="AB114" s="55"/>
      <c r="AC114" s="110"/>
      <c r="AD114" s="110"/>
      <c r="AE114" s="96"/>
      <c r="AF114" s="97"/>
      <c r="AG114" s="98"/>
      <c r="AH114" s="99"/>
    </row>
    <row r="115" spans="1:34" x14ac:dyDescent="0.25">
      <c r="A115" s="10" t="str">
        <f t="shared" si="1"/>
        <v/>
      </c>
      <c r="B115" s="52"/>
      <c r="C115" s="53"/>
      <c r="D115" s="153"/>
      <c r="E115" s="78"/>
      <c r="F115" s="133"/>
      <c r="G115" s="54"/>
      <c r="H115" s="109"/>
      <c r="I115" s="109"/>
      <c r="J115" s="55"/>
      <c r="K115" s="110"/>
      <c r="L115" s="110"/>
      <c r="M115" s="55"/>
      <c r="N115" s="110"/>
      <c r="O115" s="110"/>
      <c r="P115" s="57"/>
      <c r="Q115" s="111"/>
      <c r="R115" s="111"/>
      <c r="S115" s="58"/>
      <c r="T115" s="112"/>
      <c r="U115" s="112"/>
      <c r="V115" s="59"/>
      <c r="W115" s="113"/>
      <c r="X115" s="113"/>
      <c r="Y115" s="54"/>
      <c r="Z115" s="109"/>
      <c r="AA115" s="109"/>
      <c r="AB115" s="55"/>
      <c r="AC115" s="110"/>
      <c r="AD115" s="110"/>
      <c r="AE115" s="96"/>
      <c r="AF115" s="97"/>
      <c r="AG115" s="98"/>
      <c r="AH115" s="99"/>
    </row>
    <row r="116" spans="1:34" x14ac:dyDescent="0.25">
      <c r="A116" s="10" t="str">
        <f t="shared" si="1"/>
        <v/>
      </c>
      <c r="B116" s="52"/>
      <c r="C116" s="53"/>
      <c r="D116" s="153"/>
      <c r="E116" s="78"/>
      <c r="F116" s="133"/>
      <c r="G116" s="54"/>
      <c r="H116" s="109"/>
      <c r="I116" s="109"/>
      <c r="J116" s="55"/>
      <c r="K116" s="110"/>
      <c r="L116" s="110"/>
      <c r="M116" s="55"/>
      <c r="N116" s="110"/>
      <c r="O116" s="110"/>
      <c r="P116" s="57"/>
      <c r="Q116" s="111"/>
      <c r="R116" s="111"/>
      <c r="S116" s="58"/>
      <c r="T116" s="112"/>
      <c r="U116" s="112"/>
      <c r="V116" s="59"/>
      <c r="W116" s="113"/>
      <c r="X116" s="113"/>
      <c r="Y116" s="54"/>
      <c r="Z116" s="109"/>
      <c r="AA116" s="109"/>
      <c r="AB116" s="55"/>
      <c r="AC116" s="110"/>
      <c r="AD116" s="110"/>
      <c r="AE116" s="96"/>
      <c r="AF116" s="97"/>
      <c r="AG116" s="98"/>
      <c r="AH116" s="99"/>
    </row>
    <row r="117" spans="1:34" x14ac:dyDescent="0.25">
      <c r="A117" s="10" t="str">
        <f t="shared" si="1"/>
        <v/>
      </c>
      <c r="B117" s="52"/>
      <c r="C117" s="53"/>
      <c r="D117" s="153"/>
      <c r="E117" s="78"/>
      <c r="F117" s="133"/>
      <c r="G117" s="54"/>
      <c r="H117" s="109"/>
      <c r="I117" s="109"/>
      <c r="J117" s="55"/>
      <c r="K117" s="110"/>
      <c r="L117" s="110"/>
      <c r="M117" s="55"/>
      <c r="N117" s="110"/>
      <c r="O117" s="110"/>
      <c r="P117" s="57"/>
      <c r="Q117" s="111"/>
      <c r="R117" s="111"/>
      <c r="S117" s="58"/>
      <c r="T117" s="112"/>
      <c r="U117" s="112"/>
      <c r="V117" s="59"/>
      <c r="W117" s="113"/>
      <c r="X117" s="113"/>
      <c r="Y117" s="54"/>
      <c r="Z117" s="109"/>
      <c r="AA117" s="109"/>
      <c r="AB117" s="55"/>
      <c r="AC117" s="110"/>
      <c r="AD117" s="110"/>
      <c r="AE117" s="96"/>
      <c r="AF117" s="97"/>
      <c r="AG117" s="98"/>
      <c r="AH117" s="99"/>
    </row>
    <row r="118" spans="1:34" x14ac:dyDescent="0.25">
      <c r="A118" s="10" t="str">
        <f t="shared" si="1"/>
        <v/>
      </c>
      <c r="B118" s="52"/>
      <c r="C118" s="53"/>
      <c r="D118" s="153"/>
      <c r="E118" s="78"/>
      <c r="F118" s="133"/>
      <c r="G118" s="54"/>
      <c r="H118" s="109"/>
      <c r="I118" s="109"/>
      <c r="J118" s="55"/>
      <c r="K118" s="110"/>
      <c r="L118" s="110"/>
      <c r="M118" s="55"/>
      <c r="N118" s="110"/>
      <c r="O118" s="110"/>
      <c r="P118" s="57"/>
      <c r="Q118" s="111"/>
      <c r="R118" s="111"/>
      <c r="S118" s="58"/>
      <c r="T118" s="112"/>
      <c r="U118" s="112"/>
      <c r="V118" s="59"/>
      <c r="W118" s="113"/>
      <c r="X118" s="113"/>
      <c r="Y118" s="54"/>
      <c r="Z118" s="109"/>
      <c r="AA118" s="109"/>
      <c r="AB118" s="55"/>
      <c r="AC118" s="110"/>
      <c r="AD118" s="110"/>
      <c r="AE118" s="96"/>
      <c r="AF118" s="97"/>
      <c r="AG118" s="98"/>
      <c r="AH118" s="99"/>
    </row>
    <row r="119" spans="1:34" x14ac:dyDescent="0.25">
      <c r="A119" s="10" t="str">
        <f t="shared" si="1"/>
        <v/>
      </c>
      <c r="B119" s="52"/>
      <c r="C119" s="53"/>
      <c r="D119" s="153"/>
      <c r="E119" s="78"/>
      <c r="F119" s="133"/>
      <c r="G119" s="54"/>
      <c r="H119" s="109"/>
      <c r="I119" s="109"/>
      <c r="J119" s="55"/>
      <c r="K119" s="110"/>
      <c r="L119" s="110"/>
      <c r="M119" s="55"/>
      <c r="N119" s="110"/>
      <c r="O119" s="110"/>
      <c r="P119" s="57"/>
      <c r="Q119" s="111"/>
      <c r="R119" s="111"/>
      <c r="S119" s="58"/>
      <c r="T119" s="112"/>
      <c r="U119" s="112"/>
      <c r="V119" s="59"/>
      <c r="W119" s="113"/>
      <c r="X119" s="113"/>
      <c r="Y119" s="54"/>
      <c r="Z119" s="109"/>
      <c r="AA119" s="109"/>
      <c r="AB119" s="55"/>
      <c r="AC119" s="110"/>
      <c r="AD119" s="110"/>
      <c r="AE119" s="96"/>
      <c r="AF119" s="97"/>
      <c r="AG119" s="98"/>
      <c r="AH119" s="99"/>
    </row>
    <row r="120" spans="1:34" x14ac:dyDescent="0.25">
      <c r="A120" s="10" t="str">
        <f t="shared" si="1"/>
        <v/>
      </c>
      <c r="B120" s="52"/>
      <c r="C120" s="53"/>
      <c r="D120" s="153"/>
      <c r="E120" s="78"/>
      <c r="F120" s="133"/>
      <c r="G120" s="54"/>
      <c r="H120" s="109"/>
      <c r="I120" s="109"/>
      <c r="J120" s="55"/>
      <c r="K120" s="110"/>
      <c r="L120" s="110"/>
      <c r="M120" s="55"/>
      <c r="N120" s="110"/>
      <c r="O120" s="110"/>
      <c r="P120" s="57"/>
      <c r="Q120" s="111"/>
      <c r="R120" s="111"/>
      <c r="S120" s="58"/>
      <c r="T120" s="112"/>
      <c r="U120" s="112"/>
      <c r="V120" s="59"/>
      <c r="W120" s="113"/>
      <c r="X120" s="113"/>
      <c r="Y120" s="54"/>
      <c r="Z120" s="109"/>
      <c r="AA120" s="109"/>
      <c r="AB120" s="55"/>
      <c r="AC120" s="110"/>
      <c r="AD120" s="110"/>
      <c r="AE120" s="96"/>
      <c r="AF120" s="97"/>
      <c r="AG120" s="98"/>
      <c r="AH120" s="99"/>
    </row>
    <row r="121" spans="1:34" x14ac:dyDescent="0.25">
      <c r="A121" s="10" t="str">
        <f t="shared" si="1"/>
        <v/>
      </c>
      <c r="B121" s="52"/>
      <c r="C121" s="53"/>
      <c r="D121" s="153"/>
      <c r="E121" s="78"/>
      <c r="F121" s="133"/>
      <c r="G121" s="54"/>
      <c r="H121" s="109"/>
      <c r="I121" s="109"/>
      <c r="J121" s="55"/>
      <c r="K121" s="110"/>
      <c r="L121" s="110"/>
      <c r="M121" s="55"/>
      <c r="N121" s="110"/>
      <c r="O121" s="110"/>
      <c r="P121" s="57"/>
      <c r="Q121" s="111"/>
      <c r="R121" s="111"/>
      <c r="S121" s="58"/>
      <c r="T121" s="112"/>
      <c r="U121" s="112"/>
      <c r="V121" s="59"/>
      <c r="W121" s="113"/>
      <c r="X121" s="113"/>
      <c r="Y121" s="54"/>
      <c r="Z121" s="109"/>
      <c r="AA121" s="109"/>
      <c r="AB121" s="55"/>
      <c r="AC121" s="110"/>
      <c r="AD121" s="110"/>
      <c r="AE121" s="96"/>
      <c r="AF121" s="97"/>
      <c r="AG121" s="98"/>
      <c r="AH121" s="99"/>
    </row>
    <row r="122" spans="1:34" x14ac:dyDescent="0.25">
      <c r="A122" s="10" t="str">
        <f t="shared" si="1"/>
        <v/>
      </c>
      <c r="B122" s="52"/>
      <c r="C122" s="53"/>
      <c r="D122" s="153"/>
      <c r="E122" s="78"/>
      <c r="F122" s="133"/>
      <c r="G122" s="54"/>
      <c r="H122" s="109"/>
      <c r="I122" s="109"/>
      <c r="J122" s="55"/>
      <c r="K122" s="110"/>
      <c r="L122" s="110"/>
      <c r="M122" s="55"/>
      <c r="N122" s="110"/>
      <c r="O122" s="110"/>
      <c r="P122" s="57"/>
      <c r="Q122" s="111"/>
      <c r="R122" s="111"/>
      <c r="S122" s="58"/>
      <c r="T122" s="112"/>
      <c r="U122" s="112"/>
      <c r="V122" s="59"/>
      <c r="W122" s="113"/>
      <c r="X122" s="113"/>
      <c r="Y122" s="54"/>
      <c r="Z122" s="109"/>
      <c r="AA122" s="109"/>
      <c r="AB122" s="55"/>
      <c r="AC122" s="110"/>
      <c r="AD122" s="110"/>
      <c r="AE122" s="96"/>
      <c r="AF122" s="97"/>
      <c r="AG122" s="98"/>
      <c r="AH122" s="99"/>
    </row>
    <row r="123" spans="1:34" x14ac:dyDescent="0.25">
      <c r="A123" s="10" t="str">
        <f t="shared" si="1"/>
        <v/>
      </c>
      <c r="B123" s="52"/>
      <c r="C123" s="53"/>
      <c r="D123" s="153"/>
      <c r="E123" s="78"/>
      <c r="F123" s="133"/>
      <c r="G123" s="54"/>
      <c r="H123" s="109"/>
      <c r="I123" s="109"/>
      <c r="J123" s="55"/>
      <c r="K123" s="110"/>
      <c r="L123" s="110"/>
      <c r="M123" s="55"/>
      <c r="N123" s="110"/>
      <c r="O123" s="110"/>
      <c r="P123" s="57"/>
      <c r="Q123" s="111"/>
      <c r="R123" s="111"/>
      <c r="S123" s="58"/>
      <c r="T123" s="112"/>
      <c r="U123" s="112"/>
      <c r="V123" s="59"/>
      <c r="W123" s="113"/>
      <c r="X123" s="113"/>
      <c r="Y123" s="54"/>
      <c r="Z123" s="109"/>
      <c r="AA123" s="109"/>
      <c r="AB123" s="55"/>
      <c r="AC123" s="110"/>
      <c r="AD123" s="110"/>
      <c r="AE123" s="96"/>
      <c r="AF123" s="97"/>
      <c r="AG123" s="98"/>
      <c r="AH123" s="99"/>
    </row>
    <row r="124" spans="1:34" x14ac:dyDescent="0.25">
      <c r="A124" s="10" t="str">
        <f t="shared" si="1"/>
        <v/>
      </c>
      <c r="B124" s="52"/>
      <c r="C124" s="53"/>
      <c r="D124" s="153"/>
      <c r="E124" s="78"/>
      <c r="F124" s="133"/>
      <c r="G124" s="54"/>
      <c r="H124" s="109"/>
      <c r="I124" s="109"/>
      <c r="J124" s="55"/>
      <c r="K124" s="110"/>
      <c r="L124" s="110"/>
      <c r="M124" s="55"/>
      <c r="N124" s="110"/>
      <c r="O124" s="110"/>
      <c r="P124" s="57"/>
      <c r="Q124" s="111"/>
      <c r="R124" s="111"/>
      <c r="S124" s="58"/>
      <c r="T124" s="112"/>
      <c r="U124" s="112"/>
      <c r="V124" s="59"/>
      <c r="W124" s="113"/>
      <c r="X124" s="113"/>
      <c r="Y124" s="54"/>
      <c r="Z124" s="109"/>
      <c r="AA124" s="109"/>
      <c r="AB124" s="55"/>
      <c r="AC124" s="110"/>
      <c r="AD124" s="110"/>
      <c r="AE124" s="96"/>
      <c r="AF124" s="97"/>
      <c r="AG124" s="98"/>
      <c r="AH124" s="99"/>
    </row>
    <row r="125" spans="1:34" x14ac:dyDescent="0.25">
      <c r="A125" s="10" t="str">
        <f t="shared" si="1"/>
        <v/>
      </c>
      <c r="B125" s="52"/>
      <c r="C125" s="53"/>
      <c r="D125" s="153"/>
      <c r="E125" s="78"/>
      <c r="F125" s="133"/>
      <c r="G125" s="54"/>
      <c r="H125" s="109"/>
      <c r="I125" s="109"/>
      <c r="J125" s="55"/>
      <c r="K125" s="110"/>
      <c r="L125" s="110"/>
      <c r="M125" s="55"/>
      <c r="N125" s="110"/>
      <c r="O125" s="110"/>
      <c r="P125" s="57"/>
      <c r="Q125" s="111"/>
      <c r="R125" s="111"/>
      <c r="S125" s="58"/>
      <c r="T125" s="112"/>
      <c r="U125" s="112"/>
      <c r="V125" s="59"/>
      <c r="W125" s="113"/>
      <c r="X125" s="113"/>
      <c r="Y125" s="54"/>
      <c r="Z125" s="109"/>
      <c r="AA125" s="109"/>
      <c r="AB125" s="55"/>
      <c r="AC125" s="110"/>
      <c r="AD125" s="110"/>
      <c r="AE125" s="96"/>
      <c r="AF125" s="97"/>
      <c r="AG125" s="98"/>
      <c r="AH125" s="99"/>
    </row>
    <row r="126" spans="1:34" x14ac:dyDescent="0.25">
      <c r="A126" s="10" t="str">
        <f t="shared" si="1"/>
        <v/>
      </c>
      <c r="B126" s="52"/>
      <c r="C126" s="53"/>
      <c r="D126" s="153"/>
      <c r="E126" s="78"/>
      <c r="F126" s="133"/>
      <c r="G126" s="54"/>
      <c r="H126" s="109"/>
      <c r="I126" s="109"/>
      <c r="J126" s="55"/>
      <c r="K126" s="110"/>
      <c r="L126" s="110"/>
      <c r="M126" s="55"/>
      <c r="N126" s="110"/>
      <c r="O126" s="110"/>
      <c r="P126" s="57"/>
      <c r="Q126" s="111"/>
      <c r="R126" s="111"/>
      <c r="S126" s="58"/>
      <c r="T126" s="112"/>
      <c r="U126" s="112"/>
      <c r="V126" s="59"/>
      <c r="W126" s="113"/>
      <c r="X126" s="113"/>
      <c r="Y126" s="54"/>
      <c r="Z126" s="109"/>
      <c r="AA126" s="109"/>
      <c r="AB126" s="55"/>
      <c r="AC126" s="110"/>
      <c r="AD126" s="110"/>
      <c r="AE126" s="96"/>
      <c r="AF126" s="97"/>
      <c r="AG126" s="98"/>
      <c r="AH126" s="99"/>
    </row>
    <row r="127" spans="1:34" x14ac:dyDescent="0.25">
      <c r="A127" s="10" t="str">
        <f t="shared" si="1"/>
        <v/>
      </c>
      <c r="B127" s="52"/>
      <c r="C127" s="53"/>
      <c r="D127" s="153"/>
      <c r="E127" s="78"/>
      <c r="F127" s="133"/>
      <c r="G127" s="54"/>
      <c r="H127" s="109"/>
      <c r="I127" s="109"/>
      <c r="J127" s="55"/>
      <c r="K127" s="110"/>
      <c r="L127" s="110"/>
      <c r="M127" s="55"/>
      <c r="N127" s="110"/>
      <c r="O127" s="110"/>
      <c r="P127" s="57"/>
      <c r="Q127" s="111"/>
      <c r="R127" s="111"/>
      <c r="S127" s="58"/>
      <c r="T127" s="112"/>
      <c r="U127" s="112"/>
      <c r="V127" s="59"/>
      <c r="W127" s="113"/>
      <c r="X127" s="113"/>
      <c r="Y127" s="54"/>
      <c r="Z127" s="109"/>
      <c r="AA127" s="109"/>
      <c r="AB127" s="55"/>
      <c r="AC127" s="110"/>
      <c r="AD127" s="110"/>
      <c r="AE127" s="96"/>
      <c r="AF127" s="97"/>
      <c r="AG127" s="98"/>
      <c r="AH127" s="99"/>
    </row>
    <row r="128" spans="1:34" x14ac:dyDescent="0.25">
      <c r="A128" s="10" t="str">
        <f t="shared" si="1"/>
        <v/>
      </c>
      <c r="B128" s="52"/>
      <c r="C128" s="53"/>
      <c r="D128" s="153"/>
      <c r="E128" s="78"/>
      <c r="F128" s="133"/>
      <c r="G128" s="54"/>
      <c r="H128" s="109"/>
      <c r="I128" s="109"/>
      <c r="J128" s="55"/>
      <c r="K128" s="110"/>
      <c r="L128" s="110"/>
      <c r="M128" s="55"/>
      <c r="N128" s="110"/>
      <c r="O128" s="110"/>
      <c r="P128" s="57"/>
      <c r="Q128" s="111"/>
      <c r="R128" s="111"/>
      <c r="S128" s="58"/>
      <c r="T128" s="112"/>
      <c r="U128" s="112"/>
      <c r="V128" s="59"/>
      <c r="W128" s="113"/>
      <c r="X128" s="113"/>
      <c r="Y128" s="54"/>
      <c r="Z128" s="109"/>
      <c r="AA128" s="109"/>
      <c r="AB128" s="55"/>
      <c r="AC128" s="110"/>
      <c r="AD128" s="110"/>
      <c r="AE128" s="96"/>
      <c r="AF128" s="97"/>
      <c r="AG128" s="98"/>
      <c r="AH128" s="99"/>
    </row>
    <row r="129" spans="1:34" x14ac:dyDescent="0.25">
      <c r="A129" s="10" t="str">
        <f t="shared" si="1"/>
        <v/>
      </c>
      <c r="B129" s="52"/>
      <c r="C129" s="53"/>
      <c r="D129" s="153"/>
      <c r="E129" s="78"/>
      <c r="F129" s="133"/>
      <c r="G129" s="54"/>
      <c r="H129" s="109"/>
      <c r="I129" s="109"/>
      <c r="J129" s="55"/>
      <c r="K129" s="110"/>
      <c r="L129" s="110"/>
      <c r="M129" s="55"/>
      <c r="N129" s="110"/>
      <c r="O129" s="110"/>
      <c r="P129" s="57"/>
      <c r="Q129" s="111"/>
      <c r="R129" s="111"/>
      <c r="S129" s="58"/>
      <c r="T129" s="112"/>
      <c r="U129" s="112"/>
      <c r="V129" s="59"/>
      <c r="W129" s="113"/>
      <c r="X129" s="113"/>
      <c r="Y129" s="54"/>
      <c r="Z129" s="109"/>
      <c r="AA129" s="109"/>
      <c r="AB129" s="55"/>
      <c r="AC129" s="110"/>
      <c r="AD129" s="110"/>
      <c r="AE129" s="96"/>
      <c r="AF129" s="97"/>
      <c r="AG129" s="98"/>
      <c r="AH129" s="99"/>
    </row>
    <row r="130" spans="1:34" x14ac:dyDescent="0.25">
      <c r="A130" s="10" t="str">
        <f t="shared" si="1"/>
        <v/>
      </c>
      <c r="B130" s="52"/>
      <c r="C130" s="53"/>
      <c r="D130" s="153"/>
      <c r="E130" s="78"/>
      <c r="F130" s="133"/>
      <c r="G130" s="54"/>
      <c r="H130" s="109"/>
      <c r="I130" s="109"/>
      <c r="J130" s="55"/>
      <c r="K130" s="110"/>
      <c r="L130" s="110"/>
      <c r="M130" s="55"/>
      <c r="N130" s="110"/>
      <c r="O130" s="110"/>
      <c r="P130" s="57"/>
      <c r="Q130" s="111"/>
      <c r="R130" s="111"/>
      <c r="S130" s="58"/>
      <c r="T130" s="112"/>
      <c r="U130" s="112"/>
      <c r="V130" s="59"/>
      <c r="W130" s="113"/>
      <c r="X130" s="113"/>
      <c r="Y130" s="54"/>
      <c r="Z130" s="109"/>
      <c r="AA130" s="109"/>
      <c r="AB130" s="55"/>
      <c r="AC130" s="110"/>
      <c r="AD130" s="110"/>
      <c r="AE130" s="96"/>
      <c r="AF130" s="97"/>
      <c r="AG130" s="98"/>
      <c r="AH130" s="99"/>
    </row>
    <row r="131" spans="1:34" x14ac:dyDescent="0.25">
      <c r="A131" s="10" t="str">
        <f t="shared" si="1"/>
        <v/>
      </c>
      <c r="B131" s="52"/>
      <c r="C131" s="53"/>
      <c r="D131" s="153"/>
      <c r="E131" s="78"/>
      <c r="F131" s="133"/>
      <c r="G131" s="54"/>
      <c r="H131" s="109"/>
      <c r="I131" s="109"/>
      <c r="J131" s="55"/>
      <c r="K131" s="110"/>
      <c r="L131" s="110"/>
      <c r="M131" s="55"/>
      <c r="N131" s="110"/>
      <c r="O131" s="110"/>
      <c r="P131" s="57"/>
      <c r="Q131" s="111"/>
      <c r="R131" s="111"/>
      <c r="S131" s="58"/>
      <c r="T131" s="112"/>
      <c r="U131" s="112"/>
      <c r="V131" s="59"/>
      <c r="W131" s="113"/>
      <c r="X131" s="113"/>
      <c r="Y131" s="54"/>
      <c r="Z131" s="109"/>
      <c r="AA131" s="109"/>
      <c r="AB131" s="55"/>
      <c r="AC131" s="110"/>
      <c r="AD131" s="110"/>
      <c r="AE131" s="96"/>
      <c r="AF131" s="97"/>
      <c r="AG131" s="98"/>
      <c r="AH131" s="99"/>
    </row>
    <row r="132" spans="1:34" x14ac:dyDescent="0.25">
      <c r="A132" s="10" t="str">
        <f t="shared" si="1"/>
        <v/>
      </c>
      <c r="B132" s="52"/>
      <c r="C132" s="53"/>
      <c r="D132" s="153"/>
      <c r="E132" s="78"/>
      <c r="F132" s="133"/>
      <c r="G132" s="54"/>
      <c r="H132" s="109"/>
      <c r="I132" s="109"/>
      <c r="J132" s="55"/>
      <c r="K132" s="110"/>
      <c r="L132" s="110"/>
      <c r="M132" s="55"/>
      <c r="N132" s="110"/>
      <c r="O132" s="110"/>
      <c r="P132" s="57"/>
      <c r="Q132" s="111"/>
      <c r="R132" s="111"/>
      <c r="S132" s="58"/>
      <c r="T132" s="112"/>
      <c r="U132" s="112"/>
      <c r="V132" s="59"/>
      <c r="W132" s="113"/>
      <c r="X132" s="113"/>
      <c r="Y132" s="54"/>
      <c r="Z132" s="109"/>
      <c r="AA132" s="109"/>
      <c r="AB132" s="55"/>
      <c r="AC132" s="110"/>
      <c r="AD132" s="110"/>
      <c r="AE132" s="96"/>
      <c r="AF132" s="97"/>
      <c r="AG132" s="98"/>
      <c r="AH132" s="99"/>
    </row>
    <row r="133" spans="1:34" x14ac:dyDescent="0.25">
      <c r="A133" s="10" t="str">
        <f t="shared" ref="A133:A196" si="2">IF(COUNTA(G133:AD133)/3=0,"",COUNTA(G133:AD133)/3)</f>
        <v/>
      </c>
      <c r="B133" s="52"/>
      <c r="C133" s="53"/>
      <c r="D133" s="153"/>
      <c r="E133" s="78"/>
      <c r="F133" s="133"/>
      <c r="G133" s="54"/>
      <c r="H133" s="109"/>
      <c r="I133" s="109"/>
      <c r="J133" s="55"/>
      <c r="K133" s="110"/>
      <c r="L133" s="110"/>
      <c r="M133" s="55"/>
      <c r="N133" s="110"/>
      <c r="O133" s="110"/>
      <c r="P133" s="57"/>
      <c r="Q133" s="111"/>
      <c r="R133" s="111"/>
      <c r="S133" s="58"/>
      <c r="T133" s="112"/>
      <c r="U133" s="112"/>
      <c r="V133" s="59"/>
      <c r="W133" s="113"/>
      <c r="X133" s="113"/>
      <c r="Y133" s="54"/>
      <c r="Z133" s="109"/>
      <c r="AA133" s="109"/>
      <c r="AB133" s="55"/>
      <c r="AC133" s="110"/>
      <c r="AD133" s="110"/>
      <c r="AE133" s="96"/>
      <c r="AF133" s="97"/>
      <c r="AG133" s="98"/>
      <c r="AH133" s="99"/>
    </row>
    <row r="134" spans="1:34" x14ac:dyDescent="0.25">
      <c r="A134" s="10" t="str">
        <f t="shared" si="2"/>
        <v/>
      </c>
      <c r="B134" s="52"/>
      <c r="C134" s="53"/>
      <c r="D134" s="153"/>
      <c r="E134" s="78"/>
      <c r="F134" s="133"/>
      <c r="G134" s="54"/>
      <c r="H134" s="109"/>
      <c r="I134" s="109"/>
      <c r="J134" s="55"/>
      <c r="K134" s="110"/>
      <c r="L134" s="110"/>
      <c r="M134" s="55"/>
      <c r="N134" s="110"/>
      <c r="O134" s="110"/>
      <c r="P134" s="57"/>
      <c r="Q134" s="111"/>
      <c r="R134" s="111"/>
      <c r="S134" s="58"/>
      <c r="T134" s="112"/>
      <c r="U134" s="112"/>
      <c r="V134" s="59"/>
      <c r="W134" s="113"/>
      <c r="X134" s="113"/>
      <c r="Y134" s="54"/>
      <c r="Z134" s="109"/>
      <c r="AA134" s="109"/>
      <c r="AB134" s="55"/>
      <c r="AC134" s="110"/>
      <c r="AD134" s="110"/>
      <c r="AE134" s="96"/>
      <c r="AF134" s="97"/>
      <c r="AG134" s="98"/>
      <c r="AH134" s="99"/>
    </row>
    <row r="135" spans="1:34" x14ac:dyDescent="0.25">
      <c r="A135" s="10" t="str">
        <f t="shared" si="2"/>
        <v/>
      </c>
      <c r="B135" s="52"/>
      <c r="C135" s="53"/>
      <c r="D135" s="153"/>
      <c r="E135" s="78"/>
      <c r="F135" s="133"/>
      <c r="G135" s="54"/>
      <c r="H135" s="109"/>
      <c r="I135" s="109"/>
      <c r="J135" s="55"/>
      <c r="K135" s="110"/>
      <c r="L135" s="110"/>
      <c r="M135" s="55"/>
      <c r="N135" s="110"/>
      <c r="O135" s="110"/>
      <c r="P135" s="57"/>
      <c r="Q135" s="111"/>
      <c r="R135" s="111"/>
      <c r="S135" s="58"/>
      <c r="T135" s="112"/>
      <c r="U135" s="112"/>
      <c r="V135" s="59"/>
      <c r="W135" s="113"/>
      <c r="X135" s="113"/>
      <c r="Y135" s="54"/>
      <c r="Z135" s="109"/>
      <c r="AA135" s="109"/>
      <c r="AB135" s="55"/>
      <c r="AC135" s="110"/>
      <c r="AD135" s="110"/>
      <c r="AE135" s="96"/>
      <c r="AF135" s="97"/>
      <c r="AG135" s="98"/>
      <c r="AH135" s="99"/>
    </row>
    <row r="136" spans="1:34" x14ac:dyDescent="0.25">
      <c r="A136" s="10" t="str">
        <f t="shared" si="2"/>
        <v/>
      </c>
      <c r="B136" s="52"/>
      <c r="C136" s="53"/>
      <c r="D136" s="153"/>
      <c r="E136" s="78"/>
      <c r="F136" s="133"/>
      <c r="G136" s="54"/>
      <c r="H136" s="109"/>
      <c r="I136" s="109"/>
      <c r="J136" s="55"/>
      <c r="K136" s="110"/>
      <c r="L136" s="110"/>
      <c r="M136" s="55"/>
      <c r="N136" s="110"/>
      <c r="O136" s="110"/>
      <c r="P136" s="57"/>
      <c r="Q136" s="111"/>
      <c r="R136" s="111"/>
      <c r="S136" s="58"/>
      <c r="T136" s="112"/>
      <c r="U136" s="112"/>
      <c r="V136" s="59"/>
      <c r="W136" s="113"/>
      <c r="X136" s="113"/>
      <c r="Y136" s="54"/>
      <c r="Z136" s="109"/>
      <c r="AA136" s="109"/>
      <c r="AB136" s="55"/>
      <c r="AC136" s="110"/>
      <c r="AD136" s="110"/>
      <c r="AE136" s="96"/>
      <c r="AF136" s="97"/>
      <c r="AG136" s="98"/>
      <c r="AH136" s="99"/>
    </row>
    <row r="137" spans="1:34" x14ac:dyDescent="0.25">
      <c r="A137" s="10" t="str">
        <f t="shared" si="2"/>
        <v/>
      </c>
      <c r="B137" s="52"/>
      <c r="C137" s="53"/>
      <c r="D137" s="153"/>
      <c r="E137" s="78"/>
      <c r="F137" s="133"/>
      <c r="G137" s="54"/>
      <c r="H137" s="109"/>
      <c r="I137" s="109"/>
      <c r="J137" s="55"/>
      <c r="K137" s="110"/>
      <c r="L137" s="110"/>
      <c r="M137" s="55"/>
      <c r="N137" s="110"/>
      <c r="O137" s="110"/>
      <c r="P137" s="57"/>
      <c r="Q137" s="111"/>
      <c r="R137" s="111"/>
      <c r="S137" s="58"/>
      <c r="T137" s="112"/>
      <c r="U137" s="112"/>
      <c r="V137" s="59"/>
      <c r="W137" s="113"/>
      <c r="X137" s="113"/>
      <c r="Y137" s="54"/>
      <c r="Z137" s="109"/>
      <c r="AA137" s="109"/>
      <c r="AB137" s="55"/>
      <c r="AC137" s="110"/>
      <c r="AD137" s="110"/>
      <c r="AE137" s="96"/>
      <c r="AF137" s="97"/>
      <c r="AG137" s="98"/>
      <c r="AH137" s="99"/>
    </row>
    <row r="138" spans="1:34" x14ac:dyDescent="0.25">
      <c r="A138" s="10" t="str">
        <f t="shared" si="2"/>
        <v/>
      </c>
      <c r="B138" s="52"/>
      <c r="C138" s="53"/>
      <c r="D138" s="153"/>
      <c r="E138" s="78"/>
      <c r="F138" s="133"/>
      <c r="G138" s="54"/>
      <c r="H138" s="109"/>
      <c r="I138" s="109"/>
      <c r="J138" s="55"/>
      <c r="K138" s="110"/>
      <c r="L138" s="110"/>
      <c r="M138" s="55"/>
      <c r="N138" s="110"/>
      <c r="O138" s="110"/>
      <c r="P138" s="57"/>
      <c r="Q138" s="111"/>
      <c r="R138" s="111"/>
      <c r="S138" s="58"/>
      <c r="T138" s="112"/>
      <c r="U138" s="112"/>
      <c r="V138" s="59"/>
      <c r="W138" s="113"/>
      <c r="X138" s="113"/>
      <c r="Y138" s="54"/>
      <c r="Z138" s="109"/>
      <c r="AA138" s="109"/>
      <c r="AB138" s="55"/>
      <c r="AC138" s="110"/>
      <c r="AD138" s="110"/>
      <c r="AE138" s="96"/>
      <c r="AF138" s="97"/>
      <c r="AG138" s="98"/>
      <c r="AH138" s="99"/>
    </row>
    <row r="139" spans="1:34" x14ac:dyDescent="0.25">
      <c r="A139" s="10" t="str">
        <f t="shared" si="2"/>
        <v/>
      </c>
      <c r="B139" s="52"/>
      <c r="C139" s="53"/>
      <c r="D139" s="153"/>
      <c r="E139" s="78"/>
      <c r="F139" s="133"/>
      <c r="G139" s="54"/>
      <c r="H139" s="109"/>
      <c r="I139" s="109"/>
      <c r="J139" s="55"/>
      <c r="K139" s="110"/>
      <c r="L139" s="110"/>
      <c r="M139" s="55"/>
      <c r="N139" s="110"/>
      <c r="O139" s="110"/>
      <c r="P139" s="57"/>
      <c r="Q139" s="111"/>
      <c r="R139" s="111"/>
      <c r="S139" s="58"/>
      <c r="T139" s="112"/>
      <c r="U139" s="112"/>
      <c r="V139" s="59"/>
      <c r="W139" s="113"/>
      <c r="X139" s="113"/>
      <c r="Y139" s="54"/>
      <c r="Z139" s="109"/>
      <c r="AA139" s="109"/>
      <c r="AB139" s="55"/>
      <c r="AC139" s="110"/>
      <c r="AD139" s="110"/>
      <c r="AE139" s="96"/>
      <c r="AF139" s="97"/>
      <c r="AG139" s="98"/>
      <c r="AH139" s="99"/>
    </row>
    <row r="140" spans="1:34" x14ac:dyDescent="0.25">
      <c r="A140" s="10" t="str">
        <f t="shared" si="2"/>
        <v/>
      </c>
      <c r="B140" s="52"/>
      <c r="C140" s="53"/>
      <c r="D140" s="153"/>
      <c r="E140" s="78"/>
      <c r="F140" s="133"/>
      <c r="G140" s="54"/>
      <c r="H140" s="109"/>
      <c r="I140" s="109"/>
      <c r="J140" s="55"/>
      <c r="K140" s="110"/>
      <c r="L140" s="110"/>
      <c r="M140" s="55"/>
      <c r="N140" s="110"/>
      <c r="O140" s="110"/>
      <c r="P140" s="57"/>
      <c r="Q140" s="111"/>
      <c r="R140" s="111"/>
      <c r="S140" s="58"/>
      <c r="T140" s="112"/>
      <c r="U140" s="112"/>
      <c r="V140" s="59"/>
      <c r="W140" s="113"/>
      <c r="X140" s="113"/>
      <c r="Y140" s="54"/>
      <c r="Z140" s="109"/>
      <c r="AA140" s="109"/>
      <c r="AB140" s="55"/>
      <c r="AC140" s="110"/>
      <c r="AD140" s="110"/>
      <c r="AE140" s="96"/>
      <c r="AF140" s="97"/>
      <c r="AG140" s="98"/>
      <c r="AH140" s="99"/>
    </row>
    <row r="141" spans="1:34" x14ac:dyDescent="0.25">
      <c r="A141" s="10" t="str">
        <f t="shared" si="2"/>
        <v/>
      </c>
      <c r="B141" s="52"/>
      <c r="C141" s="53"/>
      <c r="D141" s="153"/>
      <c r="E141" s="78"/>
      <c r="F141" s="133"/>
      <c r="G141" s="54"/>
      <c r="H141" s="109"/>
      <c r="I141" s="109"/>
      <c r="J141" s="55"/>
      <c r="K141" s="110"/>
      <c r="L141" s="110"/>
      <c r="M141" s="55"/>
      <c r="N141" s="110"/>
      <c r="O141" s="110"/>
      <c r="P141" s="57"/>
      <c r="Q141" s="111"/>
      <c r="R141" s="111"/>
      <c r="S141" s="58"/>
      <c r="T141" s="112"/>
      <c r="U141" s="112"/>
      <c r="V141" s="59"/>
      <c r="W141" s="113"/>
      <c r="X141" s="113"/>
      <c r="Y141" s="54"/>
      <c r="Z141" s="109"/>
      <c r="AA141" s="109"/>
      <c r="AB141" s="55"/>
      <c r="AC141" s="110"/>
      <c r="AD141" s="110"/>
      <c r="AE141" s="96"/>
      <c r="AF141" s="97"/>
      <c r="AG141" s="98"/>
      <c r="AH141" s="99"/>
    </row>
    <row r="142" spans="1:34" x14ac:dyDescent="0.25">
      <c r="A142" s="10" t="str">
        <f t="shared" si="2"/>
        <v/>
      </c>
      <c r="B142" s="52"/>
      <c r="C142" s="53"/>
      <c r="D142" s="153"/>
      <c r="E142" s="78"/>
      <c r="F142" s="133"/>
      <c r="G142" s="54"/>
      <c r="H142" s="109"/>
      <c r="I142" s="109"/>
      <c r="J142" s="55"/>
      <c r="K142" s="110"/>
      <c r="L142" s="110"/>
      <c r="M142" s="55"/>
      <c r="N142" s="110"/>
      <c r="O142" s="110"/>
      <c r="P142" s="57"/>
      <c r="Q142" s="111"/>
      <c r="R142" s="111"/>
      <c r="S142" s="58"/>
      <c r="T142" s="112"/>
      <c r="U142" s="112"/>
      <c r="V142" s="59"/>
      <c r="W142" s="113"/>
      <c r="X142" s="113"/>
      <c r="Y142" s="54"/>
      <c r="Z142" s="109"/>
      <c r="AA142" s="109"/>
      <c r="AB142" s="55"/>
      <c r="AC142" s="110"/>
      <c r="AD142" s="110"/>
      <c r="AE142" s="96"/>
      <c r="AF142" s="97"/>
      <c r="AG142" s="98"/>
      <c r="AH142" s="99"/>
    </row>
    <row r="143" spans="1:34" x14ac:dyDescent="0.25">
      <c r="A143" s="10" t="str">
        <f t="shared" si="2"/>
        <v/>
      </c>
      <c r="B143" s="52"/>
      <c r="C143" s="53"/>
      <c r="D143" s="153"/>
      <c r="E143" s="78"/>
      <c r="F143" s="133"/>
      <c r="G143" s="54"/>
      <c r="H143" s="109"/>
      <c r="I143" s="109"/>
      <c r="J143" s="55"/>
      <c r="K143" s="110"/>
      <c r="L143" s="110"/>
      <c r="M143" s="55"/>
      <c r="N143" s="110"/>
      <c r="O143" s="110"/>
      <c r="P143" s="57"/>
      <c r="Q143" s="111"/>
      <c r="R143" s="111"/>
      <c r="S143" s="58"/>
      <c r="T143" s="112"/>
      <c r="U143" s="112"/>
      <c r="V143" s="59"/>
      <c r="W143" s="113"/>
      <c r="X143" s="113"/>
      <c r="Y143" s="54"/>
      <c r="Z143" s="109"/>
      <c r="AA143" s="109"/>
      <c r="AB143" s="55"/>
      <c r="AC143" s="110"/>
      <c r="AD143" s="110"/>
      <c r="AE143" s="96"/>
      <c r="AF143" s="97"/>
      <c r="AG143" s="98"/>
      <c r="AH143" s="99"/>
    </row>
    <row r="144" spans="1:34" x14ac:dyDescent="0.25">
      <c r="A144" s="10" t="str">
        <f t="shared" si="2"/>
        <v/>
      </c>
      <c r="B144" s="52"/>
      <c r="C144" s="53"/>
      <c r="D144" s="153"/>
      <c r="E144" s="78"/>
      <c r="F144" s="133"/>
      <c r="G144" s="54"/>
      <c r="H144" s="109"/>
      <c r="I144" s="109"/>
      <c r="J144" s="55"/>
      <c r="K144" s="110"/>
      <c r="L144" s="110"/>
      <c r="M144" s="55"/>
      <c r="N144" s="110"/>
      <c r="O144" s="110"/>
      <c r="P144" s="57"/>
      <c r="Q144" s="111"/>
      <c r="R144" s="111"/>
      <c r="S144" s="58"/>
      <c r="T144" s="112"/>
      <c r="U144" s="112"/>
      <c r="V144" s="59"/>
      <c r="W144" s="113"/>
      <c r="X144" s="113"/>
      <c r="Y144" s="54"/>
      <c r="Z144" s="109"/>
      <c r="AA144" s="109"/>
      <c r="AB144" s="55"/>
      <c r="AC144" s="110"/>
      <c r="AD144" s="110"/>
      <c r="AE144" s="96"/>
      <c r="AF144" s="97"/>
      <c r="AG144" s="98"/>
      <c r="AH144" s="99"/>
    </row>
    <row r="145" spans="1:34" x14ac:dyDescent="0.25">
      <c r="A145" s="10" t="str">
        <f t="shared" si="2"/>
        <v/>
      </c>
      <c r="B145" s="52"/>
      <c r="C145" s="53"/>
      <c r="D145" s="153"/>
      <c r="E145" s="78"/>
      <c r="F145" s="133"/>
      <c r="G145" s="54"/>
      <c r="H145" s="109"/>
      <c r="I145" s="109"/>
      <c r="J145" s="55"/>
      <c r="K145" s="110"/>
      <c r="L145" s="110"/>
      <c r="M145" s="55"/>
      <c r="N145" s="110"/>
      <c r="O145" s="110"/>
      <c r="P145" s="57"/>
      <c r="Q145" s="111"/>
      <c r="R145" s="111"/>
      <c r="S145" s="58"/>
      <c r="T145" s="112"/>
      <c r="U145" s="112"/>
      <c r="V145" s="59"/>
      <c r="W145" s="113"/>
      <c r="X145" s="113"/>
      <c r="Y145" s="54"/>
      <c r="Z145" s="109"/>
      <c r="AA145" s="109"/>
      <c r="AB145" s="55"/>
      <c r="AC145" s="110"/>
      <c r="AD145" s="110"/>
      <c r="AE145" s="96"/>
      <c r="AF145" s="97"/>
      <c r="AG145" s="98"/>
      <c r="AH145" s="99"/>
    </row>
    <row r="146" spans="1:34" x14ac:dyDescent="0.25">
      <c r="A146" s="10" t="str">
        <f t="shared" si="2"/>
        <v/>
      </c>
      <c r="B146" s="52"/>
      <c r="C146" s="53"/>
      <c r="D146" s="153"/>
      <c r="E146" s="78"/>
      <c r="F146" s="133"/>
      <c r="G146" s="54"/>
      <c r="H146" s="109"/>
      <c r="I146" s="109"/>
      <c r="J146" s="55"/>
      <c r="K146" s="110"/>
      <c r="L146" s="110"/>
      <c r="M146" s="55"/>
      <c r="N146" s="110"/>
      <c r="O146" s="110"/>
      <c r="P146" s="57"/>
      <c r="Q146" s="111"/>
      <c r="R146" s="111"/>
      <c r="S146" s="58"/>
      <c r="T146" s="112"/>
      <c r="U146" s="112"/>
      <c r="V146" s="59"/>
      <c r="W146" s="113"/>
      <c r="X146" s="113"/>
      <c r="Y146" s="54"/>
      <c r="Z146" s="109"/>
      <c r="AA146" s="109"/>
      <c r="AB146" s="55"/>
      <c r="AC146" s="110"/>
      <c r="AD146" s="110"/>
      <c r="AE146" s="96"/>
      <c r="AF146" s="97"/>
      <c r="AG146" s="98"/>
      <c r="AH146" s="99"/>
    </row>
    <row r="147" spans="1:34" x14ac:dyDescent="0.25">
      <c r="A147" s="10" t="str">
        <f t="shared" si="2"/>
        <v/>
      </c>
      <c r="B147" s="52"/>
      <c r="C147" s="53"/>
      <c r="D147" s="153"/>
      <c r="E147" s="78"/>
      <c r="F147" s="133"/>
      <c r="G147" s="54"/>
      <c r="H147" s="109"/>
      <c r="I147" s="109"/>
      <c r="J147" s="55"/>
      <c r="K147" s="110"/>
      <c r="L147" s="110"/>
      <c r="M147" s="55"/>
      <c r="N147" s="110"/>
      <c r="O147" s="110"/>
      <c r="P147" s="57"/>
      <c r="Q147" s="111"/>
      <c r="R147" s="111"/>
      <c r="S147" s="58"/>
      <c r="T147" s="112"/>
      <c r="U147" s="112"/>
      <c r="V147" s="59"/>
      <c r="W147" s="113"/>
      <c r="X147" s="113"/>
      <c r="Y147" s="54"/>
      <c r="Z147" s="109"/>
      <c r="AA147" s="109"/>
      <c r="AB147" s="55"/>
      <c r="AC147" s="110"/>
      <c r="AD147" s="110"/>
      <c r="AE147" s="96"/>
      <c r="AF147" s="97"/>
      <c r="AG147" s="98"/>
      <c r="AH147" s="99"/>
    </row>
    <row r="148" spans="1:34" x14ac:dyDescent="0.25">
      <c r="A148" s="10" t="str">
        <f t="shared" si="2"/>
        <v/>
      </c>
      <c r="B148" s="52"/>
      <c r="C148" s="53"/>
      <c r="D148" s="153"/>
      <c r="E148" s="78"/>
      <c r="F148" s="133"/>
      <c r="G148" s="54"/>
      <c r="H148" s="109"/>
      <c r="I148" s="109"/>
      <c r="J148" s="55"/>
      <c r="K148" s="110"/>
      <c r="L148" s="110"/>
      <c r="M148" s="55"/>
      <c r="N148" s="110"/>
      <c r="O148" s="110"/>
      <c r="P148" s="57"/>
      <c r="Q148" s="111"/>
      <c r="R148" s="111"/>
      <c r="S148" s="58"/>
      <c r="T148" s="112"/>
      <c r="U148" s="112"/>
      <c r="V148" s="59"/>
      <c r="W148" s="113"/>
      <c r="X148" s="113"/>
      <c r="Y148" s="54"/>
      <c r="Z148" s="109"/>
      <c r="AA148" s="109"/>
      <c r="AB148" s="55"/>
      <c r="AC148" s="110"/>
      <c r="AD148" s="110"/>
      <c r="AE148" s="96"/>
      <c r="AF148" s="97"/>
      <c r="AG148" s="98"/>
      <c r="AH148" s="99"/>
    </row>
    <row r="149" spans="1:34" x14ac:dyDescent="0.25">
      <c r="A149" s="10" t="str">
        <f t="shared" si="2"/>
        <v/>
      </c>
      <c r="B149" s="52"/>
      <c r="C149" s="53"/>
      <c r="D149" s="153"/>
      <c r="E149" s="78"/>
      <c r="F149" s="133"/>
      <c r="G149" s="54"/>
      <c r="H149" s="109"/>
      <c r="I149" s="109"/>
      <c r="J149" s="55"/>
      <c r="K149" s="110"/>
      <c r="L149" s="110"/>
      <c r="M149" s="55"/>
      <c r="N149" s="110"/>
      <c r="O149" s="110"/>
      <c r="P149" s="57"/>
      <c r="Q149" s="111"/>
      <c r="R149" s="111"/>
      <c r="S149" s="58"/>
      <c r="T149" s="112"/>
      <c r="U149" s="112"/>
      <c r="V149" s="59"/>
      <c r="W149" s="113"/>
      <c r="X149" s="113"/>
      <c r="Y149" s="54"/>
      <c r="Z149" s="109"/>
      <c r="AA149" s="109"/>
      <c r="AB149" s="55"/>
      <c r="AC149" s="110"/>
      <c r="AD149" s="110"/>
      <c r="AE149" s="96"/>
      <c r="AF149" s="97"/>
      <c r="AG149" s="98"/>
      <c r="AH149" s="99"/>
    </row>
    <row r="150" spans="1:34" x14ac:dyDescent="0.25">
      <c r="A150" s="10" t="str">
        <f t="shared" si="2"/>
        <v/>
      </c>
      <c r="B150" s="52"/>
      <c r="C150" s="53"/>
      <c r="D150" s="153"/>
      <c r="E150" s="78"/>
      <c r="F150" s="133"/>
      <c r="G150" s="54"/>
      <c r="H150" s="109"/>
      <c r="I150" s="109"/>
      <c r="J150" s="55"/>
      <c r="K150" s="110"/>
      <c r="L150" s="110"/>
      <c r="M150" s="55"/>
      <c r="N150" s="110"/>
      <c r="O150" s="110"/>
      <c r="P150" s="57"/>
      <c r="Q150" s="111"/>
      <c r="R150" s="111"/>
      <c r="S150" s="58"/>
      <c r="T150" s="112"/>
      <c r="U150" s="112"/>
      <c r="V150" s="59"/>
      <c r="W150" s="113"/>
      <c r="X150" s="113"/>
      <c r="Y150" s="54"/>
      <c r="Z150" s="109"/>
      <c r="AA150" s="109"/>
      <c r="AB150" s="55"/>
      <c r="AC150" s="110"/>
      <c r="AD150" s="110"/>
      <c r="AE150" s="96"/>
      <c r="AF150" s="97"/>
      <c r="AG150" s="98"/>
      <c r="AH150" s="99"/>
    </row>
    <row r="151" spans="1:34" x14ac:dyDescent="0.25">
      <c r="A151" s="10" t="str">
        <f t="shared" si="2"/>
        <v/>
      </c>
      <c r="B151" s="52"/>
      <c r="C151" s="53"/>
      <c r="D151" s="153"/>
      <c r="E151" s="78"/>
      <c r="F151" s="133"/>
      <c r="G151" s="54"/>
      <c r="H151" s="109"/>
      <c r="I151" s="109"/>
      <c r="J151" s="55"/>
      <c r="K151" s="110"/>
      <c r="L151" s="110"/>
      <c r="M151" s="55"/>
      <c r="N151" s="110"/>
      <c r="O151" s="110"/>
      <c r="P151" s="57"/>
      <c r="Q151" s="111"/>
      <c r="R151" s="111"/>
      <c r="S151" s="58"/>
      <c r="T151" s="112"/>
      <c r="U151" s="112"/>
      <c r="V151" s="59"/>
      <c r="W151" s="113"/>
      <c r="X151" s="113"/>
      <c r="Y151" s="54"/>
      <c r="Z151" s="109"/>
      <c r="AA151" s="109"/>
      <c r="AB151" s="55"/>
      <c r="AC151" s="110"/>
      <c r="AD151" s="110"/>
      <c r="AE151" s="96"/>
      <c r="AF151" s="97"/>
      <c r="AG151" s="98"/>
      <c r="AH151" s="99"/>
    </row>
    <row r="152" spans="1:34" x14ac:dyDescent="0.25">
      <c r="A152" s="10" t="str">
        <f t="shared" si="2"/>
        <v/>
      </c>
      <c r="B152" s="52"/>
      <c r="C152" s="53"/>
      <c r="D152" s="153"/>
      <c r="E152" s="78"/>
      <c r="F152" s="133"/>
      <c r="G152" s="54"/>
      <c r="H152" s="109"/>
      <c r="I152" s="109"/>
      <c r="J152" s="55"/>
      <c r="K152" s="110"/>
      <c r="L152" s="110"/>
      <c r="M152" s="55"/>
      <c r="N152" s="110"/>
      <c r="O152" s="110"/>
      <c r="P152" s="57"/>
      <c r="Q152" s="111"/>
      <c r="R152" s="111"/>
      <c r="S152" s="58"/>
      <c r="T152" s="112"/>
      <c r="U152" s="112"/>
      <c r="V152" s="59"/>
      <c r="W152" s="113"/>
      <c r="X152" s="113"/>
      <c r="Y152" s="54"/>
      <c r="Z152" s="109"/>
      <c r="AA152" s="109"/>
      <c r="AB152" s="55"/>
      <c r="AC152" s="110"/>
      <c r="AD152" s="110"/>
      <c r="AE152" s="96"/>
      <c r="AF152" s="97"/>
      <c r="AG152" s="98"/>
      <c r="AH152" s="99"/>
    </row>
    <row r="153" spans="1:34" x14ac:dyDescent="0.25">
      <c r="A153" s="10" t="str">
        <f t="shared" si="2"/>
        <v/>
      </c>
      <c r="B153" s="52"/>
      <c r="C153" s="53"/>
      <c r="D153" s="153"/>
      <c r="E153" s="78"/>
      <c r="F153" s="133"/>
      <c r="G153" s="54"/>
      <c r="H153" s="109"/>
      <c r="I153" s="109"/>
      <c r="J153" s="55"/>
      <c r="K153" s="110"/>
      <c r="L153" s="110"/>
      <c r="M153" s="55"/>
      <c r="N153" s="110"/>
      <c r="O153" s="110"/>
      <c r="P153" s="57"/>
      <c r="Q153" s="111"/>
      <c r="R153" s="111"/>
      <c r="S153" s="58"/>
      <c r="T153" s="112"/>
      <c r="U153" s="112"/>
      <c r="V153" s="59"/>
      <c r="W153" s="113"/>
      <c r="X153" s="113"/>
      <c r="Y153" s="54"/>
      <c r="Z153" s="109"/>
      <c r="AA153" s="109"/>
      <c r="AB153" s="55"/>
      <c r="AC153" s="110"/>
      <c r="AD153" s="110"/>
      <c r="AE153" s="96"/>
      <c r="AF153" s="97"/>
      <c r="AG153" s="98"/>
      <c r="AH153" s="99"/>
    </row>
    <row r="154" spans="1:34" x14ac:dyDescent="0.25">
      <c r="A154" s="10" t="str">
        <f t="shared" si="2"/>
        <v/>
      </c>
      <c r="B154" s="52"/>
      <c r="C154" s="53"/>
      <c r="D154" s="153"/>
      <c r="E154" s="78"/>
      <c r="F154" s="133"/>
      <c r="G154" s="54"/>
      <c r="H154" s="109"/>
      <c r="I154" s="109"/>
      <c r="J154" s="55"/>
      <c r="K154" s="110"/>
      <c r="L154" s="110"/>
      <c r="M154" s="55"/>
      <c r="N154" s="110"/>
      <c r="O154" s="110"/>
      <c r="P154" s="57"/>
      <c r="Q154" s="111"/>
      <c r="R154" s="111"/>
      <c r="S154" s="58"/>
      <c r="T154" s="112"/>
      <c r="U154" s="112"/>
      <c r="V154" s="59"/>
      <c r="W154" s="113"/>
      <c r="X154" s="113"/>
      <c r="Y154" s="54"/>
      <c r="Z154" s="109"/>
      <c r="AA154" s="109"/>
      <c r="AB154" s="55"/>
      <c r="AC154" s="110"/>
      <c r="AD154" s="110"/>
      <c r="AE154" s="96"/>
      <c r="AF154" s="97"/>
      <c r="AG154" s="98"/>
      <c r="AH154" s="99"/>
    </row>
    <row r="155" spans="1:34" x14ac:dyDescent="0.25">
      <c r="A155" s="10" t="str">
        <f t="shared" si="2"/>
        <v/>
      </c>
      <c r="B155" s="52"/>
      <c r="C155" s="53"/>
      <c r="D155" s="153"/>
      <c r="E155" s="78"/>
      <c r="F155" s="133"/>
      <c r="G155" s="54"/>
      <c r="H155" s="109"/>
      <c r="I155" s="109"/>
      <c r="J155" s="55"/>
      <c r="K155" s="110"/>
      <c r="L155" s="110"/>
      <c r="M155" s="55"/>
      <c r="N155" s="110"/>
      <c r="O155" s="110"/>
      <c r="P155" s="57"/>
      <c r="Q155" s="111"/>
      <c r="R155" s="111"/>
      <c r="S155" s="58"/>
      <c r="T155" s="112"/>
      <c r="U155" s="112"/>
      <c r="V155" s="59"/>
      <c r="W155" s="113"/>
      <c r="X155" s="113"/>
      <c r="Y155" s="54"/>
      <c r="Z155" s="109"/>
      <c r="AA155" s="109"/>
      <c r="AB155" s="55"/>
      <c r="AC155" s="110"/>
      <c r="AD155" s="110"/>
      <c r="AE155" s="96"/>
      <c r="AF155" s="97"/>
      <c r="AG155" s="98"/>
      <c r="AH155" s="99"/>
    </row>
    <row r="156" spans="1:34" x14ac:dyDescent="0.25">
      <c r="A156" s="10" t="str">
        <f t="shared" si="2"/>
        <v/>
      </c>
      <c r="B156" s="52"/>
      <c r="C156" s="53"/>
      <c r="D156" s="153"/>
      <c r="E156" s="78"/>
      <c r="F156" s="133"/>
      <c r="G156" s="54"/>
      <c r="H156" s="109"/>
      <c r="I156" s="109"/>
      <c r="J156" s="55"/>
      <c r="K156" s="110"/>
      <c r="L156" s="110"/>
      <c r="M156" s="55"/>
      <c r="N156" s="110"/>
      <c r="O156" s="110"/>
      <c r="P156" s="57"/>
      <c r="Q156" s="111"/>
      <c r="R156" s="111"/>
      <c r="S156" s="58"/>
      <c r="T156" s="112"/>
      <c r="U156" s="112"/>
      <c r="V156" s="59"/>
      <c r="W156" s="113"/>
      <c r="X156" s="113"/>
      <c r="Y156" s="54"/>
      <c r="Z156" s="109"/>
      <c r="AA156" s="109"/>
      <c r="AB156" s="55"/>
      <c r="AC156" s="110"/>
      <c r="AD156" s="110"/>
      <c r="AE156" s="96"/>
      <c r="AF156" s="97"/>
      <c r="AG156" s="98"/>
      <c r="AH156" s="99"/>
    </row>
    <row r="157" spans="1:34" x14ac:dyDescent="0.25">
      <c r="A157" s="10" t="str">
        <f t="shared" si="2"/>
        <v/>
      </c>
      <c r="B157" s="52"/>
      <c r="C157" s="53"/>
      <c r="D157" s="153"/>
      <c r="E157" s="78"/>
      <c r="F157" s="133"/>
      <c r="G157" s="54"/>
      <c r="H157" s="109"/>
      <c r="I157" s="109"/>
      <c r="J157" s="55"/>
      <c r="K157" s="110"/>
      <c r="L157" s="110"/>
      <c r="M157" s="55"/>
      <c r="N157" s="110"/>
      <c r="O157" s="110"/>
      <c r="P157" s="57"/>
      <c r="Q157" s="111"/>
      <c r="R157" s="111"/>
      <c r="S157" s="58"/>
      <c r="T157" s="112"/>
      <c r="U157" s="112"/>
      <c r="V157" s="59"/>
      <c r="W157" s="113"/>
      <c r="X157" s="113"/>
      <c r="Y157" s="54"/>
      <c r="Z157" s="109"/>
      <c r="AA157" s="109"/>
      <c r="AB157" s="55"/>
      <c r="AC157" s="110"/>
      <c r="AD157" s="110"/>
      <c r="AE157" s="96"/>
      <c r="AF157" s="97"/>
      <c r="AG157" s="98"/>
      <c r="AH157" s="99"/>
    </row>
    <row r="158" spans="1:34" x14ac:dyDescent="0.25">
      <c r="A158" s="10" t="str">
        <f t="shared" si="2"/>
        <v/>
      </c>
      <c r="B158" s="52"/>
      <c r="C158" s="53"/>
      <c r="D158" s="153"/>
      <c r="E158" s="78"/>
      <c r="F158" s="133"/>
      <c r="G158" s="54"/>
      <c r="H158" s="109"/>
      <c r="I158" s="109"/>
      <c r="J158" s="55"/>
      <c r="K158" s="110"/>
      <c r="L158" s="110"/>
      <c r="M158" s="55"/>
      <c r="N158" s="110"/>
      <c r="O158" s="110"/>
      <c r="P158" s="57"/>
      <c r="Q158" s="111"/>
      <c r="R158" s="111"/>
      <c r="S158" s="58"/>
      <c r="T158" s="112"/>
      <c r="U158" s="112"/>
      <c r="V158" s="59"/>
      <c r="W158" s="113"/>
      <c r="X158" s="113"/>
      <c r="Y158" s="54"/>
      <c r="Z158" s="109"/>
      <c r="AA158" s="109"/>
      <c r="AB158" s="55"/>
      <c r="AC158" s="110"/>
      <c r="AD158" s="110"/>
      <c r="AE158" s="96"/>
      <c r="AF158" s="97"/>
      <c r="AG158" s="98"/>
      <c r="AH158" s="99"/>
    </row>
    <row r="159" spans="1:34" x14ac:dyDescent="0.25">
      <c r="A159" s="10" t="str">
        <f t="shared" si="2"/>
        <v/>
      </c>
      <c r="B159" s="52"/>
      <c r="C159" s="53"/>
      <c r="D159" s="153"/>
      <c r="E159" s="78"/>
      <c r="F159" s="133"/>
      <c r="G159" s="54"/>
      <c r="H159" s="109"/>
      <c r="I159" s="109"/>
      <c r="J159" s="55"/>
      <c r="K159" s="110"/>
      <c r="L159" s="110"/>
      <c r="M159" s="55"/>
      <c r="N159" s="110"/>
      <c r="O159" s="110"/>
      <c r="P159" s="57"/>
      <c r="Q159" s="111"/>
      <c r="R159" s="111"/>
      <c r="S159" s="58"/>
      <c r="T159" s="112"/>
      <c r="U159" s="112"/>
      <c r="V159" s="59"/>
      <c r="W159" s="113"/>
      <c r="X159" s="113"/>
      <c r="Y159" s="54"/>
      <c r="Z159" s="109"/>
      <c r="AA159" s="109"/>
      <c r="AB159" s="55"/>
      <c r="AC159" s="110"/>
      <c r="AD159" s="110"/>
      <c r="AE159" s="96"/>
      <c r="AF159" s="97"/>
      <c r="AG159" s="98"/>
      <c r="AH159" s="99"/>
    </row>
    <row r="160" spans="1:34" x14ac:dyDescent="0.25">
      <c r="A160" s="10" t="str">
        <f t="shared" si="2"/>
        <v/>
      </c>
      <c r="B160" s="52"/>
      <c r="C160" s="53"/>
      <c r="D160" s="153"/>
      <c r="E160" s="78"/>
      <c r="F160" s="133"/>
      <c r="G160" s="54"/>
      <c r="H160" s="109"/>
      <c r="I160" s="109"/>
      <c r="J160" s="55"/>
      <c r="K160" s="110"/>
      <c r="L160" s="110"/>
      <c r="M160" s="55"/>
      <c r="N160" s="110"/>
      <c r="O160" s="110"/>
      <c r="P160" s="57"/>
      <c r="Q160" s="111"/>
      <c r="R160" s="111"/>
      <c r="S160" s="58"/>
      <c r="T160" s="112"/>
      <c r="U160" s="112"/>
      <c r="V160" s="59"/>
      <c r="W160" s="113"/>
      <c r="X160" s="113"/>
      <c r="Y160" s="54"/>
      <c r="Z160" s="109"/>
      <c r="AA160" s="109"/>
      <c r="AB160" s="55"/>
      <c r="AC160" s="110"/>
      <c r="AD160" s="110"/>
      <c r="AE160" s="96"/>
      <c r="AF160" s="97"/>
      <c r="AG160" s="98"/>
      <c r="AH160" s="99"/>
    </row>
    <row r="161" spans="1:34" x14ac:dyDescent="0.25">
      <c r="A161" s="10" t="str">
        <f t="shared" si="2"/>
        <v/>
      </c>
      <c r="B161" s="52"/>
      <c r="C161" s="53"/>
      <c r="D161" s="153"/>
      <c r="E161" s="78"/>
      <c r="F161" s="133"/>
      <c r="G161" s="54"/>
      <c r="H161" s="109"/>
      <c r="I161" s="109"/>
      <c r="J161" s="55"/>
      <c r="K161" s="110"/>
      <c r="L161" s="110"/>
      <c r="M161" s="55"/>
      <c r="N161" s="110"/>
      <c r="O161" s="110"/>
      <c r="P161" s="57"/>
      <c r="Q161" s="111"/>
      <c r="R161" s="111"/>
      <c r="S161" s="58"/>
      <c r="T161" s="112"/>
      <c r="U161" s="112"/>
      <c r="V161" s="59"/>
      <c r="W161" s="113"/>
      <c r="X161" s="113"/>
      <c r="Y161" s="54"/>
      <c r="Z161" s="109"/>
      <c r="AA161" s="109"/>
      <c r="AB161" s="55"/>
      <c r="AC161" s="110"/>
      <c r="AD161" s="110"/>
      <c r="AE161" s="96"/>
      <c r="AF161" s="97"/>
      <c r="AG161" s="98"/>
      <c r="AH161" s="99"/>
    </row>
    <row r="162" spans="1:34" x14ac:dyDescent="0.25">
      <c r="A162" s="10" t="str">
        <f t="shared" si="2"/>
        <v/>
      </c>
      <c r="B162" s="52"/>
      <c r="C162" s="53"/>
      <c r="D162" s="153"/>
      <c r="E162" s="78"/>
      <c r="F162" s="133"/>
      <c r="G162" s="54"/>
      <c r="H162" s="109"/>
      <c r="I162" s="109"/>
      <c r="J162" s="55"/>
      <c r="K162" s="110"/>
      <c r="L162" s="110"/>
      <c r="M162" s="55"/>
      <c r="N162" s="110"/>
      <c r="O162" s="110"/>
      <c r="P162" s="57"/>
      <c r="Q162" s="111"/>
      <c r="R162" s="111"/>
      <c r="S162" s="58"/>
      <c r="T162" s="112"/>
      <c r="U162" s="112"/>
      <c r="V162" s="59"/>
      <c r="W162" s="113"/>
      <c r="X162" s="113"/>
      <c r="Y162" s="54"/>
      <c r="Z162" s="109"/>
      <c r="AA162" s="109"/>
      <c r="AB162" s="55"/>
      <c r="AC162" s="110"/>
      <c r="AD162" s="110"/>
      <c r="AE162" s="96"/>
      <c r="AF162" s="97"/>
      <c r="AG162" s="98"/>
      <c r="AH162" s="99"/>
    </row>
    <row r="163" spans="1:34" x14ac:dyDescent="0.25">
      <c r="A163" s="10" t="str">
        <f t="shared" si="2"/>
        <v/>
      </c>
      <c r="B163" s="52"/>
      <c r="C163" s="53"/>
      <c r="D163" s="153"/>
      <c r="E163" s="78"/>
      <c r="F163" s="133"/>
      <c r="G163" s="54"/>
      <c r="H163" s="109"/>
      <c r="I163" s="109"/>
      <c r="J163" s="55"/>
      <c r="K163" s="110"/>
      <c r="L163" s="110"/>
      <c r="M163" s="55"/>
      <c r="N163" s="110"/>
      <c r="O163" s="110"/>
      <c r="P163" s="57"/>
      <c r="Q163" s="111"/>
      <c r="R163" s="111"/>
      <c r="S163" s="58"/>
      <c r="T163" s="112"/>
      <c r="U163" s="112"/>
      <c r="V163" s="59"/>
      <c r="W163" s="113"/>
      <c r="X163" s="113"/>
      <c r="Y163" s="54"/>
      <c r="Z163" s="109"/>
      <c r="AA163" s="109"/>
      <c r="AB163" s="55"/>
      <c r="AC163" s="110"/>
      <c r="AD163" s="110"/>
      <c r="AE163" s="96"/>
      <c r="AF163" s="97"/>
      <c r="AG163" s="98"/>
      <c r="AH163" s="99"/>
    </row>
    <row r="164" spans="1:34" x14ac:dyDescent="0.25">
      <c r="A164" s="10" t="str">
        <f t="shared" si="2"/>
        <v/>
      </c>
      <c r="B164" s="52"/>
      <c r="C164" s="53"/>
      <c r="D164" s="153"/>
      <c r="E164" s="78"/>
      <c r="F164" s="133"/>
      <c r="G164" s="54"/>
      <c r="H164" s="109"/>
      <c r="I164" s="109"/>
      <c r="J164" s="55"/>
      <c r="K164" s="110"/>
      <c r="L164" s="110"/>
      <c r="M164" s="55"/>
      <c r="N164" s="110"/>
      <c r="O164" s="110"/>
      <c r="P164" s="57"/>
      <c r="Q164" s="111"/>
      <c r="R164" s="111"/>
      <c r="S164" s="58"/>
      <c r="T164" s="112"/>
      <c r="U164" s="112"/>
      <c r="V164" s="59"/>
      <c r="W164" s="113"/>
      <c r="X164" s="113"/>
      <c r="Y164" s="54"/>
      <c r="Z164" s="109"/>
      <c r="AA164" s="109"/>
      <c r="AB164" s="55"/>
      <c r="AC164" s="110"/>
      <c r="AD164" s="110"/>
      <c r="AE164" s="96"/>
      <c r="AF164" s="97"/>
      <c r="AG164" s="98"/>
      <c r="AH164" s="99"/>
    </row>
    <row r="165" spans="1:34" x14ac:dyDescent="0.25">
      <c r="A165" s="10" t="str">
        <f t="shared" si="2"/>
        <v/>
      </c>
      <c r="B165" s="52"/>
      <c r="C165" s="53"/>
      <c r="D165" s="153"/>
      <c r="E165" s="78"/>
      <c r="F165" s="133"/>
      <c r="G165" s="54"/>
      <c r="H165" s="109"/>
      <c r="I165" s="109"/>
      <c r="J165" s="55"/>
      <c r="K165" s="110"/>
      <c r="L165" s="110"/>
      <c r="M165" s="55"/>
      <c r="N165" s="110"/>
      <c r="O165" s="110"/>
      <c r="P165" s="57"/>
      <c r="Q165" s="111"/>
      <c r="R165" s="111"/>
      <c r="S165" s="58"/>
      <c r="T165" s="112"/>
      <c r="U165" s="112"/>
      <c r="V165" s="59"/>
      <c r="W165" s="113"/>
      <c r="X165" s="113"/>
      <c r="Y165" s="54"/>
      <c r="Z165" s="109"/>
      <c r="AA165" s="109"/>
      <c r="AB165" s="55"/>
      <c r="AC165" s="110"/>
      <c r="AD165" s="110"/>
      <c r="AE165" s="96"/>
      <c r="AF165" s="97"/>
      <c r="AG165" s="98"/>
      <c r="AH165" s="99"/>
    </row>
    <row r="166" spans="1:34" x14ac:dyDescent="0.25">
      <c r="A166" s="10" t="str">
        <f t="shared" si="2"/>
        <v/>
      </c>
      <c r="B166" s="52"/>
      <c r="C166" s="53"/>
      <c r="D166" s="153"/>
      <c r="E166" s="78"/>
      <c r="F166" s="133"/>
      <c r="G166" s="54"/>
      <c r="H166" s="109"/>
      <c r="I166" s="109"/>
      <c r="J166" s="55"/>
      <c r="K166" s="110"/>
      <c r="L166" s="110"/>
      <c r="M166" s="55"/>
      <c r="N166" s="110"/>
      <c r="O166" s="110"/>
      <c r="P166" s="57"/>
      <c r="Q166" s="111"/>
      <c r="R166" s="111"/>
      <c r="S166" s="58"/>
      <c r="T166" s="112"/>
      <c r="U166" s="112"/>
      <c r="V166" s="59"/>
      <c r="W166" s="113"/>
      <c r="X166" s="113"/>
      <c r="Y166" s="54"/>
      <c r="Z166" s="109"/>
      <c r="AA166" s="109"/>
      <c r="AB166" s="55"/>
      <c r="AC166" s="110"/>
      <c r="AD166" s="110"/>
      <c r="AE166" s="96"/>
      <c r="AF166" s="97"/>
      <c r="AG166" s="98"/>
      <c r="AH166" s="99"/>
    </row>
    <row r="167" spans="1:34" x14ac:dyDescent="0.25">
      <c r="A167" s="10" t="str">
        <f t="shared" si="2"/>
        <v/>
      </c>
      <c r="B167" s="52"/>
      <c r="C167" s="53"/>
      <c r="D167" s="153"/>
      <c r="E167" s="78"/>
      <c r="F167" s="133"/>
      <c r="G167" s="54"/>
      <c r="H167" s="109"/>
      <c r="I167" s="109"/>
      <c r="J167" s="55"/>
      <c r="K167" s="110"/>
      <c r="L167" s="110"/>
      <c r="M167" s="55"/>
      <c r="N167" s="110"/>
      <c r="O167" s="110"/>
      <c r="P167" s="57"/>
      <c r="Q167" s="111"/>
      <c r="R167" s="111"/>
      <c r="S167" s="58"/>
      <c r="T167" s="112"/>
      <c r="U167" s="112"/>
      <c r="V167" s="59"/>
      <c r="W167" s="113"/>
      <c r="X167" s="113"/>
      <c r="Y167" s="54"/>
      <c r="Z167" s="109"/>
      <c r="AA167" s="109"/>
      <c r="AB167" s="55"/>
      <c r="AC167" s="110"/>
      <c r="AD167" s="110"/>
      <c r="AE167" s="96"/>
      <c r="AF167" s="97"/>
      <c r="AG167" s="98"/>
      <c r="AH167" s="99"/>
    </row>
    <row r="168" spans="1:34" x14ac:dyDescent="0.25">
      <c r="A168" s="10" t="str">
        <f t="shared" si="2"/>
        <v/>
      </c>
      <c r="B168" s="52"/>
      <c r="C168" s="53"/>
      <c r="D168" s="153"/>
      <c r="E168" s="78"/>
      <c r="F168" s="133"/>
      <c r="G168" s="54"/>
      <c r="H168" s="109"/>
      <c r="I168" s="109"/>
      <c r="J168" s="55"/>
      <c r="K168" s="110"/>
      <c r="L168" s="110"/>
      <c r="M168" s="55"/>
      <c r="N168" s="110"/>
      <c r="O168" s="110"/>
      <c r="P168" s="57"/>
      <c r="Q168" s="111"/>
      <c r="R168" s="111"/>
      <c r="S168" s="58"/>
      <c r="T168" s="112"/>
      <c r="U168" s="112"/>
      <c r="V168" s="59"/>
      <c r="W168" s="113"/>
      <c r="X168" s="113"/>
      <c r="Y168" s="54"/>
      <c r="Z168" s="109"/>
      <c r="AA168" s="109"/>
      <c r="AB168" s="55"/>
      <c r="AC168" s="110"/>
      <c r="AD168" s="110"/>
      <c r="AE168" s="96"/>
      <c r="AF168" s="97"/>
      <c r="AG168" s="98"/>
      <c r="AH168" s="99"/>
    </row>
    <row r="169" spans="1:34" x14ac:dyDescent="0.25">
      <c r="A169" s="10" t="str">
        <f t="shared" si="2"/>
        <v/>
      </c>
      <c r="B169" s="52"/>
      <c r="C169" s="53"/>
      <c r="D169" s="153"/>
      <c r="E169" s="78"/>
      <c r="F169" s="133"/>
      <c r="G169" s="54"/>
      <c r="H169" s="109"/>
      <c r="I169" s="109"/>
      <c r="J169" s="55"/>
      <c r="K169" s="110"/>
      <c r="L169" s="110"/>
      <c r="M169" s="55"/>
      <c r="N169" s="110"/>
      <c r="O169" s="110"/>
      <c r="P169" s="57"/>
      <c r="Q169" s="111"/>
      <c r="R169" s="111"/>
      <c r="S169" s="58"/>
      <c r="T169" s="112"/>
      <c r="U169" s="112"/>
      <c r="V169" s="59"/>
      <c r="W169" s="113"/>
      <c r="X169" s="113"/>
      <c r="Y169" s="54"/>
      <c r="Z169" s="109"/>
      <c r="AA169" s="109"/>
      <c r="AB169" s="55"/>
      <c r="AC169" s="110"/>
      <c r="AD169" s="110"/>
      <c r="AE169" s="96"/>
      <c r="AF169" s="97"/>
      <c r="AG169" s="98"/>
      <c r="AH169" s="99"/>
    </row>
    <row r="170" spans="1:34" x14ac:dyDescent="0.25">
      <c r="A170" s="10" t="str">
        <f t="shared" si="2"/>
        <v/>
      </c>
      <c r="B170" s="52"/>
      <c r="C170" s="53"/>
      <c r="D170" s="153"/>
      <c r="E170" s="78"/>
      <c r="F170" s="133"/>
      <c r="G170" s="54"/>
      <c r="H170" s="109"/>
      <c r="I170" s="109"/>
      <c r="J170" s="55"/>
      <c r="K170" s="110"/>
      <c r="L170" s="110"/>
      <c r="M170" s="55"/>
      <c r="N170" s="110"/>
      <c r="O170" s="110"/>
      <c r="P170" s="57"/>
      <c r="Q170" s="111"/>
      <c r="R170" s="111"/>
      <c r="S170" s="58"/>
      <c r="T170" s="112"/>
      <c r="U170" s="112"/>
      <c r="V170" s="59"/>
      <c r="W170" s="113"/>
      <c r="X170" s="113"/>
      <c r="Y170" s="54"/>
      <c r="Z170" s="109"/>
      <c r="AA170" s="109"/>
      <c r="AB170" s="55"/>
      <c r="AC170" s="110"/>
      <c r="AD170" s="110"/>
      <c r="AE170" s="96"/>
      <c r="AF170" s="97"/>
      <c r="AG170" s="98"/>
      <c r="AH170" s="99"/>
    </row>
    <row r="171" spans="1:34" x14ac:dyDescent="0.25">
      <c r="A171" s="10" t="str">
        <f t="shared" si="2"/>
        <v/>
      </c>
      <c r="B171" s="52"/>
      <c r="C171" s="53"/>
      <c r="D171" s="153"/>
      <c r="E171" s="78"/>
      <c r="F171" s="133"/>
      <c r="G171" s="54"/>
      <c r="H171" s="109"/>
      <c r="I171" s="109"/>
      <c r="J171" s="55"/>
      <c r="K171" s="110"/>
      <c r="L171" s="110"/>
      <c r="M171" s="55"/>
      <c r="N171" s="110"/>
      <c r="O171" s="110"/>
      <c r="P171" s="57"/>
      <c r="Q171" s="111"/>
      <c r="R171" s="111"/>
      <c r="S171" s="58"/>
      <c r="T171" s="112"/>
      <c r="U171" s="112"/>
      <c r="V171" s="59"/>
      <c r="W171" s="113"/>
      <c r="X171" s="113"/>
      <c r="Y171" s="54"/>
      <c r="Z171" s="109"/>
      <c r="AA171" s="109"/>
      <c r="AB171" s="55"/>
      <c r="AC171" s="110"/>
      <c r="AD171" s="110"/>
      <c r="AE171" s="96"/>
      <c r="AF171" s="97"/>
      <c r="AG171" s="98"/>
      <c r="AH171" s="99"/>
    </row>
    <row r="172" spans="1:34" x14ac:dyDescent="0.25">
      <c r="A172" s="10" t="str">
        <f t="shared" si="2"/>
        <v/>
      </c>
      <c r="B172" s="52"/>
      <c r="C172" s="53"/>
      <c r="D172" s="153"/>
      <c r="E172" s="78"/>
      <c r="F172" s="133"/>
      <c r="G172" s="54"/>
      <c r="H172" s="109"/>
      <c r="I172" s="109"/>
      <c r="J172" s="55"/>
      <c r="K172" s="110"/>
      <c r="L172" s="110"/>
      <c r="M172" s="55"/>
      <c r="N172" s="110"/>
      <c r="O172" s="110"/>
      <c r="P172" s="57"/>
      <c r="Q172" s="111"/>
      <c r="R172" s="111"/>
      <c r="S172" s="58"/>
      <c r="T172" s="112"/>
      <c r="U172" s="112"/>
      <c r="V172" s="59"/>
      <c r="W172" s="113"/>
      <c r="X172" s="113"/>
      <c r="Y172" s="54"/>
      <c r="Z172" s="109"/>
      <c r="AA172" s="109"/>
      <c r="AB172" s="55"/>
      <c r="AC172" s="110"/>
      <c r="AD172" s="110"/>
      <c r="AE172" s="96"/>
      <c r="AF172" s="97"/>
      <c r="AG172" s="98"/>
      <c r="AH172" s="99"/>
    </row>
    <row r="173" spans="1:34" x14ac:dyDescent="0.25">
      <c r="A173" s="10" t="str">
        <f t="shared" si="2"/>
        <v/>
      </c>
      <c r="B173" s="52"/>
      <c r="C173" s="53"/>
      <c r="D173" s="153"/>
      <c r="E173" s="78"/>
      <c r="F173" s="133"/>
      <c r="G173" s="54"/>
      <c r="H173" s="109"/>
      <c r="I173" s="109"/>
      <c r="J173" s="55"/>
      <c r="K173" s="110"/>
      <c r="L173" s="110"/>
      <c r="M173" s="55"/>
      <c r="N173" s="110"/>
      <c r="O173" s="110"/>
      <c r="P173" s="57"/>
      <c r="Q173" s="111"/>
      <c r="R173" s="111"/>
      <c r="S173" s="58"/>
      <c r="T173" s="112"/>
      <c r="U173" s="112"/>
      <c r="V173" s="59"/>
      <c r="W173" s="113"/>
      <c r="X173" s="113"/>
      <c r="Y173" s="54"/>
      <c r="Z173" s="109"/>
      <c r="AA173" s="109"/>
      <c r="AB173" s="55"/>
      <c r="AC173" s="110"/>
      <c r="AD173" s="110"/>
      <c r="AE173" s="96"/>
      <c r="AF173" s="97"/>
      <c r="AG173" s="98"/>
      <c r="AH173" s="99"/>
    </row>
    <row r="174" spans="1:34" x14ac:dyDescent="0.25">
      <c r="A174" s="10" t="str">
        <f t="shared" si="2"/>
        <v/>
      </c>
      <c r="B174" s="52"/>
      <c r="C174" s="53"/>
      <c r="D174" s="153"/>
      <c r="E174" s="78"/>
      <c r="F174" s="133"/>
      <c r="G174" s="54"/>
      <c r="H174" s="109"/>
      <c r="I174" s="109"/>
      <c r="J174" s="55"/>
      <c r="K174" s="110"/>
      <c r="L174" s="110"/>
      <c r="M174" s="55"/>
      <c r="N174" s="110"/>
      <c r="O174" s="110"/>
      <c r="P174" s="57"/>
      <c r="Q174" s="111"/>
      <c r="R174" s="111"/>
      <c r="S174" s="58"/>
      <c r="T174" s="112"/>
      <c r="U174" s="112"/>
      <c r="V174" s="59"/>
      <c r="W174" s="113"/>
      <c r="X174" s="113"/>
      <c r="Y174" s="54"/>
      <c r="Z174" s="109"/>
      <c r="AA174" s="109"/>
      <c r="AB174" s="55"/>
      <c r="AC174" s="110"/>
      <c r="AD174" s="110"/>
      <c r="AE174" s="96"/>
      <c r="AF174" s="97"/>
      <c r="AG174" s="98"/>
      <c r="AH174" s="99"/>
    </row>
    <row r="175" spans="1:34" x14ac:dyDescent="0.25">
      <c r="A175" s="10" t="str">
        <f t="shared" si="2"/>
        <v/>
      </c>
      <c r="B175" s="52"/>
      <c r="C175" s="53"/>
      <c r="D175" s="153"/>
      <c r="E175" s="78"/>
      <c r="F175" s="133"/>
      <c r="G175" s="54"/>
      <c r="H175" s="109"/>
      <c r="I175" s="109"/>
      <c r="J175" s="55"/>
      <c r="K175" s="110"/>
      <c r="L175" s="110"/>
      <c r="M175" s="55"/>
      <c r="N175" s="110"/>
      <c r="O175" s="110"/>
      <c r="P175" s="57"/>
      <c r="Q175" s="111"/>
      <c r="R175" s="111"/>
      <c r="S175" s="58"/>
      <c r="T175" s="112"/>
      <c r="U175" s="112"/>
      <c r="V175" s="59"/>
      <c r="W175" s="113"/>
      <c r="X175" s="113"/>
      <c r="Y175" s="54"/>
      <c r="Z175" s="109"/>
      <c r="AA175" s="109"/>
      <c r="AB175" s="55"/>
      <c r="AC175" s="110"/>
      <c r="AD175" s="110"/>
      <c r="AE175" s="96"/>
      <c r="AF175" s="97"/>
      <c r="AG175" s="98"/>
      <c r="AH175" s="99"/>
    </row>
    <row r="176" spans="1:34" x14ac:dyDescent="0.25">
      <c r="A176" s="10" t="str">
        <f t="shared" si="2"/>
        <v/>
      </c>
      <c r="B176" s="52"/>
      <c r="C176" s="53"/>
      <c r="D176" s="153"/>
      <c r="E176" s="78"/>
      <c r="F176" s="133"/>
      <c r="G176" s="54"/>
      <c r="H176" s="109"/>
      <c r="I176" s="109"/>
      <c r="J176" s="55"/>
      <c r="K176" s="110"/>
      <c r="L176" s="110"/>
      <c r="M176" s="55"/>
      <c r="N176" s="110"/>
      <c r="O176" s="110"/>
      <c r="P176" s="57"/>
      <c r="Q176" s="111"/>
      <c r="R176" s="111"/>
      <c r="S176" s="58"/>
      <c r="T176" s="112"/>
      <c r="U176" s="112"/>
      <c r="V176" s="59"/>
      <c r="W176" s="113"/>
      <c r="X176" s="113"/>
      <c r="Y176" s="54"/>
      <c r="Z176" s="109"/>
      <c r="AA176" s="109"/>
      <c r="AB176" s="55"/>
      <c r="AC176" s="110"/>
      <c r="AD176" s="110"/>
      <c r="AE176" s="96"/>
      <c r="AF176" s="97"/>
      <c r="AG176" s="98"/>
      <c r="AH176" s="99"/>
    </row>
    <row r="177" spans="1:34" x14ac:dyDescent="0.25">
      <c r="A177" s="10" t="str">
        <f t="shared" si="2"/>
        <v/>
      </c>
      <c r="B177" s="52"/>
      <c r="C177" s="53"/>
      <c r="D177" s="153"/>
      <c r="E177" s="78"/>
      <c r="F177" s="133"/>
      <c r="G177" s="54"/>
      <c r="H177" s="109"/>
      <c r="I177" s="109"/>
      <c r="J177" s="55"/>
      <c r="K177" s="110"/>
      <c r="L177" s="110"/>
      <c r="M177" s="55"/>
      <c r="N177" s="110"/>
      <c r="O177" s="110"/>
      <c r="P177" s="57"/>
      <c r="Q177" s="111"/>
      <c r="R177" s="111"/>
      <c r="S177" s="58"/>
      <c r="T177" s="112"/>
      <c r="U177" s="112"/>
      <c r="V177" s="59"/>
      <c r="W177" s="113"/>
      <c r="X177" s="113"/>
      <c r="Y177" s="54"/>
      <c r="Z177" s="109"/>
      <c r="AA177" s="109"/>
      <c r="AB177" s="55"/>
      <c r="AC177" s="110"/>
      <c r="AD177" s="110"/>
      <c r="AE177" s="96"/>
      <c r="AF177" s="97"/>
      <c r="AG177" s="98"/>
      <c r="AH177" s="99"/>
    </row>
    <row r="178" spans="1:34" x14ac:dyDescent="0.25">
      <c r="A178" s="10" t="str">
        <f t="shared" si="2"/>
        <v/>
      </c>
      <c r="B178" s="52"/>
      <c r="C178" s="53"/>
      <c r="D178" s="153"/>
      <c r="E178" s="78"/>
      <c r="F178" s="133"/>
      <c r="G178" s="54"/>
      <c r="H178" s="109"/>
      <c r="I178" s="109"/>
      <c r="J178" s="55"/>
      <c r="K178" s="110"/>
      <c r="L178" s="110"/>
      <c r="M178" s="55"/>
      <c r="N178" s="110"/>
      <c r="O178" s="110"/>
      <c r="P178" s="57"/>
      <c r="Q178" s="111"/>
      <c r="R178" s="111"/>
      <c r="S178" s="58"/>
      <c r="T178" s="112"/>
      <c r="U178" s="112"/>
      <c r="V178" s="59"/>
      <c r="W178" s="113"/>
      <c r="X178" s="113"/>
      <c r="Y178" s="54"/>
      <c r="Z178" s="109"/>
      <c r="AA178" s="109"/>
      <c r="AB178" s="55"/>
      <c r="AC178" s="110"/>
      <c r="AD178" s="110"/>
      <c r="AE178" s="96"/>
      <c r="AF178" s="97"/>
      <c r="AG178" s="98"/>
      <c r="AH178" s="99"/>
    </row>
    <row r="179" spans="1:34" x14ac:dyDescent="0.25">
      <c r="A179" s="10" t="str">
        <f t="shared" si="2"/>
        <v/>
      </c>
      <c r="B179" s="52"/>
      <c r="C179" s="53"/>
      <c r="D179" s="153"/>
      <c r="E179" s="78"/>
      <c r="F179" s="133"/>
      <c r="G179" s="54"/>
      <c r="H179" s="109"/>
      <c r="I179" s="109"/>
      <c r="J179" s="55"/>
      <c r="K179" s="110"/>
      <c r="L179" s="110"/>
      <c r="M179" s="55"/>
      <c r="N179" s="110"/>
      <c r="O179" s="110"/>
      <c r="P179" s="57"/>
      <c r="Q179" s="111"/>
      <c r="R179" s="111"/>
      <c r="S179" s="58"/>
      <c r="T179" s="112"/>
      <c r="U179" s="112"/>
      <c r="V179" s="59"/>
      <c r="W179" s="113"/>
      <c r="X179" s="113"/>
      <c r="Y179" s="54"/>
      <c r="Z179" s="109"/>
      <c r="AA179" s="109"/>
      <c r="AB179" s="55"/>
      <c r="AC179" s="110"/>
      <c r="AD179" s="110"/>
      <c r="AE179" s="96"/>
      <c r="AF179" s="97"/>
      <c r="AG179" s="98"/>
      <c r="AH179" s="99"/>
    </row>
    <row r="180" spans="1:34" x14ac:dyDescent="0.25">
      <c r="A180" s="10" t="str">
        <f t="shared" si="2"/>
        <v/>
      </c>
      <c r="B180" s="52"/>
      <c r="C180" s="53"/>
      <c r="D180" s="153"/>
      <c r="E180" s="78"/>
      <c r="F180" s="133"/>
      <c r="G180" s="54"/>
      <c r="H180" s="109"/>
      <c r="I180" s="109"/>
      <c r="J180" s="55"/>
      <c r="K180" s="110"/>
      <c r="L180" s="110"/>
      <c r="M180" s="55"/>
      <c r="N180" s="110"/>
      <c r="O180" s="110"/>
      <c r="P180" s="57"/>
      <c r="Q180" s="111"/>
      <c r="R180" s="111"/>
      <c r="S180" s="58"/>
      <c r="T180" s="112"/>
      <c r="U180" s="112"/>
      <c r="V180" s="59"/>
      <c r="W180" s="113"/>
      <c r="X180" s="113"/>
      <c r="Y180" s="54"/>
      <c r="Z180" s="109"/>
      <c r="AA180" s="109"/>
      <c r="AB180" s="55"/>
      <c r="AC180" s="110"/>
      <c r="AD180" s="110"/>
      <c r="AE180" s="96"/>
      <c r="AF180" s="97"/>
      <c r="AG180" s="98"/>
      <c r="AH180" s="99"/>
    </row>
    <row r="181" spans="1:34" x14ac:dyDescent="0.25">
      <c r="A181" s="10" t="str">
        <f t="shared" si="2"/>
        <v/>
      </c>
      <c r="B181" s="52"/>
      <c r="C181" s="53"/>
      <c r="D181" s="153"/>
      <c r="E181" s="78"/>
      <c r="F181" s="133"/>
      <c r="G181" s="54"/>
      <c r="H181" s="109"/>
      <c r="I181" s="109"/>
      <c r="J181" s="55"/>
      <c r="K181" s="110"/>
      <c r="L181" s="110"/>
      <c r="M181" s="55"/>
      <c r="N181" s="110"/>
      <c r="O181" s="110"/>
      <c r="P181" s="57"/>
      <c r="Q181" s="111"/>
      <c r="R181" s="111"/>
      <c r="S181" s="58"/>
      <c r="T181" s="112"/>
      <c r="U181" s="112"/>
      <c r="V181" s="59"/>
      <c r="W181" s="113"/>
      <c r="X181" s="113"/>
      <c r="Y181" s="54"/>
      <c r="Z181" s="109"/>
      <c r="AA181" s="109"/>
      <c r="AB181" s="55"/>
      <c r="AC181" s="110"/>
      <c r="AD181" s="110"/>
      <c r="AE181" s="96"/>
      <c r="AF181" s="97"/>
      <c r="AG181" s="98"/>
      <c r="AH181" s="99"/>
    </row>
    <row r="182" spans="1:34" x14ac:dyDescent="0.25">
      <c r="A182" s="10" t="str">
        <f t="shared" si="2"/>
        <v/>
      </c>
      <c r="B182" s="52"/>
      <c r="C182" s="53"/>
      <c r="D182" s="153"/>
      <c r="E182" s="78"/>
      <c r="F182" s="133"/>
      <c r="G182" s="54"/>
      <c r="H182" s="109"/>
      <c r="I182" s="109"/>
      <c r="J182" s="55"/>
      <c r="K182" s="110"/>
      <c r="L182" s="110"/>
      <c r="M182" s="55"/>
      <c r="N182" s="110"/>
      <c r="O182" s="110"/>
      <c r="P182" s="57"/>
      <c r="Q182" s="111"/>
      <c r="R182" s="111"/>
      <c r="S182" s="58"/>
      <c r="T182" s="112"/>
      <c r="U182" s="112"/>
      <c r="V182" s="59"/>
      <c r="W182" s="113"/>
      <c r="X182" s="113"/>
      <c r="Y182" s="54"/>
      <c r="Z182" s="109"/>
      <c r="AA182" s="109"/>
      <c r="AB182" s="55"/>
      <c r="AC182" s="110"/>
      <c r="AD182" s="110"/>
      <c r="AE182" s="96"/>
      <c r="AF182" s="97"/>
      <c r="AG182" s="98"/>
      <c r="AH182" s="99"/>
    </row>
    <row r="183" spans="1:34" x14ac:dyDescent="0.25">
      <c r="A183" s="10" t="str">
        <f t="shared" si="2"/>
        <v/>
      </c>
      <c r="B183" s="52"/>
      <c r="C183" s="53"/>
      <c r="D183" s="153"/>
      <c r="E183" s="78"/>
      <c r="F183" s="133"/>
      <c r="G183" s="54"/>
      <c r="H183" s="109"/>
      <c r="I183" s="109"/>
      <c r="J183" s="55"/>
      <c r="K183" s="110"/>
      <c r="L183" s="110"/>
      <c r="M183" s="55"/>
      <c r="N183" s="110"/>
      <c r="O183" s="110"/>
      <c r="P183" s="57"/>
      <c r="Q183" s="111"/>
      <c r="R183" s="111"/>
      <c r="S183" s="58"/>
      <c r="T183" s="112"/>
      <c r="U183" s="112"/>
      <c r="V183" s="59"/>
      <c r="W183" s="113"/>
      <c r="X183" s="113"/>
      <c r="Y183" s="54"/>
      <c r="Z183" s="109"/>
      <c r="AA183" s="109"/>
      <c r="AB183" s="55"/>
      <c r="AC183" s="110"/>
      <c r="AD183" s="110"/>
      <c r="AE183" s="96"/>
      <c r="AF183" s="97"/>
      <c r="AG183" s="98"/>
      <c r="AH183" s="99"/>
    </row>
    <row r="184" spans="1:34" x14ac:dyDescent="0.25">
      <c r="A184" s="10" t="str">
        <f t="shared" si="2"/>
        <v/>
      </c>
      <c r="B184" s="52"/>
      <c r="C184" s="53"/>
      <c r="D184" s="153"/>
      <c r="E184" s="78"/>
      <c r="F184" s="133"/>
      <c r="G184" s="54"/>
      <c r="H184" s="109"/>
      <c r="I184" s="109"/>
      <c r="J184" s="55"/>
      <c r="K184" s="110"/>
      <c r="L184" s="110"/>
      <c r="M184" s="55"/>
      <c r="N184" s="110"/>
      <c r="O184" s="110"/>
      <c r="P184" s="57"/>
      <c r="Q184" s="111"/>
      <c r="R184" s="111"/>
      <c r="S184" s="58"/>
      <c r="T184" s="112"/>
      <c r="U184" s="112"/>
      <c r="V184" s="59"/>
      <c r="W184" s="113"/>
      <c r="X184" s="113"/>
      <c r="Y184" s="54"/>
      <c r="Z184" s="109"/>
      <c r="AA184" s="109"/>
      <c r="AB184" s="55"/>
      <c r="AC184" s="110"/>
      <c r="AD184" s="110"/>
      <c r="AE184" s="96"/>
      <c r="AF184" s="97"/>
      <c r="AG184" s="98"/>
      <c r="AH184" s="99"/>
    </row>
    <row r="185" spans="1:34" x14ac:dyDescent="0.25">
      <c r="A185" s="10" t="str">
        <f t="shared" si="2"/>
        <v/>
      </c>
      <c r="B185" s="52"/>
      <c r="C185" s="53"/>
      <c r="D185" s="153"/>
      <c r="E185" s="78"/>
      <c r="F185" s="133"/>
      <c r="G185" s="54"/>
      <c r="H185" s="109"/>
      <c r="I185" s="109"/>
      <c r="J185" s="55"/>
      <c r="K185" s="110"/>
      <c r="L185" s="110"/>
      <c r="M185" s="55"/>
      <c r="N185" s="110"/>
      <c r="O185" s="110"/>
      <c r="P185" s="57"/>
      <c r="Q185" s="111"/>
      <c r="R185" s="111"/>
      <c r="S185" s="58"/>
      <c r="T185" s="112"/>
      <c r="U185" s="112"/>
      <c r="V185" s="59"/>
      <c r="W185" s="113"/>
      <c r="X185" s="113"/>
      <c r="Y185" s="54"/>
      <c r="Z185" s="109"/>
      <c r="AA185" s="109"/>
      <c r="AB185" s="55"/>
      <c r="AC185" s="110"/>
      <c r="AD185" s="110"/>
      <c r="AE185" s="96"/>
      <c r="AF185" s="97"/>
      <c r="AG185" s="98"/>
      <c r="AH185" s="99"/>
    </row>
    <row r="186" spans="1:34" x14ac:dyDescent="0.25">
      <c r="A186" s="10" t="str">
        <f t="shared" si="2"/>
        <v/>
      </c>
      <c r="B186" s="52"/>
      <c r="C186" s="53"/>
      <c r="D186" s="153"/>
      <c r="E186" s="78"/>
      <c r="F186" s="133"/>
      <c r="G186" s="54"/>
      <c r="H186" s="109"/>
      <c r="I186" s="109"/>
      <c r="J186" s="55"/>
      <c r="K186" s="110"/>
      <c r="L186" s="110"/>
      <c r="M186" s="55"/>
      <c r="N186" s="110"/>
      <c r="O186" s="110"/>
      <c r="P186" s="57"/>
      <c r="Q186" s="111"/>
      <c r="R186" s="111"/>
      <c r="S186" s="58"/>
      <c r="T186" s="112"/>
      <c r="U186" s="112"/>
      <c r="V186" s="59"/>
      <c r="W186" s="113"/>
      <c r="X186" s="113"/>
      <c r="Y186" s="54"/>
      <c r="Z186" s="109"/>
      <c r="AA186" s="109"/>
      <c r="AB186" s="55"/>
      <c r="AC186" s="110"/>
      <c r="AD186" s="110"/>
      <c r="AE186" s="96"/>
      <c r="AF186" s="97"/>
      <c r="AG186" s="98"/>
      <c r="AH186" s="99"/>
    </row>
    <row r="187" spans="1:34" x14ac:dyDescent="0.25">
      <c r="A187" s="10" t="str">
        <f t="shared" si="2"/>
        <v/>
      </c>
      <c r="B187" s="52"/>
      <c r="C187" s="53"/>
      <c r="D187" s="153"/>
      <c r="E187" s="78"/>
      <c r="F187" s="133"/>
      <c r="G187" s="54"/>
      <c r="H187" s="109"/>
      <c r="I187" s="109"/>
      <c r="J187" s="55"/>
      <c r="K187" s="110"/>
      <c r="L187" s="110"/>
      <c r="M187" s="55"/>
      <c r="N187" s="110"/>
      <c r="O187" s="110"/>
      <c r="P187" s="57"/>
      <c r="Q187" s="111"/>
      <c r="R187" s="111"/>
      <c r="S187" s="58"/>
      <c r="T187" s="112"/>
      <c r="U187" s="112"/>
      <c r="V187" s="59"/>
      <c r="W187" s="113"/>
      <c r="X187" s="113"/>
      <c r="Y187" s="54"/>
      <c r="Z187" s="109"/>
      <c r="AA187" s="109"/>
      <c r="AB187" s="55"/>
      <c r="AC187" s="110"/>
      <c r="AD187" s="110"/>
      <c r="AE187" s="96"/>
      <c r="AF187" s="97"/>
      <c r="AG187" s="98"/>
      <c r="AH187" s="99"/>
    </row>
    <row r="188" spans="1:34" x14ac:dyDescent="0.25">
      <c r="A188" s="10" t="str">
        <f t="shared" si="2"/>
        <v/>
      </c>
      <c r="B188" s="52"/>
      <c r="C188" s="53"/>
      <c r="D188" s="153"/>
      <c r="E188" s="78"/>
      <c r="F188" s="133"/>
      <c r="G188" s="54"/>
      <c r="H188" s="109"/>
      <c r="I188" s="109"/>
      <c r="J188" s="55"/>
      <c r="K188" s="110"/>
      <c r="L188" s="110"/>
      <c r="M188" s="55"/>
      <c r="N188" s="110"/>
      <c r="O188" s="110"/>
      <c r="P188" s="57"/>
      <c r="Q188" s="111"/>
      <c r="R188" s="111"/>
      <c r="S188" s="58"/>
      <c r="T188" s="112"/>
      <c r="U188" s="112"/>
      <c r="V188" s="59"/>
      <c r="W188" s="113"/>
      <c r="X188" s="113"/>
      <c r="Y188" s="54"/>
      <c r="Z188" s="109"/>
      <c r="AA188" s="109"/>
      <c r="AB188" s="55"/>
      <c r="AC188" s="110"/>
      <c r="AD188" s="110"/>
      <c r="AE188" s="96"/>
      <c r="AF188" s="97"/>
      <c r="AG188" s="98"/>
      <c r="AH188" s="99"/>
    </row>
    <row r="189" spans="1:34" x14ac:dyDescent="0.25">
      <c r="A189" s="10" t="str">
        <f t="shared" si="2"/>
        <v/>
      </c>
      <c r="B189" s="52"/>
      <c r="C189" s="53"/>
      <c r="D189" s="153"/>
      <c r="E189" s="78"/>
      <c r="F189" s="133"/>
      <c r="G189" s="54"/>
      <c r="H189" s="109"/>
      <c r="I189" s="109"/>
      <c r="J189" s="55"/>
      <c r="K189" s="110"/>
      <c r="L189" s="110"/>
      <c r="M189" s="55"/>
      <c r="N189" s="110"/>
      <c r="O189" s="110"/>
      <c r="P189" s="57"/>
      <c r="Q189" s="111"/>
      <c r="R189" s="111"/>
      <c r="S189" s="58"/>
      <c r="T189" s="112"/>
      <c r="U189" s="112"/>
      <c r="V189" s="59"/>
      <c r="W189" s="113"/>
      <c r="X189" s="113"/>
      <c r="Y189" s="54"/>
      <c r="Z189" s="109"/>
      <c r="AA189" s="109"/>
      <c r="AB189" s="55"/>
      <c r="AC189" s="110"/>
      <c r="AD189" s="110"/>
      <c r="AE189" s="96"/>
      <c r="AF189" s="97"/>
      <c r="AG189" s="98"/>
      <c r="AH189" s="99"/>
    </row>
    <row r="190" spans="1:34" x14ac:dyDescent="0.25">
      <c r="A190" s="10" t="str">
        <f t="shared" si="2"/>
        <v/>
      </c>
      <c r="B190" s="52"/>
      <c r="C190" s="53"/>
      <c r="D190" s="153"/>
      <c r="E190" s="78"/>
      <c r="F190" s="133"/>
      <c r="G190" s="54"/>
      <c r="H190" s="109"/>
      <c r="I190" s="109"/>
      <c r="J190" s="55"/>
      <c r="K190" s="110"/>
      <c r="L190" s="110"/>
      <c r="M190" s="55"/>
      <c r="N190" s="110"/>
      <c r="O190" s="110"/>
      <c r="P190" s="57"/>
      <c r="Q190" s="111"/>
      <c r="R190" s="111"/>
      <c r="S190" s="58"/>
      <c r="T190" s="112"/>
      <c r="U190" s="112"/>
      <c r="V190" s="59"/>
      <c r="W190" s="113"/>
      <c r="X190" s="113"/>
      <c r="Y190" s="54"/>
      <c r="Z190" s="109"/>
      <c r="AA190" s="109"/>
      <c r="AB190" s="55"/>
      <c r="AC190" s="110"/>
      <c r="AD190" s="110"/>
      <c r="AE190" s="96"/>
      <c r="AF190" s="97"/>
      <c r="AG190" s="98"/>
      <c r="AH190" s="99"/>
    </row>
    <row r="191" spans="1:34" x14ac:dyDescent="0.25">
      <c r="A191" s="10" t="str">
        <f t="shared" si="2"/>
        <v/>
      </c>
      <c r="B191" s="52"/>
      <c r="C191" s="53"/>
      <c r="D191" s="153"/>
      <c r="E191" s="78"/>
      <c r="F191" s="133"/>
      <c r="G191" s="54"/>
      <c r="H191" s="109"/>
      <c r="I191" s="109"/>
      <c r="J191" s="55"/>
      <c r="K191" s="110"/>
      <c r="L191" s="110"/>
      <c r="M191" s="55"/>
      <c r="N191" s="110"/>
      <c r="O191" s="110"/>
      <c r="P191" s="57"/>
      <c r="Q191" s="111"/>
      <c r="R191" s="111"/>
      <c r="S191" s="58"/>
      <c r="T191" s="112"/>
      <c r="U191" s="112"/>
      <c r="V191" s="59"/>
      <c r="W191" s="113"/>
      <c r="X191" s="113"/>
      <c r="Y191" s="54"/>
      <c r="Z191" s="109"/>
      <c r="AA191" s="109"/>
      <c r="AB191" s="55"/>
      <c r="AC191" s="110"/>
      <c r="AD191" s="110"/>
      <c r="AE191" s="96"/>
      <c r="AF191" s="97"/>
      <c r="AG191" s="98"/>
      <c r="AH191" s="99"/>
    </row>
    <row r="192" spans="1:34" x14ac:dyDescent="0.25">
      <c r="A192" s="10" t="str">
        <f t="shared" si="2"/>
        <v/>
      </c>
      <c r="B192" s="52"/>
      <c r="C192" s="53"/>
      <c r="D192" s="153"/>
      <c r="E192" s="78"/>
      <c r="F192" s="133"/>
      <c r="G192" s="54"/>
      <c r="H192" s="109"/>
      <c r="I192" s="109"/>
      <c r="J192" s="55"/>
      <c r="K192" s="110"/>
      <c r="L192" s="110"/>
      <c r="M192" s="55"/>
      <c r="N192" s="110"/>
      <c r="O192" s="110"/>
      <c r="P192" s="57"/>
      <c r="Q192" s="111"/>
      <c r="R192" s="111"/>
      <c r="S192" s="58"/>
      <c r="T192" s="112"/>
      <c r="U192" s="112"/>
      <c r="V192" s="59"/>
      <c r="W192" s="113"/>
      <c r="X192" s="113"/>
      <c r="Y192" s="54"/>
      <c r="Z192" s="109"/>
      <c r="AA192" s="109"/>
      <c r="AB192" s="55"/>
      <c r="AC192" s="110"/>
      <c r="AD192" s="110"/>
      <c r="AE192" s="96"/>
      <c r="AF192" s="97"/>
      <c r="AG192" s="98"/>
      <c r="AH192" s="99"/>
    </row>
    <row r="193" spans="1:34" x14ac:dyDescent="0.25">
      <c r="A193" s="10" t="str">
        <f t="shared" si="2"/>
        <v/>
      </c>
      <c r="B193" s="52"/>
      <c r="C193" s="53"/>
      <c r="D193" s="153"/>
      <c r="E193" s="78"/>
      <c r="F193" s="133"/>
      <c r="G193" s="54"/>
      <c r="H193" s="109"/>
      <c r="I193" s="109"/>
      <c r="J193" s="55"/>
      <c r="K193" s="110"/>
      <c r="L193" s="110"/>
      <c r="M193" s="55"/>
      <c r="N193" s="110"/>
      <c r="O193" s="110"/>
      <c r="P193" s="57"/>
      <c r="Q193" s="111"/>
      <c r="R193" s="111"/>
      <c r="S193" s="58"/>
      <c r="T193" s="112"/>
      <c r="U193" s="112"/>
      <c r="V193" s="59"/>
      <c r="W193" s="113"/>
      <c r="X193" s="113"/>
      <c r="Y193" s="54"/>
      <c r="Z193" s="109"/>
      <c r="AA193" s="109"/>
      <c r="AB193" s="55"/>
      <c r="AC193" s="110"/>
      <c r="AD193" s="110"/>
      <c r="AE193" s="96"/>
      <c r="AF193" s="97"/>
      <c r="AG193" s="98"/>
      <c r="AH193" s="99"/>
    </row>
    <row r="194" spans="1:34" x14ac:dyDescent="0.25">
      <c r="A194" s="10" t="str">
        <f t="shared" si="2"/>
        <v/>
      </c>
      <c r="B194" s="52"/>
      <c r="C194" s="53"/>
      <c r="D194" s="153"/>
      <c r="E194" s="78"/>
      <c r="F194" s="133"/>
      <c r="G194" s="54"/>
      <c r="H194" s="109"/>
      <c r="I194" s="109"/>
      <c r="J194" s="55"/>
      <c r="K194" s="110"/>
      <c r="L194" s="110"/>
      <c r="M194" s="55"/>
      <c r="N194" s="110"/>
      <c r="O194" s="110"/>
      <c r="P194" s="57"/>
      <c r="Q194" s="111"/>
      <c r="R194" s="111"/>
      <c r="S194" s="58"/>
      <c r="T194" s="112"/>
      <c r="U194" s="112"/>
      <c r="V194" s="59"/>
      <c r="W194" s="113"/>
      <c r="X194" s="113"/>
      <c r="Y194" s="54"/>
      <c r="Z194" s="109"/>
      <c r="AA194" s="109"/>
      <c r="AB194" s="55"/>
      <c r="AC194" s="110"/>
      <c r="AD194" s="110"/>
      <c r="AE194" s="96"/>
      <c r="AF194" s="97"/>
      <c r="AG194" s="98"/>
      <c r="AH194" s="99"/>
    </row>
    <row r="195" spans="1:34" x14ac:dyDescent="0.25">
      <c r="A195" s="10" t="str">
        <f t="shared" si="2"/>
        <v/>
      </c>
      <c r="B195" s="52"/>
      <c r="C195" s="53"/>
      <c r="D195" s="153"/>
      <c r="E195" s="78"/>
      <c r="F195" s="133"/>
      <c r="G195" s="54"/>
      <c r="H195" s="109"/>
      <c r="I195" s="109"/>
      <c r="J195" s="55"/>
      <c r="K195" s="110"/>
      <c r="L195" s="110"/>
      <c r="M195" s="55"/>
      <c r="N195" s="110"/>
      <c r="O195" s="110"/>
      <c r="P195" s="57"/>
      <c r="Q195" s="111"/>
      <c r="R195" s="111"/>
      <c r="S195" s="58"/>
      <c r="T195" s="112"/>
      <c r="U195" s="112"/>
      <c r="V195" s="59"/>
      <c r="W195" s="113"/>
      <c r="X195" s="113"/>
      <c r="Y195" s="54"/>
      <c r="Z195" s="109"/>
      <c r="AA195" s="109"/>
      <c r="AB195" s="55"/>
      <c r="AC195" s="110"/>
      <c r="AD195" s="110"/>
      <c r="AE195" s="96"/>
      <c r="AF195" s="97"/>
      <c r="AG195" s="98"/>
      <c r="AH195" s="99"/>
    </row>
    <row r="196" spans="1:34" x14ac:dyDescent="0.25">
      <c r="A196" s="10" t="str">
        <f t="shared" si="2"/>
        <v/>
      </c>
      <c r="B196" s="52"/>
      <c r="C196" s="53"/>
      <c r="D196" s="153"/>
      <c r="E196" s="78"/>
      <c r="F196" s="133"/>
      <c r="G196" s="54"/>
      <c r="H196" s="109"/>
      <c r="I196" s="109"/>
      <c r="J196" s="55"/>
      <c r="K196" s="110"/>
      <c r="L196" s="110"/>
      <c r="M196" s="55"/>
      <c r="N196" s="110"/>
      <c r="O196" s="110"/>
      <c r="P196" s="57"/>
      <c r="Q196" s="111"/>
      <c r="R196" s="111"/>
      <c r="S196" s="58"/>
      <c r="T196" s="112"/>
      <c r="U196" s="112"/>
      <c r="V196" s="59"/>
      <c r="W196" s="113"/>
      <c r="X196" s="113"/>
      <c r="Y196" s="54"/>
      <c r="Z196" s="109"/>
      <c r="AA196" s="109"/>
      <c r="AB196" s="55"/>
      <c r="AC196" s="110"/>
      <c r="AD196" s="110"/>
      <c r="AE196" s="96"/>
      <c r="AF196" s="97"/>
      <c r="AG196" s="98"/>
      <c r="AH196" s="99"/>
    </row>
    <row r="197" spans="1:34" x14ac:dyDescent="0.25">
      <c r="A197" s="10" t="str">
        <f t="shared" ref="A197:A260" si="3">IF(COUNTA(G197:AD197)/3=0,"",COUNTA(G197:AD197)/3)</f>
        <v/>
      </c>
      <c r="B197" s="52"/>
      <c r="C197" s="53"/>
      <c r="D197" s="153"/>
      <c r="E197" s="78"/>
      <c r="F197" s="133"/>
      <c r="G197" s="54"/>
      <c r="H197" s="109"/>
      <c r="I197" s="109"/>
      <c r="J197" s="55"/>
      <c r="K197" s="110"/>
      <c r="L197" s="110"/>
      <c r="M197" s="55"/>
      <c r="N197" s="110"/>
      <c r="O197" s="110"/>
      <c r="P197" s="57"/>
      <c r="Q197" s="111"/>
      <c r="R197" s="111"/>
      <c r="S197" s="58"/>
      <c r="T197" s="112"/>
      <c r="U197" s="112"/>
      <c r="V197" s="59"/>
      <c r="W197" s="113"/>
      <c r="X197" s="113"/>
      <c r="Y197" s="54"/>
      <c r="Z197" s="109"/>
      <c r="AA197" s="109"/>
      <c r="AB197" s="55"/>
      <c r="AC197" s="110"/>
      <c r="AD197" s="110"/>
      <c r="AE197" s="96"/>
      <c r="AF197" s="97"/>
      <c r="AG197" s="98"/>
      <c r="AH197" s="99"/>
    </row>
    <row r="198" spans="1:34" x14ac:dyDescent="0.25">
      <c r="A198" s="10" t="str">
        <f t="shared" si="3"/>
        <v/>
      </c>
      <c r="B198" s="52"/>
      <c r="C198" s="53"/>
      <c r="D198" s="153"/>
      <c r="E198" s="78"/>
      <c r="F198" s="133"/>
      <c r="G198" s="54"/>
      <c r="H198" s="109"/>
      <c r="I198" s="109"/>
      <c r="J198" s="55"/>
      <c r="K198" s="110"/>
      <c r="L198" s="110"/>
      <c r="M198" s="55"/>
      <c r="N198" s="110"/>
      <c r="O198" s="110"/>
      <c r="P198" s="57"/>
      <c r="Q198" s="111"/>
      <c r="R198" s="111"/>
      <c r="S198" s="58"/>
      <c r="T198" s="112"/>
      <c r="U198" s="112"/>
      <c r="V198" s="59"/>
      <c r="W198" s="113"/>
      <c r="X198" s="113"/>
      <c r="Y198" s="54"/>
      <c r="Z198" s="109"/>
      <c r="AA198" s="109"/>
      <c r="AB198" s="55"/>
      <c r="AC198" s="110"/>
      <c r="AD198" s="110"/>
      <c r="AE198" s="96"/>
      <c r="AF198" s="97"/>
      <c r="AG198" s="98"/>
      <c r="AH198" s="99"/>
    </row>
    <row r="199" spans="1:34" x14ac:dyDescent="0.25">
      <c r="A199" s="10" t="str">
        <f t="shared" si="3"/>
        <v/>
      </c>
      <c r="B199" s="52"/>
      <c r="C199" s="53"/>
      <c r="D199" s="153"/>
      <c r="E199" s="78"/>
      <c r="F199" s="133"/>
      <c r="G199" s="54"/>
      <c r="H199" s="109"/>
      <c r="I199" s="109"/>
      <c r="J199" s="55"/>
      <c r="K199" s="110"/>
      <c r="L199" s="110"/>
      <c r="M199" s="55"/>
      <c r="N199" s="110"/>
      <c r="O199" s="110"/>
      <c r="P199" s="57"/>
      <c r="Q199" s="111"/>
      <c r="R199" s="111"/>
      <c r="S199" s="58"/>
      <c r="T199" s="112"/>
      <c r="U199" s="112"/>
      <c r="V199" s="59"/>
      <c r="W199" s="113"/>
      <c r="X199" s="113"/>
      <c r="Y199" s="54"/>
      <c r="Z199" s="109"/>
      <c r="AA199" s="109"/>
      <c r="AB199" s="55"/>
      <c r="AC199" s="110"/>
      <c r="AD199" s="110"/>
      <c r="AE199" s="96"/>
      <c r="AF199" s="97"/>
      <c r="AG199" s="98"/>
      <c r="AH199" s="99"/>
    </row>
    <row r="200" spans="1:34" x14ac:dyDescent="0.25">
      <c r="A200" s="10" t="str">
        <f t="shared" si="3"/>
        <v/>
      </c>
      <c r="B200" s="52"/>
      <c r="C200" s="53"/>
      <c r="D200" s="153"/>
      <c r="E200" s="78"/>
      <c r="F200" s="133"/>
      <c r="G200" s="54"/>
      <c r="H200" s="109"/>
      <c r="I200" s="109"/>
      <c r="J200" s="55"/>
      <c r="K200" s="110"/>
      <c r="L200" s="110"/>
      <c r="M200" s="55"/>
      <c r="N200" s="110"/>
      <c r="O200" s="110"/>
      <c r="P200" s="57"/>
      <c r="Q200" s="111"/>
      <c r="R200" s="111"/>
      <c r="S200" s="58"/>
      <c r="T200" s="112"/>
      <c r="U200" s="112"/>
      <c r="V200" s="59"/>
      <c r="W200" s="113"/>
      <c r="X200" s="113"/>
      <c r="Y200" s="54"/>
      <c r="Z200" s="109"/>
      <c r="AA200" s="109"/>
      <c r="AB200" s="55"/>
      <c r="AC200" s="110"/>
      <c r="AD200" s="110"/>
      <c r="AE200" s="96"/>
      <c r="AF200" s="97"/>
      <c r="AG200" s="98"/>
      <c r="AH200" s="99"/>
    </row>
    <row r="201" spans="1:34" x14ac:dyDescent="0.25">
      <c r="A201" s="10" t="str">
        <f t="shared" si="3"/>
        <v/>
      </c>
      <c r="B201" s="52"/>
      <c r="C201" s="53"/>
      <c r="D201" s="153"/>
      <c r="E201" s="78"/>
      <c r="F201" s="133"/>
      <c r="G201" s="54"/>
      <c r="H201" s="109"/>
      <c r="I201" s="109"/>
      <c r="J201" s="55"/>
      <c r="K201" s="110"/>
      <c r="L201" s="110"/>
      <c r="M201" s="55"/>
      <c r="N201" s="110"/>
      <c r="O201" s="110"/>
      <c r="P201" s="57"/>
      <c r="Q201" s="111"/>
      <c r="R201" s="111"/>
      <c r="S201" s="58"/>
      <c r="T201" s="112"/>
      <c r="U201" s="112"/>
      <c r="V201" s="59"/>
      <c r="W201" s="113"/>
      <c r="X201" s="113"/>
      <c r="Y201" s="54"/>
      <c r="Z201" s="109"/>
      <c r="AA201" s="109"/>
      <c r="AB201" s="55"/>
      <c r="AC201" s="110"/>
      <c r="AD201" s="110"/>
      <c r="AE201" s="96"/>
      <c r="AF201" s="97"/>
      <c r="AG201" s="98"/>
      <c r="AH201" s="99"/>
    </row>
    <row r="202" spans="1:34" x14ac:dyDescent="0.25">
      <c r="A202" s="10" t="str">
        <f t="shared" si="3"/>
        <v/>
      </c>
      <c r="B202" s="52"/>
      <c r="C202" s="53"/>
      <c r="D202" s="153"/>
      <c r="E202" s="78"/>
      <c r="F202" s="133"/>
      <c r="G202" s="54"/>
      <c r="H202" s="109"/>
      <c r="I202" s="109"/>
      <c r="J202" s="55"/>
      <c r="K202" s="110"/>
      <c r="L202" s="110"/>
      <c r="M202" s="55"/>
      <c r="N202" s="110"/>
      <c r="O202" s="110"/>
      <c r="P202" s="57"/>
      <c r="Q202" s="111"/>
      <c r="R202" s="111"/>
      <c r="S202" s="58"/>
      <c r="T202" s="112"/>
      <c r="U202" s="112"/>
      <c r="V202" s="59"/>
      <c r="W202" s="113"/>
      <c r="X202" s="113"/>
      <c r="Y202" s="54"/>
      <c r="Z202" s="109"/>
      <c r="AA202" s="109"/>
      <c r="AB202" s="55"/>
      <c r="AC202" s="110"/>
      <c r="AD202" s="110"/>
      <c r="AE202" s="96"/>
      <c r="AF202" s="97"/>
      <c r="AG202" s="98"/>
      <c r="AH202" s="99"/>
    </row>
    <row r="203" spans="1:34" x14ac:dyDescent="0.25">
      <c r="A203" s="10" t="str">
        <f t="shared" si="3"/>
        <v/>
      </c>
      <c r="B203" s="52"/>
      <c r="C203" s="53"/>
      <c r="D203" s="153"/>
      <c r="E203" s="78"/>
      <c r="F203" s="133"/>
      <c r="G203" s="54"/>
      <c r="H203" s="109"/>
      <c r="I203" s="109"/>
      <c r="J203" s="55"/>
      <c r="K203" s="110"/>
      <c r="L203" s="110"/>
      <c r="M203" s="55"/>
      <c r="N203" s="110"/>
      <c r="O203" s="110"/>
      <c r="P203" s="57"/>
      <c r="Q203" s="111"/>
      <c r="R203" s="111"/>
      <c r="S203" s="58"/>
      <c r="T203" s="112"/>
      <c r="U203" s="112"/>
      <c r="V203" s="59"/>
      <c r="W203" s="113"/>
      <c r="X203" s="113"/>
      <c r="Y203" s="54"/>
      <c r="Z203" s="109"/>
      <c r="AA203" s="109"/>
      <c r="AB203" s="55"/>
      <c r="AC203" s="110"/>
      <c r="AD203" s="110"/>
      <c r="AE203" s="96"/>
      <c r="AF203" s="97"/>
      <c r="AG203" s="98"/>
      <c r="AH203" s="99"/>
    </row>
    <row r="204" spans="1:34" x14ac:dyDescent="0.25">
      <c r="A204" s="10" t="str">
        <f t="shared" si="3"/>
        <v/>
      </c>
      <c r="B204" s="52"/>
      <c r="C204" s="53"/>
      <c r="D204" s="153"/>
      <c r="E204" s="78"/>
      <c r="F204" s="133"/>
      <c r="G204" s="54"/>
      <c r="H204" s="109"/>
      <c r="I204" s="109"/>
      <c r="J204" s="55"/>
      <c r="K204" s="110"/>
      <c r="L204" s="110"/>
      <c r="M204" s="55"/>
      <c r="N204" s="110"/>
      <c r="O204" s="110"/>
      <c r="P204" s="57"/>
      <c r="Q204" s="111"/>
      <c r="R204" s="111"/>
      <c r="S204" s="58"/>
      <c r="T204" s="112"/>
      <c r="U204" s="112"/>
      <c r="V204" s="59"/>
      <c r="W204" s="113"/>
      <c r="X204" s="113"/>
      <c r="Y204" s="54"/>
      <c r="Z204" s="109"/>
      <c r="AA204" s="109"/>
      <c r="AB204" s="55"/>
      <c r="AC204" s="110"/>
      <c r="AD204" s="110"/>
      <c r="AE204" s="96"/>
      <c r="AF204" s="97"/>
      <c r="AG204" s="98"/>
      <c r="AH204" s="99"/>
    </row>
    <row r="205" spans="1:34" x14ac:dyDescent="0.25">
      <c r="A205" s="10" t="str">
        <f t="shared" si="3"/>
        <v/>
      </c>
      <c r="B205" s="52"/>
      <c r="C205" s="53"/>
      <c r="D205" s="153"/>
      <c r="E205" s="78"/>
      <c r="F205" s="133"/>
      <c r="G205" s="54"/>
      <c r="H205" s="109"/>
      <c r="I205" s="109"/>
      <c r="J205" s="55"/>
      <c r="K205" s="110"/>
      <c r="L205" s="110"/>
      <c r="M205" s="55"/>
      <c r="N205" s="110"/>
      <c r="O205" s="110"/>
      <c r="P205" s="57"/>
      <c r="Q205" s="111"/>
      <c r="R205" s="111"/>
      <c r="S205" s="58"/>
      <c r="T205" s="112"/>
      <c r="U205" s="112"/>
      <c r="V205" s="59"/>
      <c r="W205" s="113"/>
      <c r="X205" s="113"/>
      <c r="Y205" s="54"/>
      <c r="Z205" s="109"/>
      <c r="AA205" s="109"/>
      <c r="AB205" s="55"/>
      <c r="AC205" s="110"/>
      <c r="AD205" s="110"/>
      <c r="AE205" s="96"/>
      <c r="AF205" s="97"/>
      <c r="AG205" s="98"/>
      <c r="AH205" s="99"/>
    </row>
    <row r="206" spans="1:34" x14ac:dyDescent="0.25">
      <c r="A206" s="10" t="str">
        <f t="shared" si="3"/>
        <v/>
      </c>
      <c r="B206" s="52"/>
      <c r="C206" s="53"/>
      <c r="D206" s="153"/>
      <c r="E206" s="78"/>
      <c r="F206" s="133"/>
      <c r="G206" s="54"/>
      <c r="H206" s="109"/>
      <c r="I206" s="109"/>
      <c r="J206" s="55"/>
      <c r="K206" s="110"/>
      <c r="L206" s="110"/>
      <c r="M206" s="55"/>
      <c r="N206" s="110"/>
      <c r="O206" s="110"/>
      <c r="P206" s="57"/>
      <c r="Q206" s="111"/>
      <c r="R206" s="111"/>
      <c r="S206" s="58"/>
      <c r="T206" s="112"/>
      <c r="U206" s="112"/>
      <c r="V206" s="59"/>
      <c r="W206" s="113"/>
      <c r="X206" s="113"/>
      <c r="Y206" s="54"/>
      <c r="Z206" s="109"/>
      <c r="AA206" s="109"/>
      <c r="AB206" s="55"/>
      <c r="AC206" s="110"/>
      <c r="AD206" s="110"/>
      <c r="AE206" s="96"/>
      <c r="AF206" s="97"/>
      <c r="AG206" s="98"/>
      <c r="AH206" s="99"/>
    </row>
    <row r="207" spans="1:34" x14ac:dyDescent="0.25">
      <c r="A207" s="10" t="str">
        <f t="shared" si="3"/>
        <v/>
      </c>
      <c r="B207" s="52"/>
      <c r="C207" s="53"/>
      <c r="D207" s="153"/>
      <c r="E207" s="78"/>
      <c r="F207" s="133"/>
      <c r="G207" s="54"/>
      <c r="H207" s="109"/>
      <c r="I207" s="109"/>
      <c r="J207" s="55"/>
      <c r="K207" s="110"/>
      <c r="L207" s="110"/>
      <c r="M207" s="55"/>
      <c r="N207" s="110"/>
      <c r="O207" s="110"/>
      <c r="P207" s="57"/>
      <c r="Q207" s="111"/>
      <c r="R207" s="111"/>
      <c r="S207" s="58"/>
      <c r="T207" s="112"/>
      <c r="U207" s="112"/>
      <c r="V207" s="59"/>
      <c r="W207" s="113"/>
      <c r="X207" s="113"/>
      <c r="Y207" s="54"/>
      <c r="Z207" s="109"/>
      <c r="AA207" s="109"/>
      <c r="AB207" s="55"/>
      <c r="AC207" s="110"/>
      <c r="AD207" s="110"/>
      <c r="AE207" s="96"/>
      <c r="AF207" s="97"/>
      <c r="AG207" s="98"/>
      <c r="AH207" s="99"/>
    </row>
    <row r="208" spans="1:34" x14ac:dyDescent="0.25">
      <c r="A208" s="10" t="str">
        <f t="shared" si="3"/>
        <v/>
      </c>
      <c r="B208" s="52"/>
      <c r="C208" s="53"/>
      <c r="D208" s="153"/>
      <c r="E208" s="78"/>
      <c r="F208" s="133"/>
      <c r="G208" s="54"/>
      <c r="H208" s="109"/>
      <c r="I208" s="109"/>
      <c r="J208" s="55"/>
      <c r="K208" s="110"/>
      <c r="L208" s="110"/>
      <c r="M208" s="55"/>
      <c r="N208" s="110"/>
      <c r="O208" s="110"/>
      <c r="P208" s="57"/>
      <c r="Q208" s="111"/>
      <c r="R208" s="111"/>
      <c r="S208" s="58"/>
      <c r="T208" s="112"/>
      <c r="U208" s="112"/>
      <c r="V208" s="59"/>
      <c r="W208" s="113"/>
      <c r="X208" s="113"/>
      <c r="Y208" s="54"/>
      <c r="Z208" s="109"/>
      <c r="AA208" s="109"/>
      <c r="AB208" s="55"/>
      <c r="AC208" s="110"/>
      <c r="AD208" s="110"/>
      <c r="AE208" s="96"/>
      <c r="AF208" s="97"/>
      <c r="AG208" s="98"/>
      <c r="AH208" s="99"/>
    </row>
    <row r="209" spans="1:34" x14ac:dyDescent="0.25">
      <c r="A209" s="10" t="str">
        <f t="shared" si="3"/>
        <v/>
      </c>
      <c r="B209" s="52"/>
      <c r="C209" s="53"/>
      <c r="D209" s="153"/>
      <c r="E209" s="78"/>
      <c r="F209" s="133"/>
      <c r="G209" s="54"/>
      <c r="H209" s="109"/>
      <c r="I209" s="109"/>
      <c r="J209" s="55"/>
      <c r="K209" s="110"/>
      <c r="L209" s="110"/>
      <c r="M209" s="55"/>
      <c r="N209" s="110"/>
      <c r="O209" s="110"/>
      <c r="P209" s="57"/>
      <c r="Q209" s="111"/>
      <c r="R209" s="111"/>
      <c r="S209" s="58"/>
      <c r="T209" s="112"/>
      <c r="U209" s="112"/>
      <c r="V209" s="59"/>
      <c r="W209" s="113"/>
      <c r="X209" s="113"/>
      <c r="Y209" s="54"/>
      <c r="Z209" s="109"/>
      <c r="AA209" s="109"/>
      <c r="AB209" s="55"/>
      <c r="AC209" s="110"/>
      <c r="AD209" s="110"/>
      <c r="AE209" s="96"/>
      <c r="AF209" s="97"/>
      <c r="AG209" s="98"/>
      <c r="AH209" s="99"/>
    </row>
    <row r="210" spans="1:34" x14ac:dyDescent="0.25">
      <c r="A210" s="10" t="str">
        <f t="shared" si="3"/>
        <v/>
      </c>
      <c r="B210" s="52"/>
      <c r="C210" s="53"/>
      <c r="D210" s="153"/>
      <c r="E210" s="78"/>
      <c r="F210" s="133"/>
      <c r="G210" s="54"/>
      <c r="H210" s="109"/>
      <c r="I210" s="109"/>
      <c r="J210" s="55"/>
      <c r="K210" s="110"/>
      <c r="L210" s="110"/>
      <c r="M210" s="55"/>
      <c r="N210" s="110"/>
      <c r="O210" s="110"/>
      <c r="P210" s="57"/>
      <c r="Q210" s="111"/>
      <c r="R210" s="111"/>
      <c r="S210" s="58"/>
      <c r="T210" s="112"/>
      <c r="U210" s="112"/>
      <c r="V210" s="59"/>
      <c r="W210" s="113"/>
      <c r="X210" s="113"/>
      <c r="Y210" s="54"/>
      <c r="Z210" s="109"/>
      <c r="AA210" s="109"/>
      <c r="AB210" s="55"/>
      <c r="AC210" s="110"/>
      <c r="AD210" s="110"/>
      <c r="AE210" s="96"/>
      <c r="AF210" s="97"/>
      <c r="AG210" s="98"/>
      <c r="AH210" s="99"/>
    </row>
    <row r="211" spans="1:34" x14ac:dyDescent="0.25">
      <c r="A211" s="10" t="str">
        <f t="shared" si="3"/>
        <v/>
      </c>
      <c r="B211" s="52"/>
      <c r="C211" s="53"/>
      <c r="D211" s="153"/>
      <c r="E211" s="78"/>
      <c r="F211" s="133"/>
      <c r="G211" s="54"/>
      <c r="H211" s="109"/>
      <c r="I211" s="109"/>
      <c r="J211" s="55"/>
      <c r="K211" s="110"/>
      <c r="L211" s="110"/>
      <c r="M211" s="55"/>
      <c r="N211" s="110"/>
      <c r="O211" s="110"/>
      <c r="P211" s="57"/>
      <c r="Q211" s="111"/>
      <c r="R211" s="111"/>
      <c r="S211" s="58"/>
      <c r="T211" s="112"/>
      <c r="U211" s="112"/>
      <c r="V211" s="59"/>
      <c r="W211" s="113"/>
      <c r="X211" s="113"/>
      <c r="Y211" s="54"/>
      <c r="Z211" s="109"/>
      <c r="AA211" s="109"/>
      <c r="AB211" s="55"/>
      <c r="AC211" s="110"/>
      <c r="AD211" s="110"/>
      <c r="AE211" s="96"/>
      <c r="AF211" s="97"/>
      <c r="AG211" s="98"/>
      <c r="AH211" s="99"/>
    </row>
    <row r="212" spans="1:34" x14ac:dyDescent="0.25">
      <c r="A212" s="10" t="str">
        <f t="shared" si="3"/>
        <v/>
      </c>
      <c r="B212" s="52"/>
      <c r="C212" s="53"/>
      <c r="D212" s="153"/>
      <c r="E212" s="78"/>
      <c r="F212" s="133"/>
      <c r="G212" s="54"/>
      <c r="H212" s="109"/>
      <c r="I212" s="109"/>
      <c r="J212" s="55"/>
      <c r="K212" s="110"/>
      <c r="L212" s="110"/>
      <c r="M212" s="55"/>
      <c r="N212" s="110"/>
      <c r="O212" s="110"/>
      <c r="P212" s="57"/>
      <c r="Q212" s="111"/>
      <c r="R212" s="111"/>
      <c r="S212" s="58"/>
      <c r="T212" s="112"/>
      <c r="U212" s="112"/>
      <c r="V212" s="59"/>
      <c r="W212" s="113"/>
      <c r="X212" s="113"/>
      <c r="Y212" s="54"/>
      <c r="Z212" s="109"/>
      <c r="AA212" s="109"/>
      <c r="AB212" s="55"/>
      <c r="AC212" s="110"/>
      <c r="AD212" s="110"/>
      <c r="AE212" s="96"/>
      <c r="AF212" s="97"/>
      <c r="AG212" s="98"/>
      <c r="AH212" s="99"/>
    </row>
    <row r="213" spans="1:34" x14ac:dyDescent="0.25">
      <c r="A213" s="10" t="str">
        <f t="shared" si="3"/>
        <v/>
      </c>
      <c r="B213" s="52"/>
      <c r="C213" s="53"/>
      <c r="D213" s="153"/>
      <c r="E213" s="78"/>
      <c r="F213" s="133"/>
      <c r="G213" s="54"/>
      <c r="H213" s="109"/>
      <c r="I213" s="109"/>
      <c r="J213" s="55"/>
      <c r="K213" s="110"/>
      <c r="L213" s="110"/>
      <c r="M213" s="55"/>
      <c r="N213" s="110"/>
      <c r="O213" s="110"/>
      <c r="P213" s="57"/>
      <c r="Q213" s="111"/>
      <c r="R213" s="111"/>
      <c r="S213" s="58"/>
      <c r="T213" s="112"/>
      <c r="U213" s="112"/>
      <c r="V213" s="59"/>
      <c r="W213" s="113"/>
      <c r="X213" s="113"/>
      <c r="Y213" s="54"/>
      <c r="Z213" s="109"/>
      <c r="AA213" s="109"/>
      <c r="AB213" s="55"/>
      <c r="AC213" s="110"/>
      <c r="AD213" s="110"/>
      <c r="AE213" s="96"/>
      <c r="AF213" s="97"/>
      <c r="AG213" s="98"/>
      <c r="AH213" s="99"/>
    </row>
    <row r="214" spans="1:34" x14ac:dyDescent="0.25">
      <c r="A214" s="10" t="str">
        <f t="shared" si="3"/>
        <v/>
      </c>
      <c r="B214" s="52"/>
      <c r="C214" s="53"/>
      <c r="D214" s="153"/>
      <c r="E214" s="78"/>
      <c r="F214" s="133"/>
      <c r="G214" s="54"/>
      <c r="H214" s="109"/>
      <c r="I214" s="109"/>
      <c r="J214" s="55"/>
      <c r="K214" s="110"/>
      <c r="L214" s="110"/>
      <c r="M214" s="55"/>
      <c r="N214" s="110"/>
      <c r="O214" s="110"/>
      <c r="P214" s="57"/>
      <c r="Q214" s="111"/>
      <c r="R214" s="111"/>
      <c r="S214" s="58"/>
      <c r="T214" s="112"/>
      <c r="U214" s="112"/>
      <c r="V214" s="59"/>
      <c r="W214" s="113"/>
      <c r="X214" s="113"/>
      <c r="Y214" s="54"/>
      <c r="Z214" s="109"/>
      <c r="AA214" s="109"/>
      <c r="AB214" s="55"/>
      <c r="AC214" s="110"/>
      <c r="AD214" s="110"/>
      <c r="AE214" s="96"/>
      <c r="AF214" s="97"/>
      <c r="AG214" s="98"/>
      <c r="AH214" s="99"/>
    </row>
    <row r="215" spans="1:34" x14ac:dyDescent="0.25">
      <c r="A215" s="10" t="str">
        <f t="shared" si="3"/>
        <v/>
      </c>
      <c r="B215" s="52"/>
      <c r="C215" s="53"/>
      <c r="D215" s="153"/>
      <c r="E215" s="78"/>
      <c r="F215" s="133"/>
      <c r="G215" s="54"/>
      <c r="H215" s="109"/>
      <c r="I215" s="109"/>
      <c r="J215" s="55"/>
      <c r="K215" s="110"/>
      <c r="L215" s="110"/>
      <c r="M215" s="55"/>
      <c r="N215" s="110"/>
      <c r="O215" s="110"/>
      <c r="P215" s="57"/>
      <c r="Q215" s="111"/>
      <c r="R215" s="111"/>
      <c r="S215" s="58"/>
      <c r="T215" s="112"/>
      <c r="U215" s="112"/>
      <c r="V215" s="59"/>
      <c r="W215" s="113"/>
      <c r="X215" s="113"/>
      <c r="Y215" s="54"/>
      <c r="Z215" s="109"/>
      <c r="AA215" s="109"/>
      <c r="AB215" s="55"/>
      <c r="AC215" s="110"/>
      <c r="AD215" s="110"/>
      <c r="AE215" s="96"/>
      <c r="AF215" s="97"/>
      <c r="AG215" s="98"/>
      <c r="AH215" s="99"/>
    </row>
    <row r="216" spans="1:34" x14ac:dyDescent="0.25">
      <c r="A216" s="10" t="str">
        <f t="shared" si="3"/>
        <v/>
      </c>
      <c r="B216" s="52"/>
      <c r="C216" s="53"/>
      <c r="D216" s="153"/>
      <c r="E216" s="78"/>
      <c r="F216" s="133"/>
      <c r="G216" s="54"/>
      <c r="H216" s="109"/>
      <c r="I216" s="109"/>
      <c r="J216" s="55"/>
      <c r="K216" s="110"/>
      <c r="L216" s="110"/>
      <c r="M216" s="55"/>
      <c r="N216" s="110"/>
      <c r="O216" s="110"/>
      <c r="P216" s="57"/>
      <c r="Q216" s="111"/>
      <c r="R216" s="111"/>
      <c r="S216" s="58"/>
      <c r="T216" s="112"/>
      <c r="U216" s="112"/>
      <c r="V216" s="59"/>
      <c r="W216" s="113"/>
      <c r="X216" s="113"/>
      <c r="Y216" s="54"/>
      <c r="Z216" s="109"/>
      <c r="AA216" s="109"/>
      <c r="AB216" s="55"/>
      <c r="AC216" s="110"/>
      <c r="AD216" s="110"/>
      <c r="AE216" s="96"/>
      <c r="AF216" s="97"/>
      <c r="AG216" s="98"/>
      <c r="AH216" s="99"/>
    </row>
    <row r="217" spans="1:34" x14ac:dyDescent="0.25">
      <c r="A217" s="10" t="str">
        <f t="shared" si="3"/>
        <v/>
      </c>
      <c r="B217" s="52"/>
      <c r="C217" s="53"/>
      <c r="D217" s="153"/>
      <c r="E217" s="78"/>
      <c r="F217" s="133"/>
      <c r="G217" s="54"/>
      <c r="H217" s="109"/>
      <c r="I217" s="109"/>
      <c r="J217" s="55"/>
      <c r="K217" s="110"/>
      <c r="L217" s="110"/>
      <c r="M217" s="55"/>
      <c r="N217" s="110"/>
      <c r="O217" s="110"/>
      <c r="P217" s="57"/>
      <c r="Q217" s="111"/>
      <c r="R217" s="111"/>
      <c r="S217" s="58"/>
      <c r="T217" s="112"/>
      <c r="U217" s="112"/>
      <c r="V217" s="59"/>
      <c r="W217" s="113"/>
      <c r="X217" s="113"/>
      <c r="Y217" s="54"/>
      <c r="Z217" s="109"/>
      <c r="AA217" s="109"/>
      <c r="AB217" s="55"/>
      <c r="AC217" s="110"/>
      <c r="AD217" s="110"/>
      <c r="AE217" s="96"/>
      <c r="AF217" s="97"/>
      <c r="AG217" s="98"/>
      <c r="AH217" s="99"/>
    </row>
    <row r="218" spans="1:34" x14ac:dyDescent="0.25">
      <c r="A218" s="10" t="str">
        <f t="shared" si="3"/>
        <v/>
      </c>
      <c r="B218" s="52"/>
      <c r="C218" s="53"/>
      <c r="D218" s="153"/>
      <c r="E218" s="78"/>
      <c r="F218" s="133"/>
      <c r="G218" s="54"/>
      <c r="H218" s="109"/>
      <c r="I218" s="109"/>
      <c r="J218" s="55"/>
      <c r="K218" s="110"/>
      <c r="L218" s="110"/>
      <c r="M218" s="55"/>
      <c r="N218" s="110"/>
      <c r="O218" s="110"/>
      <c r="P218" s="57"/>
      <c r="Q218" s="111"/>
      <c r="R218" s="111"/>
      <c r="S218" s="58"/>
      <c r="T218" s="112"/>
      <c r="U218" s="112"/>
      <c r="V218" s="59"/>
      <c r="W218" s="113"/>
      <c r="X218" s="113"/>
      <c r="Y218" s="54"/>
      <c r="Z218" s="109"/>
      <c r="AA218" s="109"/>
      <c r="AB218" s="55"/>
      <c r="AC218" s="110"/>
      <c r="AD218" s="110"/>
      <c r="AE218" s="96"/>
      <c r="AF218" s="97"/>
      <c r="AG218" s="98"/>
      <c r="AH218" s="99"/>
    </row>
    <row r="219" spans="1:34" x14ac:dyDescent="0.25">
      <c r="A219" s="10" t="str">
        <f t="shared" si="3"/>
        <v/>
      </c>
      <c r="B219" s="52"/>
      <c r="C219" s="53"/>
      <c r="D219" s="153"/>
      <c r="E219" s="78"/>
      <c r="F219" s="133"/>
      <c r="G219" s="54"/>
      <c r="H219" s="109"/>
      <c r="I219" s="109"/>
      <c r="J219" s="55"/>
      <c r="K219" s="110"/>
      <c r="L219" s="110"/>
      <c r="M219" s="55"/>
      <c r="N219" s="110"/>
      <c r="O219" s="110"/>
      <c r="P219" s="57"/>
      <c r="Q219" s="111"/>
      <c r="R219" s="111"/>
      <c r="S219" s="58"/>
      <c r="T219" s="112"/>
      <c r="U219" s="112"/>
      <c r="V219" s="59"/>
      <c r="W219" s="113"/>
      <c r="X219" s="113"/>
      <c r="Y219" s="54"/>
      <c r="Z219" s="109"/>
      <c r="AA219" s="109"/>
      <c r="AB219" s="55"/>
      <c r="AC219" s="110"/>
      <c r="AD219" s="110"/>
      <c r="AE219" s="96"/>
      <c r="AF219" s="97"/>
      <c r="AG219" s="98"/>
      <c r="AH219" s="99"/>
    </row>
    <row r="220" spans="1:34" x14ac:dyDescent="0.25">
      <c r="A220" s="10" t="str">
        <f t="shared" si="3"/>
        <v/>
      </c>
      <c r="B220" s="52"/>
      <c r="C220" s="53"/>
      <c r="D220" s="153"/>
      <c r="E220" s="78"/>
      <c r="F220" s="133"/>
      <c r="G220" s="54"/>
      <c r="H220" s="109"/>
      <c r="I220" s="109"/>
      <c r="J220" s="55"/>
      <c r="K220" s="110"/>
      <c r="L220" s="110"/>
      <c r="M220" s="55"/>
      <c r="N220" s="110"/>
      <c r="O220" s="110"/>
      <c r="P220" s="57"/>
      <c r="Q220" s="111"/>
      <c r="R220" s="111"/>
      <c r="S220" s="58"/>
      <c r="T220" s="112"/>
      <c r="U220" s="112"/>
      <c r="V220" s="59"/>
      <c r="W220" s="113"/>
      <c r="X220" s="113"/>
      <c r="Y220" s="54"/>
      <c r="Z220" s="109"/>
      <c r="AA220" s="109"/>
      <c r="AB220" s="55"/>
      <c r="AC220" s="110"/>
      <c r="AD220" s="110"/>
      <c r="AE220" s="96"/>
      <c r="AF220" s="97"/>
      <c r="AG220" s="98"/>
      <c r="AH220" s="99"/>
    </row>
    <row r="221" spans="1:34" x14ac:dyDescent="0.25">
      <c r="A221" s="10" t="str">
        <f t="shared" si="3"/>
        <v/>
      </c>
      <c r="B221" s="52"/>
      <c r="C221" s="53"/>
      <c r="D221" s="153"/>
      <c r="E221" s="78"/>
      <c r="F221" s="133"/>
      <c r="G221" s="54"/>
      <c r="H221" s="109"/>
      <c r="I221" s="109"/>
      <c r="J221" s="55"/>
      <c r="K221" s="110"/>
      <c r="L221" s="110"/>
      <c r="M221" s="55"/>
      <c r="N221" s="110"/>
      <c r="O221" s="110"/>
      <c r="P221" s="57"/>
      <c r="Q221" s="111"/>
      <c r="R221" s="111"/>
      <c r="S221" s="58"/>
      <c r="T221" s="112"/>
      <c r="U221" s="112"/>
      <c r="V221" s="59"/>
      <c r="W221" s="113"/>
      <c r="X221" s="113"/>
      <c r="Y221" s="54"/>
      <c r="Z221" s="109"/>
      <c r="AA221" s="109"/>
      <c r="AB221" s="55"/>
      <c r="AC221" s="110"/>
      <c r="AD221" s="110"/>
      <c r="AE221" s="96"/>
      <c r="AF221" s="97"/>
      <c r="AG221" s="98"/>
      <c r="AH221" s="99"/>
    </row>
    <row r="222" spans="1:34" x14ac:dyDescent="0.25">
      <c r="A222" s="10" t="str">
        <f t="shared" si="3"/>
        <v/>
      </c>
      <c r="B222" s="52"/>
      <c r="C222" s="53"/>
      <c r="D222" s="153"/>
      <c r="E222" s="78"/>
      <c r="F222" s="133"/>
      <c r="G222" s="54"/>
      <c r="H222" s="109"/>
      <c r="I222" s="109"/>
      <c r="J222" s="55"/>
      <c r="K222" s="110"/>
      <c r="L222" s="110"/>
      <c r="M222" s="55"/>
      <c r="N222" s="110"/>
      <c r="O222" s="110"/>
      <c r="P222" s="57"/>
      <c r="Q222" s="111"/>
      <c r="R222" s="111"/>
      <c r="S222" s="58"/>
      <c r="T222" s="112"/>
      <c r="U222" s="112"/>
      <c r="V222" s="59"/>
      <c r="W222" s="113"/>
      <c r="X222" s="113"/>
      <c r="Y222" s="54"/>
      <c r="Z222" s="109"/>
      <c r="AA222" s="109"/>
      <c r="AB222" s="55"/>
      <c r="AC222" s="110"/>
      <c r="AD222" s="110"/>
      <c r="AE222" s="96"/>
      <c r="AF222" s="97"/>
      <c r="AG222" s="98"/>
      <c r="AH222" s="99"/>
    </row>
    <row r="223" spans="1:34" x14ac:dyDescent="0.25">
      <c r="A223" s="10" t="str">
        <f t="shared" si="3"/>
        <v/>
      </c>
      <c r="B223" s="52"/>
      <c r="C223" s="53"/>
      <c r="D223" s="153"/>
      <c r="E223" s="78"/>
      <c r="F223" s="133"/>
      <c r="G223" s="54"/>
      <c r="H223" s="109"/>
      <c r="I223" s="109"/>
      <c r="J223" s="55"/>
      <c r="K223" s="110"/>
      <c r="L223" s="110"/>
      <c r="M223" s="55"/>
      <c r="N223" s="110"/>
      <c r="O223" s="110"/>
      <c r="P223" s="57"/>
      <c r="Q223" s="111"/>
      <c r="R223" s="111"/>
      <c r="S223" s="58"/>
      <c r="T223" s="112"/>
      <c r="U223" s="112"/>
      <c r="V223" s="59"/>
      <c r="W223" s="113"/>
      <c r="X223" s="113"/>
      <c r="Y223" s="54"/>
      <c r="Z223" s="109"/>
      <c r="AA223" s="109"/>
      <c r="AB223" s="55"/>
      <c r="AC223" s="110"/>
      <c r="AD223" s="110"/>
      <c r="AE223" s="96"/>
      <c r="AF223" s="97"/>
      <c r="AG223" s="98"/>
      <c r="AH223" s="99"/>
    </row>
    <row r="224" spans="1:34" x14ac:dyDescent="0.25">
      <c r="A224" s="10" t="str">
        <f t="shared" si="3"/>
        <v/>
      </c>
      <c r="B224" s="52"/>
      <c r="C224" s="53"/>
      <c r="D224" s="153"/>
      <c r="E224" s="78"/>
      <c r="F224" s="133"/>
      <c r="G224" s="54"/>
      <c r="H224" s="109"/>
      <c r="I224" s="109"/>
      <c r="J224" s="55"/>
      <c r="K224" s="110"/>
      <c r="L224" s="110"/>
      <c r="M224" s="55"/>
      <c r="N224" s="110"/>
      <c r="O224" s="110"/>
      <c r="P224" s="57"/>
      <c r="Q224" s="111"/>
      <c r="R224" s="111"/>
      <c r="S224" s="58"/>
      <c r="T224" s="112"/>
      <c r="U224" s="112"/>
      <c r="V224" s="59"/>
      <c r="W224" s="113"/>
      <c r="X224" s="113"/>
      <c r="Y224" s="54"/>
      <c r="Z224" s="109"/>
      <c r="AA224" s="109"/>
      <c r="AB224" s="55"/>
      <c r="AC224" s="110"/>
      <c r="AD224" s="110"/>
      <c r="AE224" s="96"/>
      <c r="AF224" s="97"/>
      <c r="AG224" s="98"/>
      <c r="AH224" s="99"/>
    </row>
    <row r="225" spans="1:34" x14ac:dyDescent="0.25">
      <c r="A225" s="10" t="str">
        <f t="shared" si="3"/>
        <v/>
      </c>
      <c r="B225" s="52"/>
      <c r="C225" s="53"/>
      <c r="D225" s="153"/>
      <c r="E225" s="78"/>
      <c r="F225" s="133"/>
      <c r="G225" s="54"/>
      <c r="H225" s="109"/>
      <c r="I225" s="109"/>
      <c r="J225" s="55"/>
      <c r="K225" s="110"/>
      <c r="L225" s="110"/>
      <c r="M225" s="55"/>
      <c r="N225" s="110"/>
      <c r="O225" s="110"/>
      <c r="P225" s="57"/>
      <c r="Q225" s="111"/>
      <c r="R225" s="111"/>
      <c r="S225" s="58"/>
      <c r="T225" s="112"/>
      <c r="U225" s="112"/>
      <c r="V225" s="59"/>
      <c r="W225" s="113"/>
      <c r="X225" s="113"/>
      <c r="Y225" s="54"/>
      <c r="Z225" s="109"/>
      <c r="AA225" s="109"/>
      <c r="AB225" s="55"/>
      <c r="AC225" s="110"/>
      <c r="AD225" s="110"/>
      <c r="AE225" s="96"/>
      <c r="AF225" s="97"/>
      <c r="AG225" s="98"/>
      <c r="AH225" s="99"/>
    </row>
    <row r="226" spans="1:34" x14ac:dyDescent="0.25">
      <c r="A226" s="10" t="str">
        <f t="shared" si="3"/>
        <v/>
      </c>
      <c r="B226" s="52"/>
      <c r="C226" s="53"/>
      <c r="D226" s="153"/>
      <c r="E226" s="78"/>
      <c r="F226" s="133"/>
      <c r="G226" s="54"/>
      <c r="H226" s="109"/>
      <c r="I226" s="109"/>
      <c r="J226" s="55"/>
      <c r="K226" s="110"/>
      <c r="L226" s="110"/>
      <c r="M226" s="55"/>
      <c r="N226" s="110"/>
      <c r="O226" s="110"/>
      <c r="P226" s="57"/>
      <c r="Q226" s="111"/>
      <c r="R226" s="111"/>
      <c r="S226" s="58"/>
      <c r="T226" s="112"/>
      <c r="U226" s="112"/>
      <c r="V226" s="59"/>
      <c r="W226" s="113"/>
      <c r="X226" s="113"/>
      <c r="Y226" s="54"/>
      <c r="Z226" s="109"/>
      <c r="AA226" s="109"/>
      <c r="AB226" s="55"/>
      <c r="AC226" s="110"/>
      <c r="AD226" s="110"/>
      <c r="AE226" s="96"/>
      <c r="AF226" s="97"/>
      <c r="AG226" s="98"/>
      <c r="AH226" s="99"/>
    </row>
    <row r="227" spans="1:34" x14ac:dyDescent="0.25">
      <c r="A227" s="10" t="str">
        <f t="shared" si="3"/>
        <v/>
      </c>
      <c r="B227" s="52"/>
      <c r="C227" s="53"/>
      <c r="D227" s="153"/>
      <c r="E227" s="78"/>
      <c r="F227" s="133"/>
      <c r="G227" s="54"/>
      <c r="H227" s="109"/>
      <c r="I227" s="109"/>
      <c r="J227" s="55"/>
      <c r="K227" s="110"/>
      <c r="L227" s="110"/>
      <c r="M227" s="55"/>
      <c r="N227" s="110"/>
      <c r="O227" s="110"/>
      <c r="P227" s="57"/>
      <c r="Q227" s="111"/>
      <c r="R227" s="111"/>
      <c r="S227" s="58"/>
      <c r="T227" s="112"/>
      <c r="U227" s="112"/>
      <c r="V227" s="59"/>
      <c r="W227" s="113"/>
      <c r="X227" s="113"/>
      <c r="Y227" s="54"/>
      <c r="Z227" s="109"/>
      <c r="AA227" s="109"/>
      <c r="AB227" s="55"/>
      <c r="AC227" s="110"/>
      <c r="AD227" s="110"/>
      <c r="AE227" s="96"/>
      <c r="AF227" s="97"/>
      <c r="AG227" s="98"/>
      <c r="AH227" s="99"/>
    </row>
    <row r="228" spans="1:34" x14ac:dyDescent="0.25">
      <c r="A228" s="10" t="str">
        <f t="shared" si="3"/>
        <v/>
      </c>
      <c r="B228" s="52"/>
      <c r="C228" s="53"/>
      <c r="D228" s="153"/>
      <c r="E228" s="78"/>
      <c r="F228" s="133"/>
      <c r="G228" s="54"/>
      <c r="H228" s="109"/>
      <c r="I228" s="109"/>
      <c r="J228" s="55"/>
      <c r="K228" s="110"/>
      <c r="L228" s="110"/>
      <c r="M228" s="55"/>
      <c r="N228" s="110"/>
      <c r="O228" s="110"/>
      <c r="P228" s="57"/>
      <c r="Q228" s="111"/>
      <c r="R228" s="111"/>
      <c r="S228" s="58"/>
      <c r="T228" s="112"/>
      <c r="U228" s="112"/>
      <c r="V228" s="59"/>
      <c r="W228" s="113"/>
      <c r="X228" s="113"/>
      <c r="Y228" s="54"/>
      <c r="Z228" s="109"/>
      <c r="AA228" s="109"/>
      <c r="AB228" s="55"/>
      <c r="AC228" s="110"/>
      <c r="AD228" s="110"/>
      <c r="AE228" s="96"/>
      <c r="AF228" s="97"/>
      <c r="AG228" s="98"/>
      <c r="AH228" s="99"/>
    </row>
    <row r="229" spans="1:34" x14ac:dyDescent="0.25">
      <c r="A229" s="10" t="str">
        <f t="shared" si="3"/>
        <v/>
      </c>
      <c r="B229" s="52"/>
      <c r="C229" s="53"/>
      <c r="D229" s="153"/>
      <c r="E229" s="78"/>
      <c r="F229" s="133"/>
      <c r="G229" s="54"/>
      <c r="H229" s="109"/>
      <c r="I229" s="109"/>
      <c r="J229" s="55"/>
      <c r="K229" s="110"/>
      <c r="L229" s="110"/>
      <c r="M229" s="55"/>
      <c r="N229" s="110"/>
      <c r="O229" s="110"/>
      <c r="P229" s="57"/>
      <c r="Q229" s="111"/>
      <c r="R229" s="111"/>
      <c r="S229" s="58"/>
      <c r="T229" s="112"/>
      <c r="U229" s="112"/>
      <c r="V229" s="59"/>
      <c r="W229" s="113"/>
      <c r="X229" s="113"/>
      <c r="Y229" s="54"/>
      <c r="Z229" s="109"/>
      <c r="AA229" s="109"/>
      <c r="AB229" s="55"/>
      <c r="AC229" s="110"/>
      <c r="AD229" s="110"/>
      <c r="AE229" s="96"/>
      <c r="AF229" s="97"/>
      <c r="AG229" s="98"/>
      <c r="AH229" s="99"/>
    </row>
    <row r="230" spans="1:34" x14ac:dyDescent="0.25">
      <c r="A230" s="10" t="str">
        <f t="shared" si="3"/>
        <v/>
      </c>
      <c r="B230" s="52"/>
      <c r="C230" s="53"/>
      <c r="D230" s="153"/>
      <c r="E230" s="78"/>
      <c r="F230" s="133"/>
      <c r="G230" s="54"/>
      <c r="H230" s="109"/>
      <c r="I230" s="109"/>
      <c r="J230" s="55"/>
      <c r="K230" s="110"/>
      <c r="L230" s="110"/>
      <c r="M230" s="55"/>
      <c r="N230" s="110"/>
      <c r="O230" s="110"/>
      <c r="P230" s="57"/>
      <c r="Q230" s="111"/>
      <c r="R230" s="111"/>
      <c r="S230" s="58"/>
      <c r="T230" s="112"/>
      <c r="U230" s="112"/>
      <c r="V230" s="59"/>
      <c r="W230" s="113"/>
      <c r="X230" s="113"/>
      <c r="Y230" s="54"/>
      <c r="Z230" s="109"/>
      <c r="AA230" s="109"/>
      <c r="AB230" s="55"/>
      <c r="AC230" s="110"/>
      <c r="AD230" s="110"/>
      <c r="AE230" s="96"/>
      <c r="AF230" s="97"/>
      <c r="AG230" s="98"/>
      <c r="AH230" s="99"/>
    </row>
    <row r="231" spans="1:34" x14ac:dyDescent="0.25">
      <c r="A231" s="10" t="str">
        <f t="shared" si="3"/>
        <v/>
      </c>
      <c r="B231" s="52"/>
      <c r="C231" s="53"/>
      <c r="D231" s="153"/>
      <c r="E231" s="78"/>
      <c r="F231" s="133"/>
      <c r="G231" s="54"/>
      <c r="H231" s="109"/>
      <c r="I231" s="109"/>
      <c r="J231" s="55"/>
      <c r="K231" s="110"/>
      <c r="L231" s="110"/>
      <c r="M231" s="55"/>
      <c r="N231" s="110"/>
      <c r="O231" s="110"/>
      <c r="P231" s="57"/>
      <c r="Q231" s="111"/>
      <c r="R231" s="111"/>
      <c r="S231" s="58"/>
      <c r="T231" s="112"/>
      <c r="U231" s="112"/>
      <c r="V231" s="59"/>
      <c r="W231" s="113"/>
      <c r="X231" s="113"/>
      <c r="Y231" s="54"/>
      <c r="Z231" s="109"/>
      <c r="AA231" s="109"/>
      <c r="AB231" s="55"/>
      <c r="AC231" s="110"/>
      <c r="AD231" s="110"/>
      <c r="AE231" s="96"/>
      <c r="AF231" s="97"/>
      <c r="AG231" s="98"/>
      <c r="AH231" s="99"/>
    </row>
    <row r="232" spans="1:34" x14ac:dyDescent="0.25">
      <c r="A232" s="10" t="str">
        <f t="shared" si="3"/>
        <v/>
      </c>
      <c r="B232" s="52"/>
      <c r="C232" s="53"/>
      <c r="D232" s="153"/>
      <c r="E232" s="78"/>
      <c r="F232" s="133"/>
      <c r="G232" s="54"/>
      <c r="H232" s="109"/>
      <c r="I232" s="109"/>
      <c r="J232" s="55"/>
      <c r="K232" s="110"/>
      <c r="L232" s="110"/>
      <c r="M232" s="55"/>
      <c r="N232" s="110"/>
      <c r="O232" s="110"/>
      <c r="P232" s="57"/>
      <c r="Q232" s="111"/>
      <c r="R232" s="111"/>
      <c r="S232" s="58"/>
      <c r="T232" s="112"/>
      <c r="U232" s="112"/>
      <c r="V232" s="59"/>
      <c r="W232" s="113"/>
      <c r="X232" s="113"/>
      <c r="Y232" s="54"/>
      <c r="Z232" s="109"/>
      <c r="AA232" s="109"/>
      <c r="AB232" s="55"/>
      <c r="AC232" s="110"/>
      <c r="AD232" s="110"/>
      <c r="AE232" s="96"/>
      <c r="AF232" s="97"/>
      <c r="AG232" s="98"/>
      <c r="AH232" s="99"/>
    </row>
    <row r="233" spans="1:34" x14ac:dyDescent="0.25">
      <c r="A233" s="10" t="str">
        <f t="shared" si="3"/>
        <v/>
      </c>
      <c r="B233" s="52"/>
      <c r="C233" s="53"/>
      <c r="D233" s="153"/>
      <c r="E233" s="78"/>
      <c r="F233" s="133"/>
      <c r="G233" s="54"/>
      <c r="H233" s="109"/>
      <c r="I233" s="109"/>
      <c r="J233" s="55"/>
      <c r="K233" s="110"/>
      <c r="L233" s="110"/>
      <c r="M233" s="55"/>
      <c r="N233" s="110"/>
      <c r="O233" s="110"/>
      <c r="P233" s="57"/>
      <c r="Q233" s="111"/>
      <c r="R233" s="111"/>
      <c r="S233" s="58"/>
      <c r="T233" s="112"/>
      <c r="U233" s="112"/>
      <c r="V233" s="59"/>
      <c r="W233" s="113"/>
      <c r="X233" s="113"/>
      <c r="Y233" s="54"/>
      <c r="Z233" s="109"/>
      <c r="AA233" s="109"/>
      <c r="AB233" s="55"/>
      <c r="AC233" s="110"/>
      <c r="AD233" s="110"/>
      <c r="AE233" s="96"/>
      <c r="AF233" s="97"/>
      <c r="AG233" s="98"/>
      <c r="AH233" s="99"/>
    </row>
    <row r="234" spans="1:34" x14ac:dyDescent="0.25">
      <c r="A234" s="10" t="str">
        <f t="shared" si="3"/>
        <v/>
      </c>
      <c r="B234" s="52"/>
      <c r="C234" s="53"/>
      <c r="D234" s="153"/>
      <c r="E234" s="78"/>
      <c r="F234" s="133"/>
      <c r="G234" s="54"/>
      <c r="H234" s="109"/>
      <c r="I234" s="109"/>
      <c r="J234" s="55"/>
      <c r="K234" s="110"/>
      <c r="L234" s="110"/>
      <c r="M234" s="55"/>
      <c r="N234" s="110"/>
      <c r="O234" s="110"/>
      <c r="P234" s="57"/>
      <c r="Q234" s="111"/>
      <c r="R234" s="111"/>
      <c r="S234" s="58"/>
      <c r="T234" s="112"/>
      <c r="U234" s="112"/>
      <c r="V234" s="59"/>
      <c r="W234" s="113"/>
      <c r="X234" s="113"/>
      <c r="Y234" s="54"/>
      <c r="Z234" s="109"/>
      <c r="AA234" s="109"/>
      <c r="AB234" s="55"/>
      <c r="AC234" s="110"/>
      <c r="AD234" s="110"/>
      <c r="AE234" s="96"/>
      <c r="AF234" s="97"/>
      <c r="AG234" s="98"/>
      <c r="AH234" s="99"/>
    </row>
    <row r="235" spans="1:34" x14ac:dyDescent="0.25">
      <c r="A235" s="10" t="str">
        <f t="shared" si="3"/>
        <v/>
      </c>
      <c r="B235" s="52"/>
      <c r="C235" s="53"/>
      <c r="D235" s="153"/>
      <c r="E235" s="78"/>
      <c r="F235" s="133"/>
      <c r="G235" s="54"/>
      <c r="H235" s="109"/>
      <c r="I235" s="109"/>
      <c r="J235" s="55"/>
      <c r="K235" s="110"/>
      <c r="L235" s="110"/>
      <c r="M235" s="55"/>
      <c r="N235" s="110"/>
      <c r="O235" s="110"/>
      <c r="P235" s="57"/>
      <c r="Q235" s="111"/>
      <c r="R235" s="111"/>
      <c r="S235" s="58"/>
      <c r="T235" s="112"/>
      <c r="U235" s="112"/>
      <c r="V235" s="59"/>
      <c r="W235" s="113"/>
      <c r="X235" s="113"/>
      <c r="Y235" s="54"/>
      <c r="Z235" s="109"/>
      <c r="AA235" s="109"/>
      <c r="AB235" s="55"/>
      <c r="AC235" s="110"/>
      <c r="AD235" s="110"/>
      <c r="AE235" s="96"/>
      <c r="AF235" s="97"/>
      <c r="AG235" s="98"/>
      <c r="AH235" s="99"/>
    </row>
    <row r="236" spans="1:34" x14ac:dyDescent="0.25">
      <c r="A236" s="10" t="str">
        <f t="shared" si="3"/>
        <v/>
      </c>
      <c r="B236" s="52"/>
      <c r="C236" s="53"/>
      <c r="D236" s="153"/>
      <c r="E236" s="78"/>
      <c r="F236" s="133"/>
      <c r="G236" s="54"/>
      <c r="H236" s="109"/>
      <c r="I236" s="109"/>
      <c r="J236" s="55"/>
      <c r="K236" s="110"/>
      <c r="L236" s="110"/>
      <c r="M236" s="55"/>
      <c r="N236" s="110"/>
      <c r="O236" s="110"/>
      <c r="P236" s="57"/>
      <c r="Q236" s="111"/>
      <c r="R236" s="111"/>
      <c r="S236" s="58"/>
      <c r="T236" s="112"/>
      <c r="U236" s="112"/>
      <c r="V236" s="59"/>
      <c r="W236" s="113"/>
      <c r="X236" s="113"/>
      <c r="Y236" s="54"/>
      <c r="Z236" s="109"/>
      <c r="AA236" s="109"/>
      <c r="AB236" s="55"/>
      <c r="AC236" s="110"/>
      <c r="AD236" s="110"/>
      <c r="AE236" s="96"/>
      <c r="AF236" s="97"/>
      <c r="AG236" s="98"/>
      <c r="AH236" s="99"/>
    </row>
    <row r="237" spans="1:34" x14ac:dyDescent="0.25">
      <c r="A237" s="10" t="str">
        <f t="shared" si="3"/>
        <v/>
      </c>
      <c r="B237" s="52"/>
      <c r="C237" s="53"/>
      <c r="D237" s="153"/>
      <c r="E237" s="78"/>
      <c r="F237" s="133"/>
      <c r="G237" s="54"/>
      <c r="H237" s="109"/>
      <c r="I237" s="109"/>
      <c r="J237" s="55"/>
      <c r="K237" s="110"/>
      <c r="L237" s="110"/>
      <c r="M237" s="55"/>
      <c r="N237" s="110"/>
      <c r="O237" s="110"/>
      <c r="P237" s="57"/>
      <c r="Q237" s="111"/>
      <c r="R237" s="111"/>
      <c r="S237" s="58"/>
      <c r="T237" s="112"/>
      <c r="U237" s="112"/>
      <c r="V237" s="59"/>
      <c r="W237" s="113"/>
      <c r="X237" s="113"/>
      <c r="Y237" s="54"/>
      <c r="Z237" s="109"/>
      <c r="AA237" s="109"/>
      <c r="AB237" s="55"/>
      <c r="AC237" s="110"/>
      <c r="AD237" s="110"/>
      <c r="AE237" s="96"/>
      <c r="AF237" s="97"/>
      <c r="AG237" s="98"/>
      <c r="AH237" s="99"/>
    </row>
    <row r="238" spans="1:34" x14ac:dyDescent="0.25">
      <c r="A238" s="10" t="str">
        <f t="shared" si="3"/>
        <v/>
      </c>
      <c r="B238" s="52"/>
      <c r="C238" s="53"/>
      <c r="D238" s="153"/>
      <c r="E238" s="78"/>
      <c r="F238" s="133"/>
      <c r="G238" s="54"/>
      <c r="H238" s="109"/>
      <c r="I238" s="109"/>
      <c r="J238" s="55"/>
      <c r="K238" s="110"/>
      <c r="L238" s="110"/>
      <c r="M238" s="55"/>
      <c r="N238" s="110"/>
      <c r="O238" s="110"/>
      <c r="P238" s="57"/>
      <c r="Q238" s="111"/>
      <c r="R238" s="111"/>
      <c r="S238" s="58"/>
      <c r="T238" s="112"/>
      <c r="U238" s="112"/>
      <c r="V238" s="59"/>
      <c r="W238" s="113"/>
      <c r="X238" s="113"/>
      <c r="Y238" s="54"/>
      <c r="Z238" s="109"/>
      <c r="AA238" s="109"/>
      <c r="AB238" s="55"/>
      <c r="AC238" s="110"/>
      <c r="AD238" s="110"/>
      <c r="AE238" s="96"/>
      <c r="AF238" s="97"/>
      <c r="AG238" s="98"/>
      <c r="AH238" s="99"/>
    </row>
    <row r="239" spans="1:34" x14ac:dyDescent="0.25">
      <c r="A239" s="10" t="str">
        <f t="shared" si="3"/>
        <v/>
      </c>
      <c r="B239" s="52"/>
      <c r="C239" s="53"/>
      <c r="D239" s="153"/>
      <c r="E239" s="78"/>
      <c r="F239" s="133"/>
      <c r="G239" s="54"/>
      <c r="H239" s="109"/>
      <c r="I239" s="109"/>
      <c r="J239" s="55"/>
      <c r="K239" s="110"/>
      <c r="L239" s="110"/>
      <c r="M239" s="55"/>
      <c r="N239" s="110"/>
      <c r="O239" s="110"/>
      <c r="P239" s="57"/>
      <c r="Q239" s="111"/>
      <c r="R239" s="111"/>
      <c r="S239" s="58"/>
      <c r="T239" s="112"/>
      <c r="U239" s="112"/>
      <c r="V239" s="59"/>
      <c r="W239" s="113"/>
      <c r="X239" s="113"/>
      <c r="Y239" s="54"/>
      <c r="Z239" s="109"/>
      <c r="AA239" s="109"/>
      <c r="AB239" s="55"/>
      <c r="AC239" s="110"/>
      <c r="AD239" s="110"/>
      <c r="AE239" s="96"/>
      <c r="AF239" s="97"/>
      <c r="AG239" s="98"/>
      <c r="AH239" s="99"/>
    </row>
    <row r="240" spans="1:34" x14ac:dyDescent="0.25">
      <c r="A240" s="10" t="str">
        <f t="shared" si="3"/>
        <v/>
      </c>
      <c r="B240" s="52"/>
      <c r="C240" s="53"/>
      <c r="D240" s="153"/>
      <c r="E240" s="78"/>
      <c r="F240" s="133"/>
      <c r="G240" s="54"/>
      <c r="H240" s="109"/>
      <c r="I240" s="109"/>
      <c r="J240" s="55"/>
      <c r="K240" s="110"/>
      <c r="L240" s="110"/>
      <c r="M240" s="55"/>
      <c r="N240" s="110"/>
      <c r="O240" s="110"/>
      <c r="P240" s="57"/>
      <c r="Q240" s="111"/>
      <c r="R240" s="111"/>
      <c r="S240" s="58"/>
      <c r="T240" s="112"/>
      <c r="U240" s="112"/>
      <c r="V240" s="59"/>
      <c r="W240" s="113"/>
      <c r="X240" s="113"/>
      <c r="Y240" s="54"/>
      <c r="Z240" s="109"/>
      <c r="AA240" s="109"/>
      <c r="AB240" s="55"/>
      <c r="AC240" s="110"/>
      <c r="AD240" s="110"/>
      <c r="AE240" s="96"/>
      <c r="AF240" s="97"/>
      <c r="AG240" s="98"/>
      <c r="AH240" s="99"/>
    </row>
    <row r="241" spans="1:34" x14ac:dyDescent="0.25">
      <c r="A241" s="10" t="str">
        <f t="shared" si="3"/>
        <v/>
      </c>
      <c r="B241" s="52"/>
      <c r="C241" s="53"/>
      <c r="D241" s="153"/>
      <c r="E241" s="78"/>
      <c r="F241" s="133"/>
      <c r="G241" s="54"/>
      <c r="H241" s="109"/>
      <c r="I241" s="109"/>
      <c r="J241" s="55"/>
      <c r="K241" s="110"/>
      <c r="L241" s="110"/>
      <c r="M241" s="55"/>
      <c r="N241" s="110"/>
      <c r="O241" s="110"/>
      <c r="P241" s="57"/>
      <c r="Q241" s="111"/>
      <c r="R241" s="111"/>
      <c r="S241" s="58"/>
      <c r="T241" s="112"/>
      <c r="U241" s="112"/>
      <c r="V241" s="59"/>
      <c r="W241" s="113"/>
      <c r="X241" s="113"/>
      <c r="Y241" s="54"/>
      <c r="Z241" s="109"/>
      <c r="AA241" s="109"/>
      <c r="AB241" s="55"/>
      <c r="AC241" s="110"/>
      <c r="AD241" s="110"/>
      <c r="AE241" s="96"/>
      <c r="AF241" s="97"/>
      <c r="AG241" s="98"/>
      <c r="AH241" s="99"/>
    </row>
    <row r="242" spans="1:34" x14ac:dyDescent="0.25">
      <c r="A242" s="10" t="str">
        <f t="shared" si="3"/>
        <v/>
      </c>
      <c r="B242" s="52"/>
      <c r="C242" s="53"/>
      <c r="D242" s="153"/>
      <c r="E242" s="78"/>
      <c r="F242" s="133"/>
      <c r="G242" s="54"/>
      <c r="H242" s="109"/>
      <c r="I242" s="109"/>
      <c r="J242" s="55"/>
      <c r="K242" s="110"/>
      <c r="L242" s="110"/>
      <c r="M242" s="55"/>
      <c r="N242" s="110"/>
      <c r="O242" s="110"/>
      <c r="P242" s="57"/>
      <c r="Q242" s="111"/>
      <c r="R242" s="111"/>
      <c r="S242" s="58"/>
      <c r="T242" s="112"/>
      <c r="U242" s="112"/>
      <c r="V242" s="59"/>
      <c r="W242" s="113"/>
      <c r="X242" s="113"/>
      <c r="Y242" s="54"/>
      <c r="Z242" s="109"/>
      <c r="AA242" s="109"/>
      <c r="AB242" s="55"/>
      <c r="AC242" s="110"/>
      <c r="AD242" s="110"/>
      <c r="AE242" s="96"/>
      <c r="AF242" s="97"/>
      <c r="AG242" s="98"/>
      <c r="AH242" s="99"/>
    </row>
    <row r="243" spans="1:34" x14ac:dyDescent="0.25">
      <c r="A243" s="10" t="str">
        <f t="shared" si="3"/>
        <v/>
      </c>
      <c r="B243" s="52"/>
      <c r="C243" s="53"/>
      <c r="D243" s="153"/>
      <c r="E243" s="78"/>
      <c r="F243" s="133"/>
      <c r="G243" s="54"/>
      <c r="H243" s="109"/>
      <c r="I243" s="109"/>
      <c r="J243" s="55"/>
      <c r="K243" s="110"/>
      <c r="L243" s="110"/>
      <c r="M243" s="55"/>
      <c r="N243" s="110"/>
      <c r="O243" s="110"/>
      <c r="P243" s="57"/>
      <c r="Q243" s="111"/>
      <c r="R243" s="111"/>
      <c r="S243" s="58"/>
      <c r="T243" s="112"/>
      <c r="U243" s="112"/>
      <c r="V243" s="59"/>
      <c r="W243" s="113"/>
      <c r="X243" s="113"/>
      <c r="Y243" s="54"/>
      <c r="Z243" s="109"/>
      <c r="AA243" s="109"/>
      <c r="AB243" s="55"/>
      <c r="AC243" s="110"/>
      <c r="AD243" s="110"/>
      <c r="AE243" s="96"/>
      <c r="AF243" s="97"/>
      <c r="AG243" s="98"/>
      <c r="AH243" s="99"/>
    </row>
    <row r="244" spans="1:34" x14ac:dyDescent="0.25">
      <c r="A244" s="10" t="str">
        <f t="shared" si="3"/>
        <v/>
      </c>
      <c r="B244" s="52"/>
      <c r="C244" s="53"/>
      <c r="D244" s="153"/>
      <c r="E244" s="78"/>
      <c r="F244" s="133"/>
      <c r="G244" s="54"/>
      <c r="H244" s="109"/>
      <c r="I244" s="109"/>
      <c r="J244" s="55"/>
      <c r="K244" s="110"/>
      <c r="L244" s="110"/>
      <c r="M244" s="55"/>
      <c r="N244" s="110"/>
      <c r="O244" s="110"/>
      <c r="P244" s="57"/>
      <c r="Q244" s="111"/>
      <c r="R244" s="111"/>
      <c r="S244" s="58"/>
      <c r="T244" s="112"/>
      <c r="U244" s="112"/>
      <c r="V244" s="59"/>
      <c r="W244" s="113"/>
      <c r="X244" s="113"/>
      <c r="Y244" s="54"/>
      <c r="Z244" s="109"/>
      <c r="AA244" s="109"/>
      <c r="AB244" s="55"/>
      <c r="AC244" s="110"/>
      <c r="AD244" s="110"/>
      <c r="AE244" s="96"/>
      <c r="AF244" s="97"/>
      <c r="AG244" s="98"/>
      <c r="AH244" s="99"/>
    </row>
    <row r="245" spans="1:34" x14ac:dyDescent="0.25">
      <c r="A245" s="10" t="str">
        <f t="shared" si="3"/>
        <v/>
      </c>
      <c r="B245" s="52"/>
      <c r="C245" s="53"/>
      <c r="D245" s="153"/>
      <c r="E245" s="78"/>
      <c r="F245" s="133"/>
      <c r="G245" s="54"/>
      <c r="H245" s="109"/>
      <c r="I245" s="109"/>
      <c r="J245" s="55"/>
      <c r="K245" s="110"/>
      <c r="L245" s="110"/>
      <c r="M245" s="55"/>
      <c r="N245" s="110"/>
      <c r="O245" s="110"/>
      <c r="P245" s="57"/>
      <c r="Q245" s="111"/>
      <c r="R245" s="111"/>
      <c r="S245" s="58"/>
      <c r="T245" s="112"/>
      <c r="U245" s="112"/>
      <c r="V245" s="59"/>
      <c r="W245" s="113"/>
      <c r="X245" s="113"/>
      <c r="Y245" s="54"/>
      <c r="Z245" s="109"/>
      <c r="AA245" s="109"/>
      <c r="AB245" s="55"/>
      <c r="AC245" s="110"/>
      <c r="AD245" s="110"/>
      <c r="AE245" s="96"/>
      <c r="AF245" s="97"/>
      <c r="AG245" s="98"/>
      <c r="AH245" s="99"/>
    </row>
    <row r="246" spans="1:34" x14ac:dyDescent="0.25">
      <c r="A246" s="10" t="str">
        <f t="shared" si="3"/>
        <v/>
      </c>
      <c r="B246" s="52"/>
      <c r="C246" s="53"/>
      <c r="D246" s="153"/>
      <c r="E246" s="78"/>
      <c r="F246" s="133"/>
      <c r="G246" s="54"/>
      <c r="H246" s="109"/>
      <c r="I246" s="109"/>
      <c r="J246" s="55"/>
      <c r="K246" s="110"/>
      <c r="L246" s="110"/>
      <c r="M246" s="55"/>
      <c r="N246" s="110"/>
      <c r="O246" s="110"/>
      <c r="P246" s="57"/>
      <c r="Q246" s="111"/>
      <c r="R246" s="111"/>
      <c r="S246" s="58"/>
      <c r="T246" s="112"/>
      <c r="U246" s="112"/>
      <c r="V246" s="59"/>
      <c r="W246" s="113"/>
      <c r="X246" s="113"/>
      <c r="Y246" s="54"/>
      <c r="Z246" s="109"/>
      <c r="AA246" s="109"/>
      <c r="AB246" s="55"/>
      <c r="AC246" s="110"/>
      <c r="AD246" s="110"/>
      <c r="AE246" s="96"/>
      <c r="AF246" s="97"/>
      <c r="AG246" s="98"/>
      <c r="AH246" s="99"/>
    </row>
    <row r="247" spans="1:34" x14ac:dyDescent="0.25">
      <c r="A247" s="10" t="str">
        <f t="shared" si="3"/>
        <v/>
      </c>
      <c r="B247" s="52"/>
      <c r="C247" s="53"/>
      <c r="D247" s="153"/>
      <c r="E247" s="78"/>
      <c r="F247" s="133"/>
      <c r="G247" s="54"/>
      <c r="H247" s="109"/>
      <c r="I247" s="109"/>
      <c r="J247" s="55"/>
      <c r="K247" s="110"/>
      <c r="L247" s="110"/>
      <c r="M247" s="55"/>
      <c r="N247" s="110"/>
      <c r="O247" s="110"/>
      <c r="P247" s="57"/>
      <c r="Q247" s="111"/>
      <c r="R247" s="111"/>
      <c r="S247" s="58"/>
      <c r="T247" s="112"/>
      <c r="U247" s="112"/>
      <c r="V247" s="59"/>
      <c r="W247" s="113"/>
      <c r="X247" s="113"/>
      <c r="Y247" s="54"/>
      <c r="Z247" s="109"/>
      <c r="AA247" s="109"/>
      <c r="AB247" s="55"/>
      <c r="AC247" s="110"/>
      <c r="AD247" s="110"/>
      <c r="AE247" s="96"/>
      <c r="AF247" s="97"/>
      <c r="AG247" s="98"/>
      <c r="AH247" s="99"/>
    </row>
    <row r="248" spans="1:34" x14ac:dyDescent="0.25">
      <c r="A248" s="10" t="str">
        <f t="shared" si="3"/>
        <v/>
      </c>
      <c r="B248" s="52"/>
      <c r="C248" s="53"/>
      <c r="D248" s="153"/>
      <c r="E248" s="78"/>
      <c r="F248" s="133"/>
      <c r="G248" s="54"/>
      <c r="H248" s="109"/>
      <c r="I248" s="109"/>
      <c r="J248" s="55"/>
      <c r="K248" s="110"/>
      <c r="L248" s="110"/>
      <c r="M248" s="55"/>
      <c r="N248" s="110"/>
      <c r="O248" s="110"/>
      <c r="P248" s="57"/>
      <c r="Q248" s="111"/>
      <c r="R248" s="111"/>
      <c r="S248" s="58"/>
      <c r="T248" s="112"/>
      <c r="U248" s="112"/>
      <c r="V248" s="59"/>
      <c r="W248" s="113"/>
      <c r="X248" s="113"/>
      <c r="Y248" s="54"/>
      <c r="Z248" s="109"/>
      <c r="AA248" s="109"/>
      <c r="AB248" s="55"/>
      <c r="AC248" s="110"/>
      <c r="AD248" s="110"/>
      <c r="AE248" s="96"/>
      <c r="AF248" s="97"/>
      <c r="AG248" s="98"/>
      <c r="AH248" s="99"/>
    </row>
    <row r="249" spans="1:34" x14ac:dyDescent="0.25">
      <c r="A249" s="10" t="str">
        <f t="shared" si="3"/>
        <v/>
      </c>
      <c r="B249" s="52"/>
      <c r="C249" s="53"/>
      <c r="D249" s="153"/>
      <c r="E249" s="78"/>
      <c r="F249" s="133"/>
      <c r="G249" s="54"/>
      <c r="H249" s="109"/>
      <c r="I249" s="109"/>
      <c r="J249" s="55"/>
      <c r="K249" s="110"/>
      <c r="L249" s="110"/>
      <c r="M249" s="55"/>
      <c r="N249" s="110"/>
      <c r="O249" s="110"/>
      <c r="P249" s="57"/>
      <c r="Q249" s="111"/>
      <c r="R249" s="111"/>
      <c r="S249" s="58"/>
      <c r="T249" s="112"/>
      <c r="U249" s="112"/>
      <c r="V249" s="59"/>
      <c r="W249" s="113"/>
      <c r="X249" s="113"/>
      <c r="Y249" s="54"/>
      <c r="Z249" s="109"/>
      <c r="AA249" s="109"/>
      <c r="AB249" s="55"/>
      <c r="AC249" s="110"/>
      <c r="AD249" s="110"/>
      <c r="AE249" s="96"/>
      <c r="AF249" s="97"/>
      <c r="AG249" s="98"/>
      <c r="AH249" s="99"/>
    </row>
    <row r="250" spans="1:34" x14ac:dyDescent="0.25">
      <c r="A250" s="10" t="str">
        <f t="shared" si="3"/>
        <v/>
      </c>
      <c r="B250" s="52"/>
      <c r="C250" s="53"/>
      <c r="D250" s="153"/>
      <c r="E250" s="78"/>
      <c r="F250" s="133"/>
      <c r="G250" s="54"/>
      <c r="H250" s="109"/>
      <c r="I250" s="109"/>
      <c r="J250" s="55"/>
      <c r="K250" s="110"/>
      <c r="L250" s="110"/>
      <c r="M250" s="55"/>
      <c r="N250" s="110"/>
      <c r="O250" s="110"/>
      <c r="P250" s="57"/>
      <c r="Q250" s="111"/>
      <c r="R250" s="111"/>
      <c r="S250" s="58"/>
      <c r="T250" s="112"/>
      <c r="U250" s="112"/>
      <c r="V250" s="59"/>
      <c r="W250" s="113"/>
      <c r="X250" s="113"/>
      <c r="Y250" s="54"/>
      <c r="Z250" s="109"/>
      <c r="AA250" s="109"/>
      <c r="AB250" s="55"/>
      <c r="AC250" s="110"/>
      <c r="AD250" s="110"/>
      <c r="AE250" s="96"/>
      <c r="AF250" s="97"/>
      <c r="AG250" s="98"/>
      <c r="AH250" s="99"/>
    </row>
    <row r="251" spans="1:34" x14ac:dyDescent="0.25">
      <c r="A251" s="10" t="str">
        <f t="shared" si="3"/>
        <v/>
      </c>
      <c r="B251" s="52"/>
      <c r="C251" s="53"/>
      <c r="D251" s="153"/>
      <c r="E251" s="78"/>
      <c r="F251" s="133"/>
      <c r="G251" s="54"/>
      <c r="H251" s="109"/>
      <c r="I251" s="109"/>
      <c r="J251" s="55"/>
      <c r="K251" s="110"/>
      <c r="L251" s="110"/>
      <c r="M251" s="55"/>
      <c r="N251" s="110"/>
      <c r="O251" s="110"/>
      <c r="P251" s="57"/>
      <c r="Q251" s="111"/>
      <c r="R251" s="111"/>
      <c r="S251" s="58"/>
      <c r="T251" s="112"/>
      <c r="U251" s="112"/>
      <c r="V251" s="59"/>
      <c r="W251" s="113"/>
      <c r="X251" s="113"/>
      <c r="Y251" s="54"/>
      <c r="Z251" s="109"/>
      <c r="AA251" s="109"/>
      <c r="AB251" s="55"/>
      <c r="AC251" s="110"/>
      <c r="AD251" s="110"/>
      <c r="AE251" s="96"/>
      <c r="AF251" s="97"/>
      <c r="AG251" s="98"/>
      <c r="AH251" s="99"/>
    </row>
    <row r="252" spans="1:34" x14ac:dyDescent="0.25">
      <c r="A252" s="10" t="str">
        <f t="shared" si="3"/>
        <v/>
      </c>
      <c r="B252" s="52"/>
      <c r="C252" s="53"/>
      <c r="D252" s="153"/>
      <c r="E252" s="78"/>
      <c r="F252" s="133"/>
      <c r="G252" s="54"/>
      <c r="H252" s="109"/>
      <c r="I252" s="109"/>
      <c r="J252" s="55"/>
      <c r="K252" s="110"/>
      <c r="L252" s="110"/>
      <c r="M252" s="55"/>
      <c r="N252" s="110"/>
      <c r="O252" s="110"/>
      <c r="P252" s="57"/>
      <c r="Q252" s="111"/>
      <c r="R252" s="111"/>
      <c r="S252" s="58"/>
      <c r="T252" s="112"/>
      <c r="U252" s="112"/>
      <c r="V252" s="59"/>
      <c r="W252" s="113"/>
      <c r="X252" s="113"/>
      <c r="Y252" s="54"/>
      <c r="Z252" s="109"/>
      <c r="AA252" s="109"/>
      <c r="AB252" s="55"/>
      <c r="AC252" s="110"/>
      <c r="AD252" s="110"/>
      <c r="AE252" s="96"/>
      <c r="AF252" s="97"/>
      <c r="AG252" s="98"/>
      <c r="AH252" s="99"/>
    </row>
    <row r="253" spans="1:34" x14ac:dyDescent="0.25">
      <c r="A253" s="10" t="str">
        <f t="shared" si="3"/>
        <v/>
      </c>
      <c r="B253" s="52"/>
      <c r="C253" s="53"/>
      <c r="D253" s="153"/>
      <c r="E253" s="78"/>
      <c r="F253" s="133"/>
      <c r="G253" s="54"/>
      <c r="H253" s="109"/>
      <c r="I253" s="109"/>
      <c r="J253" s="55"/>
      <c r="K253" s="110"/>
      <c r="L253" s="110"/>
      <c r="M253" s="55"/>
      <c r="N253" s="110"/>
      <c r="O253" s="110"/>
      <c r="P253" s="57"/>
      <c r="Q253" s="111"/>
      <c r="R253" s="111"/>
      <c r="S253" s="58"/>
      <c r="T253" s="112"/>
      <c r="U253" s="112"/>
      <c r="V253" s="59"/>
      <c r="W253" s="113"/>
      <c r="X253" s="113"/>
      <c r="Y253" s="54"/>
      <c r="Z253" s="109"/>
      <c r="AA253" s="109"/>
      <c r="AB253" s="55"/>
      <c r="AC253" s="110"/>
      <c r="AD253" s="110"/>
      <c r="AE253" s="96"/>
      <c r="AF253" s="97"/>
      <c r="AG253" s="98"/>
      <c r="AH253" s="99"/>
    </row>
    <row r="254" spans="1:34" x14ac:dyDescent="0.25">
      <c r="A254" s="10" t="str">
        <f t="shared" si="3"/>
        <v/>
      </c>
      <c r="B254" s="52"/>
      <c r="C254" s="53"/>
      <c r="D254" s="153"/>
      <c r="E254" s="78"/>
      <c r="F254" s="133"/>
      <c r="G254" s="54"/>
      <c r="H254" s="109"/>
      <c r="I254" s="109"/>
      <c r="J254" s="55"/>
      <c r="K254" s="110"/>
      <c r="L254" s="110"/>
      <c r="M254" s="55"/>
      <c r="N254" s="110"/>
      <c r="O254" s="110"/>
      <c r="P254" s="57"/>
      <c r="Q254" s="111"/>
      <c r="R254" s="111"/>
      <c r="S254" s="58"/>
      <c r="T254" s="112"/>
      <c r="U254" s="112"/>
      <c r="V254" s="59"/>
      <c r="W254" s="113"/>
      <c r="X254" s="113"/>
      <c r="Y254" s="54"/>
      <c r="Z254" s="109"/>
      <c r="AA254" s="109"/>
      <c r="AB254" s="55"/>
      <c r="AC254" s="110"/>
      <c r="AD254" s="110"/>
      <c r="AE254" s="96"/>
      <c r="AF254" s="97"/>
      <c r="AG254" s="98"/>
      <c r="AH254" s="99"/>
    </row>
    <row r="255" spans="1:34" x14ac:dyDescent="0.25">
      <c r="A255" s="10" t="str">
        <f t="shared" si="3"/>
        <v/>
      </c>
      <c r="B255" s="52"/>
      <c r="C255" s="53"/>
      <c r="D255" s="153"/>
      <c r="E255" s="78"/>
      <c r="F255" s="133"/>
      <c r="G255" s="54"/>
      <c r="H255" s="109"/>
      <c r="I255" s="109"/>
      <c r="J255" s="55"/>
      <c r="K255" s="110"/>
      <c r="L255" s="110"/>
      <c r="M255" s="55"/>
      <c r="N255" s="110"/>
      <c r="O255" s="110"/>
      <c r="P255" s="57"/>
      <c r="Q255" s="111"/>
      <c r="R255" s="111"/>
      <c r="S255" s="58"/>
      <c r="T255" s="112"/>
      <c r="U255" s="112"/>
      <c r="V255" s="59"/>
      <c r="W255" s="113"/>
      <c r="X255" s="113"/>
      <c r="Y255" s="54"/>
      <c r="Z255" s="109"/>
      <c r="AA255" s="109"/>
      <c r="AB255" s="55"/>
      <c r="AC255" s="110"/>
      <c r="AD255" s="110"/>
      <c r="AE255" s="96"/>
      <c r="AF255" s="97"/>
      <c r="AG255" s="98"/>
      <c r="AH255" s="99"/>
    </row>
    <row r="256" spans="1:34" x14ac:dyDescent="0.25">
      <c r="A256" s="10" t="str">
        <f t="shared" si="3"/>
        <v/>
      </c>
      <c r="B256" s="52"/>
      <c r="C256" s="53"/>
      <c r="D256" s="153"/>
      <c r="E256" s="78"/>
      <c r="F256" s="133"/>
      <c r="G256" s="54"/>
      <c r="H256" s="109"/>
      <c r="I256" s="109"/>
      <c r="J256" s="55"/>
      <c r="K256" s="110"/>
      <c r="L256" s="110"/>
      <c r="M256" s="55"/>
      <c r="N256" s="110"/>
      <c r="O256" s="110"/>
      <c r="P256" s="57"/>
      <c r="Q256" s="111"/>
      <c r="R256" s="111"/>
      <c r="S256" s="58"/>
      <c r="T256" s="112"/>
      <c r="U256" s="112"/>
      <c r="V256" s="59"/>
      <c r="W256" s="113"/>
      <c r="X256" s="113"/>
      <c r="Y256" s="54"/>
      <c r="Z256" s="109"/>
      <c r="AA256" s="109"/>
      <c r="AB256" s="55"/>
      <c r="AC256" s="110"/>
      <c r="AD256" s="110"/>
      <c r="AE256" s="96"/>
      <c r="AF256" s="97"/>
      <c r="AG256" s="98"/>
      <c r="AH256" s="99"/>
    </row>
    <row r="257" spans="1:34" x14ac:dyDescent="0.25">
      <c r="A257" s="10" t="str">
        <f t="shared" si="3"/>
        <v/>
      </c>
      <c r="B257" s="52"/>
      <c r="C257" s="53"/>
      <c r="D257" s="153"/>
      <c r="E257" s="78"/>
      <c r="F257" s="133"/>
      <c r="G257" s="54"/>
      <c r="H257" s="109"/>
      <c r="I257" s="109"/>
      <c r="J257" s="55"/>
      <c r="K257" s="110"/>
      <c r="L257" s="110"/>
      <c r="M257" s="55"/>
      <c r="N257" s="110"/>
      <c r="O257" s="110"/>
      <c r="P257" s="57"/>
      <c r="Q257" s="111"/>
      <c r="R257" s="111"/>
      <c r="S257" s="58"/>
      <c r="T257" s="112"/>
      <c r="U257" s="112"/>
      <c r="V257" s="59"/>
      <c r="W257" s="113"/>
      <c r="X257" s="113"/>
      <c r="Y257" s="54"/>
      <c r="Z257" s="109"/>
      <c r="AA257" s="109"/>
      <c r="AB257" s="55"/>
      <c r="AC257" s="110"/>
      <c r="AD257" s="110"/>
      <c r="AE257" s="96"/>
      <c r="AF257" s="97"/>
      <c r="AG257" s="98"/>
      <c r="AH257" s="99"/>
    </row>
    <row r="258" spans="1:34" x14ac:dyDescent="0.25">
      <c r="A258" s="10" t="str">
        <f t="shared" si="3"/>
        <v/>
      </c>
      <c r="B258" s="52"/>
      <c r="C258" s="53"/>
      <c r="D258" s="153"/>
      <c r="E258" s="78"/>
      <c r="F258" s="133"/>
      <c r="G258" s="54"/>
      <c r="H258" s="109"/>
      <c r="I258" s="109"/>
      <c r="J258" s="55"/>
      <c r="K258" s="110"/>
      <c r="L258" s="110"/>
      <c r="M258" s="55"/>
      <c r="N258" s="110"/>
      <c r="O258" s="110"/>
      <c r="P258" s="57"/>
      <c r="Q258" s="111"/>
      <c r="R258" s="111"/>
      <c r="S258" s="58"/>
      <c r="T258" s="112"/>
      <c r="U258" s="112"/>
      <c r="V258" s="59"/>
      <c r="W258" s="113"/>
      <c r="X258" s="113"/>
      <c r="Y258" s="54"/>
      <c r="Z258" s="109"/>
      <c r="AA258" s="109"/>
      <c r="AB258" s="55"/>
      <c r="AC258" s="110"/>
      <c r="AD258" s="110"/>
      <c r="AE258" s="96"/>
      <c r="AF258" s="97"/>
      <c r="AG258" s="98"/>
      <c r="AH258" s="99"/>
    </row>
    <row r="259" spans="1:34" x14ac:dyDescent="0.25">
      <c r="A259" s="10" t="str">
        <f t="shared" si="3"/>
        <v/>
      </c>
      <c r="B259" s="52"/>
      <c r="C259" s="53"/>
      <c r="D259" s="153"/>
      <c r="E259" s="78"/>
      <c r="F259" s="133"/>
      <c r="G259" s="54"/>
      <c r="H259" s="109"/>
      <c r="I259" s="109"/>
      <c r="J259" s="55"/>
      <c r="K259" s="110"/>
      <c r="L259" s="110"/>
      <c r="M259" s="55"/>
      <c r="N259" s="110"/>
      <c r="O259" s="110"/>
      <c r="P259" s="57"/>
      <c r="Q259" s="111"/>
      <c r="R259" s="111"/>
      <c r="S259" s="58"/>
      <c r="T259" s="112"/>
      <c r="U259" s="112"/>
      <c r="V259" s="59"/>
      <c r="W259" s="113"/>
      <c r="X259" s="113"/>
      <c r="Y259" s="54"/>
      <c r="Z259" s="109"/>
      <c r="AA259" s="109"/>
      <c r="AB259" s="55"/>
      <c r="AC259" s="110"/>
      <c r="AD259" s="110"/>
      <c r="AE259" s="96"/>
      <c r="AF259" s="97"/>
      <c r="AG259" s="98"/>
      <c r="AH259" s="99"/>
    </row>
    <row r="260" spans="1:34" x14ac:dyDescent="0.25">
      <c r="A260" s="10" t="str">
        <f t="shared" si="3"/>
        <v/>
      </c>
      <c r="B260" s="52"/>
      <c r="C260" s="53"/>
      <c r="D260" s="153"/>
      <c r="E260" s="78"/>
      <c r="F260" s="133"/>
      <c r="G260" s="54"/>
      <c r="H260" s="109"/>
      <c r="I260" s="109"/>
      <c r="J260" s="55"/>
      <c r="K260" s="110"/>
      <c r="L260" s="110"/>
      <c r="M260" s="55"/>
      <c r="N260" s="110"/>
      <c r="O260" s="110"/>
      <c r="P260" s="57"/>
      <c r="Q260" s="111"/>
      <c r="R260" s="111"/>
      <c r="S260" s="58"/>
      <c r="T260" s="112"/>
      <c r="U260" s="112"/>
      <c r="V260" s="59"/>
      <c r="W260" s="113"/>
      <c r="X260" s="113"/>
      <c r="Y260" s="54"/>
      <c r="Z260" s="109"/>
      <c r="AA260" s="109"/>
      <c r="AB260" s="55"/>
      <c r="AC260" s="110"/>
      <c r="AD260" s="110"/>
      <c r="AE260" s="96"/>
      <c r="AF260" s="97"/>
      <c r="AG260" s="98"/>
      <c r="AH260" s="99"/>
    </row>
    <row r="261" spans="1:34" x14ac:dyDescent="0.25">
      <c r="A261" s="10" t="str">
        <f t="shared" ref="A261:A324" si="4">IF(COUNTA(G261:AD261)/3=0,"",COUNTA(G261:AD261)/3)</f>
        <v/>
      </c>
      <c r="B261" s="52"/>
      <c r="C261" s="53"/>
      <c r="D261" s="153"/>
      <c r="E261" s="78"/>
      <c r="F261" s="133"/>
      <c r="G261" s="54"/>
      <c r="H261" s="109"/>
      <c r="I261" s="109"/>
      <c r="J261" s="55"/>
      <c r="K261" s="110"/>
      <c r="L261" s="110"/>
      <c r="M261" s="55"/>
      <c r="N261" s="110"/>
      <c r="O261" s="110"/>
      <c r="P261" s="57"/>
      <c r="Q261" s="111"/>
      <c r="R261" s="111"/>
      <c r="S261" s="58"/>
      <c r="T261" s="112"/>
      <c r="U261" s="112"/>
      <c r="V261" s="59"/>
      <c r="W261" s="113"/>
      <c r="X261" s="113"/>
      <c r="Y261" s="54"/>
      <c r="Z261" s="109"/>
      <c r="AA261" s="109"/>
      <c r="AB261" s="55"/>
      <c r="AC261" s="110"/>
      <c r="AD261" s="110"/>
      <c r="AE261" s="96"/>
      <c r="AF261" s="97"/>
      <c r="AG261" s="98"/>
      <c r="AH261" s="99"/>
    </row>
    <row r="262" spans="1:34" x14ac:dyDescent="0.25">
      <c r="A262" s="10" t="str">
        <f t="shared" si="4"/>
        <v/>
      </c>
      <c r="B262" s="52"/>
      <c r="C262" s="53"/>
      <c r="D262" s="153"/>
      <c r="E262" s="78"/>
      <c r="F262" s="133"/>
      <c r="G262" s="54"/>
      <c r="H262" s="109"/>
      <c r="I262" s="109"/>
      <c r="J262" s="55"/>
      <c r="K262" s="110"/>
      <c r="L262" s="110"/>
      <c r="M262" s="55"/>
      <c r="N262" s="110"/>
      <c r="O262" s="110"/>
      <c r="P262" s="57"/>
      <c r="Q262" s="111"/>
      <c r="R262" s="111"/>
      <c r="S262" s="58"/>
      <c r="T262" s="112"/>
      <c r="U262" s="112"/>
      <c r="V262" s="59"/>
      <c r="W262" s="113"/>
      <c r="X262" s="113"/>
      <c r="Y262" s="54"/>
      <c r="Z262" s="109"/>
      <c r="AA262" s="109"/>
      <c r="AB262" s="55"/>
      <c r="AC262" s="110"/>
      <c r="AD262" s="110"/>
      <c r="AE262" s="96"/>
      <c r="AF262" s="97"/>
      <c r="AG262" s="98"/>
      <c r="AH262" s="99"/>
    </row>
    <row r="263" spans="1:34" x14ac:dyDescent="0.25">
      <c r="A263" s="10" t="str">
        <f t="shared" si="4"/>
        <v/>
      </c>
      <c r="B263" s="52"/>
      <c r="C263" s="53"/>
      <c r="D263" s="153"/>
      <c r="E263" s="78"/>
      <c r="F263" s="133"/>
      <c r="G263" s="54"/>
      <c r="H263" s="109"/>
      <c r="I263" s="109"/>
      <c r="J263" s="55"/>
      <c r="K263" s="110"/>
      <c r="L263" s="110"/>
      <c r="M263" s="55"/>
      <c r="N263" s="110"/>
      <c r="O263" s="110"/>
      <c r="P263" s="57"/>
      <c r="Q263" s="111"/>
      <c r="R263" s="111"/>
      <c r="S263" s="58"/>
      <c r="T263" s="112"/>
      <c r="U263" s="112"/>
      <c r="V263" s="59"/>
      <c r="W263" s="113"/>
      <c r="X263" s="113"/>
      <c r="Y263" s="54"/>
      <c r="Z263" s="109"/>
      <c r="AA263" s="109"/>
      <c r="AB263" s="55"/>
      <c r="AC263" s="110"/>
      <c r="AD263" s="110"/>
      <c r="AE263" s="96"/>
      <c r="AF263" s="97"/>
      <c r="AG263" s="98"/>
      <c r="AH263" s="99"/>
    </row>
    <row r="264" spans="1:34" x14ac:dyDescent="0.25">
      <c r="A264" s="10" t="str">
        <f t="shared" si="4"/>
        <v/>
      </c>
      <c r="B264" s="52"/>
      <c r="C264" s="53"/>
      <c r="D264" s="153"/>
      <c r="E264" s="78"/>
      <c r="F264" s="133"/>
      <c r="G264" s="54"/>
      <c r="H264" s="109"/>
      <c r="I264" s="109"/>
      <c r="J264" s="55"/>
      <c r="K264" s="110"/>
      <c r="L264" s="110"/>
      <c r="M264" s="55"/>
      <c r="N264" s="110"/>
      <c r="O264" s="110"/>
      <c r="P264" s="57"/>
      <c r="Q264" s="111"/>
      <c r="R264" s="111"/>
      <c r="S264" s="58"/>
      <c r="T264" s="112"/>
      <c r="U264" s="112"/>
      <c r="V264" s="59"/>
      <c r="W264" s="113"/>
      <c r="X264" s="113"/>
      <c r="Y264" s="54"/>
      <c r="Z264" s="109"/>
      <c r="AA264" s="109"/>
      <c r="AB264" s="55"/>
      <c r="AC264" s="110"/>
      <c r="AD264" s="110"/>
      <c r="AE264" s="96"/>
      <c r="AF264" s="97"/>
      <c r="AG264" s="98"/>
      <c r="AH264" s="99"/>
    </row>
    <row r="265" spans="1:34" x14ac:dyDescent="0.25">
      <c r="A265" s="10" t="str">
        <f t="shared" si="4"/>
        <v/>
      </c>
      <c r="B265" s="52"/>
      <c r="C265" s="53"/>
      <c r="D265" s="153"/>
      <c r="E265" s="78"/>
      <c r="F265" s="133"/>
      <c r="G265" s="54"/>
      <c r="H265" s="109"/>
      <c r="I265" s="109"/>
      <c r="J265" s="55"/>
      <c r="K265" s="110"/>
      <c r="L265" s="110"/>
      <c r="M265" s="55"/>
      <c r="N265" s="110"/>
      <c r="O265" s="110"/>
      <c r="P265" s="57"/>
      <c r="Q265" s="111"/>
      <c r="R265" s="111"/>
      <c r="S265" s="58"/>
      <c r="T265" s="112"/>
      <c r="U265" s="112"/>
      <c r="V265" s="59"/>
      <c r="W265" s="113"/>
      <c r="X265" s="113"/>
      <c r="Y265" s="54"/>
      <c r="Z265" s="109"/>
      <c r="AA265" s="109"/>
      <c r="AB265" s="55"/>
      <c r="AC265" s="110"/>
      <c r="AD265" s="110"/>
      <c r="AE265" s="96"/>
      <c r="AF265" s="97"/>
      <c r="AG265" s="98"/>
      <c r="AH265" s="99"/>
    </row>
    <row r="266" spans="1:34" x14ac:dyDescent="0.25">
      <c r="A266" s="10" t="str">
        <f t="shared" si="4"/>
        <v/>
      </c>
      <c r="B266" s="52"/>
      <c r="C266" s="53"/>
      <c r="D266" s="153"/>
      <c r="E266" s="78"/>
      <c r="F266" s="133"/>
      <c r="G266" s="54"/>
      <c r="H266" s="109"/>
      <c r="I266" s="109"/>
      <c r="J266" s="55"/>
      <c r="K266" s="110"/>
      <c r="L266" s="110"/>
      <c r="M266" s="55"/>
      <c r="N266" s="110"/>
      <c r="O266" s="110"/>
      <c r="P266" s="57"/>
      <c r="Q266" s="111"/>
      <c r="R266" s="111"/>
      <c r="S266" s="58"/>
      <c r="T266" s="112"/>
      <c r="U266" s="112"/>
      <c r="V266" s="59"/>
      <c r="W266" s="113"/>
      <c r="X266" s="113"/>
      <c r="Y266" s="54"/>
      <c r="Z266" s="109"/>
      <c r="AA266" s="109"/>
      <c r="AB266" s="55"/>
      <c r="AC266" s="110"/>
      <c r="AD266" s="110"/>
      <c r="AE266" s="96"/>
      <c r="AF266" s="97"/>
      <c r="AG266" s="98"/>
      <c r="AH266" s="99"/>
    </row>
    <row r="267" spans="1:34" x14ac:dyDescent="0.25">
      <c r="A267" s="10" t="str">
        <f t="shared" si="4"/>
        <v/>
      </c>
      <c r="B267" s="52"/>
      <c r="C267" s="53"/>
      <c r="D267" s="153"/>
      <c r="E267" s="78"/>
      <c r="F267" s="133"/>
      <c r="G267" s="54"/>
      <c r="H267" s="109"/>
      <c r="I267" s="109"/>
      <c r="J267" s="55"/>
      <c r="K267" s="110"/>
      <c r="L267" s="110"/>
      <c r="M267" s="55"/>
      <c r="N267" s="110"/>
      <c r="O267" s="110"/>
      <c r="P267" s="57"/>
      <c r="Q267" s="111"/>
      <c r="R267" s="111"/>
      <c r="S267" s="58"/>
      <c r="T267" s="112"/>
      <c r="U267" s="112"/>
      <c r="V267" s="59"/>
      <c r="W267" s="113"/>
      <c r="X267" s="113"/>
      <c r="Y267" s="54"/>
      <c r="Z267" s="109"/>
      <c r="AA267" s="109"/>
      <c r="AB267" s="55"/>
      <c r="AC267" s="110"/>
      <c r="AD267" s="110"/>
      <c r="AE267" s="96"/>
      <c r="AF267" s="97"/>
      <c r="AG267" s="98"/>
      <c r="AH267" s="99"/>
    </row>
    <row r="268" spans="1:34" x14ac:dyDescent="0.25">
      <c r="A268" s="10" t="str">
        <f t="shared" si="4"/>
        <v/>
      </c>
      <c r="B268" s="52"/>
      <c r="C268" s="53"/>
      <c r="D268" s="153"/>
      <c r="E268" s="78"/>
      <c r="F268" s="133"/>
      <c r="G268" s="54"/>
      <c r="H268" s="109"/>
      <c r="I268" s="109"/>
      <c r="J268" s="55"/>
      <c r="K268" s="110"/>
      <c r="L268" s="110"/>
      <c r="M268" s="55"/>
      <c r="N268" s="110"/>
      <c r="O268" s="110"/>
      <c r="P268" s="57"/>
      <c r="Q268" s="111"/>
      <c r="R268" s="111"/>
      <c r="S268" s="58"/>
      <c r="T268" s="112"/>
      <c r="U268" s="112"/>
      <c r="V268" s="59"/>
      <c r="W268" s="113"/>
      <c r="X268" s="113"/>
      <c r="Y268" s="54"/>
      <c r="Z268" s="109"/>
      <c r="AA268" s="109"/>
      <c r="AB268" s="55"/>
      <c r="AC268" s="110"/>
      <c r="AD268" s="110"/>
      <c r="AE268" s="96"/>
      <c r="AF268" s="97"/>
      <c r="AG268" s="98"/>
      <c r="AH268" s="99"/>
    </row>
    <row r="269" spans="1:34" x14ac:dyDescent="0.25">
      <c r="A269" s="10" t="str">
        <f t="shared" si="4"/>
        <v/>
      </c>
      <c r="B269" s="52"/>
      <c r="C269" s="53"/>
      <c r="D269" s="153"/>
      <c r="E269" s="78"/>
      <c r="F269" s="133"/>
      <c r="G269" s="54"/>
      <c r="H269" s="109"/>
      <c r="I269" s="109"/>
      <c r="J269" s="55"/>
      <c r="K269" s="110"/>
      <c r="L269" s="110"/>
      <c r="M269" s="55"/>
      <c r="N269" s="110"/>
      <c r="O269" s="110"/>
      <c r="P269" s="57"/>
      <c r="Q269" s="111"/>
      <c r="R269" s="111"/>
      <c r="S269" s="58"/>
      <c r="T269" s="112"/>
      <c r="U269" s="112"/>
      <c r="V269" s="59"/>
      <c r="W269" s="113"/>
      <c r="X269" s="113"/>
      <c r="Y269" s="54"/>
      <c r="Z269" s="109"/>
      <c r="AA269" s="109"/>
      <c r="AB269" s="55"/>
      <c r="AC269" s="110"/>
      <c r="AD269" s="110"/>
      <c r="AE269" s="96"/>
      <c r="AF269" s="97"/>
      <c r="AG269" s="98"/>
      <c r="AH269" s="99"/>
    </row>
    <row r="270" spans="1:34" x14ac:dyDescent="0.25">
      <c r="A270" s="10" t="str">
        <f t="shared" si="4"/>
        <v/>
      </c>
      <c r="B270" s="52"/>
      <c r="C270" s="53"/>
      <c r="D270" s="153"/>
      <c r="E270" s="78"/>
      <c r="F270" s="133"/>
      <c r="G270" s="54"/>
      <c r="H270" s="109"/>
      <c r="I270" s="109"/>
      <c r="J270" s="55"/>
      <c r="K270" s="110"/>
      <c r="L270" s="110"/>
      <c r="M270" s="55"/>
      <c r="N270" s="110"/>
      <c r="O270" s="110"/>
      <c r="P270" s="57"/>
      <c r="Q270" s="111"/>
      <c r="R270" s="111"/>
      <c r="S270" s="58"/>
      <c r="T270" s="112"/>
      <c r="U270" s="112"/>
      <c r="V270" s="59"/>
      <c r="W270" s="113"/>
      <c r="X270" s="113"/>
      <c r="Y270" s="54"/>
      <c r="Z270" s="109"/>
      <c r="AA270" s="109"/>
      <c r="AB270" s="55"/>
      <c r="AC270" s="110"/>
      <c r="AD270" s="110"/>
      <c r="AE270" s="96"/>
      <c r="AF270" s="97"/>
      <c r="AG270" s="98"/>
      <c r="AH270" s="99"/>
    </row>
    <row r="271" spans="1:34" x14ac:dyDescent="0.25">
      <c r="A271" s="10" t="str">
        <f t="shared" si="4"/>
        <v/>
      </c>
      <c r="B271" s="52"/>
      <c r="C271" s="53"/>
      <c r="D271" s="153"/>
      <c r="E271" s="78"/>
      <c r="F271" s="133"/>
      <c r="G271" s="54"/>
      <c r="H271" s="109"/>
      <c r="I271" s="109"/>
      <c r="J271" s="55"/>
      <c r="K271" s="110"/>
      <c r="L271" s="110"/>
      <c r="M271" s="55"/>
      <c r="N271" s="110"/>
      <c r="O271" s="110"/>
      <c r="P271" s="57"/>
      <c r="Q271" s="111"/>
      <c r="R271" s="111"/>
      <c r="S271" s="58"/>
      <c r="T271" s="112"/>
      <c r="U271" s="112"/>
      <c r="V271" s="59"/>
      <c r="W271" s="113"/>
      <c r="X271" s="113"/>
      <c r="Y271" s="54"/>
      <c r="Z271" s="109"/>
      <c r="AA271" s="109"/>
      <c r="AB271" s="55"/>
      <c r="AC271" s="110"/>
      <c r="AD271" s="110"/>
      <c r="AE271" s="96"/>
      <c r="AF271" s="97"/>
      <c r="AG271" s="98"/>
      <c r="AH271" s="99"/>
    </row>
    <row r="272" spans="1:34" x14ac:dyDescent="0.25">
      <c r="A272" s="10" t="str">
        <f t="shared" si="4"/>
        <v/>
      </c>
      <c r="B272" s="52"/>
      <c r="C272" s="53"/>
      <c r="D272" s="153"/>
      <c r="E272" s="78"/>
      <c r="F272" s="133"/>
      <c r="G272" s="54"/>
      <c r="H272" s="109"/>
      <c r="I272" s="109"/>
      <c r="J272" s="55"/>
      <c r="K272" s="110"/>
      <c r="L272" s="110"/>
      <c r="M272" s="55"/>
      <c r="N272" s="110"/>
      <c r="O272" s="110"/>
      <c r="P272" s="57"/>
      <c r="Q272" s="111"/>
      <c r="R272" s="111"/>
      <c r="S272" s="58"/>
      <c r="T272" s="112"/>
      <c r="U272" s="112"/>
      <c r="V272" s="59"/>
      <c r="W272" s="113"/>
      <c r="X272" s="113"/>
      <c r="Y272" s="54"/>
      <c r="Z272" s="109"/>
      <c r="AA272" s="109"/>
      <c r="AB272" s="55"/>
      <c r="AC272" s="110"/>
      <c r="AD272" s="110"/>
      <c r="AE272" s="96"/>
      <c r="AF272" s="97"/>
      <c r="AG272" s="98"/>
      <c r="AH272" s="99"/>
    </row>
    <row r="273" spans="1:34" x14ac:dyDescent="0.25">
      <c r="A273" s="10" t="str">
        <f t="shared" si="4"/>
        <v/>
      </c>
      <c r="B273" s="52"/>
      <c r="C273" s="53"/>
      <c r="D273" s="153"/>
      <c r="E273" s="78"/>
      <c r="F273" s="133"/>
      <c r="G273" s="54"/>
      <c r="H273" s="109"/>
      <c r="I273" s="109"/>
      <c r="J273" s="55"/>
      <c r="K273" s="110"/>
      <c r="L273" s="110"/>
      <c r="M273" s="55"/>
      <c r="N273" s="110"/>
      <c r="O273" s="110"/>
      <c r="P273" s="57"/>
      <c r="Q273" s="111"/>
      <c r="R273" s="111"/>
      <c r="S273" s="58"/>
      <c r="T273" s="112"/>
      <c r="U273" s="112"/>
      <c r="V273" s="59"/>
      <c r="W273" s="113"/>
      <c r="X273" s="113"/>
      <c r="Y273" s="54"/>
      <c r="Z273" s="109"/>
      <c r="AA273" s="109"/>
      <c r="AB273" s="55"/>
      <c r="AC273" s="110"/>
      <c r="AD273" s="110"/>
      <c r="AE273" s="96"/>
      <c r="AF273" s="97"/>
      <c r="AG273" s="98"/>
      <c r="AH273" s="99"/>
    </row>
    <row r="274" spans="1:34" x14ac:dyDescent="0.25">
      <c r="A274" s="10" t="str">
        <f t="shared" si="4"/>
        <v/>
      </c>
      <c r="B274" s="52"/>
      <c r="C274" s="53"/>
      <c r="D274" s="153"/>
      <c r="E274" s="78"/>
      <c r="F274" s="133"/>
      <c r="G274" s="54"/>
      <c r="H274" s="109"/>
      <c r="I274" s="109"/>
      <c r="J274" s="55"/>
      <c r="K274" s="110"/>
      <c r="L274" s="110"/>
      <c r="M274" s="55"/>
      <c r="N274" s="110"/>
      <c r="O274" s="110"/>
      <c r="P274" s="57"/>
      <c r="Q274" s="111"/>
      <c r="R274" s="111"/>
      <c r="S274" s="58"/>
      <c r="T274" s="112"/>
      <c r="U274" s="112"/>
      <c r="V274" s="59"/>
      <c r="W274" s="113"/>
      <c r="X274" s="113"/>
      <c r="Y274" s="54"/>
      <c r="Z274" s="109"/>
      <c r="AA274" s="109"/>
      <c r="AB274" s="55"/>
      <c r="AC274" s="110"/>
      <c r="AD274" s="110"/>
      <c r="AE274" s="96"/>
      <c r="AF274" s="97"/>
      <c r="AG274" s="98"/>
      <c r="AH274" s="99"/>
    </row>
    <row r="275" spans="1:34" x14ac:dyDescent="0.25">
      <c r="A275" s="10" t="str">
        <f t="shared" si="4"/>
        <v/>
      </c>
      <c r="B275" s="52"/>
      <c r="C275" s="53"/>
      <c r="D275" s="153"/>
      <c r="E275" s="78"/>
      <c r="F275" s="133"/>
      <c r="G275" s="54"/>
      <c r="H275" s="109"/>
      <c r="I275" s="109"/>
      <c r="J275" s="55"/>
      <c r="K275" s="110"/>
      <c r="L275" s="110"/>
      <c r="M275" s="55"/>
      <c r="N275" s="110"/>
      <c r="O275" s="110"/>
      <c r="P275" s="57"/>
      <c r="Q275" s="111"/>
      <c r="R275" s="111"/>
      <c r="S275" s="58"/>
      <c r="T275" s="112"/>
      <c r="U275" s="112"/>
      <c r="V275" s="59"/>
      <c r="W275" s="113"/>
      <c r="X275" s="113"/>
      <c r="Y275" s="54"/>
      <c r="Z275" s="109"/>
      <c r="AA275" s="109"/>
      <c r="AB275" s="55"/>
      <c r="AC275" s="110"/>
      <c r="AD275" s="110"/>
      <c r="AE275" s="96"/>
      <c r="AF275" s="97"/>
      <c r="AG275" s="98"/>
      <c r="AH275" s="99"/>
    </row>
    <row r="276" spans="1:34" x14ac:dyDescent="0.25">
      <c r="A276" s="10" t="str">
        <f t="shared" si="4"/>
        <v/>
      </c>
      <c r="B276" s="52"/>
      <c r="C276" s="53"/>
      <c r="D276" s="153"/>
      <c r="E276" s="78"/>
      <c r="F276" s="133"/>
      <c r="G276" s="54"/>
      <c r="H276" s="109"/>
      <c r="I276" s="109"/>
      <c r="J276" s="55"/>
      <c r="K276" s="110"/>
      <c r="L276" s="110"/>
      <c r="M276" s="55"/>
      <c r="N276" s="110"/>
      <c r="O276" s="110"/>
      <c r="P276" s="57"/>
      <c r="Q276" s="111"/>
      <c r="R276" s="111"/>
      <c r="S276" s="58"/>
      <c r="T276" s="112"/>
      <c r="U276" s="112"/>
      <c r="V276" s="59"/>
      <c r="W276" s="113"/>
      <c r="X276" s="113"/>
      <c r="Y276" s="54"/>
      <c r="Z276" s="109"/>
      <c r="AA276" s="109"/>
      <c r="AB276" s="55"/>
      <c r="AC276" s="110"/>
      <c r="AD276" s="110"/>
      <c r="AE276" s="96"/>
      <c r="AF276" s="97"/>
      <c r="AG276" s="98"/>
      <c r="AH276" s="99"/>
    </row>
    <row r="277" spans="1:34" x14ac:dyDescent="0.25">
      <c r="A277" s="10" t="str">
        <f t="shared" si="4"/>
        <v/>
      </c>
      <c r="B277" s="52"/>
      <c r="C277" s="53"/>
      <c r="D277" s="153"/>
      <c r="E277" s="78"/>
      <c r="F277" s="133"/>
      <c r="G277" s="54"/>
      <c r="H277" s="109"/>
      <c r="I277" s="109"/>
      <c r="J277" s="55"/>
      <c r="K277" s="110"/>
      <c r="L277" s="110"/>
      <c r="M277" s="55"/>
      <c r="N277" s="110"/>
      <c r="O277" s="110"/>
      <c r="P277" s="57"/>
      <c r="Q277" s="111"/>
      <c r="R277" s="111"/>
      <c r="S277" s="58"/>
      <c r="T277" s="112"/>
      <c r="U277" s="112"/>
      <c r="V277" s="59"/>
      <c r="W277" s="113"/>
      <c r="X277" s="113"/>
      <c r="Y277" s="54"/>
      <c r="Z277" s="109"/>
      <c r="AA277" s="109"/>
      <c r="AB277" s="55"/>
      <c r="AC277" s="110"/>
      <c r="AD277" s="110"/>
      <c r="AE277" s="96"/>
      <c r="AF277" s="97"/>
      <c r="AG277" s="98"/>
      <c r="AH277" s="99"/>
    </row>
    <row r="278" spans="1:34" x14ac:dyDescent="0.25">
      <c r="A278" s="10" t="str">
        <f t="shared" si="4"/>
        <v/>
      </c>
      <c r="B278" s="52"/>
      <c r="C278" s="53"/>
      <c r="D278" s="153"/>
      <c r="E278" s="78"/>
      <c r="F278" s="133"/>
      <c r="G278" s="54"/>
      <c r="H278" s="109"/>
      <c r="I278" s="109"/>
      <c r="J278" s="55"/>
      <c r="K278" s="110"/>
      <c r="L278" s="110"/>
      <c r="M278" s="55"/>
      <c r="N278" s="110"/>
      <c r="O278" s="110"/>
      <c r="P278" s="57"/>
      <c r="Q278" s="111"/>
      <c r="R278" s="111"/>
      <c r="S278" s="58"/>
      <c r="T278" s="112"/>
      <c r="U278" s="112"/>
      <c r="V278" s="59"/>
      <c r="W278" s="113"/>
      <c r="X278" s="113"/>
      <c r="Y278" s="54"/>
      <c r="Z278" s="109"/>
      <c r="AA278" s="109"/>
      <c r="AB278" s="55"/>
      <c r="AC278" s="110"/>
      <c r="AD278" s="110"/>
      <c r="AE278" s="96"/>
      <c r="AF278" s="97"/>
      <c r="AG278" s="98"/>
      <c r="AH278" s="99"/>
    </row>
    <row r="279" spans="1:34" x14ac:dyDescent="0.25">
      <c r="A279" s="10" t="str">
        <f t="shared" si="4"/>
        <v/>
      </c>
      <c r="B279" s="52"/>
      <c r="C279" s="53"/>
      <c r="D279" s="153"/>
      <c r="E279" s="78"/>
      <c r="F279" s="133"/>
      <c r="G279" s="54"/>
      <c r="H279" s="109"/>
      <c r="I279" s="109"/>
      <c r="J279" s="55"/>
      <c r="K279" s="110"/>
      <c r="L279" s="110"/>
      <c r="M279" s="55"/>
      <c r="N279" s="110"/>
      <c r="O279" s="110"/>
      <c r="P279" s="57"/>
      <c r="Q279" s="111"/>
      <c r="R279" s="111"/>
      <c r="S279" s="58"/>
      <c r="T279" s="112"/>
      <c r="U279" s="112"/>
      <c r="V279" s="59"/>
      <c r="W279" s="113"/>
      <c r="X279" s="113"/>
      <c r="Y279" s="54"/>
      <c r="Z279" s="109"/>
      <c r="AA279" s="109"/>
      <c r="AB279" s="55"/>
      <c r="AC279" s="110"/>
      <c r="AD279" s="110"/>
      <c r="AE279" s="96"/>
      <c r="AF279" s="97"/>
      <c r="AG279" s="98"/>
      <c r="AH279" s="99"/>
    </row>
    <row r="280" spans="1:34" x14ac:dyDescent="0.25">
      <c r="A280" s="10" t="str">
        <f t="shared" si="4"/>
        <v/>
      </c>
      <c r="B280" s="52"/>
      <c r="C280" s="53"/>
      <c r="D280" s="153"/>
      <c r="E280" s="78"/>
      <c r="F280" s="133"/>
      <c r="G280" s="54"/>
      <c r="H280" s="109"/>
      <c r="I280" s="109"/>
      <c r="J280" s="55"/>
      <c r="K280" s="110"/>
      <c r="L280" s="110"/>
      <c r="M280" s="55"/>
      <c r="N280" s="110"/>
      <c r="O280" s="110"/>
      <c r="P280" s="57"/>
      <c r="Q280" s="111"/>
      <c r="R280" s="111"/>
      <c r="S280" s="58"/>
      <c r="T280" s="112"/>
      <c r="U280" s="112"/>
      <c r="V280" s="59"/>
      <c r="W280" s="113"/>
      <c r="X280" s="113"/>
      <c r="Y280" s="54"/>
      <c r="Z280" s="109"/>
      <c r="AA280" s="109"/>
      <c r="AB280" s="55"/>
      <c r="AC280" s="110"/>
      <c r="AD280" s="110"/>
      <c r="AE280" s="96"/>
      <c r="AF280" s="97"/>
      <c r="AG280" s="98"/>
      <c r="AH280" s="99"/>
    </row>
    <row r="281" spans="1:34" x14ac:dyDescent="0.25">
      <c r="A281" s="10" t="str">
        <f t="shared" si="4"/>
        <v/>
      </c>
      <c r="B281" s="52"/>
      <c r="C281" s="53"/>
      <c r="D281" s="153"/>
      <c r="E281" s="78"/>
      <c r="F281" s="133"/>
      <c r="G281" s="54"/>
      <c r="H281" s="109"/>
      <c r="I281" s="109"/>
      <c r="J281" s="55"/>
      <c r="K281" s="110"/>
      <c r="L281" s="110"/>
      <c r="M281" s="55"/>
      <c r="N281" s="110"/>
      <c r="O281" s="110"/>
      <c r="P281" s="57"/>
      <c r="Q281" s="111"/>
      <c r="R281" s="111"/>
      <c r="S281" s="58"/>
      <c r="T281" s="112"/>
      <c r="U281" s="112"/>
      <c r="V281" s="59"/>
      <c r="W281" s="113"/>
      <c r="X281" s="113"/>
      <c r="Y281" s="54"/>
      <c r="Z281" s="109"/>
      <c r="AA281" s="109"/>
      <c r="AB281" s="55"/>
      <c r="AC281" s="110"/>
      <c r="AD281" s="110"/>
      <c r="AE281" s="96"/>
      <c r="AF281" s="97"/>
      <c r="AG281" s="98"/>
      <c r="AH281" s="99"/>
    </row>
    <row r="282" spans="1:34" x14ac:dyDescent="0.25">
      <c r="A282" s="10" t="str">
        <f t="shared" si="4"/>
        <v/>
      </c>
      <c r="B282" s="52"/>
      <c r="C282" s="53"/>
      <c r="D282" s="153"/>
      <c r="E282" s="78"/>
      <c r="F282" s="133"/>
      <c r="G282" s="54"/>
      <c r="H282" s="109"/>
      <c r="I282" s="109"/>
      <c r="J282" s="55"/>
      <c r="K282" s="110"/>
      <c r="L282" s="110"/>
      <c r="M282" s="55"/>
      <c r="N282" s="110"/>
      <c r="O282" s="110"/>
      <c r="P282" s="57"/>
      <c r="Q282" s="111"/>
      <c r="R282" s="111"/>
      <c r="S282" s="58"/>
      <c r="T282" s="112"/>
      <c r="U282" s="112"/>
      <c r="V282" s="59"/>
      <c r="W282" s="113"/>
      <c r="X282" s="113"/>
      <c r="Y282" s="54"/>
      <c r="Z282" s="109"/>
      <c r="AA282" s="109"/>
      <c r="AB282" s="55"/>
      <c r="AC282" s="110"/>
      <c r="AD282" s="110"/>
      <c r="AE282" s="96"/>
      <c r="AF282" s="97"/>
      <c r="AG282" s="98"/>
      <c r="AH282" s="99"/>
    </row>
    <row r="283" spans="1:34" x14ac:dyDescent="0.25">
      <c r="A283" s="10" t="str">
        <f t="shared" si="4"/>
        <v/>
      </c>
      <c r="B283" s="52"/>
      <c r="C283" s="53"/>
      <c r="D283" s="153"/>
      <c r="E283" s="78"/>
      <c r="F283" s="133"/>
      <c r="G283" s="54"/>
      <c r="H283" s="109"/>
      <c r="I283" s="109"/>
      <c r="J283" s="55"/>
      <c r="K283" s="110"/>
      <c r="L283" s="110"/>
      <c r="M283" s="55"/>
      <c r="N283" s="110"/>
      <c r="O283" s="110"/>
      <c r="P283" s="57"/>
      <c r="Q283" s="111"/>
      <c r="R283" s="111"/>
      <c r="S283" s="58"/>
      <c r="T283" s="112"/>
      <c r="U283" s="112"/>
      <c r="V283" s="59"/>
      <c r="W283" s="113"/>
      <c r="X283" s="113"/>
      <c r="Y283" s="54"/>
      <c r="Z283" s="109"/>
      <c r="AA283" s="109"/>
      <c r="AB283" s="55"/>
      <c r="AC283" s="110"/>
      <c r="AD283" s="110"/>
      <c r="AE283" s="96"/>
      <c r="AF283" s="97"/>
      <c r="AG283" s="98"/>
      <c r="AH283" s="99"/>
    </row>
    <row r="284" spans="1:34" x14ac:dyDescent="0.25">
      <c r="A284" s="10" t="str">
        <f t="shared" si="4"/>
        <v/>
      </c>
      <c r="B284" s="52"/>
      <c r="C284" s="53"/>
      <c r="D284" s="153"/>
      <c r="E284" s="78"/>
      <c r="F284" s="133"/>
      <c r="G284" s="54"/>
      <c r="H284" s="109"/>
      <c r="I284" s="109"/>
      <c r="J284" s="55"/>
      <c r="K284" s="110"/>
      <c r="L284" s="110"/>
      <c r="M284" s="55"/>
      <c r="N284" s="110"/>
      <c r="O284" s="110"/>
      <c r="P284" s="57"/>
      <c r="Q284" s="111"/>
      <c r="R284" s="111"/>
      <c r="S284" s="58"/>
      <c r="T284" s="112"/>
      <c r="U284" s="112"/>
      <c r="V284" s="59"/>
      <c r="W284" s="113"/>
      <c r="X284" s="113"/>
      <c r="Y284" s="54"/>
      <c r="Z284" s="109"/>
      <c r="AA284" s="109"/>
      <c r="AB284" s="55"/>
      <c r="AC284" s="110"/>
      <c r="AD284" s="110"/>
      <c r="AE284" s="96"/>
      <c r="AF284" s="97"/>
      <c r="AG284" s="98"/>
      <c r="AH284" s="99"/>
    </row>
    <row r="285" spans="1:34" x14ac:dyDescent="0.25">
      <c r="A285" s="10" t="str">
        <f t="shared" si="4"/>
        <v/>
      </c>
      <c r="B285" s="52"/>
      <c r="C285" s="53"/>
      <c r="D285" s="153"/>
      <c r="E285" s="78"/>
      <c r="F285" s="133"/>
      <c r="G285" s="54"/>
      <c r="H285" s="109"/>
      <c r="I285" s="109"/>
      <c r="J285" s="55"/>
      <c r="K285" s="110"/>
      <c r="L285" s="110"/>
      <c r="M285" s="55"/>
      <c r="N285" s="110"/>
      <c r="O285" s="110"/>
      <c r="P285" s="57"/>
      <c r="Q285" s="111"/>
      <c r="R285" s="111"/>
      <c r="S285" s="58"/>
      <c r="T285" s="112"/>
      <c r="U285" s="112"/>
      <c r="V285" s="59"/>
      <c r="W285" s="113"/>
      <c r="X285" s="113"/>
      <c r="Y285" s="54"/>
      <c r="Z285" s="109"/>
      <c r="AA285" s="109"/>
      <c r="AB285" s="55"/>
      <c r="AC285" s="110"/>
      <c r="AD285" s="110"/>
      <c r="AE285" s="96"/>
      <c r="AF285" s="97"/>
      <c r="AG285" s="98"/>
      <c r="AH285" s="99"/>
    </row>
    <row r="286" spans="1:34" x14ac:dyDescent="0.25">
      <c r="A286" s="10" t="str">
        <f t="shared" si="4"/>
        <v/>
      </c>
      <c r="B286" s="52"/>
      <c r="C286" s="53"/>
      <c r="D286" s="153"/>
      <c r="E286" s="78"/>
      <c r="F286" s="133"/>
      <c r="G286" s="54"/>
      <c r="H286" s="109"/>
      <c r="I286" s="109"/>
      <c r="J286" s="55"/>
      <c r="K286" s="110"/>
      <c r="L286" s="110"/>
      <c r="M286" s="55"/>
      <c r="N286" s="110"/>
      <c r="O286" s="110"/>
      <c r="P286" s="57"/>
      <c r="Q286" s="111"/>
      <c r="R286" s="111"/>
      <c r="S286" s="58"/>
      <c r="T286" s="112"/>
      <c r="U286" s="112"/>
      <c r="V286" s="59"/>
      <c r="W286" s="113"/>
      <c r="X286" s="113"/>
      <c r="Y286" s="54"/>
      <c r="Z286" s="109"/>
      <c r="AA286" s="109"/>
      <c r="AB286" s="55"/>
      <c r="AC286" s="110"/>
      <c r="AD286" s="110"/>
      <c r="AE286" s="96"/>
      <c r="AF286" s="97"/>
      <c r="AG286" s="98"/>
      <c r="AH286" s="99"/>
    </row>
    <row r="287" spans="1:34" x14ac:dyDescent="0.25">
      <c r="A287" s="10" t="str">
        <f t="shared" si="4"/>
        <v/>
      </c>
      <c r="B287" s="52"/>
      <c r="C287" s="53"/>
      <c r="D287" s="153"/>
      <c r="E287" s="78"/>
      <c r="F287" s="133"/>
      <c r="G287" s="54"/>
      <c r="H287" s="109"/>
      <c r="I287" s="109"/>
      <c r="J287" s="55"/>
      <c r="K287" s="110"/>
      <c r="L287" s="110"/>
      <c r="M287" s="55"/>
      <c r="N287" s="110"/>
      <c r="O287" s="110"/>
      <c r="P287" s="57"/>
      <c r="Q287" s="111"/>
      <c r="R287" s="111"/>
      <c r="S287" s="58"/>
      <c r="T287" s="112"/>
      <c r="U287" s="112"/>
      <c r="V287" s="59"/>
      <c r="W287" s="113"/>
      <c r="X287" s="113"/>
      <c r="Y287" s="54"/>
      <c r="Z287" s="109"/>
      <c r="AA287" s="109"/>
      <c r="AB287" s="55"/>
      <c r="AC287" s="110"/>
      <c r="AD287" s="110"/>
      <c r="AE287" s="96"/>
      <c r="AF287" s="97"/>
      <c r="AG287" s="98"/>
      <c r="AH287" s="99"/>
    </row>
    <row r="288" spans="1:34" x14ac:dyDescent="0.25">
      <c r="A288" s="10" t="str">
        <f t="shared" si="4"/>
        <v/>
      </c>
      <c r="B288" s="52"/>
      <c r="C288" s="53"/>
      <c r="D288" s="153"/>
      <c r="E288" s="78"/>
      <c r="F288" s="133"/>
      <c r="G288" s="54"/>
      <c r="H288" s="109"/>
      <c r="I288" s="109"/>
      <c r="J288" s="55"/>
      <c r="K288" s="110"/>
      <c r="L288" s="110"/>
      <c r="M288" s="55"/>
      <c r="N288" s="110"/>
      <c r="O288" s="110"/>
      <c r="P288" s="57"/>
      <c r="Q288" s="111"/>
      <c r="R288" s="111"/>
      <c r="S288" s="58"/>
      <c r="T288" s="112"/>
      <c r="U288" s="112"/>
      <c r="V288" s="59"/>
      <c r="W288" s="113"/>
      <c r="X288" s="113"/>
      <c r="Y288" s="54"/>
      <c r="Z288" s="109"/>
      <c r="AA288" s="109"/>
      <c r="AB288" s="55"/>
      <c r="AC288" s="110"/>
      <c r="AD288" s="110"/>
      <c r="AE288" s="96"/>
      <c r="AF288" s="97"/>
      <c r="AG288" s="98"/>
      <c r="AH288" s="99"/>
    </row>
    <row r="289" spans="1:34" x14ac:dyDescent="0.25">
      <c r="A289" s="10" t="str">
        <f t="shared" si="4"/>
        <v/>
      </c>
      <c r="B289" s="52"/>
      <c r="C289" s="53"/>
      <c r="D289" s="153"/>
      <c r="E289" s="78"/>
      <c r="F289" s="133"/>
      <c r="G289" s="54"/>
      <c r="H289" s="109"/>
      <c r="I289" s="109"/>
      <c r="J289" s="55"/>
      <c r="K289" s="110"/>
      <c r="L289" s="110"/>
      <c r="M289" s="55"/>
      <c r="N289" s="110"/>
      <c r="O289" s="110"/>
      <c r="P289" s="57"/>
      <c r="Q289" s="111"/>
      <c r="R289" s="111"/>
      <c r="S289" s="58"/>
      <c r="T289" s="112"/>
      <c r="U289" s="112"/>
      <c r="V289" s="59"/>
      <c r="W289" s="113"/>
      <c r="X289" s="113"/>
      <c r="Y289" s="54"/>
      <c r="Z289" s="109"/>
      <c r="AA289" s="109"/>
      <c r="AB289" s="55"/>
      <c r="AC289" s="110"/>
      <c r="AD289" s="110"/>
      <c r="AE289" s="96"/>
      <c r="AF289" s="97"/>
      <c r="AG289" s="98"/>
      <c r="AH289" s="99"/>
    </row>
    <row r="290" spans="1:34" x14ac:dyDescent="0.25">
      <c r="A290" s="10" t="str">
        <f t="shared" si="4"/>
        <v/>
      </c>
      <c r="B290" s="52"/>
      <c r="C290" s="53"/>
      <c r="D290" s="153"/>
      <c r="E290" s="78"/>
      <c r="F290" s="133"/>
      <c r="G290" s="54"/>
      <c r="H290" s="109"/>
      <c r="I290" s="109"/>
      <c r="J290" s="55"/>
      <c r="K290" s="110"/>
      <c r="L290" s="110"/>
      <c r="M290" s="55"/>
      <c r="N290" s="110"/>
      <c r="O290" s="110"/>
      <c r="P290" s="57"/>
      <c r="Q290" s="111"/>
      <c r="R290" s="111"/>
      <c r="S290" s="58"/>
      <c r="T290" s="112"/>
      <c r="U290" s="112"/>
      <c r="V290" s="59"/>
      <c r="W290" s="113"/>
      <c r="X290" s="113"/>
      <c r="Y290" s="54"/>
      <c r="Z290" s="109"/>
      <c r="AA290" s="109"/>
      <c r="AB290" s="55"/>
      <c r="AC290" s="110"/>
      <c r="AD290" s="110"/>
      <c r="AE290" s="96"/>
      <c r="AF290" s="97"/>
      <c r="AG290" s="98"/>
      <c r="AH290" s="99"/>
    </row>
    <row r="291" spans="1:34" x14ac:dyDescent="0.25">
      <c r="A291" s="10" t="str">
        <f t="shared" si="4"/>
        <v/>
      </c>
      <c r="B291" s="52"/>
      <c r="C291" s="53"/>
      <c r="D291" s="153"/>
      <c r="E291" s="78"/>
      <c r="F291" s="133"/>
      <c r="G291" s="54"/>
      <c r="H291" s="109"/>
      <c r="I291" s="109"/>
      <c r="J291" s="55"/>
      <c r="K291" s="110"/>
      <c r="L291" s="110"/>
      <c r="M291" s="55"/>
      <c r="N291" s="110"/>
      <c r="O291" s="110"/>
      <c r="P291" s="57"/>
      <c r="Q291" s="111"/>
      <c r="R291" s="111"/>
      <c r="S291" s="58"/>
      <c r="T291" s="112"/>
      <c r="U291" s="112"/>
      <c r="V291" s="59"/>
      <c r="W291" s="113"/>
      <c r="X291" s="113"/>
      <c r="Y291" s="54"/>
      <c r="Z291" s="109"/>
      <c r="AA291" s="109"/>
      <c r="AB291" s="55"/>
      <c r="AC291" s="110"/>
      <c r="AD291" s="110"/>
      <c r="AE291" s="96"/>
      <c r="AF291" s="97"/>
      <c r="AG291" s="98"/>
      <c r="AH291" s="99"/>
    </row>
    <row r="292" spans="1:34" x14ac:dyDescent="0.25">
      <c r="A292" s="10" t="str">
        <f t="shared" si="4"/>
        <v/>
      </c>
      <c r="B292" s="52"/>
      <c r="C292" s="53"/>
      <c r="D292" s="153"/>
      <c r="E292" s="78"/>
      <c r="F292" s="133"/>
      <c r="G292" s="54"/>
      <c r="H292" s="109"/>
      <c r="I292" s="109"/>
      <c r="J292" s="55"/>
      <c r="K292" s="110"/>
      <c r="L292" s="110"/>
      <c r="M292" s="55"/>
      <c r="N292" s="110"/>
      <c r="O292" s="110"/>
      <c r="P292" s="57"/>
      <c r="Q292" s="111"/>
      <c r="R292" s="111"/>
      <c r="S292" s="58"/>
      <c r="T292" s="112"/>
      <c r="U292" s="112"/>
      <c r="V292" s="59"/>
      <c r="W292" s="113"/>
      <c r="X292" s="113"/>
      <c r="Y292" s="54"/>
      <c r="Z292" s="109"/>
      <c r="AA292" s="109"/>
      <c r="AB292" s="55"/>
      <c r="AC292" s="110"/>
      <c r="AD292" s="110"/>
      <c r="AE292" s="96"/>
      <c r="AF292" s="97"/>
      <c r="AG292" s="98"/>
      <c r="AH292" s="99"/>
    </row>
    <row r="293" spans="1:34" x14ac:dyDescent="0.25">
      <c r="A293" s="10" t="str">
        <f t="shared" si="4"/>
        <v/>
      </c>
      <c r="B293" s="52"/>
      <c r="C293" s="53"/>
      <c r="D293" s="153"/>
      <c r="E293" s="78"/>
      <c r="F293" s="133"/>
      <c r="G293" s="54"/>
      <c r="H293" s="109"/>
      <c r="I293" s="109"/>
      <c r="J293" s="55"/>
      <c r="K293" s="110"/>
      <c r="L293" s="110"/>
      <c r="M293" s="55"/>
      <c r="N293" s="110"/>
      <c r="O293" s="110"/>
      <c r="P293" s="57"/>
      <c r="Q293" s="111"/>
      <c r="R293" s="111"/>
      <c r="S293" s="58"/>
      <c r="T293" s="112"/>
      <c r="U293" s="112"/>
      <c r="V293" s="59"/>
      <c r="W293" s="113"/>
      <c r="X293" s="113"/>
      <c r="Y293" s="54"/>
      <c r="Z293" s="109"/>
      <c r="AA293" s="109"/>
      <c r="AB293" s="55"/>
      <c r="AC293" s="110"/>
      <c r="AD293" s="110"/>
      <c r="AE293" s="96"/>
      <c r="AF293" s="97"/>
      <c r="AG293" s="98"/>
      <c r="AH293" s="99"/>
    </row>
    <row r="294" spans="1:34" x14ac:dyDescent="0.25">
      <c r="A294" s="10" t="str">
        <f t="shared" si="4"/>
        <v/>
      </c>
      <c r="B294" s="52"/>
      <c r="C294" s="53"/>
      <c r="D294" s="153"/>
      <c r="E294" s="78"/>
      <c r="F294" s="133"/>
      <c r="G294" s="54"/>
      <c r="H294" s="109"/>
      <c r="I294" s="109"/>
      <c r="J294" s="55"/>
      <c r="K294" s="110"/>
      <c r="L294" s="110"/>
      <c r="M294" s="55"/>
      <c r="N294" s="110"/>
      <c r="O294" s="110"/>
      <c r="P294" s="57"/>
      <c r="Q294" s="111"/>
      <c r="R294" s="111"/>
      <c r="S294" s="58"/>
      <c r="T294" s="112"/>
      <c r="U294" s="112"/>
      <c r="V294" s="59"/>
      <c r="W294" s="113"/>
      <c r="X294" s="113"/>
      <c r="Y294" s="54"/>
      <c r="Z294" s="109"/>
      <c r="AA294" s="109"/>
      <c r="AB294" s="55"/>
      <c r="AC294" s="110"/>
      <c r="AD294" s="110"/>
      <c r="AE294" s="96"/>
      <c r="AF294" s="97"/>
      <c r="AG294" s="98"/>
      <c r="AH294" s="99"/>
    </row>
    <row r="295" spans="1:34" x14ac:dyDescent="0.25">
      <c r="A295" s="10" t="str">
        <f t="shared" si="4"/>
        <v/>
      </c>
      <c r="B295" s="52"/>
      <c r="C295" s="53"/>
      <c r="D295" s="153"/>
      <c r="E295" s="78"/>
      <c r="F295" s="133"/>
      <c r="G295" s="54"/>
      <c r="H295" s="109"/>
      <c r="I295" s="109"/>
      <c r="J295" s="55"/>
      <c r="K295" s="110"/>
      <c r="L295" s="110"/>
      <c r="M295" s="55"/>
      <c r="N295" s="110"/>
      <c r="O295" s="110"/>
      <c r="P295" s="57"/>
      <c r="Q295" s="111"/>
      <c r="R295" s="111"/>
      <c r="S295" s="58"/>
      <c r="T295" s="112"/>
      <c r="U295" s="112"/>
      <c r="V295" s="59"/>
      <c r="W295" s="113"/>
      <c r="X295" s="113"/>
      <c r="Y295" s="54"/>
      <c r="Z295" s="109"/>
      <c r="AA295" s="109"/>
      <c r="AB295" s="55"/>
      <c r="AC295" s="110"/>
      <c r="AD295" s="110"/>
      <c r="AE295" s="96"/>
      <c r="AF295" s="97"/>
      <c r="AG295" s="98"/>
      <c r="AH295" s="99"/>
    </row>
    <row r="296" spans="1:34" x14ac:dyDescent="0.25">
      <c r="A296" s="10" t="str">
        <f t="shared" si="4"/>
        <v/>
      </c>
      <c r="B296" s="52"/>
      <c r="C296" s="53"/>
      <c r="D296" s="153"/>
      <c r="E296" s="78"/>
      <c r="F296" s="133"/>
      <c r="G296" s="54"/>
      <c r="H296" s="109"/>
      <c r="I296" s="109"/>
      <c r="J296" s="55"/>
      <c r="K296" s="110"/>
      <c r="L296" s="110"/>
      <c r="M296" s="55"/>
      <c r="N296" s="110"/>
      <c r="O296" s="110"/>
      <c r="P296" s="57"/>
      <c r="Q296" s="111"/>
      <c r="R296" s="111"/>
      <c r="S296" s="58"/>
      <c r="T296" s="112"/>
      <c r="U296" s="112"/>
      <c r="V296" s="59"/>
      <c r="W296" s="113"/>
      <c r="X296" s="113"/>
      <c r="Y296" s="54"/>
      <c r="Z296" s="109"/>
      <c r="AA296" s="109"/>
      <c r="AB296" s="55"/>
      <c r="AC296" s="110"/>
      <c r="AD296" s="110"/>
      <c r="AE296" s="96"/>
      <c r="AF296" s="97"/>
      <c r="AG296" s="98"/>
      <c r="AH296" s="99"/>
    </row>
    <row r="297" spans="1:34" x14ac:dyDescent="0.25">
      <c r="A297" s="10" t="str">
        <f t="shared" si="4"/>
        <v/>
      </c>
      <c r="B297" s="52"/>
      <c r="C297" s="53"/>
      <c r="D297" s="153"/>
      <c r="E297" s="78"/>
      <c r="F297" s="133"/>
      <c r="G297" s="54"/>
      <c r="H297" s="109"/>
      <c r="I297" s="109"/>
      <c r="J297" s="55"/>
      <c r="K297" s="110"/>
      <c r="L297" s="110"/>
      <c r="M297" s="55"/>
      <c r="N297" s="110"/>
      <c r="O297" s="110"/>
      <c r="P297" s="57"/>
      <c r="Q297" s="111"/>
      <c r="R297" s="111"/>
      <c r="S297" s="58"/>
      <c r="T297" s="112"/>
      <c r="U297" s="112"/>
      <c r="V297" s="59"/>
      <c r="W297" s="113"/>
      <c r="X297" s="113"/>
      <c r="Y297" s="54"/>
      <c r="Z297" s="109"/>
      <c r="AA297" s="109"/>
      <c r="AB297" s="55"/>
      <c r="AC297" s="110"/>
      <c r="AD297" s="110"/>
      <c r="AE297" s="96"/>
      <c r="AF297" s="97"/>
      <c r="AG297" s="98"/>
      <c r="AH297" s="99"/>
    </row>
    <row r="298" spans="1:34" x14ac:dyDescent="0.25">
      <c r="A298" s="10" t="str">
        <f t="shared" si="4"/>
        <v/>
      </c>
      <c r="B298" s="52"/>
      <c r="C298" s="53"/>
      <c r="D298" s="153"/>
      <c r="E298" s="78"/>
      <c r="F298" s="133"/>
      <c r="G298" s="54"/>
      <c r="H298" s="109"/>
      <c r="I298" s="109"/>
      <c r="J298" s="55"/>
      <c r="K298" s="110"/>
      <c r="L298" s="110"/>
      <c r="M298" s="55"/>
      <c r="N298" s="110"/>
      <c r="O298" s="110"/>
      <c r="P298" s="57"/>
      <c r="Q298" s="111"/>
      <c r="R298" s="111"/>
      <c r="S298" s="58"/>
      <c r="T298" s="112"/>
      <c r="U298" s="112"/>
      <c r="V298" s="59"/>
      <c r="W298" s="113"/>
      <c r="X298" s="113"/>
      <c r="Y298" s="54"/>
      <c r="Z298" s="109"/>
      <c r="AA298" s="109"/>
      <c r="AB298" s="55"/>
      <c r="AC298" s="110"/>
      <c r="AD298" s="110"/>
      <c r="AE298" s="96"/>
      <c r="AF298" s="97"/>
      <c r="AG298" s="98"/>
      <c r="AH298" s="99"/>
    </row>
    <row r="299" spans="1:34" x14ac:dyDescent="0.25">
      <c r="A299" s="10" t="str">
        <f t="shared" si="4"/>
        <v/>
      </c>
      <c r="B299" s="52"/>
      <c r="C299" s="53"/>
      <c r="D299" s="153"/>
      <c r="E299" s="78"/>
      <c r="F299" s="133"/>
      <c r="G299" s="54"/>
      <c r="H299" s="109"/>
      <c r="I299" s="109"/>
      <c r="J299" s="55"/>
      <c r="K299" s="110"/>
      <c r="L299" s="110"/>
      <c r="M299" s="55"/>
      <c r="N299" s="110"/>
      <c r="O299" s="110"/>
      <c r="P299" s="57"/>
      <c r="Q299" s="111"/>
      <c r="R299" s="111"/>
      <c r="S299" s="58"/>
      <c r="T299" s="112"/>
      <c r="U299" s="112"/>
      <c r="V299" s="59"/>
      <c r="W299" s="113"/>
      <c r="X299" s="113"/>
      <c r="Y299" s="54"/>
      <c r="Z299" s="109"/>
      <c r="AA299" s="109"/>
      <c r="AB299" s="55"/>
      <c r="AC299" s="110"/>
      <c r="AD299" s="110"/>
      <c r="AE299" s="96"/>
      <c r="AF299" s="97"/>
      <c r="AG299" s="98"/>
      <c r="AH299" s="99"/>
    </row>
    <row r="300" spans="1:34" x14ac:dyDescent="0.25">
      <c r="A300" s="10" t="str">
        <f t="shared" si="4"/>
        <v/>
      </c>
      <c r="B300" s="52"/>
      <c r="C300" s="53"/>
      <c r="D300" s="153"/>
      <c r="E300" s="78"/>
      <c r="F300" s="133"/>
      <c r="G300" s="54"/>
      <c r="H300" s="109"/>
      <c r="I300" s="109"/>
      <c r="J300" s="55"/>
      <c r="K300" s="110"/>
      <c r="L300" s="110"/>
      <c r="M300" s="55"/>
      <c r="N300" s="110"/>
      <c r="O300" s="110"/>
      <c r="P300" s="57"/>
      <c r="Q300" s="111"/>
      <c r="R300" s="111"/>
      <c r="S300" s="58"/>
      <c r="T300" s="112"/>
      <c r="U300" s="112"/>
      <c r="V300" s="59"/>
      <c r="W300" s="113"/>
      <c r="X300" s="113"/>
      <c r="Y300" s="54"/>
      <c r="Z300" s="109"/>
      <c r="AA300" s="109"/>
      <c r="AB300" s="55"/>
      <c r="AC300" s="110"/>
      <c r="AD300" s="110"/>
      <c r="AE300" s="96"/>
      <c r="AF300" s="97"/>
      <c r="AG300" s="98"/>
      <c r="AH300" s="99"/>
    </row>
    <row r="301" spans="1:34" x14ac:dyDescent="0.25">
      <c r="A301" s="10" t="str">
        <f t="shared" si="4"/>
        <v/>
      </c>
      <c r="B301" s="52"/>
      <c r="C301" s="53"/>
      <c r="D301" s="153"/>
      <c r="E301" s="78"/>
      <c r="F301" s="133"/>
      <c r="G301" s="54"/>
      <c r="H301" s="109"/>
      <c r="I301" s="109"/>
      <c r="J301" s="55"/>
      <c r="K301" s="110"/>
      <c r="L301" s="110"/>
      <c r="M301" s="55"/>
      <c r="N301" s="110"/>
      <c r="O301" s="110"/>
      <c r="P301" s="57"/>
      <c r="Q301" s="111"/>
      <c r="R301" s="111"/>
      <c r="S301" s="58"/>
      <c r="T301" s="112"/>
      <c r="U301" s="112"/>
      <c r="V301" s="59"/>
      <c r="W301" s="113"/>
      <c r="X301" s="113"/>
      <c r="Y301" s="54"/>
      <c r="Z301" s="109"/>
      <c r="AA301" s="109"/>
      <c r="AB301" s="55"/>
      <c r="AC301" s="110"/>
      <c r="AD301" s="110"/>
      <c r="AE301" s="96"/>
      <c r="AF301" s="97"/>
      <c r="AG301" s="98"/>
      <c r="AH301" s="99"/>
    </row>
    <row r="302" spans="1:34" x14ac:dyDescent="0.25">
      <c r="A302" s="10" t="str">
        <f t="shared" si="4"/>
        <v/>
      </c>
      <c r="B302" s="52"/>
      <c r="C302" s="53"/>
      <c r="D302" s="153"/>
      <c r="E302" s="78"/>
      <c r="F302" s="133"/>
      <c r="G302" s="54"/>
      <c r="H302" s="109"/>
      <c r="I302" s="109"/>
      <c r="J302" s="55"/>
      <c r="K302" s="110"/>
      <c r="L302" s="110"/>
      <c r="M302" s="55"/>
      <c r="N302" s="110"/>
      <c r="O302" s="110"/>
      <c r="P302" s="57"/>
      <c r="Q302" s="111"/>
      <c r="R302" s="111"/>
      <c r="S302" s="58"/>
      <c r="T302" s="112"/>
      <c r="U302" s="112"/>
      <c r="V302" s="59"/>
      <c r="W302" s="113"/>
      <c r="X302" s="113"/>
      <c r="Y302" s="54"/>
      <c r="Z302" s="109"/>
      <c r="AA302" s="109"/>
      <c r="AB302" s="55"/>
      <c r="AC302" s="110"/>
      <c r="AD302" s="110"/>
      <c r="AE302" s="96"/>
      <c r="AF302" s="97"/>
      <c r="AG302" s="98"/>
      <c r="AH302" s="99"/>
    </row>
    <row r="303" spans="1:34" x14ac:dyDescent="0.25">
      <c r="A303" s="10" t="str">
        <f t="shared" si="4"/>
        <v/>
      </c>
      <c r="B303" s="52"/>
      <c r="C303" s="53"/>
      <c r="D303" s="153"/>
      <c r="E303" s="78"/>
      <c r="F303" s="133"/>
      <c r="G303" s="54"/>
      <c r="H303" s="109"/>
      <c r="I303" s="109"/>
      <c r="J303" s="55"/>
      <c r="K303" s="110"/>
      <c r="L303" s="110"/>
      <c r="M303" s="55"/>
      <c r="N303" s="110"/>
      <c r="O303" s="110"/>
      <c r="P303" s="57"/>
      <c r="Q303" s="111"/>
      <c r="R303" s="111"/>
      <c r="S303" s="58"/>
      <c r="T303" s="112"/>
      <c r="U303" s="112"/>
      <c r="V303" s="59"/>
      <c r="W303" s="113"/>
      <c r="X303" s="113"/>
      <c r="Y303" s="54"/>
      <c r="Z303" s="109"/>
      <c r="AA303" s="109"/>
      <c r="AB303" s="55"/>
      <c r="AC303" s="110"/>
      <c r="AD303" s="110"/>
      <c r="AE303" s="96"/>
      <c r="AF303" s="97"/>
      <c r="AG303" s="98"/>
      <c r="AH303" s="99"/>
    </row>
    <row r="304" spans="1:34" x14ac:dyDescent="0.25">
      <c r="A304" s="10" t="str">
        <f t="shared" si="4"/>
        <v/>
      </c>
      <c r="B304" s="52"/>
      <c r="C304" s="53"/>
      <c r="D304" s="153"/>
      <c r="E304" s="78"/>
      <c r="F304" s="133"/>
      <c r="G304" s="54"/>
      <c r="H304" s="109"/>
      <c r="I304" s="109"/>
      <c r="J304" s="55"/>
      <c r="K304" s="110"/>
      <c r="L304" s="110"/>
      <c r="M304" s="55"/>
      <c r="N304" s="110"/>
      <c r="O304" s="110"/>
      <c r="P304" s="57"/>
      <c r="Q304" s="111"/>
      <c r="R304" s="111"/>
      <c r="S304" s="58"/>
      <c r="T304" s="112"/>
      <c r="U304" s="112"/>
      <c r="V304" s="59"/>
      <c r="W304" s="113"/>
      <c r="X304" s="113"/>
      <c r="Y304" s="54"/>
      <c r="Z304" s="109"/>
      <c r="AA304" s="109"/>
      <c r="AB304" s="55"/>
      <c r="AC304" s="110"/>
      <c r="AD304" s="110"/>
      <c r="AE304" s="96"/>
      <c r="AF304" s="97"/>
      <c r="AG304" s="98"/>
      <c r="AH304" s="99"/>
    </row>
    <row r="305" spans="1:34" x14ac:dyDescent="0.25">
      <c r="A305" s="10" t="str">
        <f t="shared" si="4"/>
        <v/>
      </c>
      <c r="B305" s="52"/>
      <c r="C305" s="53"/>
      <c r="D305" s="153"/>
      <c r="E305" s="78"/>
      <c r="F305" s="133"/>
      <c r="G305" s="54"/>
      <c r="H305" s="109"/>
      <c r="I305" s="109"/>
      <c r="J305" s="55"/>
      <c r="K305" s="110"/>
      <c r="L305" s="110"/>
      <c r="M305" s="55"/>
      <c r="N305" s="110"/>
      <c r="O305" s="110"/>
      <c r="P305" s="57"/>
      <c r="Q305" s="111"/>
      <c r="R305" s="111"/>
      <c r="S305" s="58"/>
      <c r="T305" s="112"/>
      <c r="U305" s="112"/>
      <c r="V305" s="59"/>
      <c r="W305" s="113"/>
      <c r="X305" s="113"/>
      <c r="Y305" s="54"/>
      <c r="Z305" s="109"/>
      <c r="AA305" s="109"/>
      <c r="AB305" s="55"/>
      <c r="AC305" s="110"/>
      <c r="AD305" s="110"/>
      <c r="AE305" s="96"/>
      <c r="AF305" s="97"/>
      <c r="AG305" s="98"/>
      <c r="AH305" s="99"/>
    </row>
    <row r="306" spans="1:34" x14ac:dyDescent="0.25">
      <c r="A306" s="10" t="str">
        <f t="shared" si="4"/>
        <v/>
      </c>
      <c r="B306" s="52"/>
      <c r="C306" s="53"/>
      <c r="D306" s="153"/>
      <c r="E306" s="78"/>
      <c r="F306" s="133"/>
      <c r="G306" s="54"/>
      <c r="H306" s="109"/>
      <c r="I306" s="109"/>
      <c r="J306" s="55"/>
      <c r="K306" s="110"/>
      <c r="L306" s="110"/>
      <c r="M306" s="55"/>
      <c r="N306" s="110"/>
      <c r="O306" s="110"/>
      <c r="P306" s="57"/>
      <c r="Q306" s="111"/>
      <c r="R306" s="111"/>
      <c r="S306" s="58"/>
      <c r="T306" s="112"/>
      <c r="U306" s="112"/>
      <c r="V306" s="59"/>
      <c r="W306" s="113"/>
      <c r="X306" s="113"/>
      <c r="Y306" s="54"/>
      <c r="Z306" s="109"/>
      <c r="AA306" s="109"/>
      <c r="AB306" s="55"/>
      <c r="AC306" s="110"/>
      <c r="AD306" s="110"/>
      <c r="AE306" s="96"/>
      <c r="AF306" s="97"/>
      <c r="AG306" s="98"/>
      <c r="AH306" s="99"/>
    </row>
    <row r="307" spans="1:34" x14ac:dyDescent="0.25">
      <c r="A307" s="10" t="str">
        <f t="shared" si="4"/>
        <v/>
      </c>
      <c r="B307" s="52"/>
      <c r="C307" s="53"/>
      <c r="D307" s="153"/>
      <c r="E307" s="78"/>
      <c r="F307" s="133"/>
      <c r="G307" s="54"/>
      <c r="H307" s="109"/>
      <c r="I307" s="109"/>
      <c r="J307" s="55"/>
      <c r="K307" s="110"/>
      <c r="L307" s="110"/>
      <c r="M307" s="55"/>
      <c r="N307" s="110"/>
      <c r="O307" s="110"/>
      <c r="P307" s="57"/>
      <c r="Q307" s="111"/>
      <c r="R307" s="111"/>
      <c r="S307" s="58"/>
      <c r="T307" s="112"/>
      <c r="U307" s="112"/>
      <c r="V307" s="59"/>
      <c r="W307" s="113"/>
      <c r="X307" s="113"/>
      <c r="Y307" s="54"/>
      <c r="Z307" s="109"/>
      <c r="AA307" s="109"/>
      <c r="AB307" s="55"/>
      <c r="AC307" s="110"/>
      <c r="AD307" s="110"/>
      <c r="AE307" s="96"/>
      <c r="AF307" s="97"/>
      <c r="AG307" s="98"/>
      <c r="AH307" s="99"/>
    </row>
    <row r="308" spans="1:34" x14ac:dyDescent="0.25">
      <c r="A308" s="10" t="str">
        <f t="shared" si="4"/>
        <v/>
      </c>
      <c r="B308" s="52"/>
      <c r="C308" s="53"/>
      <c r="D308" s="153"/>
      <c r="E308" s="78"/>
      <c r="F308" s="133"/>
      <c r="G308" s="54"/>
      <c r="H308" s="109"/>
      <c r="I308" s="109"/>
      <c r="J308" s="55"/>
      <c r="K308" s="110"/>
      <c r="L308" s="110"/>
      <c r="M308" s="55"/>
      <c r="N308" s="110"/>
      <c r="O308" s="110"/>
      <c r="P308" s="57"/>
      <c r="Q308" s="111"/>
      <c r="R308" s="111"/>
      <c r="S308" s="58"/>
      <c r="T308" s="112"/>
      <c r="U308" s="112"/>
      <c r="V308" s="59"/>
      <c r="W308" s="113"/>
      <c r="X308" s="113"/>
      <c r="Y308" s="54"/>
      <c r="Z308" s="109"/>
      <c r="AA308" s="109"/>
      <c r="AB308" s="55"/>
      <c r="AC308" s="110"/>
      <c r="AD308" s="110"/>
      <c r="AE308" s="96"/>
      <c r="AF308" s="97"/>
      <c r="AG308" s="98"/>
      <c r="AH308" s="99"/>
    </row>
    <row r="309" spans="1:34" x14ac:dyDescent="0.25">
      <c r="A309" s="10" t="str">
        <f t="shared" si="4"/>
        <v/>
      </c>
      <c r="B309" s="52"/>
      <c r="C309" s="53"/>
      <c r="D309" s="153"/>
      <c r="E309" s="78"/>
      <c r="F309" s="133"/>
      <c r="G309" s="54"/>
      <c r="H309" s="109"/>
      <c r="I309" s="109"/>
      <c r="J309" s="55"/>
      <c r="K309" s="110"/>
      <c r="L309" s="110"/>
      <c r="M309" s="55"/>
      <c r="N309" s="110"/>
      <c r="O309" s="110"/>
      <c r="P309" s="57"/>
      <c r="Q309" s="111"/>
      <c r="R309" s="111"/>
      <c r="S309" s="58"/>
      <c r="T309" s="112"/>
      <c r="U309" s="112"/>
      <c r="V309" s="59"/>
      <c r="W309" s="113"/>
      <c r="X309" s="113"/>
      <c r="Y309" s="54"/>
      <c r="Z309" s="109"/>
      <c r="AA309" s="109"/>
      <c r="AB309" s="55"/>
      <c r="AC309" s="110"/>
      <c r="AD309" s="110"/>
      <c r="AE309" s="96"/>
      <c r="AF309" s="97"/>
      <c r="AG309" s="98"/>
      <c r="AH309" s="99"/>
    </row>
    <row r="310" spans="1:34" x14ac:dyDescent="0.25">
      <c r="A310" s="10" t="str">
        <f t="shared" si="4"/>
        <v/>
      </c>
      <c r="B310" s="52"/>
      <c r="C310" s="53"/>
      <c r="D310" s="153"/>
      <c r="E310" s="78"/>
      <c r="F310" s="133"/>
      <c r="G310" s="54"/>
      <c r="H310" s="109"/>
      <c r="I310" s="109"/>
      <c r="J310" s="55"/>
      <c r="K310" s="110"/>
      <c r="L310" s="110"/>
      <c r="M310" s="55"/>
      <c r="N310" s="110"/>
      <c r="O310" s="110"/>
      <c r="P310" s="57"/>
      <c r="Q310" s="111"/>
      <c r="R310" s="111"/>
      <c r="S310" s="58"/>
      <c r="T310" s="112"/>
      <c r="U310" s="112"/>
      <c r="V310" s="59"/>
      <c r="W310" s="113"/>
      <c r="X310" s="113"/>
      <c r="Y310" s="54"/>
      <c r="Z310" s="109"/>
      <c r="AA310" s="109"/>
      <c r="AB310" s="55"/>
      <c r="AC310" s="110"/>
      <c r="AD310" s="110"/>
      <c r="AE310" s="96"/>
      <c r="AF310" s="97"/>
      <c r="AG310" s="98"/>
      <c r="AH310" s="99"/>
    </row>
    <row r="311" spans="1:34" x14ac:dyDescent="0.25">
      <c r="A311" s="10" t="str">
        <f t="shared" si="4"/>
        <v/>
      </c>
      <c r="B311" s="52"/>
      <c r="C311" s="53"/>
      <c r="D311" s="153"/>
      <c r="E311" s="78"/>
      <c r="F311" s="133"/>
      <c r="G311" s="54"/>
      <c r="H311" s="109"/>
      <c r="I311" s="109"/>
      <c r="J311" s="55"/>
      <c r="K311" s="110"/>
      <c r="L311" s="110"/>
      <c r="M311" s="55"/>
      <c r="N311" s="110"/>
      <c r="O311" s="110"/>
      <c r="P311" s="57"/>
      <c r="Q311" s="111"/>
      <c r="R311" s="111"/>
      <c r="S311" s="58"/>
      <c r="T311" s="112"/>
      <c r="U311" s="112"/>
      <c r="V311" s="59"/>
      <c r="W311" s="113"/>
      <c r="X311" s="113"/>
      <c r="Y311" s="54"/>
      <c r="Z311" s="109"/>
      <c r="AA311" s="109"/>
      <c r="AB311" s="55"/>
      <c r="AC311" s="110"/>
      <c r="AD311" s="110"/>
      <c r="AE311" s="96"/>
      <c r="AF311" s="97"/>
      <c r="AG311" s="98"/>
      <c r="AH311" s="99"/>
    </row>
    <row r="312" spans="1:34" x14ac:dyDescent="0.25">
      <c r="A312" s="10" t="str">
        <f t="shared" si="4"/>
        <v/>
      </c>
      <c r="B312" s="52"/>
      <c r="C312" s="53"/>
      <c r="D312" s="153"/>
      <c r="E312" s="78"/>
      <c r="F312" s="133"/>
      <c r="G312" s="54"/>
      <c r="H312" s="109"/>
      <c r="I312" s="109"/>
      <c r="J312" s="55"/>
      <c r="K312" s="110"/>
      <c r="L312" s="110"/>
      <c r="M312" s="55"/>
      <c r="N312" s="110"/>
      <c r="O312" s="110"/>
      <c r="P312" s="57"/>
      <c r="Q312" s="111"/>
      <c r="R312" s="111"/>
      <c r="S312" s="58"/>
      <c r="T312" s="112"/>
      <c r="U312" s="112"/>
      <c r="V312" s="59"/>
      <c r="W312" s="113"/>
      <c r="X312" s="113"/>
      <c r="Y312" s="54"/>
      <c r="Z312" s="109"/>
      <c r="AA312" s="109"/>
      <c r="AB312" s="55"/>
      <c r="AC312" s="110"/>
      <c r="AD312" s="110"/>
      <c r="AE312" s="96"/>
      <c r="AF312" s="97"/>
      <c r="AG312" s="98"/>
      <c r="AH312" s="99"/>
    </row>
    <row r="313" spans="1:34" x14ac:dyDescent="0.25">
      <c r="A313" s="10" t="str">
        <f t="shared" si="4"/>
        <v/>
      </c>
      <c r="B313" s="52"/>
      <c r="C313" s="53"/>
      <c r="D313" s="153"/>
      <c r="E313" s="78"/>
      <c r="F313" s="133"/>
      <c r="G313" s="54"/>
      <c r="H313" s="109"/>
      <c r="I313" s="109"/>
      <c r="J313" s="55"/>
      <c r="K313" s="110"/>
      <c r="L313" s="110"/>
      <c r="M313" s="55"/>
      <c r="N313" s="110"/>
      <c r="O313" s="110"/>
      <c r="P313" s="57"/>
      <c r="Q313" s="111"/>
      <c r="R313" s="111"/>
      <c r="S313" s="58"/>
      <c r="T313" s="112"/>
      <c r="U313" s="112"/>
      <c r="V313" s="59"/>
      <c r="W313" s="113"/>
      <c r="X313" s="113"/>
      <c r="Y313" s="54"/>
      <c r="Z313" s="109"/>
      <c r="AA313" s="109"/>
      <c r="AB313" s="55"/>
      <c r="AC313" s="110"/>
      <c r="AD313" s="110"/>
      <c r="AE313" s="96"/>
      <c r="AF313" s="97"/>
      <c r="AG313" s="98"/>
      <c r="AH313" s="99"/>
    </row>
    <row r="314" spans="1:34" x14ac:dyDescent="0.25">
      <c r="A314" s="10" t="str">
        <f t="shared" si="4"/>
        <v/>
      </c>
      <c r="B314" s="52"/>
      <c r="C314" s="53"/>
      <c r="D314" s="153"/>
      <c r="E314" s="78"/>
      <c r="F314" s="133"/>
      <c r="G314" s="54"/>
      <c r="H314" s="109"/>
      <c r="I314" s="109"/>
      <c r="J314" s="55"/>
      <c r="K314" s="110"/>
      <c r="L314" s="110"/>
      <c r="M314" s="55"/>
      <c r="N314" s="110"/>
      <c r="O314" s="110"/>
      <c r="P314" s="57"/>
      <c r="Q314" s="111"/>
      <c r="R314" s="111"/>
      <c r="S314" s="58"/>
      <c r="T314" s="112"/>
      <c r="U314" s="112"/>
      <c r="V314" s="59"/>
      <c r="W314" s="113"/>
      <c r="X314" s="113"/>
      <c r="Y314" s="54"/>
      <c r="Z314" s="109"/>
      <c r="AA314" s="109"/>
      <c r="AB314" s="55"/>
      <c r="AC314" s="110"/>
      <c r="AD314" s="110"/>
      <c r="AE314" s="96"/>
      <c r="AF314" s="97"/>
      <c r="AG314" s="98"/>
      <c r="AH314" s="99"/>
    </row>
    <row r="315" spans="1:34" x14ac:dyDescent="0.25">
      <c r="A315" s="10" t="str">
        <f t="shared" si="4"/>
        <v/>
      </c>
      <c r="B315" s="52"/>
      <c r="C315" s="53"/>
      <c r="D315" s="153"/>
      <c r="E315" s="78"/>
      <c r="F315" s="133"/>
      <c r="G315" s="54"/>
      <c r="H315" s="109"/>
      <c r="I315" s="109"/>
      <c r="J315" s="55"/>
      <c r="K315" s="110"/>
      <c r="L315" s="110"/>
      <c r="M315" s="55"/>
      <c r="N315" s="110"/>
      <c r="O315" s="110"/>
      <c r="P315" s="57"/>
      <c r="Q315" s="111"/>
      <c r="R315" s="111"/>
      <c r="S315" s="58"/>
      <c r="T315" s="112"/>
      <c r="U315" s="112"/>
      <c r="V315" s="59"/>
      <c r="W315" s="113"/>
      <c r="X315" s="113"/>
      <c r="Y315" s="54"/>
      <c r="Z315" s="109"/>
      <c r="AA315" s="109"/>
      <c r="AB315" s="55"/>
      <c r="AC315" s="110"/>
      <c r="AD315" s="110"/>
      <c r="AE315" s="96"/>
      <c r="AF315" s="97"/>
      <c r="AG315" s="98"/>
      <c r="AH315" s="99"/>
    </row>
    <row r="316" spans="1:34" x14ac:dyDescent="0.25">
      <c r="A316" s="10" t="str">
        <f t="shared" si="4"/>
        <v/>
      </c>
      <c r="B316" s="52"/>
      <c r="C316" s="53"/>
      <c r="D316" s="153"/>
      <c r="E316" s="78"/>
      <c r="F316" s="133"/>
      <c r="G316" s="54"/>
      <c r="H316" s="109"/>
      <c r="I316" s="109"/>
      <c r="J316" s="55"/>
      <c r="K316" s="110"/>
      <c r="L316" s="110"/>
      <c r="M316" s="55"/>
      <c r="N316" s="110"/>
      <c r="O316" s="110"/>
      <c r="P316" s="57"/>
      <c r="Q316" s="111"/>
      <c r="R316" s="111"/>
      <c r="S316" s="58"/>
      <c r="T316" s="112"/>
      <c r="U316" s="112"/>
      <c r="V316" s="59"/>
      <c r="W316" s="113"/>
      <c r="X316" s="113"/>
      <c r="Y316" s="54"/>
      <c r="Z316" s="109"/>
      <c r="AA316" s="109"/>
      <c r="AB316" s="55"/>
      <c r="AC316" s="110"/>
      <c r="AD316" s="110"/>
      <c r="AE316" s="96"/>
      <c r="AF316" s="97"/>
      <c r="AG316" s="98"/>
      <c r="AH316" s="99"/>
    </row>
    <row r="317" spans="1:34" x14ac:dyDescent="0.25">
      <c r="A317" s="10" t="str">
        <f t="shared" si="4"/>
        <v/>
      </c>
      <c r="B317" s="52"/>
      <c r="C317" s="53"/>
      <c r="D317" s="153"/>
      <c r="E317" s="78"/>
      <c r="F317" s="133"/>
      <c r="G317" s="54"/>
      <c r="H317" s="109"/>
      <c r="I317" s="109"/>
      <c r="J317" s="55"/>
      <c r="K317" s="110"/>
      <c r="L317" s="110"/>
      <c r="M317" s="55"/>
      <c r="N317" s="110"/>
      <c r="O317" s="110"/>
      <c r="P317" s="57"/>
      <c r="Q317" s="111"/>
      <c r="R317" s="111"/>
      <c r="S317" s="58"/>
      <c r="T317" s="112"/>
      <c r="U317" s="112"/>
      <c r="V317" s="59"/>
      <c r="W317" s="113"/>
      <c r="X317" s="113"/>
      <c r="Y317" s="54"/>
      <c r="Z317" s="109"/>
      <c r="AA317" s="109"/>
      <c r="AB317" s="55"/>
      <c r="AC317" s="110"/>
      <c r="AD317" s="110"/>
      <c r="AE317" s="96"/>
      <c r="AF317" s="97"/>
      <c r="AG317" s="98"/>
      <c r="AH317" s="99"/>
    </row>
    <row r="318" spans="1:34" x14ac:dyDescent="0.25">
      <c r="A318" s="10" t="str">
        <f t="shared" si="4"/>
        <v/>
      </c>
      <c r="B318" s="52"/>
      <c r="C318" s="53"/>
      <c r="D318" s="153"/>
      <c r="E318" s="78"/>
      <c r="F318" s="133"/>
      <c r="G318" s="54"/>
      <c r="H318" s="109"/>
      <c r="I318" s="109"/>
      <c r="J318" s="55"/>
      <c r="K318" s="110"/>
      <c r="L318" s="110"/>
      <c r="M318" s="55"/>
      <c r="N318" s="110"/>
      <c r="O318" s="110"/>
      <c r="P318" s="57"/>
      <c r="Q318" s="111"/>
      <c r="R318" s="111"/>
      <c r="S318" s="58"/>
      <c r="T318" s="112"/>
      <c r="U318" s="112"/>
      <c r="V318" s="59"/>
      <c r="W318" s="113"/>
      <c r="X318" s="113"/>
      <c r="Y318" s="54"/>
      <c r="Z318" s="109"/>
      <c r="AA318" s="109"/>
      <c r="AB318" s="55"/>
      <c r="AC318" s="110"/>
      <c r="AD318" s="110"/>
      <c r="AE318" s="96"/>
      <c r="AF318" s="97"/>
      <c r="AG318" s="98"/>
      <c r="AH318" s="99"/>
    </row>
    <row r="319" spans="1:34" x14ac:dyDescent="0.25">
      <c r="A319" s="10" t="str">
        <f t="shared" si="4"/>
        <v/>
      </c>
      <c r="B319" s="52"/>
      <c r="C319" s="53"/>
      <c r="D319" s="153"/>
      <c r="E319" s="78"/>
      <c r="F319" s="133"/>
      <c r="G319" s="54"/>
      <c r="H319" s="109"/>
      <c r="I319" s="109"/>
      <c r="J319" s="55"/>
      <c r="K319" s="110"/>
      <c r="L319" s="110"/>
      <c r="M319" s="55"/>
      <c r="N319" s="110"/>
      <c r="O319" s="110"/>
      <c r="P319" s="57"/>
      <c r="Q319" s="111"/>
      <c r="R319" s="111"/>
      <c r="S319" s="58"/>
      <c r="T319" s="112"/>
      <c r="U319" s="112"/>
      <c r="V319" s="59"/>
      <c r="W319" s="113"/>
      <c r="X319" s="113"/>
      <c r="Y319" s="54"/>
      <c r="Z319" s="109"/>
      <c r="AA319" s="109"/>
      <c r="AB319" s="55"/>
      <c r="AC319" s="110"/>
      <c r="AD319" s="110"/>
      <c r="AE319" s="96"/>
      <c r="AF319" s="97"/>
      <c r="AG319" s="98"/>
      <c r="AH319" s="99"/>
    </row>
    <row r="320" spans="1:34" x14ac:dyDescent="0.25">
      <c r="A320" s="10" t="str">
        <f t="shared" si="4"/>
        <v/>
      </c>
      <c r="B320" s="52"/>
      <c r="C320" s="53"/>
      <c r="D320" s="153"/>
      <c r="E320" s="78"/>
      <c r="F320" s="133"/>
      <c r="G320" s="54"/>
      <c r="H320" s="109"/>
      <c r="I320" s="109"/>
      <c r="J320" s="55"/>
      <c r="K320" s="110"/>
      <c r="L320" s="110"/>
      <c r="M320" s="55"/>
      <c r="N320" s="110"/>
      <c r="O320" s="110"/>
      <c r="P320" s="57"/>
      <c r="Q320" s="111"/>
      <c r="R320" s="111"/>
      <c r="S320" s="58"/>
      <c r="T320" s="112"/>
      <c r="U320" s="112"/>
      <c r="V320" s="59"/>
      <c r="W320" s="113"/>
      <c r="X320" s="113"/>
      <c r="Y320" s="54"/>
      <c r="Z320" s="109"/>
      <c r="AA320" s="109"/>
      <c r="AB320" s="55"/>
      <c r="AC320" s="110"/>
      <c r="AD320" s="110"/>
      <c r="AE320" s="96"/>
      <c r="AF320" s="97"/>
      <c r="AG320" s="98"/>
      <c r="AH320" s="99"/>
    </row>
    <row r="321" spans="1:34" x14ac:dyDescent="0.25">
      <c r="A321" s="10" t="str">
        <f t="shared" si="4"/>
        <v/>
      </c>
      <c r="B321" s="52"/>
      <c r="C321" s="53"/>
      <c r="D321" s="153"/>
      <c r="E321" s="78"/>
      <c r="F321" s="133"/>
      <c r="G321" s="54"/>
      <c r="H321" s="109"/>
      <c r="I321" s="109"/>
      <c r="J321" s="55"/>
      <c r="K321" s="110"/>
      <c r="L321" s="110"/>
      <c r="M321" s="55"/>
      <c r="N321" s="110"/>
      <c r="O321" s="110"/>
      <c r="P321" s="57"/>
      <c r="Q321" s="111"/>
      <c r="R321" s="111"/>
      <c r="S321" s="58"/>
      <c r="T321" s="112"/>
      <c r="U321" s="112"/>
      <c r="V321" s="59"/>
      <c r="W321" s="113"/>
      <c r="X321" s="113"/>
      <c r="Y321" s="54"/>
      <c r="Z321" s="109"/>
      <c r="AA321" s="109"/>
      <c r="AB321" s="55"/>
      <c r="AC321" s="110"/>
      <c r="AD321" s="110"/>
      <c r="AE321" s="96"/>
      <c r="AF321" s="97"/>
      <c r="AG321" s="98"/>
      <c r="AH321" s="99"/>
    </row>
    <row r="322" spans="1:34" x14ac:dyDescent="0.25">
      <c r="A322" s="10" t="str">
        <f t="shared" si="4"/>
        <v/>
      </c>
      <c r="B322" s="52"/>
      <c r="C322" s="53"/>
      <c r="D322" s="153"/>
      <c r="E322" s="78"/>
      <c r="F322" s="133"/>
      <c r="G322" s="54"/>
      <c r="H322" s="109"/>
      <c r="I322" s="109"/>
      <c r="J322" s="55"/>
      <c r="K322" s="110"/>
      <c r="L322" s="110"/>
      <c r="M322" s="55"/>
      <c r="N322" s="110"/>
      <c r="O322" s="110"/>
      <c r="P322" s="57"/>
      <c r="Q322" s="111"/>
      <c r="R322" s="111"/>
      <c r="S322" s="58"/>
      <c r="T322" s="112"/>
      <c r="U322" s="112"/>
      <c r="V322" s="59"/>
      <c r="W322" s="113"/>
      <c r="X322" s="113"/>
      <c r="Y322" s="54"/>
      <c r="Z322" s="109"/>
      <c r="AA322" s="109"/>
      <c r="AB322" s="55"/>
      <c r="AC322" s="110"/>
      <c r="AD322" s="110"/>
      <c r="AE322" s="96"/>
      <c r="AF322" s="97"/>
      <c r="AG322" s="98"/>
      <c r="AH322" s="99"/>
    </row>
    <row r="323" spans="1:34" x14ac:dyDescent="0.25">
      <c r="A323" s="10" t="str">
        <f t="shared" si="4"/>
        <v/>
      </c>
      <c r="B323" s="52"/>
      <c r="C323" s="53"/>
      <c r="D323" s="153"/>
      <c r="E323" s="78"/>
      <c r="F323" s="133"/>
      <c r="G323" s="54"/>
      <c r="H323" s="109"/>
      <c r="I323" s="109"/>
      <c r="J323" s="55"/>
      <c r="K323" s="110"/>
      <c r="L323" s="110"/>
      <c r="M323" s="55"/>
      <c r="N323" s="110"/>
      <c r="O323" s="110"/>
      <c r="P323" s="57"/>
      <c r="Q323" s="111"/>
      <c r="R323" s="111"/>
      <c r="S323" s="58"/>
      <c r="T323" s="112"/>
      <c r="U323" s="112"/>
      <c r="V323" s="59"/>
      <c r="W323" s="113"/>
      <c r="X323" s="113"/>
      <c r="Y323" s="54"/>
      <c r="Z323" s="109"/>
      <c r="AA323" s="109"/>
      <c r="AB323" s="55"/>
      <c r="AC323" s="110"/>
      <c r="AD323" s="110"/>
      <c r="AE323" s="96"/>
      <c r="AF323" s="97"/>
      <c r="AG323" s="98"/>
      <c r="AH323" s="99"/>
    </row>
    <row r="324" spans="1:34" x14ac:dyDescent="0.25">
      <c r="A324" s="10" t="str">
        <f t="shared" si="4"/>
        <v/>
      </c>
      <c r="B324" s="52"/>
      <c r="C324" s="53"/>
      <c r="D324" s="153"/>
      <c r="E324" s="78"/>
      <c r="F324" s="133"/>
      <c r="G324" s="54"/>
      <c r="H324" s="109"/>
      <c r="I324" s="109"/>
      <c r="J324" s="55"/>
      <c r="K324" s="110"/>
      <c r="L324" s="110"/>
      <c r="M324" s="55"/>
      <c r="N324" s="110"/>
      <c r="O324" s="110"/>
      <c r="P324" s="57"/>
      <c r="Q324" s="111"/>
      <c r="R324" s="111"/>
      <c r="S324" s="58"/>
      <c r="T324" s="112"/>
      <c r="U324" s="112"/>
      <c r="V324" s="59"/>
      <c r="W324" s="113"/>
      <c r="X324" s="113"/>
      <c r="Y324" s="54"/>
      <c r="Z324" s="109"/>
      <c r="AA324" s="109"/>
      <c r="AB324" s="55"/>
      <c r="AC324" s="110"/>
      <c r="AD324" s="110"/>
      <c r="AE324" s="96"/>
      <c r="AF324" s="97"/>
      <c r="AG324" s="98"/>
      <c r="AH324" s="99"/>
    </row>
    <row r="325" spans="1:34" x14ac:dyDescent="0.25">
      <c r="A325" s="10" t="str">
        <f t="shared" ref="A325:A388" si="5">IF(COUNTA(G325:AD325)/3=0,"",COUNTA(G325:AD325)/3)</f>
        <v/>
      </c>
      <c r="B325" s="52"/>
      <c r="C325" s="53"/>
      <c r="D325" s="153"/>
      <c r="E325" s="78"/>
      <c r="F325" s="133"/>
      <c r="G325" s="54"/>
      <c r="H325" s="109"/>
      <c r="I325" s="109"/>
      <c r="J325" s="55"/>
      <c r="K325" s="110"/>
      <c r="L325" s="110"/>
      <c r="M325" s="55"/>
      <c r="N325" s="110"/>
      <c r="O325" s="110"/>
      <c r="P325" s="57"/>
      <c r="Q325" s="111"/>
      <c r="R325" s="111"/>
      <c r="S325" s="58"/>
      <c r="T325" s="112"/>
      <c r="U325" s="112"/>
      <c r="V325" s="59"/>
      <c r="W325" s="113"/>
      <c r="X325" s="113"/>
      <c r="Y325" s="54"/>
      <c r="Z325" s="109"/>
      <c r="AA325" s="109"/>
      <c r="AB325" s="55"/>
      <c r="AC325" s="110"/>
      <c r="AD325" s="110"/>
      <c r="AE325" s="96"/>
      <c r="AF325" s="97"/>
      <c r="AG325" s="98"/>
      <c r="AH325" s="99"/>
    </row>
    <row r="326" spans="1:34" x14ac:dyDescent="0.25">
      <c r="A326" s="10" t="str">
        <f t="shared" si="5"/>
        <v/>
      </c>
      <c r="B326" s="52"/>
      <c r="C326" s="53"/>
      <c r="D326" s="153"/>
      <c r="E326" s="78"/>
      <c r="F326" s="133"/>
      <c r="G326" s="54"/>
      <c r="H326" s="109"/>
      <c r="I326" s="109"/>
      <c r="J326" s="55"/>
      <c r="K326" s="110"/>
      <c r="L326" s="110"/>
      <c r="M326" s="55"/>
      <c r="N326" s="110"/>
      <c r="O326" s="110"/>
      <c r="P326" s="57"/>
      <c r="Q326" s="111"/>
      <c r="R326" s="111"/>
      <c r="S326" s="58"/>
      <c r="T326" s="112"/>
      <c r="U326" s="112"/>
      <c r="V326" s="59"/>
      <c r="W326" s="113"/>
      <c r="X326" s="113"/>
      <c r="Y326" s="54"/>
      <c r="Z326" s="109"/>
      <c r="AA326" s="109"/>
      <c r="AB326" s="55"/>
      <c r="AC326" s="110"/>
      <c r="AD326" s="110"/>
      <c r="AE326" s="96"/>
      <c r="AF326" s="97"/>
      <c r="AG326" s="98"/>
      <c r="AH326" s="99"/>
    </row>
    <row r="327" spans="1:34" x14ac:dyDescent="0.25">
      <c r="A327" s="10" t="str">
        <f t="shared" si="5"/>
        <v/>
      </c>
      <c r="B327" s="52"/>
      <c r="C327" s="53"/>
      <c r="D327" s="153"/>
      <c r="E327" s="78"/>
      <c r="F327" s="133"/>
      <c r="G327" s="54"/>
      <c r="H327" s="109"/>
      <c r="I327" s="109"/>
      <c r="J327" s="55"/>
      <c r="K327" s="110"/>
      <c r="L327" s="110"/>
      <c r="M327" s="55"/>
      <c r="N327" s="110"/>
      <c r="O327" s="110"/>
      <c r="P327" s="57"/>
      <c r="Q327" s="111"/>
      <c r="R327" s="111"/>
      <c r="S327" s="58"/>
      <c r="T327" s="112"/>
      <c r="U327" s="112"/>
      <c r="V327" s="59"/>
      <c r="W327" s="113"/>
      <c r="X327" s="113"/>
      <c r="Y327" s="54"/>
      <c r="Z327" s="109"/>
      <c r="AA327" s="109"/>
      <c r="AB327" s="55"/>
      <c r="AC327" s="110"/>
      <c r="AD327" s="110"/>
      <c r="AE327" s="96"/>
      <c r="AF327" s="97"/>
      <c r="AG327" s="98"/>
      <c r="AH327" s="99"/>
    </row>
    <row r="328" spans="1:34" x14ac:dyDescent="0.25">
      <c r="A328" s="10" t="str">
        <f t="shared" si="5"/>
        <v/>
      </c>
      <c r="B328" s="52"/>
      <c r="C328" s="53"/>
      <c r="D328" s="153"/>
      <c r="E328" s="78"/>
      <c r="F328" s="133"/>
      <c r="G328" s="54"/>
      <c r="H328" s="109"/>
      <c r="I328" s="109"/>
      <c r="J328" s="55"/>
      <c r="K328" s="110"/>
      <c r="L328" s="110"/>
      <c r="M328" s="55"/>
      <c r="N328" s="110"/>
      <c r="O328" s="110"/>
      <c r="P328" s="57"/>
      <c r="Q328" s="111"/>
      <c r="R328" s="111"/>
      <c r="S328" s="58"/>
      <c r="T328" s="112"/>
      <c r="U328" s="112"/>
      <c r="V328" s="59"/>
      <c r="W328" s="113"/>
      <c r="X328" s="113"/>
      <c r="Y328" s="54"/>
      <c r="Z328" s="109"/>
      <c r="AA328" s="109"/>
      <c r="AB328" s="55"/>
      <c r="AC328" s="110"/>
      <c r="AD328" s="110"/>
      <c r="AE328" s="96"/>
      <c r="AF328" s="97"/>
      <c r="AG328" s="98"/>
      <c r="AH328" s="99"/>
    </row>
    <row r="329" spans="1:34" x14ac:dyDescent="0.25">
      <c r="A329" s="10" t="str">
        <f t="shared" si="5"/>
        <v/>
      </c>
      <c r="B329" s="52"/>
      <c r="C329" s="53"/>
      <c r="D329" s="153"/>
      <c r="E329" s="78"/>
      <c r="F329" s="133"/>
      <c r="G329" s="54"/>
      <c r="H329" s="109"/>
      <c r="I329" s="109"/>
      <c r="J329" s="55"/>
      <c r="K329" s="110"/>
      <c r="L329" s="110"/>
      <c r="M329" s="55"/>
      <c r="N329" s="110"/>
      <c r="O329" s="110"/>
      <c r="P329" s="57"/>
      <c r="Q329" s="111"/>
      <c r="R329" s="111"/>
      <c r="S329" s="58"/>
      <c r="T329" s="112"/>
      <c r="U329" s="112"/>
      <c r="V329" s="59"/>
      <c r="W329" s="113"/>
      <c r="X329" s="113"/>
      <c r="Y329" s="54"/>
      <c r="Z329" s="109"/>
      <c r="AA329" s="109"/>
      <c r="AB329" s="55"/>
      <c r="AC329" s="110"/>
      <c r="AD329" s="110"/>
      <c r="AE329" s="96"/>
      <c r="AF329" s="97"/>
      <c r="AG329" s="98"/>
      <c r="AH329" s="99"/>
    </row>
    <row r="330" spans="1:34" x14ac:dyDescent="0.25">
      <c r="A330" s="10" t="str">
        <f t="shared" si="5"/>
        <v/>
      </c>
      <c r="B330" s="52"/>
      <c r="C330" s="53"/>
      <c r="D330" s="153"/>
      <c r="E330" s="78"/>
      <c r="F330" s="133"/>
      <c r="G330" s="54"/>
      <c r="H330" s="109"/>
      <c r="I330" s="109"/>
      <c r="J330" s="55"/>
      <c r="K330" s="110"/>
      <c r="L330" s="110"/>
      <c r="M330" s="55"/>
      <c r="N330" s="110"/>
      <c r="O330" s="110"/>
      <c r="P330" s="57"/>
      <c r="Q330" s="111"/>
      <c r="R330" s="111"/>
      <c r="S330" s="58"/>
      <c r="T330" s="112"/>
      <c r="U330" s="112"/>
      <c r="V330" s="59"/>
      <c r="W330" s="113"/>
      <c r="X330" s="113"/>
      <c r="Y330" s="54"/>
      <c r="Z330" s="109"/>
      <c r="AA330" s="109"/>
      <c r="AB330" s="55"/>
      <c r="AC330" s="110"/>
      <c r="AD330" s="110"/>
      <c r="AE330" s="96"/>
      <c r="AF330" s="97"/>
      <c r="AG330" s="98"/>
      <c r="AH330" s="99"/>
    </row>
    <row r="331" spans="1:34" x14ac:dyDescent="0.25">
      <c r="A331" s="10" t="str">
        <f t="shared" si="5"/>
        <v/>
      </c>
      <c r="B331" s="52"/>
      <c r="C331" s="53"/>
      <c r="D331" s="153"/>
      <c r="E331" s="78"/>
      <c r="F331" s="133"/>
      <c r="G331" s="54"/>
      <c r="H331" s="109"/>
      <c r="I331" s="109"/>
      <c r="J331" s="55"/>
      <c r="K331" s="110"/>
      <c r="L331" s="110"/>
      <c r="M331" s="55"/>
      <c r="N331" s="110"/>
      <c r="O331" s="110"/>
      <c r="P331" s="57"/>
      <c r="Q331" s="111"/>
      <c r="R331" s="111"/>
      <c r="S331" s="58"/>
      <c r="T331" s="112"/>
      <c r="U331" s="112"/>
      <c r="V331" s="59"/>
      <c r="W331" s="113"/>
      <c r="X331" s="113"/>
      <c r="Y331" s="54"/>
      <c r="Z331" s="109"/>
      <c r="AA331" s="109"/>
      <c r="AB331" s="55"/>
      <c r="AC331" s="110"/>
      <c r="AD331" s="110"/>
      <c r="AE331" s="96"/>
      <c r="AF331" s="97"/>
      <c r="AG331" s="98"/>
      <c r="AH331" s="99"/>
    </row>
    <row r="332" spans="1:34" x14ac:dyDescent="0.25">
      <c r="A332" s="10" t="str">
        <f t="shared" si="5"/>
        <v/>
      </c>
      <c r="B332" s="52"/>
      <c r="C332" s="53"/>
      <c r="D332" s="153"/>
      <c r="E332" s="78"/>
      <c r="F332" s="133"/>
      <c r="G332" s="54"/>
      <c r="H332" s="109"/>
      <c r="I332" s="109"/>
      <c r="J332" s="55"/>
      <c r="K332" s="110"/>
      <c r="L332" s="110"/>
      <c r="M332" s="55"/>
      <c r="N332" s="110"/>
      <c r="O332" s="110"/>
      <c r="P332" s="57"/>
      <c r="Q332" s="111"/>
      <c r="R332" s="111"/>
      <c r="S332" s="58"/>
      <c r="T332" s="112"/>
      <c r="U332" s="112"/>
      <c r="V332" s="59"/>
      <c r="W332" s="113"/>
      <c r="X332" s="113"/>
      <c r="Y332" s="54"/>
      <c r="Z332" s="109"/>
      <c r="AA332" s="109"/>
      <c r="AB332" s="55"/>
      <c r="AC332" s="110"/>
      <c r="AD332" s="110"/>
      <c r="AE332" s="96"/>
      <c r="AF332" s="97"/>
      <c r="AG332" s="98"/>
      <c r="AH332" s="99"/>
    </row>
    <row r="333" spans="1:34" x14ac:dyDescent="0.25">
      <c r="A333" s="10" t="str">
        <f t="shared" si="5"/>
        <v/>
      </c>
      <c r="B333" s="52"/>
      <c r="C333" s="53"/>
      <c r="D333" s="153"/>
      <c r="E333" s="78"/>
      <c r="F333" s="133"/>
      <c r="G333" s="54"/>
      <c r="H333" s="109"/>
      <c r="I333" s="109"/>
      <c r="J333" s="55"/>
      <c r="K333" s="110"/>
      <c r="L333" s="110"/>
      <c r="M333" s="55"/>
      <c r="N333" s="110"/>
      <c r="O333" s="110"/>
      <c r="P333" s="57"/>
      <c r="Q333" s="111"/>
      <c r="R333" s="111"/>
      <c r="S333" s="58"/>
      <c r="T333" s="112"/>
      <c r="U333" s="112"/>
      <c r="V333" s="59"/>
      <c r="W333" s="113"/>
      <c r="X333" s="113"/>
      <c r="Y333" s="54"/>
      <c r="Z333" s="109"/>
      <c r="AA333" s="109"/>
      <c r="AB333" s="55"/>
      <c r="AC333" s="110"/>
      <c r="AD333" s="110"/>
      <c r="AE333" s="96"/>
      <c r="AF333" s="97"/>
      <c r="AG333" s="98"/>
      <c r="AH333" s="99"/>
    </row>
    <row r="334" spans="1:34" x14ac:dyDescent="0.25">
      <c r="A334" s="10" t="str">
        <f t="shared" si="5"/>
        <v/>
      </c>
      <c r="B334" s="52"/>
      <c r="C334" s="53"/>
      <c r="D334" s="153"/>
      <c r="E334" s="78"/>
      <c r="F334" s="133"/>
      <c r="G334" s="54"/>
      <c r="H334" s="109"/>
      <c r="I334" s="109"/>
      <c r="J334" s="55"/>
      <c r="K334" s="110"/>
      <c r="L334" s="110"/>
      <c r="M334" s="55"/>
      <c r="N334" s="110"/>
      <c r="O334" s="110"/>
      <c r="P334" s="57"/>
      <c r="Q334" s="111"/>
      <c r="R334" s="111"/>
      <c r="S334" s="58"/>
      <c r="T334" s="112"/>
      <c r="U334" s="112"/>
      <c r="V334" s="59"/>
      <c r="W334" s="113"/>
      <c r="X334" s="113"/>
      <c r="Y334" s="54"/>
      <c r="Z334" s="109"/>
      <c r="AA334" s="109"/>
      <c r="AB334" s="55"/>
      <c r="AC334" s="110"/>
      <c r="AD334" s="110"/>
      <c r="AE334" s="96"/>
      <c r="AF334" s="97"/>
      <c r="AG334" s="98"/>
      <c r="AH334" s="99"/>
    </row>
    <row r="335" spans="1:34" x14ac:dyDescent="0.25">
      <c r="A335" s="10" t="str">
        <f t="shared" si="5"/>
        <v/>
      </c>
      <c r="B335" s="52"/>
      <c r="C335" s="53"/>
      <c r="D335" s="153"/>
      <c r="E335" s="78"/>
      <c r="F335" s="133"/>
      <c r="G335" s="54"/>
      <c r="H335" s="109"/>
      <c r="I335" s="109"/>
      <c r="J335" s="55"/>
      <c r="K335" s="110"/>
      <c r="L335" s="110"/>
      <c r="M335" s="55"/>
      <c r="N335" s="110"/>
      <c r="O335" s="110"/>
      <c r="P335" s="57"/>
      <c r="Q335" s="111"/>
      <c r="R335" s="111"/>
      <c r="S335" s="58"/>
      <c r="T335" s="112"/>
      <c r="U335" s="112"/>
      <c r="V335" s="59"/>
      <c r="W335" s="113"/>
      <c r="X335" s="113"/>
      <c r="Y335" s="54"/>
      <c r="Z335" s="109"/>
      <c r="AA335" s="109"/>
      <c r="AB335" s="55"/>
      <c r="AC335" s="110"/>
      <c r="AD335" s="110"/>
      <c r="AE335" s="96"/>
      <c r="AF335" s="97"/>
      <c r="AG335" s="98"/>
      <c r="AH335" s="99"/>
    </row>
    <row r="336" spans="1:34" x14ac:dyDescent="0.25">
      <c r="A336" s="10" t="str">
        <f t="shared" si="5"/>
        <v/>
      </c>
      <c r="B336" s="52"/>
      <c r="C336" s="53"/>
      <c r="D336" s="153"/>
      <c r="E336" s="78"/>
      <c r="F336" s="133"/>
      <c r="G336" s="54"/>
      <c r="H336" s="109"/>
      <c r="I336" s="109"/>
      <c r="J336" s="55"/>
      <c r="K336" s="110"/>
      <c r="L336" s="110"/>
      <c r="M336" s="55"/>
      <c r="N336" s="110"/>
      <c r="O336" s="110"/>
      <c r="P336" s="57"/>
      <c r="Q336" s="111"/>
      <c r="R336" s="111"/>
      <c r="S336" s="58"/>
      <c r="T336" s="112"/>
      <c r="U336" s="112"/>
      <c r="V336" s="59"/>
      <c r="W336" s="113"/>
      <c r="X336" s="113"/>
      <c r="Y336" s="54"/>
      <c r="Z336" s="109"/>
      <c r="AA336" s="109"/>
      <c r="AB336" s="55"/>
      <c r="AC336" s="110"/>
      <c r="AD336" s="110"/>
      <c r="AE336" s="96"/>
      <c r="AF336" s="97"/>
      <c r="AG336" s="98"/>
      <c r="AH336" s="99"/>
    </row>
    <row r="337" spans="1:34" x14ac:dyDescent="0.25">
      <c r="A337" s="10" t="str">
        <f t="shared" si="5"/>
        <v/>
      </c>
      <c r="B337" s="52"/>
      <c r="C337" s="53"/>
      <c r="D337" s="153"/>
      <c r="E337" s="78"/>
      <c r="F337" s="133"/>
      <c r="G337" s="54"/>
      <c r="H337" s="109"/>
      <c r="I337" s="109"/>
      <c r="J337" s="55"/>
      <c r="K337" s="110"/>
      <c r="L337" s="110"/>
      <c r="M337" s="55"/>
      <c r="N337" s="110"/>
      <c r="O337" s="110"/>
      <c r="P337" s="57"/>
      <c r="Q337" s="111"/>
      <c r="R337" s="111"/>
      <c r="S337" s="58"/>
      <c r="T337" s="112"/>
      <c r="U337" s="112"/>
      <c r="V337" s="59"/>
      <c r="W337" s="113"/>
      <c r="X337" s="113"/>
      <c r="Y337" s="54"/>
      <c r="Z337" s="109"/>
      <c r="AA337" s="109"/>
      <c r="AB337" s="55"/>
      <c r="AC337" s="110"/>
      <c r="AD337" s="110"/>
      <c r="AE337" s="96"/>
      <c r="AF337" s="97"/>
      <c r="AG337" s="98"/>
      <c r="AH337" s="99"/>
    </row>
    <row r="338" spans="1:34" x14ac:dyDescent="0.25">
      <c r="A338" s="10" t="str">
        <f t="shared" si="5"/>
        <v/>
      </c>
      <c r="B338" s="52"/>
      <c r="C338" s="53"/>
      <c r="D338" s="153"/>
      <c r="E338" s="78"/>
      <c r="F338" s="133"/>
      <c r="G338" s="54"/>
      <c r="H338" s="109"/>
      <c r="I338" s="109"/>
      <c r="J338" s="55"/>
      <c r="K338" s="110"/>
      <c r="L338" s="110"/>
      <c r="M338" s="55"/>
      <c r="N338" s="110"/>
      <c r="O338" s="110"/>
      <c r="P338" s="57"/>
      <c r="Q338" s="111"/>
      <c r="R338" s="111"/>
      <c r="S338" s="58"/>
      <c r="T338" s="112"/>
      <c r="U338" s="112"/>
      <c r="V338" s="59"/>
      <c r="W338" s="113"/>
      <c r="X338" s="113"/>
      <c r="Y338" s="54"/>
      <c r="Z338" s="109"/>
      <c r="AA338" s="109"/>
      <c r="AB338" s="55"/>
      <c r="AC338" s="110"/>
      <c r="AD338" s="110"/>
      <c r="AE338" s="96"/>
      <c r="AF338" s="97"/>
      <c r="AG338" s="98"/>
      <c r="AH338" s="99"/>
    </row>
    <row r="339" spans="1:34" x14ac:dyDescent="0.25">
      <c r="A339" s="10" t="str">
        <f t="shared" si="5"/>
        <v/>
      </c>
      <c r="B339" s="52"/>
      <c r="C339" s="53"/>
      <c r="D339" s="153"/>
      <c r="E339" s="78"/>
      <c r="F339" s="133"/>
      <c r="G339" s="54"/>
      <c r="H339" s="109"/>
      <c r="I339" s="109"/>
      <c r="J339" s="55"/>
      <c r="K339" s="110"/>
      <c r="L339" s="110"/>
      <c r="M339" s="55"/>
      <c r="N339" s="110"/>
      <c r="O339" s="110"/>
      <c r="P339" s="57"/>
      <c r="Q339" s="111"/>
      <c r="R339" s="111"/>
      <c r="S339" s="58"/>
      <c r="T339" s="112"/>
      <c r="U339" s="112"/>
      <c r="V339" s="59"/>
      <c r="W339" s="113"/>
      <c r="X339" s="113"/>
      <c r="Y339" s="54"/>
      <c r="Z339" s="109"/>
      <c r="AA339" s="109"/>
      <c r="AB339" s="55"/>
      <c r="AC339" s="110"/>
      <c r="AD339" s="110"/>
      <c r="AE339" s="96"/>
      <c r="AF339" s="97"/>
      <c r="AG339" s="98"/>
      <c r="AH339" s="99"/>
    </row>
    <row r="340" spans="1:34" x14ac:dyDescent="0.25">
      <c r="A340" s="10" t="str">
        <f t="shared" si="5"/>
        <v/>
      </c>
      <c r="B340" s="52"/>
      <c r="C340" s="53"/>
      <c r="D340" s="153"/>
      <c r="E340" s="78"/>
      <c r="F340" s="133"/>
      <c r="G340" s="54"/>
      <c r="H340" s="109"/>
      <c r="I340" s="109"/>
      <c r="J340" s="55"/>
      <c r="K340" s="110"/>
      <c r="L340" s="110"/>
      <c r="M340" s="55"/>
      <c r="N340" s="110"/>
      <c r="O340" s="110"/>
      <c r="P340" s="57"/>
      <c r="Q340" s="111"/>
      <c r="R340" s="111"/>
      <c r="S340" s="58"/>
      <c r="T340" s="112"/>
      <c r="U340" s="112"/>
      <c r="V340" s="59"/>
      <c r="W340" s="113"/>
      <c r="X340" s="113"/>
      <c r="Y340" s="54"/>
      <c r="Z340" s="109"/>
      <c r="AA340" s="109"/>
      <c r="AB340" s="55"/>
      <c r="AC340" s="110"/>
      <c r="AD340" s="110"/>
      <c r="AE340" s="96"/>
      <c r="AF340" s="97"/>
      <c r="AG340" s="98"/>
      <c r="AH340" s="99"/>
    </row>
    <row r="341" spans="1:34" x14ac:dyDescent="0.25">
      <c r="A341" s="10" t="str">
        <f t="shared" si="5"/>
        <v/>
      </c>
      <c r="B341" s="52"/>
      <c r="C341" s="53"/>
      <c r="D341" s="153"/>
      <c r="E341" s="78"/>
      <c r="F341" s="133"/>
      <c r="G341" s="54"/>
      <c r="H341" s="109"/>
      <c r="I341" s="109"/>
      <c r="J341" s="55"/>
      <c r="K341" s="110"/>
      <c r="L341" s="110"/>
      <c r="M341" s="55"/>
      <c r="N341" s="110"/>
      <c r="O341" s="110"/>
      <c r="P341" s="57"/>
      <c r="Q341" s="111"/>
      <c r="R341" s="111"/>
      <c r="S341" s="58"/>
      <c r="T341" s="112"/>
      <c r="U341" s="112"/>
      <c r="V341" s="59"/>
      <c r="W341" s="113"/>
      <c r="X341" s="113"/>
      <c r="Y341" s="54"/>
      <c r="Z341" s="109"/>
      <c r="AA341" s="109"/>
      <c r="AB341" s="55"/>
      <c r="AC341" s="110"/>
      <c r="AD341" s="110"/>
      <c r="AE341" s="96"/>
      <c r="AF341" s="97"/>
      <c r="AG341" s="98"/>
      <c r="AH341" s="99"/>
    </row>
    <row r="342" spans="1:34" x14ac:dyDescent="0.25">
      <c r="A342" s="10" t="str">
        <f t="shared" si="5"/>
        <v/>
      </c>
      <c r="B342" s="52"/>
      <c r="C342" s="53"/>
      <c r="D342" s="153"/>
      <c r="E342" s="78"/>
      <c r="F342" s="133"/>
      <c r="G342" s="54"/>
      <c r="H342" s="109"/>
      <c r="I342" s="109"/>
      <c r="J342" s="55"/>
      <c r="K342" s="110"/>
      <c r="L342" s="110"/>
      <c r="M342" s="55"/>
      <c r="N342" s="110"/>
      <c r="O342" s="110"/>
      <c r="P342" s="57"/>
      <c r="Q342" s="111"/>
      <c r="R342" s="111"/>
      <c r="S342" s="58"/>
      <c r="T342" s="112"/>
      <c r="U342" s="112"/>
      <c r="V342" s="59"/>
      <c r="W342" s="113"/>
      <c r="X342" s="113"/>
      <c r="Y342" s="54"/>
      <c r="Z342" s="109"/>
      <c r="AA342" s="109"/>
      <c r="AB342" s="55"/>
      <c r="AC342" s="110"/>
      <c r="AD342" s="110"/>
      <c r="AE342" s="96"/>
      <c r="AF342" s="97"/>
      <c r="AG342" s="98"/>
      <c r="AH342" s="99"/>
    </row>
    <row r="343" spans="1:34" x14ac:dyDescent="0.25">
      <c r="A343" s="10" t="str">
        <f t="shared" si="5"/>
        <v/>
      </c>
      <c r="B343" s="52"/>
      <c r="C343" s="53"/>
      <c r="D343" s="153"/>
      <c r="E343" s="78"/>
      <c r="F343" s="133"/>
      <c r="G343" s="54"/>
      <c r="H343" s="109"/>
      <c r="I343" s="109"/>
      <c r="J343" s="55"/>
      <c r="K343" s="110"/>
      <c r="L343" s="110"/>
      <c r="M343" s="55"/>
      <c r="N343" s="110"/>
      <c r="O343" s="110"/>
      <c r="P343" s="57"/>
      <c r="Q343" s="111"/>
      <c r="R343" s="111"/>
      <c r="S343" s="58"/>
      <c r="T343" s="112"/>
      <c r="U343" s="112"/>
      <c r="V343" s="59"/>
      <c r="W343" s="113"/>
      <c r="X343" s="113"/>
      <c r="Y343" s="54"/>
      <c r="Z343" s="109"/>
      <c r="AA343" s="109"/>
      <c r="AB343" s="55"/>
      <c r="AC343" s="110"/>
      <c r="AD343" s="110"/>
      <c r="AE343" s="96"/>
      <c r="AF343" s="97"/>
      <c r="AG343" s="98"/>
      <c r="AH343" s="99"/>
    </row>
    <row r="344" spans="1:34" x14ac:dyDescent="0.25">
      <c r="A344" s="10" t="str">
        <f t="shared" si="5"/>
        <v/>
      </c>
      <c r="B344" s="52"/>
      <c r="C344" s="53"/>
      <c r="D344" s="153"/>
      <c r="E344" s="78"/>
      <c r="F344" s="133"/>
      <c r="G344" s="54"/>
      <c r="H344" s="109"/>
      <c r="I344" s="109"/>
      <c r="J344" s="55"/>
      <c r="K344" s="110"/>
      <c r="L344" s="110"/>
      <c r="M344" s="55"/>
      <c r="N344" s="110"/>
      <c r="O344" s="110"/>
      <c r="P344" s="57"/>
      <c r="Q344" s="111"/>
      <c r="R344" s="111"/>
      <c r="S344" s="58"/>
      <c r="T344" s="112"/>
      <c r="U344" s="112"/>
      <c r="V344" s="59"/>
      <c r="W344" s="113"/>
      <c r="X344" s="113"/>
      <c r="Y344" s="54"/>
      <c r="Z344" s="109"/>
      <c r="AA344" s="109"/>
      <c r="AB344" s="55"/>
      <c r="AC344" s="110"/>
      <c r="AD344" s="110"/>
      <c r="AE344" s="96"/>
      <c r="AF344" s="97"/>
      <c r="AG344" s="98"/>
      <c r="AH344" s="99"/>
    </row>
    <row r="345" spans="1:34" x14ac:dyDescent="0.25">
      <c r="A345" s="10" t="str">
        <f t="shared" si="5"/>
        <v/>
      </c>
      <c r="B345" s="52"/>
      <c r="C345" s="53"/>
      <c r="D345" s="153"/>
      <c r="E345" s="78"/>
      <c r="F345" s="133"/>
      <c r="G345" s="54"/>
      <c r="H345" s="109"/>
      <c r="I345" s="109"/>
      <c r="J345" s="55"/>
      <c r="K345" s="110"/>
      <c r="L345" s="110"/>
      <c r="M345" s="55"/>
      <c r="N345" s="110"/>
      <c r="O345" s="110"/>
      <c r="P345" s="57"/>
      <c r="Q345" s="111"/>
      <c r="R345" s="111"/>
      <c r="S345" s="58"/>
      <c r="T345" s="112"/>
      <c r="U345" s="112"/>
      <c r="V345" s="59"/>
      <c r="W345" s="113"/>
      <c r="X345" s="113"/>
      <c r="Y345" s="54"/>
      <c r="Z345" s="109"/>
      <c r="AA345" s="109"/>
      <c r="AB345" s="55"/>
      <c r="AC345" s="110"/>
      <c r="AD345" s="110"/>
      <c r="AE345" s="96"/>
      <c r="AF345" s="97"/>
      <c r="AG345" s="98"/>
      <c r="AH345" s="99"/>
    </row>
    <row r="346" spans="1:34" x14ac:dyDescent="0.25">
      <c r="A346" s="10" t="str">
        <f t="shared" si="5"/>
        <v/>
      </c>
      <c r="B346" s="52"/>
      <c r="C346" s="53"/>
      <c r="D346" s="153"/>
      <c r="E346" s="78"/>
      <c r="F346" s="133"/>
      <c r="G346" s="54"/>
      <c r="H346" s="109"/>
      <c r="I346" s="109"/>
      <c r="J346" s="55"/>
      <c r="K346" s="110"/>
      <c r="L346" s="110"/>
      <c r="M346" s="55"/>
      <c r="N346" s="110"/>
      <c r="O346" s="110"/>
      <c r="P346" s="57"/>
      <c r="Q346" s="111"/>
      <c r="R346" s="111"/>
      <c r="S346" s="58"/>
      <c r="T346" s="112"/>
      <c r="U346" s="112"/>
      <c r="V346" s="59"/>
      <c r="W346" s="113"/>
      <c r="X346" s="113"/>
      <c r="Y346" s="54"/>
      <c r="Z346" s="109"/>
      <c r="AA346" s="109"/>
      <c r="AB346" s="55"/>
      <c r="AC346" s="110"/>
      <c r="AD346" s="110"/>
      <c r="AE346" s="96"/>
      <c r="AF346" s="97"/>
      <c r="AG346" s="98"/>
      <c r="AH346" s="99"/>
    </row>
    <row r="347" spans="1:34" x14ac:dyDescent="0.25">
      <c r="A347" s="10" t="str">
        <f t="shared" si="5"/>
        <v/>
      </c>
      <c r="B347" s="52"/>
      <c r="C347" s="53"/>
      <c r="D347" s="153"/>
      <c r="E347" s="78"/>
      <c r="F347" s="133"/>
      <c r="G347" s="54"/>
      <c r="H347" s="109"/>
      <c r="I347" s="109"/>
      <c r="J347" s="55"/>
      <c r="K347" s="110"/>
      <c r="L347" s="110"/>
      <c r="M347" s="55"/>
      <c r="N347" s="110"/>
      <c r="O347" s="110"/>
      <c r="P347" s="57"/>
      <c r="Q347" s="111"/>
      <c r="R347" s="111"/>
      <c r="S347" s="58"/>
      <c r="T347" s="112"/>
      <c r="U347" s="112"/>
      <c r="V347" s="59"/>
      <c r="W347" s="113"/>
      <c r="X347" s="113"/>
      <c r="Y347" s="54"/>
      <c r="Z347" s="109"/>
      <c r="AA347" s="109"/>
      <c r="AB347" s="55"/>
      <c r="AC347" s="110"/>
      <c r="AD347" s="110"/>
      <c r="AE347" s="96"/>
      <c r="AF347" s="97"/>
      <c r="AG347" s="98"/>
      <c r="AH347" s="99"/>
    </row>
    <row r="348" spans="1:34" x14ac:dyDescent="0.25">
      <c r="A348" s="10" t="str">
        <f t="shared" si="5"/>
        <v/>
      </c>
      <c r="B348" s="52"/>
      <c r="C348" s="53"/>
      <c r="D348" s="153"/>
      <c r="E348" s="78"/>
      <c r="F348" s="133"/>
      <c r="G348" s="54"/>
      <c r="H348" s="109"/>
      <c r="I348" s="109"/>
      <c r="J348" s="55"/>
      <c r="K348" s="110"/>
      <c r="L348" s="110"/>
      <c r="M348" s="55"/>
      <c r="N348" s="110"/>
      <c r="O348" s="110"/>
      <c r="P348" s="57"/>
      <c r="Q348" s="111"/>
      <c r="R348" s="111"/>
      <c r="S348" s="58"/>
      <c r="T348" s="112"/>
      <c r="U348" s="112"/>
      <c r="V348" s="59"/>
      <c r="W348" s="113"/>
      <c r="X348" s="113"/>
      <c r="Y348" s="54"/>
      <c r="Z348" s="109"/>
      <c r="AA348" s="109"/>
      <c r="AB348" s="55"/>
      <c r="AC348" s="110"/>
      <c r="AD348" s="110"/>
      <c r="AE348" s="96"/>
      <c r="AF348" s="97"/>
      <c r="AG348" s="98"/>
      <c r="AH348" s="99"/>
    </row>
    <row r="349" spans="1:34" x14ac:dyDescent="0.25">
      <c r="A349" s="10" t="str">
        <f t="shared" si="5"/>
        <v/>
      </c>
      <c r="B349" s="52"/>
      <c r="C349" s="53"/>
      <c r="D349" s="153"/>
      <c r="E349" s="78"/>
      <c r="F349" s="133"/>
      <c r="G349" s="54"/>
      <c r="H349" s="109"/>
      <c r="I349" s="109"/>
      <c r="J349" s="55"/>
      <c r="K349" s="110"/>
      <c r="L349" s="110"/>
      <c r="M349" s="55"/>
      <c r="N349" s="110"/>
      <c r="O349" s="110"/>
      <c r="P349" s="57"/>
      <c r="Q349" s="111"/>
      <c r="R349" s="111"/>
      <c r="S349" s="58"/>
      <c r="T349" s="112"/>
      <c r="U349" s="112"/>
      <c r="V349" s="59"/>
      <c r="W349" s="113"/>
      <c r="X349" s="113"/>
      <c r="Y349" s="54"/>
      <c r="Z349" s="109"/>
      <c r="AA349" s="109"/>
      <c r="AB349" s="55"/>
      <c r="AC349" s="110"/>
      <c r="AD349" s="110"/>
      <c r="AE349" s="96"/>
      <c r="AF349" s="97"/>
      <c r="AG349" s="98"/>
      <c r="AH349" s="99"/>
    </row>
    <row r="350" spans="1:34" x14ac:dyDescent="0.25">
      <c r="A350" s="10" t="str">
        <f t="shared" si="5"/>
        <v/>
      </c>
      <c r="B350" s="52"/>
      <c r="C350" s="53"/>
      <c r="D350" s="153"/>
      <c r="E350" s="78"/>
      <c r="F350" s="133"/>
      <c r="G350" s="54"/>
      <c r="H350" s="109"/>
      <c r="I350" s="109"/>
      <c r="J350" s="55"/>
      <c r="K350" s="110"/>
      <c r="L350" s="110"/>
      <c r="M350" s="55"/>
      <c r="N350" s="110"/>
      <c r="O350" s="110"/>
      <c r="P350" s="57"/>
      <c r="Q350" s="111"/>
      <c r="R350" s="111"/>
      <c r="S350" s="58"/>
      <c r="T350" s="112"/>
      <c r="U350" s="112"/>
      <c r="V350" s="59"/>
      <c r="W350" s="113"/>
      <c r="X350" s="113"/>
      <c r="Y350" s="54"/>
      <c r="Z350" s="109"/>
      <c r="AA350" s="109"/>
      <c r="AB350" s="55"/>
      <c r="AC350" s="110"/>
      <c r="AD350" s="110"/>
      <c r="AE350" s="96"/>
      <c r="AF350" s="97"/>
      <c r="AG350" s="98"/>
      <c r="AH350" s="99"/>
    </row>
    <row r="351" spans="1:34" x14ac:dyDescent="0.25">
      <c r="A351" s="10" t="str">
        <f t="shared" si="5"/>
        <v/>
      </c>
      <c r="B351" s="52"/>
      <c r="C351" s="53"/>
      <c r="D351" s="153"/>
      <c r="E351" s="78"/>
      <c r="F351" s="133"/>
      <c r="G351" s="54"/>
      <c r="H351" s="109"/>
      <c r="I351" s="109"/>
      <c r="J351" s="55"/>
      <c r="K351" s="110"/>
      <c r="L351" s="110"/>
      <c r="M351" s="55"/>
      <c r="N351" s="110"/>
      <c r="O351" s="110"/>
      <c r="P351" s="57"/>
      <c r="Q351" s="111"/>
      <c r="R351" s="111"/>
      <c r="S351" s="58"/>
      <c r="T351" s="112"/>
      <c r="U351" s="112"/>
      <c r="V351" s="59"/>
      <c r="W351" s="113"/>
      <c r="X351" s="113"/>
      <c r="Y351" s="54"/>
      <c r="Z351" s="109"/>
      <c r="AA351" s="109"/>
      <c r="AB351" s="55"/>
      <c r="AC351" s="110"/>
      <c r="AD351" s="110"/>
      <c r="AE351" s="96"/>
      <c r="AF351" s="97"/>
      <c r="AG351" s="98"/>
      <c r="AH351" s="99"/>
    </row>
    <row r="352" spans="1:34" x14ac:dyDescent="0.25">
      <c r="A352" s="10" t="str">
        <f t="shared" si="5"/>
        <v/>
      </c>
      <c r="B352" s="52"/>
      <c r="C352" s="53"/>
      <c r="D352" s="153"/>
      <c r="E352" s="78"/>
      <c r="F352" s="133"/>
      <c r="G352" s="54"/>
      <c r="H352" s="109"/>
      <c r="I352" s="109"/>
      <c r="J352" s="55"/>
      <c r="K352" s="110"/>
      <c r="L352" s="110"/>
      <c r="M352" s="55"/>
      <c r="N352" s="110"/>
      <c r="O352" s="110"/>
      <c r="P352" s="57"/>
      <c r="Q352" s="111"/>
      <c r="R352" s="111"/>
      <c r="S352" s="58"/>
      <c r="T352" s="112"/>
      <c r="U352" s="112"/>
      <c r="V352" s="59"/>
      <c r="W352" s="113"/>
      <c r="X352" s="113"/>
      <c r="Y352" s="54"/>
      <c r="Z352" s="109"/>
      <c r="AA352" s="109"/>
      <c r="AB352" s="55"/>
      <c r="AC352" s="110"/>
      <c r="AD352" s="110"/>
      <c r="AE352" s="96"/>
      <c r="AF352" s="97"/>
      <c r="AG352" s="98"/>
      <c r="AH352" s="99"/>
    </row>
    <row r="353" spans="1:34" x14ac:dyDescent="0.25">
      <c r="A353" s="10" t="str">
        <f t="shared" si="5"/>
        <v/>
      </c>
      <c r="B353" s="52"/>
      <c r="C353" s="53"/>
      <c r="D353" s="153"/>
      <c r="E353" s="78"/>
      <c r="F353" s="133"/>
      <c r="G353" s="54"/>
      <c r="H353" s="109"/>
      <c r="I353" s="109"/>
      <c r="J353" s="55"/>
      <c r="K353" s="110"/>
      <c r="L353" s="110"/>
      <c r="M353" s="55"/>
      <c r="N353" s="110"/>
      <c r="O353" s="110"/>
      <c r="P353" s="57"/>
      <c r="Q353" s="111"/>
      <c r="R353" s="111"/>
      <c r="S353" s="58"/>
      <c r="T353" s="112"/>
      <c r="U353" s="112"/>
      <c r="V353" s="59"/>
      <c r="W353" s="113"/>
      <c r="X353" s="113"/>
      <c r="Y353" s="54"/>
      <c r="Z353" s="109"/>
      <c r="AA353" s="109"/>
      <c r="AB353" s="55"/>
      <c r="AC353" s="110"/>
      <c r="AD353" s="110"/>
      <c r="AE353" s="96"/>
      <c r="AF353" s="97"/>
      <c r="AG353" s="98"/>
      <c r="AH353" s="99"/>
    </row>
    <row r="354" spans="1:34" x14ac:dyDescent="0.25">
      <c r="A354" s="10" t="str">
        <f t="shared" si="5"/>
        <v/>
      </c>
      <c r="B354" s="52"/>
      <c r="C354" s="53"/>
      <c r="D354" s="153"/>
      <c r="E354" s="78"/>
      <c r="F354" s="133"/>
      <c r="G354" s="54"/>
      <c r="H354" s="109"/>
      <c r="I354" s="109"/>
      <c r="J354" s="55"/>
      <c r="K354" s="110"/>
      <c r="L354" s="110"/>
      <c r="M354" s="55"/>
      <c r="N354" s="110"/>
      <c r="O354" s="110"/>
      <c r="P354" s="57"/>
      <c r="Q354" s="111"/>
      <c r="R354" s="111"/>
      <c r="S354" s="58"/>
      <c r="T354" s="112"/>
      <c r="U354" s="112"/>
      <c r="V354" s="59"/>
      <c r="W354" s="113"/>
      <c r="X354" s="113"/>
      <c r="Y354" s="54"/>
      <c r="Z354" s="109"/>
      <c r="AA354" s="109"/>
      <c r="AB354" s="55"/>
      <c r="AC354" s="110"/>
      <c r="AD354" s="110"/>
      <c r="AE354" s="96"/>
      <c r="AF354" s="97"/>
      <c r="AG354" s="98"/>
      <c r="AH354" s="99"/>
    </row>
    <row r="355" spans="1:34" x14ac:dyDescent="0.25">
      <c r="A355" s="10" t="str">
        <f t="shared" si="5"/>
        <v/>
      </c>
      <c r="B355" s="52"/>
      <c r="C355" s="53"/>
      <c r="D355" s="153"/>
      <c r="E355" s="78"/>
      <c r="F355" s="133"/>
      <c r="G355" s="54"/>
      <c r="H355" s="109"/>
      <c r="I355" s="109"/>
      <c r="J355" s="55"/>
      <c r="K355" s="110"/>
      <c r="L355" s="110"/>
      <c r="M355" s="55"/>
      <c r="N355" s="110"/>
      <c r="O355" s="110"/>
      <c r="P355" s="57"/>
      <c r="Q355" s="111"/>
      <c r="R355" s="111"/>
      <c r="S355" s="58"/>
      <c r="T355" s="112"/>
      <c r="U355" s="112"/>
      <c r="V355" s="59"/>
      <c r="W355" s="113"/>
      <c r="X355" s="113"/>
      <c r="Y355" s="54"/>
      <c r="Z355" s="109"/>
      <c r="AA355" s="109"/>
      <c r="AB355" s="55"/>
      <c r="AC355" s="110"/>
      <c r="AD355" s="110"/>
      <c r="AE355" s="96"/>
      <c r="AF355" s="97"/>
      <c r="AG355" s="98"/>
      <c r="AH355" s="99"/>
    </row>
    <row r="356" spans="1:34" x14ac:dyDescent="0.25">
      <c r="A356" s="10" t="str">
        <f t="shared" si="5"/>
        <v/>
      </c>
      <c r="B356" s="52"/>
      <c r="C356" s="53"/>
      <c r="D356" s="153"/>
      <c r="E356" s="78"/>
      <c r="F356" s="133"/>
      <c r="G356" s="54"/>
      <c r="H356" s="109"/>
      <c r="I356" s="109"/>
      <c r="J356" s="55"/>
      <c r="K356" s="110"/>
      <c r="L356" s="110"/>
      <c r="M356" s="55"/>
      <c r="N356" s="110"/>
      <c r="O356" s="110"/>
      <c r="P356" s="57"/>
      <c r="Q356" s="111"/>
      <c r="R356" s="111"/>
      <c r="S356" s="58"/>
      <c r="T356" s="112"/>
      <c r="U356" s="112"/>
      <c r="V356" s="59"/>
      <c r="W356" s="113"/>
      <c r="X356" s="113"/>
      <c r="Y356" s="54"/>
      <c r="Z356" s="109"/>
      <c r="AA356" s="109"/>
      <c r="AB356" s="55"/>
      <c r="AC356" s="110"/>
      <c r="AD356" s="110"/>
      <c r="AE356" s="96"/>
      <c r="AF356" s="97"/>
      <c r="AG356" s="98"/>
      <c r="AH356" s="99"/>
    </row>
    <row r="357" spans="1:34" x14ac:dyDescent="0.25">
      <c r="A357" s="10" t="str">
        <f t="shared" si="5"/>
        <v/>
      </c>
      <c r="B357" s="52"/>
      <c r="C357" s="53"/>
      <c r="D357" s="153"/>
      <c r="E357" s="78"/>
      <c r="F357" s="133"/>
      <c r="G357" s="54"/>
      <c r="H357" s="109"/>
      <c r="I357" s="109"/>
      <c r="J357" s="55"/>
      <c r="K357" s="110"/>
      <c r="L357" s="110"/>
      <c r="M357" s="55"/>
      <c r="N357" s="110"/>
      <c r="O357" s="110"/>
      <c r="P357" s="57"/>
      <c r="Q357" s="111"/>
      <c r="R357" s="111"/>
      <c r="S357" s="58"/>
      <c r="T357" s="112"/>
      <c r="U357" s="112"/>
      <c r="V357" s="59"/>
      <c r="W357" s="113"/>
      <c r="X357" s="113"/>
      <c r="Y357" s="54"/>
      <c r="Z357" s="109"/>
      <c r="AA357" s="109"/>
      <c r="AB357" s="55"/>
      <c r="AC357" s="110"/>
      <c r="AD357" s="110"/>
      <c r="AE357" s="96"/>
      <c r="AF357" s="97"/>
      <c r="AG357" s="98"/>
      <c r="AH357" s="99"/>
    </row>
    <row r="358" spans="1:34" x14ac:dyDescent="0.25">
      <c r="A358" s="10" t="str">
        <f t="shared" si="5"/>
        <v/>
      </c>
      <c r="B358" s="52"/>
      <c r="C358" s="53"/>
      <c r="D358" s="153"/>
      <c r="E358" s="78"/>
      <c r="F358" s="133"/>
      <c r="G358" s="54"/>
      <c r="H358" s="109"/>
      <c r="I358" s="109"/>
      <c r="J358" s="55"/>
      <c r="K358" s="110"/>
      <c r="L358" s="110"/>
      <c r="M358" s="55"/>
      <c r="N358" s="110"/>
      <c r="O358" s="110"/>
      <c r="P358" s="57"/>
      <c r="Q358" s="111"/>
      <c r="R358" s="111"/>
      <c r="S358" s="58"/>
      <c r="T358" s="112"/>
      <c r="U358" s="112"/>
      <c r="V358" s="59"/>
      <c r="W358" s="113"/>
      <c r="X358" s="113"/>
      <c r="Y358" s="54"/>
      <c r="Z358" s="109"/>
      <c r="AA358" s="109"/>
      <c r="AB358" s="55"/>
      <c r="AC358" s="110"/>
      <c r="AD358" s="110"/>
      <c r="AE358" s="96"/>
      <c r="AF358" s="97"/>
      <c r="AG358" s="98"/>
      <c r="AH358" s="99"/>
    </row>
    <row r="359" spans="1:34" x14ac:dyDescent="0.25">
      <c r="A359" s="10" t="str">
        <f t="shared" si="5"/>
        <v/>
      </c>
      <c r="B359" s="52"/>
      <c r="C359" s="53"/>
      <c r="D359" s="153"/>
      <c r="E359" s="78"/>
      <c r="F359" s="133"/>
      <c r="G359" s="54"/>
      <c r="H359" s="109"/>
      <c r="I359" s="109"/>
      <c r="J359" s="55"/>
      <c r="K359" s="110"/>
      <c r="L359" s="110"/>
      <c r="M359" s="55"/>
      <c r="N359" s="110"/>
      <c r="O359" s="110"/>
      <c r="P359" s="57"/>
      <c r="Q359" s="111"/>
      <c r="R359" s="111"/>
      <c r="S359" s="58"/>
      <c r="T359" s="112"/>
      <c r="U359" s="112"/>
      <c r="V359" s="59"/>
      <c r="W359" s="113"/>
      <c r="X359" s="113"/>
      <c r="Y359" s="54"/>
      <c r="Z359" s="109"/>
      <c r="AA359" s="109"/>
      <c r="AB359" s="55"/>
      <c r="AC359" s="110"/>
      <c r="AD359" s="110"/>
      <c r="AE359" s="96"/>
      <c r="AF359" s="97"/>
      <c r="AG359" s="98"/>
      <c r="AH359" s="99"/>
    </row>
    <row r="360" spans="1:34" x14ac:dyDescent="0.25">
      <c r="A360" s="10" t="str">
        <f t="shared" si="5"/>
        <v/>
      </c>
      <c r="B360" s="52"/>
      <c r="C360" s="53"/>
      <c r="D360" s="153"/>
      <c r="E360" s="78"/>
      <c r="F360" s="133"/>
      <c r="G360" s="54"/>
      <c r="H360" s="109"/>
      <c r="I360" s="109"/>
      <c r="J360" s="55"/>
      <c r="K360" s="110"/>
      <c r="L360" s="110"/>
      <c r="M360" s="55"/>
      <c r="N360" s="110"/>
      <c r="O360" s="110"/>
      <c r="P360" s="57"/>
      <c r="Q360" s="111"/>
      <c r="R360" s="111"/>
      <c r="S360" s="58"/>
      <c r="T360" s="112"/>
      <c r="U360" s="112"/>
      <c r="V360" s="59"/>
      <c r="W360" s="113"/>
      <c r="X360" s="113"/>
      <c r="Y360" s="54"/>
      <c r="Z360" s="109"/>
      <c r="AA360" s="109"/>
      <c r="AB360" s="55"/>
      <c r="AC360" s="110"/>
      <c r="AD360" s="110"/>
      <c r="AE360" s="96"/>
      <c r="AF360" s="97"/>
      <c r="AG360" s="98"/>
      <c r="AH360" s="99"/>
    </row>
    <row r="361" spans="1:34" x14ac:dyDescent="0.25">
      <c r="A361" s="10" t="str">
        <f t="shared" si="5"/>
        <v/>
      </c>
      <c r="B361" s="52"/>
      <c r="C361" s="53"/>
      <c r="D361" s="153"/>
      <c r="E361" s="78"/>
      <c r="F361" s="133"/>
      <c r="G361" s="54"/>
      <c r="H361" s="109"/>
      <c r="I361" s="109"/>
      <c r="J361" s="55"/>
      <c r="K361" s="110"/>
      <c r="L361" s="110"/>
      <c r="M361" s="55"/>
      <c r="N361" s="110"/>
      <c r="O361" s="110"/>
      <c r="P361" s="57"/>
      <c r="Q361" s="111"/>
      <c r="R361" s="111"/>
      <c r="S361" s="58"/>
      <c r="T361" s="112"/>
      <c r="U361" s="112"/>
      <c r="V361" s="59"/>
      <c r="W361" s="113"/>
      <c r="X361" s="113"/>
      <c r="Y361" s="54"/>
      <c r="Z361" s="109"/>
      <c r="AA361" s="109"/>
      <c r="AB361" s="55"/>
      <c r="AC361" s="110"/>
      <c r="AD361" s="110"/>
      <c r="AE361" s="96"/>
      <c r="AF361" s="97"/>
      <c r="AG361" s="98"/>
      <c r="AH361" s="99"/>
    </row>
    <row r="362" spans="1:34" x14ac:dyDescent="0.25">
      <c r="A362" s="10" t="str">
        <f t="shared" si="5"/>
        <v/>
      </c>
      <c r="B362" s="52"/>
      <c r="C362" s="53"/>
      <c r="D362" s="153"/>
      <c r="E362" s="78"/>
      <c r="F362" s="133"/>
      <c r="G362" s="54"/>
      <c r="H362" s="109"/>
      <c r="I362" s="109"/>
      <c r="J362" s="55"/>
      <c r="K362" s="110"/>
      <c r="L362" s="110"/>
      <c r="M362" s="55"/>
      <c r="N362" s="110"/>
      <c r="O362" s="110"/>
      <c r="P362" s="57"/>
      <c r="Q362" s="111"/>
      <c r="R362" s="111"/>
      <c r="S362" s="58"/>
      <c r="T362" s="112"/>
      <c r="U362" s="112"/>
      <c r="V362" s="59"/>
      <c r="W362" s="113"/>
      <c r="X362" s="113"/>
      <c r="Y362" s="54"/>
      <c r="Z362" s="109"/>
      <c r="AA362" s="109"/>
      <c r="AB362" s="55"/>
      <c r="AC362" s="110"/>
      <c r="AD362" s="110"/>
      <c r="AE362" s="96"/>
      <c r="AF362" s="97"/>
      <c r="AG362" s="98"/>
      <c r="AH362" s="99"/>
    </row>
    <row r="363" spans="1:34" x14ac:dyDescent="0.25">
      <c r="A363" s="10" t="str">
        <f t="shared" si="5"/>
        <v/>
      </c>
      <c r="B363" s="52"/>
      <c r="C363" s="53"/>
      <c r="D363" s="153"/>
      <c r="E363" s="78"/>
      <c r="F363" s="133"/>
      <c r="G363" s="54"/>
      <c r="H363" s="109"/>
      <c r="I363" s="109"/>
      <c r="J363" s="55"/>
      <c r="K363" s="110"/>
      <c r="L363" s="110"/>
      <c r="M363" s="55"/>
      <c r="N363" s="110"/>
      <c r="O363" s="110"/>
      <c r="P363" s="57"/>
      <c r="Q363" s="111"/>
      <c r="R363" s="111"/>
      <c r="S363" s="58"/>
      <c r="T363" s="112"/>
      <c r="U363" s="112"/>
      <c r="V363" s="59"/>
      <c r="W363" s="113"/>
      <c r="X363" s="113"/>
      <c r="Y363" s="54"/>
      <c r="Z363" s="109"/>
      <c r="AA363" s="109"/>
      <c r="AB363" s="55"/>
      <c r="AC363" s="110"/>
      <c r="AD363" s="110"/>
      <c r="AE363" s="96"/>
      <c r="AF363" s="97"/>
      <c r="AG363" s="98"/>
      <c r="AH363" s="99"/>
    </row>
    <row r="364" spans="1:34" x14ac:dyDescent="0.25">
      <c r="A364" s="10" t="str">
        <f t="shared" si="5"/>
        <v/>
      </c>
      <c r="B364" s="52"/>
      <c r="C364" s="53"/>
      <c r="D364" s="153"/>
      <c r="E364" s="78"/>
      <c r="F364" s="133"/>
      <c r="G364" s="54"/>
      <c r="H364" s="109"/>
      <c r="I364" s="109"/>
      <c r="J364" s="55"/>
      <c r="K364" s="110"/>
      <c r="L364" s="110"/>
      <c r="M364" s="55"/>
      <c r="N364" s="110"/>
      <c r="O364" s="110"/>
      <c r="P364" s="57"/>
      <c r="Q364" s="111"/>
      <c r="R364" s="111"/>
      <c r="S364" s="58"/>
      <c r="T364" s="112"/>
      <c r="U364" s="112"/>
      <c r="V364" s="59"/>
      <c r="W364" s="113"/>
      <c r="X364" s="113"/>
      <c r="Y364" s="54"/>
      <c r="Z364" s="109"/>
      <c r="AA364" s="109"/>
      <c r="AB364" s="55"/>
      <c r="AC364" s="110"/>
      <c r="AD364" s="110"/>
      <c r="AE364" s="96"/>
      <c r="AF364" s="97"/>
      <c r="AG364" s="98"/>
      <c r="AH364" s="99"/>
    </row>
    <row r="365" spans="1:34" x14ac:dyDescent="0.25">
      <c r="A365" s="10" t="str">
        <f t="shared" si="5"/>
        <v/>
      </c>
      <c r="B365" s="52"/>
      <c r="C365" s="53"/>
      <c r="D365" s="153"/>
      <c r="E365" s="78"/>
      <c r="F365" s="133"/>
      <c r="G365" s="54"/>
      <c r="H365" s="109"/>
      <c r="I365" s="109"/>
      <c r="J365" s="55"/>
      <c r="K365" s="110"/>
      <c r="L365" s="110"/>
      <c r="M365" s="55"/>
      <c r="N365" s="110"/>
      <c r="O365" s="110"/>
      <c r="P365" s="57"/>
      <c r="Q365" s="111"/>
      <c r="R365" s="111"/>
      <c r="S365" s="58"/>
      <c r="T365" s="112"/>
      <c r="U365" s="112"/>
      <c r="V365" s="59"/>
      <c r="W365" s="113"/>
      <c r="X365" s="113"/>
      <c r="Y365" s="54"/>
      <c r="Z365" s="109"/>
      <c r="AA365" s="109"/>
      <c r="AB365" s="55"/>
      <c r="AC365" s="110"/>
      <c r="AD365" s="110"/>
      <c r="AE365" s="96"/>
      <c r="AF365" s="97"/>
      <c r="AG365" s="98"/>
      <c r="AH365" s="99"/>
    </row>
    <row r="366" spans="1:34" x14ac:dyDescent="0.25">
      <c r="A366" s="10" t="str">
        <f t="shared" si="5"/>
        <v/>
      </c>
      <c r="B366" s="52"/>
      <c r="C366" s="53"/>
      <c r="D366" s="153"/>
      <c r="E366" s="78"/>
      <c r="F366" s="133"/>
      <c r="G366" s="54"/>
      <c r="H366" s="109"/>
      <c r="I366" s="109"/>
      <c r="J366" s="55"/>
      <c r="K366" s="110"/>
      <c r="L366" s="110"/>
      <c r="M366" s="55"/>
      <c r="N366" s="110"/>
      <c r="O366" s="110"/>
      <c r="P366" s="57"/>
      <c r="Q366" s="111"/>
      <c r="R366" s="111"/>
      <c r="S366" s="58"/>
      <c r="T366" s="112"/>
      <c r="U366" s="112"/>
      <c r="V366" s="59"/>
      <c r="W366" s="113"/>
      <c r="X366" s="113"/>
      <c r="Y366" s="54"/>
      <c r="Z366" s="109"/>
      <c r="AA366" s="109"/>
      <c r="AB366" s="55"/>
      <c r="AC366" s="110"/>
      <c r="AD366" s="110"/>
      <c r="AE366" s="96"/>
      <c r="AF366" s="97"/>
      <c r="AG366" s="98"/>
      <c r="AH366" s="99"/>
    </row>
    <row r="367" spans="1:34" x14ac:dyDescent="0.25">
      <c r="A367" s="10" t="str">
        <f t="shared" si="5"/>
        <v/>
      </c>
      <c r="B367" s="52"/>
      <c r="C367" s="53"/>
      <c r="D367" s="153"/>
      <c r="E367" s="78"/>
      <c r="F367" s="133"/>
      <c r="G367" s="54"/>
      <c r="H367" s="109"/>
      <c r="I367" s="109"/>
      <c r="J367" s="55"/>
      <c r="K367" s="110"/>
      <c r="L367" s="110"/>
      <c r="M367" s="55"/>
      <c r="N367" s="110"/>
      <c r="O367" s="110"/>
      <c r="P367" s="57"/>
      <c r="Q367" s="111"/>
      <c r="R367" s="111"/>
      <c r="S367" s="58"/>
      <c r="T367" s="112"/>
      <c r="U367" s="112"/>
      <c r="V367" s="59"/>
      <c r="W367" s="113"/>
      <c r="X367" s="113"/>
      <c r="Y367" s="54"/>
      <c r="Z367" s="109"/>
      <c r="AA367" s="109"/>
      <c r="AB367" s="55"/>
      <c r="AC367" s="110"/>
      <c r="AD367" s="110"/>
      <c r="AE367" s="96"/>
      <c r="AF367" s="97"/>
      <c r="AG367" s="98"/>
      <c r="AH367" s="99"/>
    </row>
    <row r="368" spans="1:34" x14ac:dyDescent="0.25">
      <c r="A368" s="10" t="str">
        <f t="shared" si="5"/>
        <v/>
      </c>
      <c r="B368" s="52"/>
      <c r="C368" s="53"/>
      <c r="D368" s="153"/>
      <c r="E368" s="78"/>
      <c r="F368" s="133"/>
      <c r="G368" s="54"/>
      <c r="H368" s="109"/>
      <c r="I368" s="109"/>
      <c r="J368" s="55"/>
      <c r="K368" s="110"/>
      <c r="L368" s="110"/>
      <c r="M368" s="55"/>
      <c r="N368" s="110"/>
      <c r="O368" s="110"/>
      <c r="P368" s="57"/>
      <c r="Q368" s="111"/>
      <c r="R368" s="111"/>
      <c r="S368" s="58"/>
      <c r="T368" s="112"/>
      <c r="U368" s="112"/>
      <c r="V368" s="59"/>
      <c r="W368" s="113"/>
      <c r="X368" s="113"/>
      <c r="Y368" s="54"/>
      <c r="Z368" s="109"/>
      <c r="AA368" s="109"/>
      <c r="AB368" s="55"/>
      <c r="AC368" s="110"/>
      <c r="AD368" s="110"/>
      <c r="AE368" s="96"/>
      <c r="AF368" s="97"/>
      <c r="AG368" s="98"/>
      <c r="AH368" s="99"/>
    </row>
    <row r="369" spans="1:34" x14ac:dyDescent="0.25">
      <c r="A369" s="10" t="str">
        <f t="shared" si="5"/>
        <v/>
      </c>
      <c r="B369" s="52"/>
      <c r="C369" s="53"/>
      <c r="D369" s="153"/>
      <c r="E369" s="78"/>
      <c r="F369" s="133"/>
      <c r="G369" s="54"/>
      <c r="H369" s="109"/>
      <c r="I369" s="109"/>
      <c r="J369" s="55"/>
      <c r="K369" s="110"/>
      <c r="L369" s="110"/>
      <c r="M369" s="55"/>
      <c r="N369" s="110"/>
      <c r="O369" s="110"/>
      <c r="P369" s="57"/>
      <c r="Q369" s="111"/>
      <c r="R369" s="111"/>
      <c r="S369" s="58"/>
      <c r="T369" s="112"/>
      <c r="U369" s="112"/>
      <c r="V369" s="59"/>
      <c r="W369" s="113"/>
      <c r="X369" s="113"/>
      <c r="Y369" s="54"/>
      <c r="Z369" s="109"/>
      <c r="AA369" s="109"/>
      <c r="AB369" s="55"/>
      <c r="AC369" s="110"/>
      <c r="AD369" s="110"/>
      <c r="AE369" s="96"/>
      <c r="AF369" s="97"/>
      <c r="AG369" s="98"/>
      <c r="AH369" s="99"/>
    </row>
    <row r="370" spans="1:34" x14ac:dyDescent="0.25">
      <c r="A370" s="10" t="str">
        <f t="shared" si="5"/>
        <v/>
      </c>
      <c r="B370" s="52"/>
      <c r="C370" s="53"/>
      <c r="D370" s="153"/>
      <c r="E370" s="78"/>
      <c r="F370" s="133"/>
      <c r="G370" s="54"/>
      <c r="H370" s="109"/>
      <c r="I370" s="109"/>
      <c r="J370" s="55"/>
      <c r="K370" s="110"/>
      <c r="L370" s="110"/>
      <c r="M370" s="55"/>
      <c r="N370" s="110"/>
      <c r="O370" s="110"/>
      <c r="P370" s="57"/>
      <c r="Q370" s="111"/>
      <c r="R370" s="111"/>
      <c r="S370" s="58"/>
      <c r="T370" s="112"/>
      <c r="U370" s="112"/>
      <c r="V370" s="59"/>
      <c r="W370" s="113"/>
      <c r="X370" s="113"/>
      <c r="Y370" s="54"/>
      <c r="Z370" s="109"/>
      <c r="AA370" s="109"/>
      <c r="AB370" s="55"/>
      <c r="AC370" s="110"/>
      <c r="AD370" s="110"/>
      <c r="AE370" s="96"/>
      <c r="AF370" s="97"/>
      <c r="AG370" s="98"/>
      <c r="AH370" s="99"/>
    </row>
    <row r="371" spans="1:34" x14ac:dyDescent="0.25">
      <c r="A371" s="10" t="str">
        <f t="shared" si="5"/>
        <v/>
      </c>
      <c r="B371" s="52"/>
      <c r="C371" s="53"/>
      <c r="D371" s="153"/>
      <c r="E371" s="78"/>
      <c r="F371" s="133"/>
      <c r="G371" s="54"/>
      <c r="H371" s="109"/>
      <c r="I371" s="109"/>
      <c r="J371" s="55"/>
      <c r="K371" s="110"/>
      <c r="L371" s="110"/>
      <c r="M371" s="55"/>
      <c r="N371" s="110"/>
      <c r="O371" s="110"/>
      <c r="P371" s="57"/>
      <c r="Q371" s="111"/>
      <c r="R371" s="111"/>
      <c r="S371" s="58"/>
      <c r="T371" s="112"/>
      <c r="U371" s="112"/>
      <c r="V371" s="59"/>
      <c r="W371" s="113"/>
      <c r="X371" s="113"/>
      <c r="Y371" s="54"/>
      <c r="Z371" s="109"/>
      <c r="AA371" s="109"/>
      <c r="AB371" s="55"/>
      <c r="AC371" s="110"/>
      <c r="AD371" s="110"/>
      <c r="AE371" s="96"/>
      <c r="AF371" s="97"/>
      <c r="AG371" s="98"/>
      <c r="AH371" s="99"/>
    </row>
    <row r="372" spans="1:34" x14ac:dyDescent="0.25">
      <c r="A372" s="10" t="str">
        <f t="shared" si="5"/>
        <v/>
      </c>
      <c r="B372" s="52"/>
      <c r="C372" s="53"/>
      <c r="D372" s="153"/>
      <c r="E372" s="78"/>
      <c r="F372" s="133"/>
      <c r="G372" s="54"/>
      <c r="H372" s="109"/>
      <c r="I372" s="109"/>
      <c r="J372" s="55"/>
      <c r="K372" s="110"/>
      <c r="L372" s="110"/>
      <c r="M372" s="55"/>
      <c r="N372" s="110"/>
      <c r="O372" s="110"/>
      <c r="P372" s="57"/>
      <c r="Q372" s="111"/>
      <c r="R372" s="111"/>
      <c r="S372" s="58"/>
      <c r="T372" s="112"/>
      <c r="U372" s="112"/>
      <c r="V372" s="59"/>
      <c r="W372" s="113"/>
      <c r="X372" s="113"/>
      <c r="Y372" s="54"/>
      <c r="Z372" s="109"/>
      <c r="AA372" s="109"/>
      <c r="AB372" s="55"/>
      <c r="AC372" s="110"/>
      <c r="AD372" s="110"/>
      <c r="AE372" s="96"/>
      <c r="AF372" s="97"/>
      <c r="AG372" s="98"/>
      <c r="AH372" s="99"/>
    </row>
    <row r="373" spans="1:34" x14ac:dyDescent="0.25">
      <c r="A373" s="10" t="str">
        <f t="shared" si="5"/>
        <v/>
      </c>
      <c r="B373" s="52"/>
      <c r="C373" s="53"/>
      <c r="D373" s="153"/>
      <c r="E373" s="78"/>
      <c r="F373" s="133"/>
      <c r="G373" s="54"/>
      <c r="H373" s="109"/>
      <c r="I373" s="109"/>
      <c r="J373" s="55"/>
      <c r="K373" s="110"/>
      <c r="L373" s="110"/>
      <c r="M373" s="55"/>
      <c r="N373" s="110"/>
      <c r="O373" s="110"/>
      <c r="P373" s="57"/>
      <c r="Q373" s="111"/>
      <c r="R373" s="111"/>
      <c r="S373" s="58"/>
      <c r="T373" s="112"/>
      <c r="U373" s="112"/>
      <c r="V373" s="59"/>
      <c r="W373" s="113"/>
      <c r="X373" s="113"/>
      <c r="Y373" s="54"/>
      <c r="Z373" s="109"/>
      <c r="AA373" s="109"/>
      <c r="AB373" s="55"/>
      <c r="AC373" s="110"/>
      <c r="AD373" s="110"/>
      <c r="AE373" s="96"/>
      <c r="AF373" s="97"/>
      <c r="AG373" s="98"/>
      <c r="AH373" s="99"/>
    </row>
    <row r="374" spans="1:34" x14ac:dyDescent="0.25">
      <c r="A374" s="10" t="str">
        <f t="shared" si="5"/>
        <v/>
      </c>
      <c r="B374" s="52"/>
      <c r="C374" s="53"/>
      <c r="D374" s="153"/>
      <c r="E374" s="78"/>
      <c r="F374" s="133"/>
      <c r="G374" s="54"/>
      <c r="H374" s="109"/>
      <c r="I374" s="109"/>
      <c r="J374" s="55"/>
      <c r="K374" s="110"/>
      <c r="L374" s="110"/>
      <c r="M374" s="55"/>
      <c r="N374" s="110"/>
      <c r="O374" s="110"/>
      <c r="P374" s="57"/>
      <c r="Q374" s="111"/>
      <c r="R374" s="111"/>
      <c r="S374" s="58"/>
      <c r="T374" s="112"/>
      <c r="U374" s="112"/>
      <c r="V374" s="59"/>
      <c r="W374" s="113"/>
      <c r="X374" s="113"/>
      <c r="Y374" s="54"/>
      <c r="Z374" s="109"/>
      <c r="AA374" s="109"/>
      <c r="AB374" s="55"/>
      <c r="AC374" s="110"/>
      <c r="AD374" s="110"/>
      <c r="AE374" s="96"/>
      <c r="AF374" s="97"/>
      <c r="AG374" s="98"/>
      <c r="AH374" s="99"/>
    </row>
    <row r="375" spans="1:34" x14ac:dyDescent="0.25">
      <c r="A375" s="10" t="str">
        <f t="shared" si="5"/>
        <v/>
      </c>
      <c r="B375" s="52"/>
      <c r="C375" s="53"/>
      <c r="D375" s="153"/>
      <c r="E375" s="78"/>
      <c r="F375" s="133"/>
      <c r="G375" s="54"/>
      <c r="H375" s="109"/>
      <c r="I375" s="109"/>
      <c r="J375" s="55"/>
      <c r="K375" s="110"/>
      <c r="L375" s="110"/>
      <c r="M375" s="55"/>
      <c r="N375" s="110"/>
      <c r="O375" s="110"/>
      <c r="P375" s="57"/>
      <c r="Q375" s="111"/>
      <c r="R375" s="111"/>
      <c r="S375" s="58"/>
      <c r="T375" s="112"/>
      <c r="U375" s="112"/>
      <c r="V375" s="59"/>
      <c r="W375" s="113"/>
      <c r="X375" s="113"/>
      <c r="Y375" s="54"/>
      <c r="Z375" s="109"/>
      <c r="AA375" s="109"/>
      <c r="AB375" s="55"/>
      <c r="AC375" s="110"/>
      <c r="AD375" s="110"/>
      <c r="AE375" s="96"/>
      <c r="AF375" s="97"/>
      <c r="AG375" s="98"/>
      <c r="AH375" s="99"/>
    </row>
    <row r="376" spans="1:34" x14ac:dyDescent="0.25">
      <c r="A376" s="10" t="str">
        <f t="shared" si="5"/>
        <v/>
      </c>
      <c r="B376" s="52"/>
      <c r="C376" s="53"/>
      <c r="D376" s="153"/>
      <c r="E376" s="78"/>
      <c r="F376" s="133"/>
      <c r="G376" s="54"/>
      <c r="H376" s="109"/>
      <c r="I376" s="109"/>
      <c r="J376" s="55"/>
      <c r="K376" s="110"/>
      <c r="L376" s="110"/>
      <c r="M376" s="55"/>
      <c r="N376" s="110"/>
      <c r="O376" s="110"/>
      <c r="P376" s="57"/>
      <c r="Q376" s="111"/>
      <c r="R376" s="111"/>
      <c r="S376" s="58"/>
      <c r="T376" s="112"/>
      <c r="U376" s="112"/>
      <c r="V376" s="59"/>
      <c r="W376" s="113"/>
      <c r="X376" s="113"/>
      <c r="Y376" s="54"/>
      <c r="Z376" s="109"/>
      <c r="AA376" s="109"/>
      <c r="AB376" s="55"/>
      <c r="AC376" s="110"/>
      <c r="AD376" s="110"/>
      <c r="AE376" s="96"/>
      <c r="AF376" s="97"/>
      <c r="AG376" s="98"/>
      <c r="AH376" s="99"/>
    </row>
    <row r="377" spans="1:34" x14ac:dyDescent="0.25">
      <c r="A377" s="10" t="str">
        <f t="shared" si="5"/>
        <v/>
      </c>
      <c r="B377" s="52"/>
      <c r="C377" s="53"/>
      <c r="D377" s="153"/>
      <c r="E377" s="78"/>
      <c r="F377" s="133"/>
      <c r="G377" s="54"/>
      <c r="H377" s="109"/>
      <c r="I377" s="109"/>
      <c r="J377" s="55"/>
      <c r="K377" s="110"/>
      <c r="L377" s="110"/>
      <c r="M377" s="55"/>
      <c r="N377" s="110"/>
      <c r="O377" s="110"/>
      <c r="P377" s="57"/>
      <c r="Q377" s="111"/>
      <c r="R377" s="111"/>
      <c r="S377" s="58"/>
      <c r="T377" s="112"/>
      <c r="U377" s="112"/>
      <c r="V377" s="59"/>
      <c r="W377" s="113"/>
      <c r="X377" s="113"/>
      <c r="Y377" s="54"/>
      <c r="Z377" s="109"/>
      <c r="AA377" s="109"/>
      <c r="AB377" s="55"/>
      <c r="AC377" s="110"/>
      <c r="AD377" s="110"/>
      <c r="AE377" s="96"/>
      <c r="AF377" s="97"/>
      <c r="AG377" s="98"/>
      <c r="AH377" s="99"/>
    </row>
    <row r="378" spans="1:34" x14ac:dyDescent="0.25">
      <c r="A378" s="10" t="str">
        <f t="shared" si="5"/>
        <v/>
      </c>
      <c r="B378" s="52"/>
      <c r="C378" s="53"/>
      <c r="D378" s="153"/>
      <c r="E378" s="78"/>
      <c r="F378" s="133"/>
      <c r="G378" s="54"/>
      <c r="H378" s="109"/>
      <c r="I378" s="109"/>
      <c r="J378" s="55"/>
      <c r="K378" s="110"/>
      <c r="L378" s="110"/>
      <c r="M378" s="55"/>
      <c r="N378" s="110"/>
      <c r="O378" s="110"/>
      <c r="P378" s="57"/>
      <c r="Q378" s="111"/>
      <c r="R378" s="111"/>
      <c r="S378" s="58"/>
      <c r="T378" s="112"/>
      <c r="U378" s="112"/>
      <c r="V378" s="59"/>
      <c r="W378" s="113"/>
      <c r="X378" s="113"/>
      <c r="Y378" s="54"/>
      <c r="Z378" s="109"/>
      <c r="AA378" s="109"/>
      <c r="AB378" s="55"/>
      <c r="AC378" s="110"/>
      <c r="AD378" s="110"/>
      <c r="AE378" s="96"/>
      <c r="AF378" s="97"/>
      <c r="AG378" s="98"/>
      <c r="AH378" s="99"/>
    </row>
    <row r="379" spans="1:34" x14ac:dyDescent="0.25">
      <c r="A379" s="10" t="str">
        <f t="shared" si="5"/>
        <v/>
      </c>
      <c r="B379" s="52"/>
      <c r="C379" s="53"/>
      <c r="D379" s="153"/>
      <c r="E379" s="78"/>
      <c r="F379" s="133"/>
      <c r="G379" s="54"/>
      <c r="H379" s="109"/>
      <c r="I379" s="109"/>
      <c r="J379" s="55"/>
      <c r="K379" s="110"/>
      <c r="L379" s="110"/>
      <c r="M379" s="55"/>
      <c r="N379" s="110"/>
      <c r="O379" s="110"/>
      <c r="P379" s="57"/>
      <c r="Q379" s="111"/>
      <c r="R379" s="111"/>
      <c r="S379" s="58"/>
      <c r="T379" s="112"/>
      <c r="U379" s="112"/>
      <c r="V379" s="59"/>
      <c r="W379" s="113"/>
      <c r="X379" s="113"/>
      <c r="Y379" s="54"/>
      <c r="Z379" s="109"/>
      <c r="AA379" s="109"/>
      <c r="AB379" s="55"/>
      <c r="AC379" s="110"/>
      <c r="AD379" s="110"/>
      <c r="AE379" s="96"/>
      <c r="AF379" s="97"/>
      <c r="AG379" s="98"/>
      <c r="AH379" s="99"/>
    </row>
    <row r="380" spans="1:34" x14ac:dyDescent="0.25">
      <c r="A380" s="10" t="str">
        <f t="shared" si="5"/>
        <v/>
      </c>
      <c r="B380" s="52"/>
      <c r="C380" s="53"/>
      <c r="D380" s="153"/>
      <c r="E380" s="78"/>
      <c r="F380" s="133"/>
      <c r="G380" s="54"/>
      <c r="H380" s="109"/>
      <c r="I380" s="109"/>
      <c r="J380" s="55"/>
      <c r="K380" s="110"/>
      <c r="L380" s="110"/>
      <c r="M380" s="55"/>
      <c r="N380" s="110"/>
      <c r="O380" s="110"/>
      <c r="P380" s="57"/>
      <c r="Q380" s="111"/>
      <c r="R380" s="111"/>
      <c r="S380" s="58"/>
      <c r="T380" s="112"/>
      <c r="U380" s="112"/>
      <c r="V380" s="59"/>
      <c r="W380" s="113"/>
      <c r="X380" s="113"/>
      <c r="Y380" s="54"/>
      <c r="Z380" s="109"/>
      <c r="AA380" s="109"/>
      <c r="AB380" s="55"/>
      <c r="AC380" s="110"/>
      <c r="AD380" s="110"/>
      <c r="AE380" s="96"/>
      <c r="AF380" s="97"/>
      <c r="AG380" s="98"/>
      <c r="AH380" s="99"/>
    </row>
    <row r="381" spans="1:34" x14ac:dyDescent="0.25">
      <c r="A381" s="10" t="str">
        <f t="shared" si="5"/>
        <v/>
      </c>
      <c r="B381" s="52"/>
      <c r="C381" s="53"/>
      <c r="D381" s="153"/>
      <c r="E381" s="78"/>
      <c r="F381" s="133"/>
      <c r="G381" s="54"/>
      <c r="H381" s="109"/>
      <c r="I381" s="109"/>
      <c r="J381" s="55"/>
      <c r="K381" s="110"/>
      <c r="L381" s="110"/>
      <c r="M381" s="55"/>
      <c r="N381" s="110"/>
      <c r="O381" s="110"/>
      <c r="P381" s="57"/>
      <c r="Q381" s="111"/>
      <c r="R381" s="111"/>
      <c r="S381" s="58"/>
      <c r="T381" s="112"/>
      <c r="U381" s="112"/>
      <c r="V381" s="59"/>
      <c r="W381" s="113"/>
      <c r="X381" s="113"/>
      <c r="Y381" s="54"/>
      <c r="Z381" s="109"/>
      <c r="AA381" s="109"/>
      <c r="AB381" s="55"/>
      <c r="AC381" s="110"/>
      <c r="AD381" s="110"/>
      <c r="AE381" s="96"/>
      <c r="AF381" s="97"/>
      <c r="AG381" s="98"/>
      <c r="AH381" s="99"/>
    </row>
    <row r="382" spans="1:34" x14ac:dyDescent="0.25">
      <c r="A382" s="10" t="str">
        <f t="shared" si="5"/>
        <v/>
      </c>
      <c r="B382" s="52"/>
      <c r="C382" s="53"/>
      <c r="D382" s="153"/>
      <c r="E382" s="78"/>
      <c r="F382" s="133"/>
      <c r="G382" s="54"/>
      <c r="H382" s="109"/>
      <c r="I382" s="109"/>
      <c r="J382" s="55"/>
      <c r="K382" s="110"/>
      <c r="L382" s="110"/>
      <c r="M382" s="55"/>
      <c r="N382" s="110"/>
      <c r="O382" s="110"/>
      <c r="P382" s="57"/>
      <c r="Q382" s="111"/>
      <c r="R382" s="111"/>
      <c r="S382" s="58"/>
      <c r="T382" s="112"/>
      <c r="U382" s="112"/>
      <c r="V382" s="59"/>
      <c r="W382" s="113"/>
      <c r="X382" s="113"/>
      <c r="Y382" s="54"/>
      <c r="Z382" s="109"/>
      <c r="AA382" s="109"/>
      <c r="AB382" s="55"/>
      <c r="AC382" s="110"/>
      <c r="AD382" s="110"/>
      <c r="AE382" s="96"/>
      <c r="AF382" s="97"/>
      <c r="AG382" s="98"/>
      <c r="AH382" s="99"/>
    </row>
    <row r="383" spans="1:34" x14ac:dyDescent="0.25">
      <c r="A383" s="10" t="str">
        <f t="shared" si="5"/>
        <v/>
      </c>
      <c r="B383" s="52"/>
      <c r="C383" s="53"/>
      <c r="D383" s="153"/>
      <c r="E383" s="78"/>
      <c r="F383" s="133"/>
      <c r="G383" s="54"/>
      <c r="H383" s="109"/>
      <c r="I383" s="109"/>
      <c r="J383" s="55"/>
      <c r="K383" s="110"/>
      <c r="L383" s="110"/>
      <c r="M383" s="55"/>
      <c r="N383" s="110"/>
      <c r="O383" s="110"/>
      <c r="P383" s="57"/>
      <c r="Q383" s="111"/>
      <c r="R383" s="111"/>
      <c r="S383" s="58"/>
      <c r="T383" s="112"/>
      <c r="U383" s="112"/>
      <c r="V383" s="59"/>
      <c r="W383" s="113"/>
      <c r="X383" s="113"/>
      <c r="Y383" s="54"/>
      <c r="Z383" s="109"/>
      <c r="AA383" s="109"/>
      <c r="AB383" s="55"/>
      <c r="AC383" s="110"/>
      <c r="AD383" s="110"/>
      <c r="AE383" s="96"/>
      <c r="AF383" s="97"/>
      <c r="AG383" s="98"/>
      <c r="AH383" s="99"/>
    </row>
    <row r="384" spans="1:34" x14ac:dyDescent="0.25">
      <c r="A384" s="10" t="str">
        <f t="shared" si="5"/>
        <v/>
      </c>
      <c r="B384" s="52"/>
      <c r="C384" s="53"/>
      <c r="D384" s="153"/>
      <c r="E384" s="78"/>
      <c r="F384" s="133"/>
      <c r="G384" s="54"/>
      <c r="H384" s="109"/>
      <c r="I384" s="109"/>
      <c r="J384" s="55"/>
      <c r="K384" s="110"/>
      <c r="L384" s="110"/>
      <c r="M384" s="55"/>
      <c r="N384" s="110"/>
      <c r="O384" s="110"/>
      <c r="P384" s="57"/>
      <c r="Q384" s="111"/>
      <c r="R384" s="111"/>
      <c r="S384" s="58"/>
      <c r="T384" s="112"/>
      <c r="U384" s="112"/>
      <c r="V384" s="59"/>
      <c r="W384" s="113"/>
      <c r="X384" s="113"/>
      <c r="Y384" s="54"/>
      <c r="Z384" s="109"/>
      <c r="AA384" s="109"/>
      <c r="AB384" s="55"/>
      <c r="AC384" s="110"/>
      <c r="AD384" s="110"/>
      <c r="AE384" s="96"/>
      <c r="AF384" s="97"/>
      <c r="AG384" s="98"/>
      <c r="AH384" s="99"/>
    </row>
    <row r="385" spans="1:34" x14ac:dyDescent="0.25">
      <c r="A385" s="10" t="str">
        <f t="shared" si="5"/>
        <v/>
      </c>
      <c r="B385" s="52"/>
      <c r="C385" s="53"/>
      <c r="D385" s="153"/>
      <c r="E385" s="78"/>
      <c r="F385" s="133"/>
      <c r="G385" s="54"/>
      <c r="H385" s="109"/>
      <c r="I385" s="109"/>
      <c r="J385" s="55"/>
      <c r="K385" s="110"/>
      <c r="L385" s="110"/>
      <c r="M385" s="55"/>
      <c r="N385" s="110"/>
      <c r="O385" s="110"/>
      <c r="P385" s="57"/>
      <c r="Q385" s="111"/>
      <c r="R385" s="111"/>
      <c r="S385" s="58"/>
      <c r="T385" s="112"/>
      <c r="U385" s="112"/>
      <c r="V385" s="59"/>
      <c r="W385" s="113"/>
      <c r="X385" s="113"/>
      <c r="Y385" s="54"/>
      <c r="Z385" s="109"/>
      <c r="AA385" s="109"/>
      <c r="AB385" s="55"/>
      <c r="AC385" s="110"/>
      <c r="AD385" s="110"/>
      <c r="AE385" s="96"/>
      <c r="AF385" s="97"/>
      <c r="AG385" s="98"/>
      <c r="AH385" s="99"/>
    </row>
    <row r="386" spans="1:34" x14ac:dyDescent="0.25">
      <c r="A386" s="10" t="str">
        <f t="shared" si="5"/>
        <v/>
      </c>
      <c r="B386" s="52"/>
      <c r="C386" s="53"/>
      <c r="D386" s="153"/>
      <c r="E386" s="78"/>
      <c r="F386" s="133"/>
      <c r="G386" s="54"/>
      <c r="H386" s="109"/>
      <c r="I386" s="109"/>
      <c r="J386" s="55"/>
      <c r="K386" s="110"/>
      <c r="L386" s="110"/>
      <c r="M386" s="55"/>
      <c r="N386" s="110"/>
      <c r="O386" s="110"/>
      <c r="P386" s="57"/>
      <c r="Q386" s="111"/>
      <c r="R386" s="111"/>
      <c r="S386" s="58"/>
      <c r="T386" s="112"/>
      <c r="U386" s="112"/>
      <c r="V386" s="59"/>
      <c r="W386" s="113"/>
      <c r="X386" s="113"/>
      <c r="Y386" s="54"/>
      <c r="Z386" s="109"/>
      <c r="AA386" s="109"/>
      <c r="AB386" s="55"/>
      <c r="AC386" s="110"/>
      <c r="AD386" s="110"/>
      <c r="AE386" s="96"/>
      <c r="AF386" s="97"/>
      <c r="AG386" s="98"/>
      <c r="AH386" s="99"/>
    </row>
    <row r="387" spans="1:34" x14ac:dyDescent="0.25">
      <c r="A387" s="10" t="str">
        <f t="shared" si="5"/>
        <v/>
      </c>
      <c r="B387" s="52"/>
      <c r="C387" s="53"/>
      <c r="D387" s="153"/>
      <c r="E387" s="78"/>
      <c r="F387" s="133"/>
      <c r="G387" s="54"/>
      <c r="H387" s="109"/>
      <c r="I387" s="109"/>
      <c r="J387" s="55"/>
      <c r="K387" s="110"/>
      <c r="L387" s="110"/>
      <c r="M387" s="55"/>
      <c r="N387" s="110"/>
      <c r="O387" s="110"/>
      <c r="P387" s="57"/>
      <c r="Q387" s="111"/>
      <c r="R387" s="111"/>
      <c r="S387" s="58"/>
      <c r="T387" s="112"/>
      <c r="U387" s="112"/>
      <c r="V387" s="59"/>
      <c r="W387" s="113"/>
      <c r="X387" s="113"/>
      <c r="Y387" s="54"/>
      <c r="Z387" s="109"/>
      <c r="AA387" s="109"/>
      <c r="AB387" s="55"/>
      <c r="AC387" s="110"/>
      <c r="AD387" s="110"/>
      <c r="AE387" s="96"/>
      <c r="AF387" s="97"/>
      <c r="AG387" s="98"/>
      <c r="AH387" s="99"/>
    </row>
    <row r="388" spans="1:34" x14ac:dyDescent="0.25">
      <c r="A388" s="10" t="str">
        <f t="shared" si="5"/>
        <v/>
      </c>
      <c r="B388" s="52"/>
      <c r="C388" s="53"/>
      <c r="D388" s="153"/>
      <c r="E388" s="78"/>
      <c r="F388" s="133"/>
      <c r="G388" s="54"/>
      <c r="H388" s="109"/>
      <c r="I388" s="109"/>
      <c r="J388" s="55"/>
      <c r="K388" s="110"/>
      <c r="L388" s="110"/>
      <c r="M388" s="55"/>
      <c r="N388" s="110"/>
      <c r="O388" s="110"/>
      <c r="P388" s="57"/>
      <c r="Q388" s="111"/>
      <c r="R388" s="111"/>
      <c r="S388" s="58"/>
      <c r="T388" s="112"/>
      <c r="U388" s="112"/>
      <c r="V388" s="59"/>
      <c r="W388" s="113"/>
      <c r="X388" s="113"/>
      <c r="Y388" s="54"/>
      <c r="Z388" s="109"/>
      <c r="AA388" s="109"/>
      <c r="AB388" s="55"/>
      <c r="AC388" s="110"/>
      <c r="AD388" s="110"/>
      <c r="AE388" s="96"/>
      <c r="AF388" s="97"/>
      <c r="AG388" s="98"/>
      <c r="AH388" s="99"/>
    </row>
    <row r="389" spans="1:34" x14ac:dyDescent="0.25">
      <c r="A389" s="10" t="str">
        <f t="shared" ref="A389:A452" si="6">IF(COUNTA(G389:AD389)/3=0,"",COUNTA(G389:AD389)/3)</f>
        <v/>
      </c>
      <c r="B389" s="52"/>
      <c r="C389" s="53"/>
      <c r="D389" s="153"/>
      <c r="E389" s="78"/>
      <c r="F389" s="133"/>
      <c r="G389" s="54"/>
      <c r="H389" s="109"/>
      <c r="I389" s="109"/>
      <c r="J389" s="55"/>
      <c r="K389" s="110"/>
      <c r="L389" s="110"/>
      <c r="M389" s="55"/>
      <c r="N389" s="110"/>
      <c r="O389" s="110"/>
      <c r="P389" s="57"/>
      <c r="Q389" s="111"/>
      <c r="R389" s="111"/>
      <c r="S389" s="58"/>
      <c r="T389" s="112"/>
      <c r="U389" s="112"/>
      <c r="V389" s="59"/>
      <c r="W389" s="113"/>
      <c r="X389" s="113"/>
      <c r="Y389" s="54"/>
      <c r="Z389" s="109"/>
      <c r="AA389" s="109"/>
      <c r="AB389" s="55"/>
      <c r="AC389" s="110"/>
      <c r="AD389" s="110"/>
      <c r="AE389" s="96"/>
      <c r="AF389" s="97"/>
      <c r="AG389" s="98"/>
      <c r="AH389" s="99"/>
    </row>
    <row r="390" spans="1:34" x14ac:dyDescent="0.25">
      <c r="A390" s="10" t="str">
        <f t="shared" si="6"/>
        <v/>
      </c>
      <c r="B390" s="52"/>
      <c r="C390" s="53"/>
      <c r="D390" s="153"/>
      <c r="E390" s="78"/>
      <c r="F390" s="133"/>
      <c r="G390" s="54"/>
      <c r="H390" s="109"/>
      <c r="I390" s="109"/>
      <c r="J390" s="55"/>
      <c r="K390" s="110"/>
      <c r="L390" s="110"/>
      <c r="M390" s="55"/>
      <c r="N390" s="110"/>
      <c r="O390" s="110"/>
      <c r="P390" s="57"/>
      <c r="Q390" s="111"/>
      <c r="R390" s="111"/>
      <c r="S390" s="58"/>
      <c r="T390" s="112"/>
      <c r="U390" s="112"/>
      <c r="V390" s="59"/>
      <c r="W390" s="113"/>
      <c r="X390" s="113"/>
      <c r="Y390" s="54"/>
      <c r="Z390" s="109"/>
      <c r="AA390" s="109"/>
      <c r="AB390" s="55"/>
      <c r="AC390" s="110"/>
      <c r="AD390" s="110"/>
      <c r="AE390" s="96"/>
      <c r="AF390" s="97"/>
      <c r="AG390" s="98"/>
      <c r="AH390" s="99"/>
    </row>
    <row r="391" spans="1:34" x14ac:dyDescent="0.25">
      <c r="A391" s="10" t="str">
        <f t="shared" si="6"/>
        <v/>
      </c>
      <c r="B391" s="52"/>
      <c r="C391" s="53"/>
      <c r="D391" s="153"/>
      <c r="E391" s="78"/>
      <c r="F391" s="133"/>
      <c r="G391" s="54"/>
      <c r="H391" s="109"/>
      <c r="I391" s="109"/>
      <c r="J391" s="55"/>
      <c r="K391" s="110"/>
      <c r="L391" s="110"/>
      <c r="M391" s="55"/>
      <c r="N391" s="110"/>
      <c r="O391" s="110"/>
      <c r="P391" s="57"/>
      <c r="Q391" s="111"/>
      <c r="R391" s="111"/>
      <c r="S391" s="58"/>
      <c r="T391" s="112"/>
      <c r="U391" s="112"/>
      <c r="V391" s="59"/>
      <c r="W391" s="113"/>
      <c r="X391" s="113"/>
      <c r="Y391" s="54"/>
      <c r="Z391" s="109"/>
      <c r="AA391" s="109"/>
      <c r="AB391" s="55"/>
      <c r="AC391" s="110"/>
      <c r="AD391" s="110"/>
      <c r="AE391" s="96"/>
      <c r="AF391" s="97"/>
      <c r="AG391" s="98"/>
      <c r="AH391" s="99"/>
    </row>
    <row r="392" spans="1:34" x14ac:dyDescent="0.25">
      <c r="A392" s="10" t="str">
        <f t="shared" si="6"/>
        <v/>
      </c>
      <c r="B392" s="52"/>
      <c r="C392" s="53"/>
      <c r="D392" s="153"/>
      <c r="E392" s="78"/>
      <c r="F392" s="133"/>
      <c r="G392" s="54"/>
      <c r="H392" s="109"/>
      <c r="I392" s="109"/>
      <c r="J392" s="55"/>
      <c r="K392" s="110"/>
      <c r="L392" s="110"/>
      <c r="M392" s="55"/>
      <c r="N392" s="110"/>
      <c r="O392" s="110"/>
      <c r="P392" s="57"/>
      <c r="Q392" s="111"/>
      <c r="R392" s="111"/>
      <c r="S392" s="58"/>
      <c r="T392" s="112"/>
      <c r="U392" s="112"/>
      <c r="V392" s="59"/>
      <c r="W392" s="113"/>
      <c r="X392" s="113"/>
      <c r="Y392" s="54"/>
      <c r="Z392" s="109"/>
      <c r="AA392" s="109"/>
      <c r="AB392" s="55"/>
      <c r="AC392" s="110"/>
      <c r="AD392" s="110"/>
      <c r="AE392" s="96"/>
      <c r="AF392" s="97"/>
      <c r="AG392" s="98"/>
      <c r="AH392" s="99"/>
    </row>
    <row r="393" spans="1:34" x14ac:dyDescent="0.25">
      <c r="A393" s="10" t="str">
        <f t="shared" si="6"/>
        <v/>
      </c>
      <c r="B393" s="52"/>
      <c r="C393" s="53"/>
      <c r="D393" s="153"/>
      <c r="E393" s="78"/>
      <c r="F393" s="133"/>
      <c r="G393" s="54"/>
      <c r="H393" s="109"/>
      <c r="I393" s="109"/>
      <c r="J393" s="55"/>
      <c r="K393" s="110"/>
      <c r="L393" s="110"/>
      <c r="M393" s="55"/>
      <c r="N393" s="110"/>
      <c r="O393" s="110"/>
      <c r="P393" s="57"/>
      <c r="Q393" s="111"/>
      <c r="R393" s="111"/>
      <c r="S393" s="58"/>
      <c r="T393" s="112"/>
      <c r="U393" s="112"/>
      <c r="V393" s="59"/>
      <c r="W393" s="113"/>
      <c r="X393" s="113"/>
      <c r="Y393" s="54"/>
      <c r="Z393" s="109"/>
      <c r="AA393" s="109"/>
      <c r="AB393" s="55"/>
      <c r="AC393" s="110"/>
      <c r="AD393" s="110"/>
      <c r="AE393" s="96"/>
      <c r="AF393" s="97"/>
      <c r="AG393" s="98"/>
      <c r="AH393" s="99"/>
    </row>
    <row r="394" spans="1:34" x14ac:dyDescent="0.25">
      <c r="A394" s="10" t="str">
        <f t="shared" si="6"/>
        <v/>
      </c>
      <c r="B394" s="52"/>
      <c r="C394" s="53"/>
      <c r="D394" s="153"/>
      <c r="E394" s="78"/>
      <c r="F394" s="133"/>
      <c r="G394" s="54"/>
      <c r="H394" s="109"/>
      <c r="I394" s="109"/>
      <c r="J394" s="55"/>
      <c r="K394" s="110"/>
      <c r="L394" s="110"/>
      <c r="M394" s="55"/>
      <c r="N394" s="110"/>
      <c r="O394" s="110"/>
      <c r="P394" s="57"/>
      <c r="Q394" s="111"/>
      <c r="R394" s="111"/>
      <c r="S394" s="58"/>
      <c r="T394" s="112"/>
      <c r="U394" s="112"/>
      <c r="V394" s="59"/>
      <c r="W394" s="113"/>
      <c r="X394" s="113"/>
      <c r="Y394" s="54"/>
      <c r="Z394" s="109"/>
      <c r="AA394" s="109"/>
      <c r="AB394" s="55"/>
      <c r="AC394" s="110"/>
      <c r="AD394" s="110"/>
      <c r="AE394" s="96"/>
      <c r="AF394" s="97"/>
      <c r="AG394" s="98"/>
      <c r="AH394" s="99"/>
    </row>
    <row r="395" spans="1:34" x14ac:dyDescent="0.25">
      <c r="A395" s="10" t="str">
        <f t="shared" si="6"/>
        <v/>
      </c>
      <c r="B395" s="52"/>
      <c r="C395" s="53"/>
      <c r="D395" s="153"/>
      <c r="E395" s="78"/>
      <c r="F395" s="133"/>
      <c r="G395" s="54"/>
      <c r="H395" s="109"/>
      <c r="I395" s="109"/>
      <c r="J395" s="55"/>
      <c r="K395" s="110"/>
      <c r="L395" s="110"/>
      <c r="M395" s="55"/>
      <c r="N395" s="110"/>
      <c r="O395" s="110"/>
      <c r="P395" s="57"/>
      <c r="Q395" s="111"/>
      <c r="R395" s="111"/>
      <c r="S395" s="58"/>
      <c r="T395" s="112"/>
      <c r="U395" s="112"/>
      <c r="V395" s="59"/>
      <c r="W395" s="113"/>
      <c r="X395" s="113"/>
      <c r="Y395" s="54"/>
      <c r="Z395" s="109"/>
      <c r="AA395" s="109"/>
      <c r="AB395" s="55"/>
      <c r="AC395" s="110"/>
      <c r="AD395" s="110"/>
      <c r="AE395" s="96"/>
      <c r="AF395" s="97"/>
      <c r="AG395" s="98"/>
      <c r="AH395" s="99"/>
    </row>
    <row r="396" spans="1:34" x14ac:dyDescent="0.25">
      <c r="A396" s="10" t="str">
        <f t="shared" si="6"/>
        <v/>
      </c>
      <c r="B396" s="52"/>
      <c r="C396" s="53"/>
      <c r="D396" s="153"/>
      <c r="E396" s="78"/>
      <c r="F396" s="133"/>
      <c r="G396" s="54"/>
      <c r="H396" s="109"/>
      <c r="I396" s="109"/>
      <c r="J396" s="55"/>
      <c r="K396" s="110"/>
      <c r="L396" s="110"/>
      <c r="M396" s="55"/>
      <c r="N396" s="110"/>
      <c r="O396" s="110"/>
      <c r="P396" s="57"/>
      <c r="Q396" s="111"/>
      <c r="R396" s="111"/>
      <c r="S396" s="58"/>
      <c r="T396" s="112"/>
      <c r="U396" s="112"/>
      <c r="V396" s="59"/>
      <c r="W396" s="113"/>
      <c r="X396" s="113"/>
      <c r="Y396" s="54"/>
      <c r="Z396" s="109"/>
      <c r="AA396" s="109"/>
      <c r="AB396" s="55"/>
      <c r="AC396" s="110"/>
      <c r="AD396" s="110"/>
      <c r="AE396" s="96"/>
      <c r="AF396" s="97"/>
      <c r="AG396" s="98"/>
      <c r="AH396" s="99"/>
    </row>
    <row r="397" spans="1:34" x14ac:dyDescent="0.25">
      <c r="A397" s="10" t="str">
        <f t="shared" si="6"/>
        <v/>
      </c>
      <c r="B397" s="52"/>
      <c r="C397" s="53"/>
      <c r="D397" s="153"/>
      <c r="E397" s="78"/>
      <c r="F397" s="133"/>
      <c r="G397" s="54"/>
      <c r="H397" s="109"/>
      <c r="I397" s="109"/>
      <c r="J397" s="55"/>
      <c r="K397" s="110"/>
      <c r="L397" s="110"/>
      <c r="M397" s="55"/>
      <c r="N397" s="110"/>
      <c r="O397" s="110"/>
      <c r="P397" s="57"/>
      <c r="Q397" s="111"/>
      <c r="R397" s="111"/>
      <c r="S397" s="58"/>
      <c r="T397" s="112"/>
      <c r="U397" s="112"/>
      <c r="V397" s="59"/>
      <c r="W397" s="113"/>
      <c r="X397" s="113"/>
      <c r="Y397" s="54"/>
      <c r="Z397" s="109"/>
      <c r="AA397" s="109"/>
      <c r="AB397" s="55"/>
      <c r="AC397" s="110"/>
      <c r="AD397" s="110"/>
      <c r="AE397" s="96"/>
      <c r="AF397" s="97"/>
      <c r="AG397" s="98"/>
      <c r="AH397" s="99"/>
    </row>
    <row r="398" spans="1:34" x14ac:dyDescent="0.25">
      <c r="A398" s="10" t="str">
        <f t="shared" si="6"/>
        <v/>
      </c>
      <c r="B398" s="52"/>
      <c r="C398" s="53"/>
      <c r="D398" s="153"/>
      <c r="E398" s="78"/>
      <c r="F398" s="133"/>
      <c r="G398" s="54"/>
      <c r="H398" s="109"/>
      <c r="I398" s="109"/>
      <c r="J398" s="55"/>
      <c r="K398" s="110"/>
      <c r="L398" s="110"/>
      <c r="M398" s="55"/>
      <c r="N398" s="110"/>
      <c r="O398" s="110"/>
      <c r="P398" s="57"/>
      <c r="Q398" s="111"/>
      <c r="R398" s="111"/>
      <c r="S398" s="58"/>
      <c r="T398" s="112"/>
      <c r="U398" s="112"/>
      <c r="V398" s="59"/>
      <c r="W398" s="113"/>
      <c r="X398" s="113"/>
      <c r="Y398" s="54"/>
      <c r="Z398" s="109"/>
      <c r="AA398" s="109"/>
      <c r="AB398" s="55"/>
      <c r="AC398" s="110"/>
      <c r="AD398" s="110"/>
      <c r="AE398" s="96"/>
      <c r="AF398" s="97"/>
      <c r="AG398" s="98"/>
      <c r="AH398" s="99"/>
    </row>
    <row r="399" spans="1:34" x14ac:dyDescent="0.25">
      <c r="A399" s="10" t="str">
        <f t="shared" si="6"/>
        <v/>
      </c>
      <c r="B399" s="52"/>
      <c r="C399" s="53"/>
      <c r="D399" s="153"/>
      <c r="E399" s="78"/>
      <c r="F399" s="133"/>
      <c r="G399" s="54"/>
      <c r="H399" s="109"/>
      <c r="I399" s="109"/>
      <c r="J399" s="55"/>
      <c r="K399" s="110"/>
      <c r="L399" s="110"/>
      <c r="M399" s="55"/>
      <c r="N399" s="110"/>
      <c r="O399" s="110"/>
      <c r="P399" s="57"/>
      <c r="Q399" s="111"/>
      <c r="R399" s="111"/>
      <c r="S399" s="58"/>
      <c r="T399" s="112"/>
      <c r="U399" s="112"/>
      <c r="V399" s="59"/>
      <c r="W399" s="113"/>
      <c r="X399" s="113"/>
      <c r="Y399" s="54"/>
      <c r="Z399" s="109"/>
      <c r="AA399" s="109"/>
      <c r="AB399" s="55"/>
      <c r="AC399" s="110"/>
      <c r="AD399" s="110"/>
      <c r="AE399" s="96"/>
      <c r="AF399" s="97"/>
      <c r="AG399" s="98"/>
      <c r="AH399" s="99"/>
    </row>
    <row r="400" spans="1:34" x14ac:dyDescent="0.25">
      <c r="A400" s="10" t="str">
        <f t="shared" si="6"/>
        <v/>
      </c>
      <c r="B400" s="52"/>
      <c r="C400" s="53"/>
      <c r="D400" s="153"/>
      <c r="E400" s="78"/>
      <c r="F400" s="133"/>
      <c r="G400" s="54"/>
      <c r="H400" s="109"/>
      <c r="I400" s="109"/>
      <c r="J400" s="55"/>
      <c r="K400" s="110"/>
      <c r="L400" s="110"/>
      <c r="M400" s="55"/>
      <c r="N400" s="110"/>
      <c r="O400" s="110"/>
      <c r="P400" s="57"/>
      <c r="Q400" s="111"/>
      <c r="R400" s="111"/>
      <c r="S400" s="58"/>
      <c r="T400" s="112"/>
      <c r="U400" s="112"/>
      <c r="V400" s="59"/>
      <c r="W400" s="113"/>
      <c r="X400" s="113"/>
      <c r="Y400" s="54"/>
      <c r="Z400" s="109"/>
      <c r="AA400" s="109"/>
      <c r="AB400" s="55"/>
      <c r="AC400" s="110"/>
      <c r="AD400" s="110"/>
      <c r="AE400" s="96"/>
      <c r="AF400" s="97"/>
      <c r="AG400" s="98"/>
      <c r="AH400" s="99"/>
    </row>
    <row r="401" spans="1:34" x14ac:dyDescent="0.25">
      <c r="A401" s="10" t="str">
        <f t="shared" si="6"/>
        <v/>
      </c>
      <c r="B401" s="52"/>
      <c r="C401" s="53"/>
      <c r="D401" s="153"/>
      <c r="E401" s="78"/>
      <c r="F401" s="133"/>
      <c r="G401" s="54"/>
      <c r="H401" s="109"/>
      <c r="I401" s="109"/>
      <c r="J401" s="55"/>
      <c r="K401" s="110"/>
      <c r="L401" s="110"/>
      <c r="M401" s="55"/>
      <c r="N401" s="110"/>
      <c r="O401" s="110"/>
      <c r="P401" s="57"/>
      <c r="Q401" s="111"/>
      <c r="R401" s="111"/>
      <c r="S401" s="58"/>
      <c r="T401" s="112"/>
      <c r="U401" s="112"/>
      <c r="V401" s="59"/>
      <c r="W401" s="113"/>
      <c r="X401" s="113"/>
      <c r="Y401" s="54"/>
      <c r="Z401" s="109"/>
      <c r="AA401" s="109"/>
      <c r="AB401" s="55"/>
      <c r="AC401" s="110"/>
      <c r="AD401" s="110"/>
      <c r="AE401" s="96"/>
      <c r="AF401" s="97"/>
      <c r="AG401" s="98"/>
      <c r="AH401" s="99"/>
    </row>
    <row r="402" spans="1:34" x14ac:dyDescent="0.25">
      <c r="A402" s="10" t="str">
        <f t="shared" si="6"/>
        <v/>
      </c>
      <c r="B402" s="52"/>
      <c r="C402" s="53"/>
      <c r="D402" s="153"/>
      <c r="E402" s="78"/>
      <c r="F402" s="133"/>
      <c r="G402" s="54"/>
      <c r="H402" s="109"/>
      <c r="I402" s="109"/>
      <c r="J402" s="55"/>
      <c r="K402" s="110"/>
      <c r="L402" s="110"/>
      <c r="M402" s="55"/>
      <c r="N402" s="110"/>
      <c r="O402" s="110"/>
      <c r="P402" s="57"/>
      <c r="Q402" s="111"/>
      <c r="R402" s="111"/>
      <c r="S402" s="58"/>
      <c r="T402" s="112"/>
      <c r="U402" s="112"/>
      <c r="V402" s="59"/>
      <c r="W402" s="113"/>
      <c r="X402" s="113"/>
      <c r="Y402" s="54"/>
      <c r="Z402" s="109"/>
      <c r="AA402" s="109"/>
      <c r="AB402" s="55"/>
      <c r="AC402" s="110"/>
      <c r="AD402" s="110"/>
      <c r="AE402" s="96"/>
      <c r="AF402" s="97"/>
      <c r="AG402" s="98"/>
      <c r="AH402" s="99"/>
    </row>
    <row r="403" spans="1:34" x14ac:dyDescent="0.25">
      <c r="A403" s="10" t="str">
        <f t="shared" si="6"/>
        <v/>
      </c>
      <c r="B403" s="52"/>
      <c r="C403" s="53"/>
      <c r="D403" s="153"/>
      <c r="E403" s="78"/>
      <c r="F403" s="133"/>
      <c r="G403" s="54"/>
      <c r="H403" s="109"/>
      <c r="I403" s="109"/>
      <c r="J403" s="55"/>
      <c r="K403" s="110"/>
      <c r="L403" s="110"/>
      <c r="M403" s="55"/>
      <c r="N403" s="110"/>
      <c r="O403" s="110"/>
      <c r="P403" s="57"/>
      <c r="Q403" s="111"/>
      <c r="R403" s="111"/>
      <c r="S403" s="58"/>
      <c r="T403" s="112"/>
      <c r="U403" s="112"/>
      <c r="V403" s="59"/>
      <c r="W403" s="113"/>
      <c r="X403" s="113"/>
      <c r="Y403" s="54"/>
      <c r="Z403" s="109"/>
      <c r="AA403" s="109"/>
      <c r="AB403" s="55"/>
      <c r="AC403" s="110"/>
      <c r="AD403" s="110"/>
      <c r="AE403" s="96"/>
      <c r="AF403" s="97"/>
      <c r="AG403" s="98"/>
      <c r="AH403" s="99"/>
    </row>
    <row r="404" spans="1:34" x14ac:dyDescent="0.25">
      <c r="A404" s="10" t="str">
        <f t="shared" si="6"/>
        <v/>
      </c>
      <c r="B404" s="52"/>
      <c r="C404" s="53"/>
      <c r="D404" s="153"/>
      <c r="E404" s="78"/>
      <c r="F404" s="133"/>
      <c r="G404" s="54"/>
      <c r="H404" s="109"/>
      <c r="I404" s="109"/>
      <c r="J404" s="55"/>
      <c r="K404" s="110"/>
      <c r="L404" s="110"/>
      <c r="M404" s="55"/>
      <c r="N404" s="110"/>
      <c r="O404" s="110"/>
      <c r="P404" s="57"/>
      <c r="Q404" s="111"/>
      <c r="R404" s="111"/>
      <c r="S404" s="58"/>
      <c r="T404" s="112"/>
      <c r="U404" s="112"/>
      <c r="V404" s="59"/>
      <c r="W404" s="113"/>
      <c r="X404" s="113"/>
      <c r="Y404" s="54"/>
      <c r="Z404" s="109"/>
      <c r="AA404" s="109"/>
      <c r="AB404" s="55"/>
      <c r="AC404" s="110"/>
      <c r="AD404" s="110"/>
      <c r="AE404" s="96"/>
      <c r="AF404" s="97"/>
      <c r="AG404" s="98"/>
      <c r="AH404" s="99"/>
    </row>
    <row r="405" spans="1:34" x14ac:dyDescent="0.25">
      <c r="A405" s="10" t="str">
        <f t="shared" si="6"/>
        <v/>
      </c>
      <c r="B405" s="52"/>
      <c r="C405" s="53"/>
      <c r="D405" s="153"/>
      <c r="E405" s="78"/>
      <c r="F405" s="133"/>
      <c r="G405" s="54"/>
      <c r="H405" s="109"/>
      <c r="I405" s="109"/>
      <c r="J405" s="55"/>
      <c r="K405" s="110"/>
      <c r="L405" s="110"/>
      <c r="M405" s="55"/>
      <c r="N405" s="110"/>
      <c r="O405" s="110"/>
      <c r="P405" s="57"/>
      <c r="Q405" s="111"/>
      <c r="R405" s="111"/>
      <c r="S405" s="58"/>
      <c r="T405" s="112"/>
      <c r="U405" s="112"/>
      <c r="V405" s="59"/>
      <c r="W405" s="113"/>
      <c r="X405" s="113"/>
      <c r="Y405" s="54"/>
      <c r="Z405" s="109"/>
      <c r="AA405" s="109"/>
      <c r="AB405" s="55"/>
      <c r="AC405" s="110"/>
      <c r="AD405" s="110"/>
      <c r="AE405" s="96"/>
      <c r="AF405" s="97"/>
      <c r="AG405" s="98"/>
      <c r="AH405" s="99"/>
    </row>
    <row r="406" spans="1:34" x14ac:dyDescent="0.25">
      <c r="A406" s="10" t="str">
        <f t="shared" si="6"/>
        <v/>
      </c>
      <c r="B406" s="52"/>
      <c r="C406" s="53"/>
      <c r="D406" s="153"/>
      <c r="E406" s="78"/>
      <c r="F406" s="133"/>
      <c r="G406" s="54"/>
      <c r="H406" s="109"/>
      <c r="I406" s="109"/>
      <c r="J406" s="55"/>
      <c r="K406" s="110"/>
      <c r="L406" s="110"/>
      <c r="M406" s="55"/>
      <c r="N406" s="110"/>
      <c r="O406" s="110"/>
      <c r="P406" s="57"/>
      <c r="Q406" s="111"/>
      <c r="R406" s="111"/>
      <c r="S406" s="58"/>
      <c r="T406" s="112"/>
      <c r="U406" s="112"/>
      <c r="V406" s="59"/>
      <c r="W406" s="113"/>
      <c r="X406" s="113"/>
      <c r="Y406" s="54"/>
      <c r="Z406" s="109"/>
      <c r="AA406" s="109"/>
      <c r="AB406" s="55"/>
      <c r="AC406" s="110"/>
      <c r="AD406" s="110"/>
      <c r="AE406" s="96"/>
      <c r="AF406" s="97"/>
      <c r="AG406" s="98"/>
      <c r="AH406" s="99"/>
    </row>
    <row r="407" spans="1:34" x14ac:dyDescent="0.25">
      <c r="A407" s="10" t="str">
        <f t="shared" si="6"/>
        <v/>
      </c>
      <c r="B407" s="52"/>
      <c r="C407" s="53"/>
      <c r="D407" s="153"/>
      <c r="E407" s="78"/>
      <c r="F407" s="133"/>
      <c r="G407" s="54"/>
      <c r="H407" s="109"/>
      <c r="I407" s="109"/>
      <c r="J407" s="55"/>
      <c r="K407" s="110"/>
      <c r="L407" s="110"/>
      <c r="M407" s="55"/>
      <c r="N407" s="110"/>
      <c r="O407" s="110"/>
      <c r="P407" s="57"/>
      <c r="Q407" s="111"/>
      <c r="R407" s="111"/>
      <c r="S407" s="58"/>
      <c r="T407" s="112"/>
      <c r="U407" s="112"/>
      <c r="V407" s="59"/>
      <c r="W407" s="113"/>
      <c r="X407" s="113"/>
      <c r="Y407" s="54"/>
      <c r="Z407" s="109"/>
      <c r="AA407" s="109"/>
      <c r="AB407" s="55"/>
      <c r="AC407" s="110"/>
      <c r="AD407" s="110"/>
      <c r="AE407" s="96"/>
      <c r="AF407" s="97"/>
      <c r="AG407" s="98"/>
      <c r="AH407" s="99"/>
    </row>
    <row r="408" spans="1:34" x14ac:dyDescent="0.25">
      <c r="A408" s="10" t="str">
        <f t="shared" si="6"/>
        <v/>
      </c>
      <c r="B408" s="52"/>
      <c r="C408" s="53"/>
      <c r="D408" s="153"/>
      <c r="E408" s="78"/>
      <c r="F408" s="133"/>
      <c r="G408" s="54"/>
      <c r="H408" s="109"/>
      <c r="I408" s="109"/>
      <c r="J408" s="55"/>
      <c r="K408" s="110"/>
      <c r="L408" s="110"/>
      <c r="M408" s="55"/>
      <c r="N408" s="110"/>
      <c r="O408" s="110"/>
      <c r="P408" s="57"/>
      <c r="Q408" s="111"/>
      <c r="R408" s="111"/>
      <c r="S408" s="58"/>
      <c r="T408" s="112"/>
      <c r="U408" s="112"/>
      <c r="V408" s="59"/>
      <c r="W408" s="113"/>
      <c r="X408" s="113"/>
      <c r="Y408" s="54"/>
      <c r="Z408" s="109"/>
      <c r="AA408" s="109"/>
      <c r="AB408" s="55"/>
      <c r="AC408" s="110"/>
      <c r="AD408" s="110"/>
      <c r="AE408" s="96"/>
      <c r="AF408" s="97"/>
      <c r="AG408" s="98"/>
      <c r="AH408" s="99"/>
    </row>
    <row r="409" spans="1:34" x14ac:dyDescent="0.25">
      <c r="A409" s="10" t="str">
        <f t="shared" si="6"/>
        <v/>
      </c>
      <c r="B409" s="52"/>
      <c r="C409" s="53"/>
      <c r="D409" s="153"/>
      <c r="E409" s="78"/>
      <c r="F409" s="133"/>
      <c r="G409" s="54"/>
      <c r="H409" s="109"/>
      <c r="I409" s="109"/>
      <c r="J409" s="55"/>
      <c r="K409" s="110"/>
      <c r="L409" s="110"/>
      <c r="M409" s="55"/>
      <c r="N409" s="110"/>
      <c r="O409" s="110"/>
      <c r="P409" s="57"/>
      <c r="Q409" s="111"/>
      <c r="R409" s="111"/>
      <c r="S409" s="58"/>
      <c r="T409" s="112"/>
      <c r="U409" s="112"/>
      <c r="V409" s="59"/>
      <c r="W409" s="113"/>
      <c r="X409" s="113"/>
      <c r="Y409" s="54"/>
      <c r="Z409" s="109"/>
      <c r="AA409" s="109"/>
      <c r="AB409" s="55"/>
      <c r="AC409" s="110"/>
      <c r="AD409" s="110"/>
      <c r="AE409" s="96"/>
      <c r="AF409" s="97"/>
      <c r="AG409" s="98"/>
      <c r="AH409" s="99"/>
    </row>
    <row r="410" spans="1:34" x14ac:dyDescent="0.25">
      <c r="A410" s="10" t="str">
        <f t="shared" si="6"/>
        <v/>
      </c>
      <c r="B410" s="52"/>
      <c r="C410" s="53"/>
      <c r="D410" s="153"/>
      <c r="E410" s="78"/>
      <c r="F410" s="133"/>
      <c r="G410" s="54"/>
      <c r="H410" s="109"/>
      <c r="I410" s="109"/>
      <c r="J410" s="55"/>
      <c r="K410" s="110"/>
      <c r="L410" s="110"/>
      <c r="M410" s="55"/>
      <c r="N410" s="110"/>
      <c r="O410" s="110"/>
      <c r="P410" s="57"/>
      <c r="Q410" s="111"/>
      <c r="R410" s="111"/>
      <c r="S410" s="58"/>
      <c r="T410" s="112"/>
      <c r="U410" s="112"/>
      <c r="V410" s="59"/>
      <c r="W410" s="113"/>
      <c r="X410" s="113"/>
      <c r="Y410" s="54"/>
      <c r="Z410" s="109"/>
      <c r="AA410" s="109"/>
      <c r="AB410" s="55"/>
      <c r="AC410" s="110"/>
      <c r="AD410" s="110"/>
      <c r="AE410" s="96"/>
      <c r="AF410" s="97"/>
      <c r="AG410" s="98"/>
      <c r="AH410" s="99"/>
    </row>
    <row r="411" spans="1:34" x14ac:dyDescent="0.25">
      <c r="A411" s="10" t="str">
        <f t="shared" si="6"/>
        <v/>
      </c>
      <c r="B411" s="52"/>
      <c r="C411" s="53"/>
      <c r="D411" s="153"/>
      <c r="E411" s="78"/>
      <c r="F411" s="133"/>
      <c r="G411" s="54"/>
      <c r="H411" s="109"/>
      <c r="I411" s="109"/>
      <c r="J411" s="55"/>
      <c r="K411" s="110"/>
      <c r="L411" s="110"/>
      <c r="M411" s="55"/>
      <c r="N411" s="110"/>
      <c r="O411" s="110"/>
      <c r="P411" s="57"/>
      <c r="Q411" s="111"/>
      <c r="R411" s="111"/>
      <c r="S411" s="58"/>
      <c r="T411" s="112"/>
      <c r="U411" s="112"/>
      <c r="V411" s="59"/>
      <c r="W411" s="113"/>
      <c r="X411" s="113"/>
      <c r="Y411" s="54"/>
      <c r="Z411" s="109"/>
      <c r="AA411" s="109"/>
      <c r="AB411" s="55"/>
      <c r="AC411" s="110"/>
      <c r="AD411" s="110"/>
      <c r="AE411" s="96"/>
      <c r="AF411" s="97"/>
      <c r="AG411" s="98"/>
      <c r="AH411" s="99"/>
    </row>
    <row r="412" spans="1:34" x14ac:dyDescent="0.25">
      <c r="A412" s="10" t="str">
        <f t="shared" si="6"/>
        <v/>
      </c>
      <c r="B412" s="52"/>
      <c r="C412" s="53"/>
      <c r="D412" s="153"/>
      <c r="E412" s="78"/>
      <c r="F412" s="133"/>
      <c r="G412" s="54"/>
      <c r="H412" s="109"/>
      <c r="I412" s="109"/>
      <c r="J412" s="55"/>
      <c r="K412" s="110"/>
      <c r="L412" s="110"/>
      <c r="M412" s="55"/>
      <c r="N412" s="110"/>
      <c r="O412" s="110"/>
      <c r="P412" s="57"/>
      <c r="Q412" s="111"/>
      <c r="R412" s="111"/>
      <c r="S412" s="58"/>
      <c r="T412" s="112"/>
      <c r="U412" s="112"/>
      <c r="V412" s="59"/>
      <c r="W412" s="113"/>
      <c r="X412" s="113"/>
      <c r="Y412" s="54"/>
      <c r="Z412" s="109"/>
      <c r="AA412" s="109"/>
      <c r="AB412" s="55"/>
      <c r="AC412" s="110"/>
      <c r="AD412" s="110"/>
      <c r="AE412" s="96"/>
      <c r="AF412" s="97"/>
      <c r="AG412" s="98"/>
      <c r="AH412" s="99"/>
    </row>
    <row r="413" spans="1:34" x14ac:dyDescent="0.25">
      <c r="A413" s="10" t="str">
        <f t="shared" si="6"/>
        <v/>
      </c>
      <c r="B413" s="52"/>
      <c r="C413" s="53"/>
      <c r="D413" s="153"/>
      <c r="E413" s="78"/>
      <c r="F413" s="133"/>
      <c r="G413" s="54"/>
      <c r="H413" s="109"/>
      <c r="I413" s="109"/>
      <c r="J413" s="55"/>
      <c r="K413" s="110"/>
      <c r="L413" s="110"/>
      <c r="M413" s="55"/>
      <c r="N413" s="110"/>
      <c r="O413" s="110"/>
      <c r="P413" s="57"/>
      <c r="Q413" s="111"/>
      <c r="R413" s="111"/>
      <c r="S413" s="58"/>
      <c r="T413" s="112"/>
      <c r="U413" s="112"/>
      <c r="V413" s="59"/>
      <c r="W413" s="113"/>
      <c r="X413" s="113"/>
      <c r="Y413" s="54"/>
      <c r="Z413" s="109"/>
      <c r="AA413" s="109"/>
      <c r="AB413" s="55"/>
      <c r="AC413" s="110"/>
      <c r="AD413" s="110"/>
      <c r="AE413" s="96"/>
      <c r="AF413" s="97"/>
      <c r="AG413" s="98"/>
      <c r="AH413" s="99"/>
    </row>
    <row r="414" spans="1:34" x14ac:dyDescent="0.25">
      <c r="A414" s="10" t="str">
        <f t="shared" si="6"/>
        <v/>
      </c>
      <c r="B414" s="52"/>
      <c r="C414" s="53"/>
      <c r="D414" s="153"/>
      <c r="E414" s="78"/>
      <c r="F414" s="133"/>
      <c r="G414" s="54"/>
      <c r="H414" s="109"/>
      <c r="I414" s="109"/>
      <c r="J414" s="55"/>
      <c r="K414" s="110"/>
      <c r="L414" s="110"/>
      <c r="M414" s="55"/>
      <c r="N414" s="110"/>
      <c r="O414" s="110"/>
      <c r="P414" s="57"/>
      <c r="Q414" s="111"/>
      <c r="R414" s="111"/>
      <c r="S414" s="58"/>
      <c r="T414" s="112"/>
      <c r="U414" s="112"/>
      <c r="V414" s="59"/>
      <c r="W414" s="113"/>
      <c r="X414" s="113"/>
      <c r="Y414" s="54"/>
      <c r="Z414" s="109"/>
      <c r="AA414" s="109"/>
      <c r="AB414" s="55"/>
      <c r="AC414" s="110"/>
      <c r="AD414" s="110"/>
      <c r="AE414" s="96"/>
      <c r="AF414" s="97"/>
      <c r="AG414" s="98"/>
      <c r="AH414" s="99"/>
    </row>
    <row r="415" spans="1:34" x14ac:dyDescent="0.25">
      <c r="A415" s="10" t="str">
        <f t="shared" si="6"/>
        <v/>
      </c>
      <c r="B415" s="52"/>
      <c r="C415" s="53"/>
      <c r="D415" s="153"/>
      <c r="E415" s="78"/>
      <c r="F415" s="133"/>
      <c r="G415" s="54"/>
      <c r="H415" s="109"/>
      <c r="I415" s="109"/>
      <c r="J415" s="55"/>
      <c r="K415" s="110"/>
      <c r="L415" s="110"/>
      <c r="M415" s="55"/>
      <c r="N415" s="110"/>
      <c r="O415" s="110"/>
      <c r="P415" s="57"/>
      <c r="Q415" s="111"/>
      <c r="R415" s="111"/>
      <c r="S415" s="58"/>
      <c r="T415" s="112"/>
      <c r="U415" s="112"/>
      <c r="V415" s="59"/>
      <c r="W415" s="113"/>
      <c r="X415" s="113"/>
      <c r="Y415" s="54"/>
      <c r="Z415" s="109"/>
      <c r="AA415" s="109"/>
      <c r="AB415" s="55"/>
      <c r="AC415" s="110"/>
      <c r="AD415" s="110"/>
      <c r="AE415" s="96"/>
      <c r="AF415" s="97"/>
      <c r="AG415" s="98"/>
      <c r="AH415" s="99"/>
    </row>
    <row r="416" spans="1:34" x14ac:dyDescent="0.25">
      <c r="A416" s="10" t="str">
        <f t="shared" si="6"/>
        <v/>
      </c>
      <c r="B416" s="52"/>
      <c r="C416" s="53"/>
      <c r="D416" s="153"/>
      <c r="E416" s="78"/>
      <c r="F416" s="133"/>
      <c r="G416" s="54"/>
      <c r="H416" s="109"/>
      <c r="I416" s="109"/>
      <c r="J416" s="55"/>
      <c r="K416" s="110"/>
      <c r="L416" s="110"/>
      <c r="M416" s="55"/>
      <c r="N416" s="110"/>
      <c r="O416" s="110"/>
      <c r="P416" s="57"/>
      <c r="Q416" s="111"/>
      <c r="R416" s="111"/>
      <c r="S416" s="58"/>
      <c r="T416" s="112"/>
      <c r="U416" s="112"/>
      <c r="V416" s="59"/>
      <c r="W416" s="113"/>
      <c r="X416" s="113"/>
      <c r="Y416" s="54"/>
      <c r="Z416" s="109"/>
      <c r="AA416" s="109"/>
      <c r="AB416" s="55"/>
      <c r="AC416" s="110"/>
      <c r="AD416" s="110"/>
      <c r="AE416" s="96"/>
      <c r="AF416" s="97"/>
      <c r="AG416" s="98"/>
      <c r="AH416" s="99"/>
    </row>
    <row r="417" spans="1:34" x14ac:dyDescent="0.25">
      <c r="A417" s="10" t="str">
        <f t="shared" si="6"/>
        <v/>
      </c>
      <c r="B417" s="52"/>
      <c r="C417" s="53"/>
      <c r="D417" s="153"/>
      <c r="E417" s="78"/>
      <c r="F417" s="133"/>
      <c r="G417" s="54"/>
      <c r="H417" s="109"/>
      <c r="I417" s="109"/>
      <c r="J417" s="55"/>
      <c r="K417" s="110"/>
      <c r="L417" s="110"/>
      <c r="M417" s="55"/>
      <c r="N417" s="110"/>
      <c r="O417" s="110"/>
      <c r="P417" s="57"/>
      <c r="Q417" s="111"/>
      <c r="R417" s="111"/>
      <c r="S417" s="58"/>
      <c r="T417" s="112"/>
      <c r="U417" s="112"/>
      <c r="V417" s="59"/>
      <c r="W417" s="113"/>
      <c r="X417" s="113"/>
      <c r="Y417" s="54"/>
      <c r="Z417" s="109"/>
      <c r="AA417" s="109"/>
      <c r="AB417" s="55"/>
      <c r="AC417" s="110"/>
      <c r="AD417" s="110"/>
      <c r="AE417" s="96"/>
      <c r="AF417" s="97"/>
      <c r="AG417" s="98"/>
      <c r="AH417" s="99"/>
    </row>
    <row r="418" spans="1:34" x14ac:dyDescent="0.25">
      <c r="A418" s="10" t="str">
        <f t="shared" si="6"/>
        <v/>
      </c>
      <c r="B418" s="52"/>
      <c r="C418" s="53"/>
      <c r="D418" s="153"/>
      <c r="E418" s="78"/>
      <c r="F418" s="133"/>
      <c r="G418" s="54"/>
      <c r="H418" s="109"/>
      <c r="I418" s="109"/>
      <c r="J418" s="55"/>
      <c r="K418" s="110"/>
      <c r="L418" s="110"/>
      <c r="M418" s="55"/>
      <c r="N418" s="110"/>
      <c r="O418" s="110"/>
      <c r="P418" s="57"/>
      <c r="Q418" s="111"/>
      <c r="R418" s="111"/>
      <c r="S418" s="58"/>
      <c r="T418" s="112"/>
      <c r="U418" s="112"/>
      <c r="V418" s="59"/>
      <c r="W418" s="113"/>
      <c r="X418" s="113"/>
      <c r="Y418" s="54"/>
      <c r="Z418" s="109"/>
      <c r="AA418" s="109"/>
      <c r="AB418" s="55"/>
      <c r="AC418" s="110"/>
      <c r="AD418" s="110"/>
      <c r="AE418" s="96"/>
      <c r="AF418" s="97"/>
      <c r="AG418" s="98"/>
      <c r="AH418" s="99"/>
    </row>
    <row r="419" spans="1:34" x14ac:dyDescent="0.25">
      <c r="A419" s="10" t="str">
        <f t="shared" si="6"/>
        <v/>
      </c>
      <c r="B419" s="52"/>
      <c r="C419" s="53"/>
      <c r="D419" s="153"/>
      <c r="E419" s="78"/>
      <c r="F419" s="133"/>
      <c r="G419" s="54"/>
      <c r="H419" s="109"/>
      <c r="I419" s="109"/>
      <c r="J419" s="55"/>
      <c r="K419" s="110"/>
      <c r="L419" s="110"/>
      <c r="M419" s="55"/>
      <c r="N419" s="110"/>
      <c r="O419" s="110"/>
      <c r="P419" s="57"/>
      <c r="Q419" s="111"/>
      <c r="R419" s="111"/>
      <c r="S419" s="58"/>
      <c r="T419" s="112"/>
      <c r="U419" s="112"/>
      <c r="V419" s="59"/>
      <c r="W419" s="113"/>
      <c r="X419" s="113"/>
      <c r="Y419" s="54"/>
      <c r="Z419" s="109"/>
      <c r="AA419" s="109"/>
      <c r="AB419" s="55"/>
      <c r="AC419" s="110"/>
      <c r="AD419" s="110"/>
      <c r="AE419" s="96"/>
      <c r="AF419" s="97"/>
      <c r="AG419" s="98"/>
      <c r="AH419" s="99"/>
    </row>
    <row r="420" spans="1:34" x14ac:dyDescent="0.25">
      <c r="A420" s="10" t="str">
        <f t="shared" si="6"/>
        <v/>
      </c>
      <c r="B420" s="52"/>
      <c r="C420" s="53"/>
      <c r="D420" s="153"/>
      <c r="E420" s="78"/>
      <c r="F420" s="133"/>
      <c r="G420" s="54"/>
      <c r="H420" s="109"/>
      <c r="I420" s="109"/>
      <c r="J420" s="55"/>
      <c r="K420" s="110"/>
      <c r="L420" s="110"/>
      <c r="M420" s="55"/>
      <c r="N420" s="110"/>
      <c r="O420" s="110"/>
      <c r="P420" s="57"/>
      <c r="Q420" s="111"/>
      <c r="R420" s="111"/>
      <c r="S420" s="58"/>
      <c r="T420" s="112"/>
      <c r="U420" s="112"/>
      <c r="V420" s="59"/>
      <c r="W420" s="113"/>
      <c r="X420" s="113"/>
      <c r="Y420" s="54"/>
      <c r="Z420" s="109"/>
      <c r="AA420" s="109"/>
      <c r="AB420" s="55"/>
      <c r="AC420" s="110"/>
      <c r="AD420" s="110"/>
      <c r="AE420" s="96"/>
      <c r="AF420" s="97"/>
      <c r="AG420" s="98"/>
      <c r="AH420" s="99"/>
    </row>
    <row r="421" spans="1:34" x14ac:dyDescent="0.25">
      <c r="A421" s="10" t="str">
        <f t="shared" si="6"/>
        <v/>
      </c>
      <c r="B421" s="52"/>
      <c r="C421" s="53"/>
      <c r="D421" s="153"/>
      <c r="E421" s="78"/>
      <c r="F421" s="133"/>
      <c r="G421" s="54"/>
      <c r="H421" s="109"/>
      <c r="I421" s="109"/>
      <c r="J421" s="55"/>
      <c r="K421" s="110"/>
      <c r="L421" s="110"/>
      <c r="M421" s="55"/>
      <c r="N421" s="110"/>
      <c r="O421" s="110"/>
      <c r="P421" s="57"/>
      <c r="Q421" s="111"/>
      <c r="R421" s="111"/>
      <c r="S421" s="58"/>
      <c r="T421" s="112"/>
      <c r="U421" s="112"/>
      <c r="V421" s="59"/>
      <c r="W421" s="113"/>
      <c r="X421" s="113"/>
      <c r="Y421" s="54"/>
      <c r="Z421" s="109"/>
      <c r="AA421" s="109"/>
      <c r="AB421" s="55"/>
      <c r="AC421" s="110"/>
      <c r="AD421" s="110"/>
      <c r="AE421" s="96"/>
      <c r="AF421" s="97"/>
      <c r="AG421" s="98"/>
      <c r="AH421" s="99"/>
    </row>
    <row r="422" spans="1:34" x14ac:dyDescent="0.25">
      <c r="A422" s="10" t="str">
        <f t="shared" si="6"/>
        <v/>
      </c>
      <c r="B422" s="52"/>
      <c r="C422" s="53"/>
      <c r="D422" s="153"/>
      <c r="E422" s="78"/>
      <c r="F422" s="133"/>
      <c r="G422" s="54"/>
      <c r="H422" s="109"/>
      <c r="I422" s="109"/>
      <c r="J422" s="55"/>
      <c r="K422" s="110"/>
      <c r="L422" s="110"/>
      <c r="M422" s="55"/>
      <c r="N422" s="110"/>
      <c r="O422" s="110"/>
      <c r="P422" s="57"/>
      <c r="Q422" s="111"/>
      <c r="R422" s="111"/>
      <c r="S422" s="58"/>
      <c r="T422" s="112"/>
      <c r="U422" s="112"/>
      <c r="V422" s="59"/>
      <c r="W422" s="113"/>
      <c r="X422" s="113"/>
      <c r="Y422" s="54"/>
      <c r="Z422" s="109"/>
      <c r="AA422" s="109"/>
      <c r="AB422" s="55"/>
      <c r="AC422" s="110"/>
      <c r="AD422" s="110"/>
      <c r="AE422" s="96"/>
      <c r="AF422" s="97"/>
      <c r="AG422" s="98"/>
      <c r="AH422" s="99"/>
    </row>
    <row r="423" spans="1:34" x14ac:dyDescent="0.25">
      <c r="A423" s="10" t="str">
        <f t="shared" si="6"/>
        <v/>
      </c>
      <c r="B423" s="52"/>
      <c r="C423" s="53"/>
      <c r="D423" s="153"/>
      <c r="E423" s="78"/>
      <c r="F423" s="133"/>
      <c r="G423" s="54"/>
      <c r="H423" s="109"/>
      <c r="I423" s="109"/>
      <c r="J423" s="55"/>
      <c r="K423" s="110"/>
      <c r="L423" s="110"/>
      <c r="M423" s="55"/>
      <c r="N423" s="110"/>
      <c r="O423" s="110"/>
      <c r="P423" s="57"/>
      <c r="Q423" s="111"/>
      <c r="R423" s="111"/>
      <c r="S423" s="58"/>
      <c r="T423" s="112"/>
      <c r="U423" s="112"/>
      <c r="V423" s="59"/>
      <c r="W423" s="113"/>
      <c r="X423" s="113"/>
      <c r="Y423" s="54"/>
      <c r="Z423" s="109"/>
      <c r="AA423" s="109"/>
      <c r="AB423" s="55"/>
      <c r="AC423" s="110"/>
      <c r="AD423" s="110"/>
      <c r="AE423" s="96"/>
      <c r="AF423" s="97"/>
      <c r="AG423" s="98"/>
      <c r="AH423" s="99"/>
    </row>
    <row r="424" spans="1:34" x14ac:dyDescent="0.25">
      <c r="A424" s="10" t="str">
        <f t="shared" si="6"/>
        <v/>
      </c>
      <c r="B424" s="52"/>
      <c r="C424" s="53"/>
      <c r="D424" s="153"/>
      <c r="E424" s="78"/>
      <c r="F424" s="133"/>
      <c r="G424" s="54"/>
      <c r="H424" s="109"/>
      <c r="I424" s="109"/>
      <c r="J424" s="55"/>
      <c r="K424" s="110"/>
      <c r="L424" s="110"/>
      <c r="M424" s="55"/>
      <c r="N424" s="110"/>
      <c r="O424" s="110"/>
      <c r="P424" s="57"/>
      <c r="Q424" s="111"/>
      <c r="R424" s="111"/>
      <c r="S424" s="58"/>
      <c r="T424" s="112"/>
      <c r="U424" s="112"/>
      <c r="V424" s="59"/>
      <c r="W424" s="113"/>
      <c r="X424" s="113"/>
      <c r="Y424" s="54"/>
      <c r="Z424" s="109"/>
      <c r="AA424" s="109"/>
      <c r="AB424" s="55"/>
      <c r="AC424" s="110"/>
      <c r="AD424" s="110"/>
      <c r="AE424" s="96"/>
      <c r="AF424" s="97"/>
      <c r="AG424" s="98"/>
      <c r="AH424" s="99"/>
    </row>
    <row r="425" spans="1:34" x14ac:dyDescent="0.25">
      <c r="A425" s="10" t="str">
        <f t="shared" si="6"/>
        <v/>
      </c>
      <c r="B425" s="52"/>
      <c r="C425" s="53"/>
      <c r="D425" s="153"/>
      <c r="E425" s="78"/>
      <c r="F425" s="133"/>
      <c r="G425" s="54"/>
      <c r="H425" s="109"/>
      <c r="I425" s="109"/>
      <c r="J425" s="55"/>
      <c r="K425" s="110"/>
      <c r="L425" s="110"/>
      <c r="M425" s="55"/>
      <c r="N425" s="110"/>
      <c r="O425" s="110"/>
      <c r="P425" s="57"/>
      <c r="Q425" s="111"/>
      <c r="R425" s="111"/>
      <c r="S425" s="58"/>
      <c r="T425" s="112"/>
      <c r="U425" s="112"/>
      <c r="V425" s="59"/>
      <c r="W425" s="113"/>
      <c r="X425" s="113"/>
      <c r="Y425" s="54"/>
      <c r="Z425" s="109"/>
      <c r="AA425" s="109"/>
      <c r="AB425" s="55"/>
      <c r="AC425" s="110"/>
      <c r="AD425" s="110"/>
      <c r="AE425" s="96"/>
      <c r="AF425" s="97"/>
      <c r="AG425" s="98"/>
      <c r="AH425" s="99"/>
    </row>
    <row r="426" spans="1:34" x14ac:dyDescent="0.25">
      <c r="A426" s="10" t="str">
        <f t="shared" si="6"/>
        <v/>
      </c>
      <c r="B426" s="52"/>
      <c r="C426" s="53"/>
      <c r="D426" s="153"/>
      <c r="E426" s="78"/>
      <c r="F426" s="133"/>
      <c r="G426" s="54"/>
      <c r="H426" s="109"/>
      <c r="I426" s="109"/>
      <c r="J426" s="55"/>
      <c r="K426" s="110"/>
      <c r="L426" s="110"/>
      <c r="M426" s="55"/>
      <c r="N426" s="110"/>
      <c r="O426" s="110"/>
      <c r="P426" s="57"/>
      <c r="Q426" s="111"/>
      <c r="R426" s="111"/>
      <c r="S426" s="58"/>
      <c r="T426" s="112"/>
      <c r="U426" s="112"/>
      <c r="V426" s="59"/>
      <c r="W426" s="113"/>
      <c r="X426" s="113"/>
      <c r="Y426" s="54"/>
      <c r="Z426" s="109"/>
      <c r="AA426" s="109"/>
      <c r="AB426" s="55"/>
      <c r="AC426" s="110"/>
      <c r="AD426" s="110"/>
      <c r="AE426" s="96"/>
      <c r="AF426" s="97"/>
      <c r="AG426" s="98"/>
      <c r="AH426" s="99"/>
    </row>
    <row r="427" spans="1:34" x14ac:dyDescent="0.25">
      <c r="A427" s="10" t="str">
        <f t="shared" si="6"/>
        <v/>
      </c>
      <c r="B427" s="52"/>
      <c r="C427" s="53"/>
      <c r="D427" s="153"/>
      <c r="E427" s="78"/>
      <c r="F427" s="133"/>
      <c r="G427" s="54"/>
      <c r="H427" s="109"/>
      <c r="I427" s="109"/>
      <c r="J427" s="55"/>
      <c r="K427" s="110"/>
      <c r="L427" s="110"/>
      <c r="M427" s="55"/>
      <c r="N427" s="110"/>
      <c r="O427" s="110"/>
      <c r="P427" s="57"/>
      <c r="Q427" s="111"/>
      <c r="R427" s="111"/>
      <c r="S427" s="58"/>
      <c r="T427" s="112"/>
      <c r="U427" s="112"/>
      <c r="V427" s="59"/>
      <c r="W427" s="113"/>
      <c r="X427" s="113"/>
      <c r="Y427" s="54"/>
      <c r="Z427" s="109"/>
      <c r="AA427" s="109"/>
      <c r="AB427" s="55"/>
      <c r="AC427" s="110"/>
      <c r="AD427" s="110"/>
      <c r="AE427" s="96"/>
      <c r="AF427" s="97"/>
      <c r="AG427" s="98"/>
      <c r="AH427" s="99"/>
    </row>
    <row r="428" spans="1:34" x14ac:dyDescent="0.25">
      <c r="A428" s="10" t="str">
        <f t="shared" si="6"/>
        <v/>
      </c>
      <c r="B428" s="52"/>
      <c r="C428" s="53"/>
      <c r="D428" s="153"/>
      <c r="E428" s="78"/>
      <c r="F428" s="133"/>
      <c r="G428" s="54"/>
      <c r="H428" s="109"/>
      <c r="I428" s="109"/>
      <c r="J428" s="55"/>
      <c r="K428" s="110"/>
      <c r="L428" s="110"/>
      <c r="M428" s="55"/>
      <c r="N428" s="110"/>
      <c r="O428" s="110"/>
      <c r="P428" s="57"/>
      <c r="Q428" s="111"/>
      <c r="R428" s="111"/>
      <c r="S428" s="58"/>
      <c r="T428" s="112"/>
      <c r="U428" s="112"/>
      <c r="V428" s="59"/>
      <c r="W428" s="113"/>
      <c r="X428" s="113"/>
      <c r="Y428" s="54"/>
      <c r="Z428" s="109"/>
      <c r="AA428" s="109"/>
      <c r="AB428" s="55"/>
      <c r="AC428" s="110"/>
      <c r="AD428" s="110"/>
      <c r="AE428" s="96"/>
      <c r="AF428" s="97"/>
      <c r="AG428" s="98"/>
      <c r="AH428" s="99"/>
    </row>
    <row r="429" spans="1:34" x14ac:dyDescent="0.25">
      <c r="A429" s="10" t="str">
        <f t="shared" si="6"/>
        <v/>
      </c>
      <c r="B429" s="52"/>
      <c r="C429" s="53"/>
      <c r="D429" s="153"/>
      <c r="E429" s="78"/>
      <c r="F429" s="133"/>
      <c r="G429" s="54"/>
      <c r="H429" s="109"/>
      <c r="I429" s="109"/>
      <c r="J429" s="55"/>
      <c r="K429" s="110"/>
      <c r="L429" s="110"/>
      <c r="M429" s="55"/>
      <c r="N429" s="110"/>
      <c r="O429" s="110"/>
      <c r="P429" s="57"/>
      <c r="Q429" s="111"/>
      <c r="R429" s="111"/>
      <c r="S429" s="58"/>
      <c r="T429" s="112"/>
      <c r="U429" s="112"/>
      <c r="V429" s="59"/>
      <c r="W429" s="113"/>
      <c r="X429" s="113"/>
      <c r="Y429" s="54"/>
      <c r="Z429" s="109"/>
      <c r="AA429" s="109"/>
      <c r="AB429" s="55"/>
      <c r="AC429" s="110"/>
      <c r="AD429" s="110"/>
      <c r="AE429" s="96"/>
      <c r="AF429" s="97"/>
      <c r="AG429" s="98"/>
      <c r="AH429" s="99"/>
    </row>
    <row r="430" spans="1:34" x14ac:dyDescent="0.25">
      <c r="A430" s="10" t="str">
        <f t="shared" si="6"/>
        <v/>
      </c>
      <c r="B430" s="52"/>
      <c r="C430" s="53"/>
      <c r="D430" s="153"/>
      <c r="E430" s="78"/>
      <c r="F430" s="133"/>
      <c r="G430" s="54"/>
      <c r="H430" s="109"/>
      <c r="I430" s="109"/>
      <c r="J430" s="55"/>
      <c r="K430" s="110"/>
      <c r="L430" s="110"/>
      <c r="M430" s="55"/>
      <c r="N430" s="110"/>
      <c r="O430" s="110"/>
      <c r="P430" s="57"/>
      <c r="Q430" s="111"/>
      <c r="R430" s="111"/>
      <c r="S430" s="58"/>
      <c r="T430" s="112"/>
      <c r="U430" s="112"/>
      <c r="V430" s="59"/>
      <c r="W430" s="113"/>
      <c r="X430" s="113"/>
      <c r="Y430" s="54"/>
      <c r="Z430" s="109"/>
      <c r="AA430" s="109"/>
      <c r="AB430" s="55"/>
      <c r="AC430" s="110"/>
      <c r="AD430" s="110"/>
      <c r="AE430" s="96"/>
      <c r="AF430" s="97"/>
      <c r="AG430" s="98"/>
      <c r="AH430" s="99"/>
    </row>
    <row r="431" spans="1:34" x14ac:dyDescent="0.25">
      <c r="A431" s="10" t="str">
        <f t="shared" si="6"/>
        <v/>
      </c>
      <c r="B431" s="52"/>
      <c r="C431" s="53"/>
      <c r="D431" s="153"/>
      <c r="E431" s="78"/>
      <c r="F431" s="133"/>
      <c r="G431" s="54"/>
      <c r="H431" s="109"/>
      <c r="I431" s="109"/>
      <c r="J431" s="55"/>
      <c r="K431" s="110"/>
      <c r="L431" s="110"/>
      <c r="M431" s="55"/>
      <c r="N431" s="110"/>
      <c r="O431" s="110"/>
      <c r="P431" s="57"/>
      <c r="Q431" s="111"/>
      <c r="R431" s="111"/>
      <c r="S431" s="58"/>
      <c r="T431" s="112"/>
      <c r="U431" s="112"/>
      <c r="V431" s="59"/>
      <c r="W431" s="113"/>
      <c r="X431" s="113"/>
      <c r="Y431" s="54"/>
      <c r="Z431" s="109"/>
      <c r="AA431" s="109"/>
      <c r="AB431" s="55"/>
      <c r="AC431" s="110"/>
      <c r="AD431" s="110"/>
      <c r="AE431" s="96"/>
      <c r="AF431" s="97"/>
      <c r="AG431" s="98"/>
      <c r="AH431" s="99"/>
    </row>
    <row r="432" spans="1:34" x14ac:dyDescent="0.25">
      <c r="A432" s="10" t="str">
        <f t="shared" si="6"/>
        <v/>
      </c>
      <c r="B432" s="52"/>
      <c r="C432" s="53"/>
      <c r="D432" s="153"/>
      <c r="E432" s="78"/>
      <c r="F432" s="133"/>
      <c r="G432" s="54"/>
      <c r="H432" s="109"/>
      <c r="I432" s="109"/>
      <c r="J432" s="55"/>
      <c r="K432" s="110"/>
      <c r="L432" s="110"/>
      <c r="M432" s="55"/>
      <c r="N432" s="110"/>
      <c r="O432" s="110"/>
      <c r="P432" s="57"/>
      <c r="Q432" s="111"/>
      <c r="R432" s="111"/>
      <c r="S432" s="58"/>
      <c r="T432" s="112"/>
      <c r="U432" s="112"/>
      <c r="V432" s="59"/>
      <c r="W432" s="113"/>
      <c r="X432" s="113"/>
      <c r="Y432" s="54"/>
      <c r="Z432" s="109"/>
      <c r="AA432" s="109"/>
      <c r="AB432" s="55"/>
      <c r="AC432" s="110"/>
      <c r="AD432" s="110"/>
      <c r="AE432" s="96"/>
      <c r="AF432" s="97"/>
      <c r="AG432" s="98"/>
      <c r="AH432" s="99"/>
    </row>
    <row r="433" spans="1:34" x14ac:dyDescent="0.25">
      <c r="A433" s="10" t="str">
        <f t="shared" si="6"/>
        <v/>
      </c>
      <c r="B433" s="52"/>
      <c r="C433" s="53"/>
      <c r="D433" s="153"/>
      <c r="E433" s="78"/>
      <c r="F433" s="133"/>
      <c r="G433" s="54"/>
      <c r="H433" s="109"/>
      <c r="I433" s="109"/>
      <c r="J433" s="55"/>
      <c r="K433" s="110"/>
      <c r="L433" s="110"/>
      <c r="M433" s="55"/>
      <c r="N433" s="110"/>
      <c r="O433" s="110"/>
      <c r="P433" s="57"/>
      <c r="Q433" s="111"/>
      <c r="R433" s="111"/>
      <c r="S433" s="58"/>
      <c r="T433" s="112"/>
      <c r="U433" s="112"/>
      <c r="V433" s="59"/>
      <c r="W433" s="113"/>
      <c r="X433" s="113"/>
      <c r="Y433" s="54"/>
      <c r="Z433" s="109"/>
      <c r="AA433" s="109"/>
      <c r="AB433" s="55"/>
      <c r="AC433" s="110"/>
      <c r="AD433" s="110"/>
      <c r="AE433" s="96"/>
      <c r="AF433" s="97"/>
      <c r="AG433" s="98"/>
      <c r="AH433" s="99"/>
    </row>
    <row r="434" spans="1:34" x14ac:dyDescent="0.25">
      <c r="A434" s="10" t="str">
        <f t="shared" si="6"/>
        <v/>
      </c>
      <c r="B434" s="52"/>
      <c r="C434" s="53"/>
      <c r="D434" s="153"/>
      <c r="E434" s="78"/>
      <c r="F434" s="133"/>
      <c r="G434" s="54"/>
      <c r="H434" s="109"/>
      <c r="I434" s="109"/>
      <c r="J434" s="55"/>
      <c r="K434" s="110"/>
      <c r="L434" s="110"/>
      <c r="M434" s="55"/>
      <c r="N434" s="110"/>
      <c r="O434" s="110"/>
      <c r="P434" s="57"/>
      <c r="Q434" s="111"/>
      <c r="R434" s="111"/>
      <c r="S434" s="58"/>
      <c r="T434" s="112"/>
      <c r="U434" s="112"/>
      <c r="V434" s="59"/>
      <c r="W434" s="113"/>
      <c r="X434" s="113"/>
      <c r="Y434" s="54"/>
      <c r="Z434" s="109"/>
      <c r="AA434" s="109"/>
      <c r="AB434" s="55"/>
      <c r="AC434" s="110"/>
      <c r="AD434" s="110"/>
      <c r="AE434" s="96"/>
      <c r="AF434" s="97"/>
      <c r="AG434" s="98"/>
      <c r="AH434" s="99"/>
    </row>
    <row r="435" spans="1:34" x14ac:dyDescent="0.25">
      <c r="A435" s="10" t="str">
        <f t="shared" si="6"/>
        <v/>
      </c>
      <c r="B435" s="52"/>
      <c r="C435" s="53"/>
      <c r="D435" s="153"/>
      <c r="E435" s="78"/>
      <c r="F435" s="133"/>
      <c r="G435" s="54"/>
      <c r="H435" s="109"/>
      <c r="I435" s="109"/>
      <c r="J435" s="55"/>
      <c r="K435" s="110"/>
      <c r="L435" s="110"/>
      <c r="M435" s="55"/>
      <c r="N435" s="110"/>
      <c r="O435" s="110"/>
      <c r="P435" s="57"/>
      <c r="Q435" s="111"/>
      <c r="R435" s="111"/>
      <c r="S435" s="58"/>
      <c r="T435" s="112"/>
      <c r="U435" s="112"/>
      <c r="V435" s="59"/>
      <c r="W435" s="113"/>
      <c r="X435" s="113"/>
      <c r="Y435" s="54"/>
      <c r="Z435" s="109"/>
      <c r="AA435" s="109"/>
      <c r="AB435" s="55"/>
      <c r="AC435" s="110"/>
      <c r="AD435" s="110"/>
      <c r="AE435" s="96"/>
      <c r="AF435" s="97"/>
      <c r="AG435" s="98"/>
      <c r="AH435" s="99"/>
    </row>
    <row r="436" spans="1:34" x14ac:dyDescent="0.25">
      <c r="A436" s="10" t="str">
        <f t="shared" si="6"/>
        <v/>
      </c>
      <c r="B436" s="52"/>
      <c r="C436" s="53"/>
      <c r="D436" s="153"/>
      <c r="E436" s="78"/>
      <c r="F436" s="133"/>
      <c r="G436" s="54"/>
      <c r="H436" s="109"/>
      <c r="I436" s="109"/>
      <c r="J436" s="55"/>
      <c r="K436" s="110"/>
      <c r="L436" s="110"/>
      <c r="M436" s="55"/>
      <c r="N436" s="110"/>
      <c r="O436" s="110"/>
      <c r="P436" s="57"/>
      <c r="Q436" s="111"/>
      <c r="R436" s="111"/>
      <c r="S436" s="58"/>
      <c r="T436" s="112"/>
      <c r="U436" s="112"/>
      <c r="V436" s="59"/>
      <c r="W436" s="113"/>
      <c r="X436" s="113"/>
      <c r="Y436" s="54"/>
      <c r="Z436" s="109"/>
      <c r="AA436" s="109"/>
      <c r="AB436" s="55"/>
      <c r="AC436" s="110"/>
      <c r="AD436" s="110"/>
      <c r="AE436" s="96"/>
      <c r="AF436" s="97"/>
      <c r="AG436" s="98"/>
      <c r="AH436" s="99"/>
    </row>
    <row r="437" spans="1:34" x14ac:dyDescent="0.25">
      <c r="A437" s="10" t="str">
        <f t="shared" si="6"/>
        <v/>
      </c>
      <c r="B437" s="52"/>
      <c r="C437" s="53"/>
      <c r="D437" s="153"/>
      <c r="E437" s="78"/>
      <c r="F437" s="133"/>
      <c r="G437" s="54"/>
      <c r="H437" s="109"/>
      <c r="I437" s="109"/>
      <c r="J437" s="55"/>
      <c r="K437" s="110"/>
      <c r="L437" s="110"/>
      <c r="M437" s="55"/>
      <c r="N437" s="110"/>
      <c r="O437" s="110"/>
      <c r="P437" s="57"/>
      <c r="Q437" s="111"/>
      <c r="R437" s="111"/>
      <c r="S437" s="58"/>
      <c r="T437" s="112"/>
      <c r="U437" s="112"/>
      <c r="V437" s="59"/>
      <c r="W437" s="113"/>
      <c r="X437" s="113"/>
      <c r="Y437" s="54"/>
      <c r="Z437" s="109"/>
      <c r="AA437" s="109"/>
      <c r="AB437" s="55"/>
      <c r="AC437" s="110"/>
      <c r="AD437" s="110"/>
      <c r="AE437" s="96"/>
      <c r="AF437" s="97"/>
      <c r="AG437" s="98"/>
      <c r="AH437" s="99"/>
    </row>
    <row r="438" spans="1:34" x14ac:dyDescent="0.25">
      <c r="A438" s="10" t="str">
        <f t="shared" si="6"/>
        <v/>
      </c>
      <c r="B438" s="52"/>
      <c r="C438" s="53"/>
      <c r="D438" s="153"/>
      <c r="E438" s="78"/>
      <c r="F438" s="133"/>
      <c r="G438" s="54"/>
      <c r="H438" s="109"/>
      <c r="I438" s="109"/>
      <c r="J438" s="55"/>
      <c r="K438" s="110"/>
      <c r="L438" s="110"/>
      <c r="M438" s="55"/>
      <c r="N438" s="110"/>
      <c r="O438" s="110"/>
      <c r="P438" s="57"/>
      <c r="Q438" s="111"/>
      <c r="R438" s="111"/>
      <c r="S438" s="58"/>
      <c r="T438" s="112"/>
      <c r="U438" s="112"/>
      <c r="V438" s="59"/>
      <c r="W438" s="113"/>
      <c r="X438" s="113"/>
      <c r="Y438" s="54"/>
      <c r="Z438" s="109"/>
      <c r="AA438" s="109"/>
      <c r="AB438" s="55"/>
      <c r="AC438" s="110"/>
      <c r="AD438" s="110"/>
      <c r="AE438" s="96"/>
      <c r="AF438" s="97"/>
      <c r="AG438" s="98"/>
      <c r="AH438" s="99"/>
    </row>
    <row r="439" spans="1:34" x14ac:dyDescent="0.25">
      <c r="A439" s="10" t="str">
        <f t="shared" si="6"/>
        <v/>
      </c>
      <c r="B439" s="52"/>
      <c r="C439" s="53"/>
      <c r="D439" s="153"/>
      <c r="E439" s="78"/>
      <c r="F439" s="133"/>
      <c r="G439" s="54"/>
      <c r="H439" s="109"/>
      <c r="I439" s="109"/>
      <c r="J439" s="55"/>
      <c r="K439" s="110"/>
      <c r="L439" s="110"/>
      <c r="M439" s="55"/>
      <c r="N439" s="110"/>
      <c r="O439" s="110"/>
      <c r="P439" s="57"/>
      <c r="Q439" s="111"/>
      <c r="R439" s="111"/>
      <c r="S439" s="58"/>
      <c r="T439" s="112"/>
      <c r="U439" s="112"/>
      <c r="V439" s="59"/>
      <c r="W439" s="113"/>
      <c r="X439" s="113"/>
      <c r="Y439" s="54"/>
      <c r="Z439" s="109"/>
      <c r="AA439" s="109"/>
      <c r="AB439" s="55"/>
      <c r="AC439" s="110"/>
      <c r="AD439" s="110"/>
      <c r="AE439" s="96"/>
      <c r="AF439" s="97"/>
      <c r="AG439" s="98"/>
      <c r="AH439" s="99"/>
    </row>
    <row r="440" spans="1:34" x14ac:dyDescent="0.25">
      <c r="A440" s="10" t="str">
        <f t="shared" si="6"/>
        <v/>
      </c>
      <c r="B440" s="52"/>
      <c r="C440" s="53"/>
      <c r="D440" s="153"/>
      <c r="E440" s="78"/>
      <c r="F440" s="133"/>
      <c r="G440" s="54"/>
      <c r="H440" s="109"/>
      <c r="I440" s="109"/>
      <c r="J440" s="55"/>
      <c r="K440" s="110"/>
      <c r="L440" s="110"/>
      <c r="M440" s="55"/>
      <c r="N440" s="110"/>
      <c r="O440" s="110"/>
      <c r="P440" s="57"/>
      <c r="Q440" s="111"/>
      <c r="R440" s="111"/>
      <c r="S440" s="58"/>
      <c r="T440" s="112"/>
      <c r="U440" s="112"/>
      <c r="V440" s="59"/>
      <c r="W440" s="113"/>
      <c r="X440" s="113"/>
      <c r="Y440" s="54"/>
      <c r="Z440" s="109"/>
      <c r="AA440" s="109"/>
      <c r="AB440" s="55"/>
      <c r="AC440" s="110"/>
      <c r="AD440" s="110"/>
      <c r="AE440" s="96"/>
      <c r="AF440" s="97"/>
      <c r="AG440" s="98"/>
      <c r="AH440" s="99"/>
    </row>
    <row r="441" spans="1:34" x14ac:dyDescent="0.25">
      <c r="A441" s="10" t="str">
        <f t="shared" si="6"/>
        <v/>
      </c>
      <c r="B441" s="52"/>
      <c r="C441" s="53"/>
      <c r="D441" s="153"/>
      <c r="E441" s="78"/>
      <c r="F441" s="133"/>
      <c r="G441" s="54"/>
      <c r="H441" s="109"/>
      <c r="I441" s="109"/>
      <c r="J441" s="55"/>
      <c r="K441" s="110"/>
      <c r="L441" s="110"/>
      <c r="M441" s="55"/>
      <c r="N441" s="110"/>
      <c r="O441" s="110"/>
      <c r="P441" s="57"/>
      <c r="Q441" s="111"/>
      <c r="R441" s="111"/>
      <c r="S441" s="58"/>
      <c r="T441" s="112"/>
      <c r="U441" s="112"/>
      <c r="V441" s="59"/>
      <c r="W441" s="113"/>
      <c r="X441" s="113"/>
      <c r="Y441" s="54"/>
      <c r="Z441" s="109"/>
      <c r="AA441" s="109"/>
      <c r="AB441" s="55"/>
      <c r="AC441" s="110"/>
      <c r="AD441" s="110"/>
      <c r="AE441" s="96"/>
      <c r="AF441" s="97"/>
      <c r="AG441" s="98"/>
      <c r="AH441" s="99"/>
    </row>
    <row r="442" spans="1:34" x14ac:dyDescent="0.25">
      <c r="A442" s="10" t="str">
        <f t="shared" si="6"/>
        <v/>
      </c>
      <c r="B442" s="52"/>
      <c r="C442" s="53"/>
      <c r="D442" s="153"/>
      <c r="E442" s="78"/>
      <c r="F442" s="133"/>
      <c r="G442" s="54"/>
      <c r="H442" s="109"/>
      <c r="I442" s="109"/>
      <c r="J442" s="55"/>
      <c r="K442" s="110"/>
      <c r="L442" s="110"/>
      <c r="M442" s="55"/>
      <c r="N442" s="110"/>
      <c r="O442" s="110"/>
      <c r="P442" s="57"/>
      <c r="Q442" s="111"/>
      <c r="R442" s="111"/>
      <c r="S442" s="58"/>
      <c r="T442" s="112"/>
      <c r="U442" s="112"/>
      <c r="V442" s="59"/>
      <c r="W442" s="113"/>
      <c r="X442" s="113"/>
      <c r="Y442" s="54"/>
      <c r="Z442" s="109"/>
      <c r="AA442" s="109"/>
      <c r="AB442" s="55"/>
      <c r="AC442" s="110"/>
      <c r="AD442" s="110"/>
      <c r="AE442" s="96"/>
      <c r="AF442" s="97"/>
      <c r="AG442" s="98"/>
      <c r="AH442" s="99"/>
    </row>
    <row r="443" spans="1:34" x14ac:dyDescent="0.25">
      <c r="A443" s="10" t="str">
        <f t="shared" si="6"/>
        <v/>
      </c>
      <c r="B443" s="52"/>
      <c r="C443" s="53"/>
      <c r="D443" s="153"/>
      <c r="E443" s="78"/>
      <c r="F443" s="133"/>
      <c r="G443" s="54"/>
      <c r="H443" s="109"/>
      <c r="I443" s="109"/>
      <c r="J443" s="55"/>
      <c r="K443" s="110"/>
      <c r="L443" s="110"/>
      <c r="M443" s="55"/>
      <c r="N443" s="110"/>
      <c r="O443" s="110"/>
      <c r="P443" s="57"/>
      <c r="Q443" s="111"/>
      <c r="R443" s="111"/>
      <c r="S443" s="58"/>
      <c r="T443" s="112"/>
      <c r="U443" s="112"/>
      <c r="V443" s="59"/>
      <c r="W443" s="113"/>
      <c r="X443" s="113"/>
      <c r="Y443" s="54"/>
      <c r="Z443" s="109"/>
      <c r="AA443" s="109"/>
      <c r="AB443" s="55"/>
      <c r="AC443" s="110"/>
      <c r="AD443" s="110"/>
      <c r="AE443" s="96"/>
      <c r="AF443" s="97"/>
      <c r="AG443" s="98"/>
      <c r="AH443" s="99"/>
    </row>
    <row r="444" spans="1:34" x14ac:dyDescent="0.25">
      <c r="A444" s="10" t="str">
        <f t="shared" si="6"/>
        <v/>
      </c>
      <c r="B444" s="52"/>
      <c r="C444" s="53"/>
      <c r="D444" s="153"/>
      <c r="E444" s="78"/>
      <c r="F444" s="133"/>
      <c r="G444" s="54"/>
      <c r="H444" s="109"/>
      <c r="I444" s="109"/>
      <c r="J444" s="55"/>
      <c r="K444" s="110"/>
      <c r="L444" s="110"/>
      <c r="M444" s="55"/>
      <c r="N444" s="110"/>
      <c r="O444" s="110"/>
      <c r="P444" s="57"/>
      <c r="Q444" s="111"/>
      <c r="R444" s="111"/>
      <c r="S444" s="58"/>
      <c r="T444" s="112"/>
      <c r="U444" s="112"/>
      <c r="V444" s="59"/>
      <c r="W444" s="113"/>
      <c r="X444" s="113"/>
      <c r="Y444" s="54"/>
      <c r="Z444" s="109"/>
      <c r="AA444" s="109"/>
      <c r="AB444" s="55"/>
      <c r="AC444" s="110"/>
      <c r="AD444" s="110"/>
      <c r="AE444" s="96"/>
      <c r="AF444" s="97"/>
      <c r="AG444" s="98"/>
      <c r="AH444" s="99"/>
    </row>
    <row r="445" spans="1:34" x14ac:dyDescent="0.25">
      <c r="A445" s="10" t="str">
        <f t="shared" si="6"/>
        <v/>
      </c>
      <c r="B445" s="52"/>
      <c r="C445" s="53"/>
      <c r="D445" s="153"/>
      <c r="E445" s="78"/>
      <c r="F445" s="133"/>
      <c r="G445" s="54"/>
      <c r="H445" s="109"/>
      <c r="I445" s="109"/>
      <c r="J445" s="55"/>
      <c r="K445" s="110"/>
      <c r="L445" s="110"/>
      <c r="M445" s="55"/>
      <c r="N445" s="110"/>
      <c r="O445" s="110"/>
      <c r="P445" s="57"/>
      <c r="Q445" s="111"/>
      <c r="R445" s="111"/>
      <c r="S445" s="58"/>
      <c r="T445" s="112"/>
      <c r="U445" s="112"/>
      <c r="V445" s="59"/>
      <c r="W445" s="113"/>
      <c r="X445" s="113"/>
      <c r="Y445" s="54"/>
      <c r="Z445" s="109"/>
      <c r="AA445" s="109"/>
      <c r="AB445" s="55"/>
      <c r="AC445" s="110"/>
      <c r="AD445" s="110"/>
      <c r="AE445" s="96"/>
      <c r="AF445" s="97"/>
      <c r="AG445" s="98"/>
      <c r="AH445" s="99"/>
    </row>
    <row r="446" spans="1:34" x14ac:dyDescent="0.25">
      <c r="A446" s="10" t="str">
        <f t="shared" si="6"/>
        <v/>
      </c>
      <c r="B446" s="52"/>
      <c r="C446" s="53"/>
      <c r="D446" s="153"/>
      <c r="E446" s="78"/>
      <c r="F446" s="133"/>
      <c r="G446" s="54"/>
      <c r="H446" s="109"/>
      <c r="I446" s="109"/>
      <c r="J446" s="55"/>
      <c r="K446" s="110"/>
      <c r="L446" s="110"/>
      <c r="M446" s="55"/>
      <c r="N446" s="110"/>
      <c r="O446" s="110"/>
      <c r="P446" s="57"/>
      <c r="Q446" s="111"/>
      <c r="R446" s="111"/>
      <c r="S446" s="58"/>
      <c r="T446" s="112"/>
      <c r="U446" s="112"/>
      <c r="V446" s="59"/>
      <c r="W446" s="113"/>
      <c r="X446" s="113"/>
      <c r="Y446" s="54"/>
      <c r="Z446" s="109"/>
      <c r="AA446" s="109"/>
      <c r="AB446" s="55"/>
      <c r="AC446" s="110"/>
      <c r="AD446" s="110"/>
      <c r="AE446" s="96"/>
      <c r="AF446" s="97"/>
      <c r="AG446" s="98"/>
      <c r="AH446" s="99"/>
    </row>
    <row r="447" spans="1:34" x14ac:dyDescent="0.25">
      <c r="A447" s="10" t="str">
        <f t="shared" si="6"/>
        <v/>
      </c>
      <c r="B447" s="52"/>
      <c r="C447" s="53"/>
      <c r="D447" s="153"/>
      <c r="E447" s="78"/>
      <c r="F447" s="133"/>
      <c r="G447" s="54"/>
      <c r="H447" s="109"/>
      <c r="I447" s="109"/>
      <c r="J447" s="55"/>
      <c r="K447" s="110"/>
      <c r="L447" s="110"/>
      <c r="M447" s="55"/>
      <c r="N447" s="110"/>
      <c r="O447" s="110"/>
      <c r="P447" s="57"/>
      <c r="Q447" s="111"/>
      <c r="R447" s="111"/>
      <c r="S447" s="58"/>
      <c r="T447" s="112"/>
      <c r="U447" s="112"/>
      <c r="V447" s="59"/>
      <c r="W447" s="113"/>
      <c r="X447" s="113"/>
      <c r="Y447" s="54"/>
      <c r="Z447" s="109"/>
      <c r="AA447" s="109"/>
      <c r="AB447" s="55"/>
      <c r="AC447" s="110"/>
      <c r="AD447" s="110"/>
      <c r="AE447" s="96"/>
      <c r="AF447" s="97"/>
      <c r="AG447" s="98"/>
      <c r="AH447" s="99"/>
    </row>
    <row r="448" spans="1:34" x14ac:dyDescent="0.25">
      <c r="A448" s="10" t="str">
        <f t="shared" si="6"/>
        <v/>
      </c>
      <c r="B448" s="52"/>
      <c r="C448" s="53"/>
      <c r="D448" s="153"/>
      <c r="E448" s="78"/>
      <c r="F448" s="133"/>
      <c r="G448" s="54"/>
      <c r="H448" s="109"/>
      <c r="I448" s="109"/>
      <c r="J448" s="55"/>
      <c r="K448" s="110"/>
      <c r="L448" s="110"/>
      <c r="M448" s="55"/>
      <c r="N448" s="110"/>
      <c r="O448" s="110"/>
      <c r="P448" s="57"/>
      <c r="Q448" s="111"/>
      <c r="R448" s="111"/>
      <c r="S448" s="58"/>
      <c r="T448" s="112"/>
      <c r="U448" s="112"/>
      <c r="V448" s="59"/>
      <c r="W448" s="113"/>
      <c r="X448" s="113"/>
      <c r="Y448" s="54"/>
      <c r="Z448" s="109"/>
      <c r="AA448" s="109"/>
      <c r="AB448" s="55"/>
      <c r="AC448" s="110"/>
      <c r="AD448" s="110"/>
      <c r="AE448" s="96"/>
      <c r="AF448" s="97"/>
      <c r="AG448" s="98"/>
      <c r="AH448" s="99"/>
    </row>
    <row r="449" spans="1:34" x14ac:dyDescent="0.25">
      <c r="A449" s="10" t="str">
        <f t="shared" si="6"/>
        <v/>
      </c>
      <c r="B449" s="52"/>
      <c r="C449" s="53"/>
      <c r="D449" s="153"/>
      <c r="E449" s="78"/>
      <c r="F449" s="133"/>
      <c r="G449" s="54"/>
      <c r="H449" s="109"/>
      <c r="I449" s="109"/>
      <c r="J449" s="55"/>
      <c r="K449" s="110"/>
      <c r="L449" s="110"/>
      <c r="M449" s="55"/>
      <c r="N449" s="110"/>
      <c r="O449" s="110"/>
      <c r="P449" s="57"/>
      <c r="Q449" s="111"/>
      <c r="R449" s="111"/>
      <c r="S449" s="58"/>
      <c r="T449" s="112"/>
      <c r="U449" s="112"/>
      <c r="V449" s="59"/>
      <c r="W449" s="113"/>
      <c r="X449" s="113"/>
      <c r="Y449" s="54"/>
      <c r="Z449" s="109"/>
      <c r="AA449" s="109"/>
      <c r="AB449" s="55"/>
      <c r="AC449" s="110"/>
      <c r="AD449" s="110"/>
      <c r="AE449" s="96"/>
      <c r="AF449" s="97"/>
      <c r="AG449" s="98"/>
      <c r="AH449" s="99"/>
    </row>
    <row r="450" spans="1:34" x14ac:dyDescent="0.25">
      <c r="A450" s="10" t="str">
        <f t="shared" si="6"/>
        <v/>
      </c>
      <c r="B450" s="52"/>
      <c r="C450" s="53"/>
      <c r="D450" s="153"/>
      <c r="E450" s="78"/>
      <c r="F450" s="133"/>
      <c r="G450" s="54"/>
      <c r="H450" s="109"/>
      <c r="I450" s="109"/>
      <c r="J450" s="55"/>
      <c r="K450" s="110"/>
      <c r="L450" s="110"/>
      <c r="M450" s="55"/>
      <c r="N450" s="110"/>
      <c r="O450" s="110"/>
      <c r="P450" s="57"/>
      <c r="Q450" s="111"/>
      <c r="R450" s="111"/>
      <c r="S450" s="58"/>
      <c r="T450" s="112"/>
      <c r="U450" s="112"/>
      <c r="V450" s="59"/>
      <c r="W450" s="113"/>
      <c r="X450" s="113"/>
      <c r="Y450" s="54"/>
      <c r="Z450" s="109"/>
      <c r="AA450" s="109"/>
      <c r="AB450" s="55"/>
      <c r="AC450" s="110"/>
      <c r="AD450" s="110"/>
      <c r="AE450" s="96"/>
      <c r="AF450" s="97"/>
      <c r="AG450" s="98"/>
      <c r="AH450" s="99"/>
    </row>
    <row r="451" spans="1:34" x14ac:dyDescent="0.25">
      <c r="A451" s="10" t="str">
        <f t="shared" si="6"/>
        <v/>
      </c>
      <c r="B451" s="52"/>
      <c r="C451" s="53"/>
      <c r="D451" s="153"/>
      <c r="E451" s="78"/>
      <c r="F451" s="133"/>
      <c r="G451" s="54"/>
      <c r="H451" s="109"/>
      <c r="I451" s="109"/>
      <c r="J451" s="55"/>
      <c r="K451" s="110"/>
      <c r="L451" s="110"/>
      <c r="M451" s="55"/>
      <c r="N451" s="110"/>
      <c r="O451" s="110"/>
      <c r="P451" s="57"/>
      <c r="Q451" s="111"/>
      <c r="R451" s="111"/>
      <c r="S451" s="58"/>
      <c r="T451" s="112"/>
      <c r="U451" s="112"/>
      <c r="V451" s="59"/>
      <c r="W451" s="113"/>
      <c r="X451" s="113"/>
      <c r="Y451" s="54"/>
      <c r="Z451" s="109"/>
      <c r="AA451" s="109"/>
      <c r="AB451" s="55"/>
      <c r="AC451" s="110"/>
      <c r="AD451" s="110"/>
      <c r="AE451" s="96"/>
      <c r="AF451" s="97"/>
      <c r="AG451" s="98"/>
      <c r="AH451" s="99"/>
    </row>
    <row r="452" spans="1:34" x14ac:dyDescent="0.25">
      <c r="A452" s="10" t="str">
        <f t="shared" si="6"/>
        <v/>
      </c>
      <c r="B452" s="52"/>
      <c r="C452" s="53"/>
      <c r="D452" s="153"/>
      <c r="E452" s="78"/>
      <c r="F452" s="133"/>
      <c r="G452" s="54"/>
      <c r="H452" s="109"/>
      <c r="I452" s="109"/>
      <c r="J452" s="55"/>
      <c r="K452" s="110"/>
      <c r="L452" s="110"/>
      <c r="M452" s="55"/>
      <c r="N452" s="110"/>
      <c r="O452" s="110"/>
      <c r="P452" s="57"/>
      <c r="Q452" s="111"/>
      <c r="R452" s="111"/>
      <c r="S452" s="58"/>
      <c r="T452" s="112"/>
      <c r="U452" s="112"/>
      <c r="V452" s="59"/>
      <c r="W452" s="113"/>
      <c r="X452" s="113"/>
      <c r="Y452" s="54"/>
      <c r="Z452" s="109"/>
      <c r="AA452" s="109"/>
      <c r="AB452" s="55"/>
      <c r="AC452" s="110"/>
      <c r="AD452" s="110"/>
      <c r="AE452" s="96"/>
      <c r="AF452" s="97"/>
      <c r="AG452" s="98"/>
      <c r="AH452" s="99"/>
    </row>
    <row r="453" spans="1:34" x14ac:dyDescent="0.25">
      <c r="A453" s="10" t="str">
        <f t="shared" ref="A453:A505" si="7">IF(COUNTA(G453:AD453)/3=0,"",COUNTA(G453:AD453)/3)</f>
        <v/>
      </c>
      <c r="B453" s="52"/>
      <c r="C453" s="53"/>
      <c r="D453" s="153"/>
      <c r="E453" s="78"/>
      <c r="F453" s="133"/>
      <c r="G453" s="54"/>
      <c r="H453" s="109"/>
      <c r="I453" s="109"/>
      <c r="J453" s="55"/>
      <c r="K453" s="110"/>
      <c r="L453" s="110"/>
      <c r="M453" s="55"/>
      <c r="N453" s="110"/>
      <c r="O453" s="110"/>
      <c r="P453" s="57"/>
      <c r="Q453" s="111"/>
      <c r="R453" s="111"/>
      <c r="S453" s="58"/>
      <c r="T453" s="112"/>
      <c r="U453" s="112"/>
      <c r="V453" s="59"/>
      <c r="W453" s="113"/>
      <c r="X453" s="113"/>
      <c r="Y453" s="54"/>
      <c r="Z453" s="109"/>
      <c r="AA453" s="109"/>
      <c r="AB453" s="55"/>
      <c r="AC453" s="110"/>
      <c r="AD453" s="110"/>
      <c r="AE453" s="96"/>
      <c r="AF453" s="97"/>
      <c r="AG453" s="98"/>
      <c r="AH453" s="99"/>
    </row>
    <row r="454" spans="1:34" x14ac:dyDescent="0.25">
      <c r="A454" s="10" t="str">
        <f t="shared" si="7"/>
        <v/>
      </c>
      <c r="B454" s="52"/>
      <c r="C454" s="53"/>
      <c r="D454" s="153"/>
      <c r="E454" s="78"/>
      <c r="F454" s="133"/>
      <c r="G454" s="54"/>
      <c r="H454" s="109"/>
      <c r="I454" s="109"/>
      <c r="J454" s="55"/>
      <c r="K454" s="110"/>
      <c r="L454" s="110"/>
      <c r="M454" s="55"/>
      <c r="N454" s="110"/>
      <c r="O454" s="110"/>
      <c r="P454" s="57"/>
      <c r="Q454" s="111"/>
      <c r="R454" s="111"/>
      <c r="S454" s="58"/>
      <c r="T454" s="112"/>
      <c r="U454" s="112"/>
      <c r="V454" s="59"/>
      <c r="W454" s="113"/>
      <c r="X454" s="113"/>
      <c r="Y454" s="54"/>
      <c r="Z454" s="109"/>
      <c r="AA454" s="109"/>
      <c r="AB454" s="55"/>
      <c r="AC454" s="110"/>
      <c r="AD454" s="110"/>
      <c r="AE454" s="96"/>
      <c r="AF454" s="97"/>
      <c r="AG454" s="98"/>
      <c r="AH454" s="99"/>
    </row>
    <row r="455" spans="1:34" x14ac:dyDescent="0.25">
      <c r="A455" s="10" t="str">
        <f t="shared" si="7"/>
        <v/>
      </c>
      <c r="B455" s="52"/>
      <c r="C455" s="53"/>
      <c r="D455" s="153"/>
      <c r="E455" s="78"/>
      <c r="F455" s="133"/>
      <c r="G455" s="54"/>
      <c r="H455" s="109"/>
      <c r="I455" s="109"/>
      <c r="J455" s="55"/>
      <c r="K455" s="110"/>
      <c r="L455" s="110"/>
      <c r="M455" s="55"/>
      <c r="N455" s="110"/>
      <c r="O455" s="110"/>
      <c r="P455" s="57"/>
      <c r="Q455" s="111"/>
      <c r="R455" s="111"/>
      <c r="S455" s="58"/>
      <c r="T455" s="112"/>
      <c r="U455" s="112"/>
      <c r="V455" s="59"/>
      <c r="W455" s="113"/>
      <c r="X455" s="113"/>
      <c r="Y455" s="54"/>
      <c r="Z455" s="109"/>
      <c r="AA455" s="109"/>
      <c r="AB455" s="55"/>
      <c r="AC455" s="110"/>
      <c r="AD455" s="110"/>
      <c r="AE455" s="96"/>
      <c r="AF455" s="97"/>
      <c r="AG455" s="98"/>
      <c r="AH455" s="99"/>
    </row>
    <row r="456" spans="1:34" x14ac:dyDescent="0.25">
      <c r="A456" s="10" t="str">
        <f t="shared" si="7"/>
        <v/>
      </c>
      <c r="B456" s="52"/>
      <c r="C456" s="53"/>
      <c r="D456" s="153"/>
      <c r="E456" s="78"/>
      <c r="F456" s="133"/>
      <c r="G456" s="54"/>
      <c r="H456" s="109"/>
      <c r="I456" s="109"/>
      <c r="J456" s="55"/>
      <c r="K456" s="110"/>
      <c r="L456" s="110"/>
      <c r="M456" s="55"/>
      <c r="N456" s="110"/>
      <c r="O456" s="110"/>
      <c r="P456" s="57"/>
      <c r="Q456" s="111"/>
      <c r="R456" s="111"/>
      <c r="S456" s="58"/>
      <c r="T456" s="112"/>
      <c r="U456" s="112"/>
      <c r="V456" s="59"/>
      <c r="W456" s="113"/>
      <c r="X456" s="113"/>
      <c r="Y456" s="54"/>
      <c r="Z456" s="109"/>
      <c r="AA456" s="109"/>
      <c r="AB456" s="55"/>
      <c r="AC456" s="110"/>
      <c r="AD456" s="110"/>
      <c r="AE456" s="96"/>
      <c r="AF456" s="97"/>
      <c r="AG456" s="98"/>
      <c r="AH456" s="99"/>
    </row>
    <row r="457" spans="1:34" x14ac:dyDescent="0.25">
      <c r="A457" s="10" t="str">
        <f t="shared" si="7"/>
        <v/>
      </c>
      <c r="B457" s="52"/>
      <c r="C457" s="53"/>
      <c r="D457" s="153"/>
      <c r="E457" s="78"/>
      <c r="F457" s="133"/>
      <c r="G457" s="54"/>
      <c r="H457" s="109"/>
      <c r="I457" s="109"/>
      <c r="J457" s="55"/>
      <c r="K457" s="110"/>
      <c r="L457" s="110"/>
      <c r="M457" s="55"/>
      <c r="N457" s="110"/>
      <c r="O457" s="110"/>
      <c r="P457" s="57"/>
      <c r="Q457" s="111"/>
      <c r="R457" s="111"/>
      <c r="S457" s="58"/>
      <c r="T457" s="112"/>
      <c r="U457" s="112"/>
      <c r="V457" s="59"/>
      <c r="W457" s="113"/>
      <c r="X457" s="113"/>
      <c r="Y457" s="54"/>
      <c r="Z457" s="109"/>
      <c r="AA457" s="109"/>
      <c r="AB457" s="55"/>
      <c r="AC457" s="110"/>
      <c r="AD457" s="110"/>
      <c r="AE457" s="96"/>
      <c r="AF457" s="97"/>
      <c r="AG457" s="98"/>
      <c r="AH457" s="99"/>
    </row>
    <row r="458" spans="1:34" x14ac:dyDescent="0.25">
      <c r="A458" s="10" t="str">
        <f t="shared" si="7"/>
        <v/>
      </c>
      <c r="B458" s="52"/>
      <c r="C458" s="53"/>
      <c r="D458" s="153"/>
      <c r="E458" s="78"/>
      <c r="F458" s="133"/>
      <c r="G458" s="54"/>
      <c r="H458" s="109"/>
      <c r="I458" s="109"/>
      <c r="J458" s="55"/>
      <c r="K458" s="110"/>
      <c r="L458" s="110"/>
      <c r="M458" s="55"/>
      <c r="N458" s="110"/>
      <c r="O458" s="110"/>
      <c r="P458" s="57"/>
      <c r="Q458" s="111"/>
      <c r="R458" s="111"/>
      <c r="S458" s="58"/>
      <c r="T458" s="112"/>
      <c r="U458" s="112"/>
      <c r="V458" s="59"/>
      <c r="W458" s="113"/>
      <c r="X458" s="113"/>
      <c r="Y458" s="54"/>
      <c r="Z458" s="109"/>
      <c r="AA458" s="109"/>
      <c r="AB458" s="55"/>
      <c r="AC458" s="110"/>
      <c r="AD458" s="110"/>
      <c r="AE458" s="96"/>
      <c r="AF458" s="97"/>
      <c r="AG458" s="98"/>
      <c r="AH458" s="99"/>
    </row>
    <row r="459" spans="1:34" x14ac:dyDescent="0.25">
      <c r="A459" s="10" t="str">
        <f t="shared" si="7"/>
        <v/>
      </c>
      <c r="B459" s="52"/>
      <c r="C459" s="53"/>
      <c r="D459" s="153"/>
      <c r="E459" s="78"/>
      <c r="F459" s="133"/>
      <c r="G459" s="54"/>
      <c r="H459" s="109"/>
      <c r="I459" s="109"/>
      <c r="J459" s="55"/>
      <c r="K459" s="110"/>
      <c r="L459" s="110"/>
      <c r="M459" s="55"/>
      <c r="N459" s="110"/>
      <c r="O459" s="110"/>
      <c r="P459" s="57"/>
      <c r="Q459" s="111"/>
      <c r="R459" s="111"/>
      <c r="S459" s="58"/>
      <c r="T459" s="112"/>
      <c r="U459" s="112"/>
      <c r="V459" s="59"/>
      <c r="W459" s="113"/>
      <c r="X459" s="113"/>
      <c r="Y459" s="54"/>
      <c r="Z459" s="109"/>
      <c r="AA459" s="109"/>
      <c r="AB459" s="55"/>
      <c r="AC459" s="110"/>
      <c r="AD459" s="110"/>
      <c r="AE459" s="96"/>
      <c r="AF459" s="97"/>
      <c r="AG459" s="98"/>
      <c r="AH459" s="99"/>
    </row>
    <row r="460" spans="1:34" x14ac:dyDescent="0.25">
      <c r="A460" s="10" t="str">
        <f t="shared" si="7"/>
        <v/>
      </c>
      <c r="B460" s="52"/>
      <c r="C460" s="53"/>
      <c r="D460" s="153"/>
      <c r="E460" s="78"/>
      <c r="F460" s="133"/>
      <c r="G460" s="54"/>
      <c r="H460" s="109"/>
      <c r="I460" s="109"/>
      <c r="J460" s="55"/>
      <c r="K460" s="110"/>
      <c r="L460" s="110"/>
      <c r="M460" s="55"/>
      <c r="N460" s="110"/>
      <c r="O460" s="110"/>
      <c r="P460" s="57"/>
      <c r="Q460" s="111"/>
      <c r="R460" s="111"/>
      <c r="S460" s="58"/>
      <c r="T460" s="112"/>
      <c r="U460" s="112"/>
      <c r="V460" s="59"/>
      <c r="W460" s="113"/>
      <c r="X460" s="113"/>
      <c r="Y460" s="54"/>
      <c r="Z460" s="109"/>
      <c r="AA460" s="109"/>
      <c r="AB460" s="55"/>
      <c r="AC460" s="110"/>
      <c r="AD460" s="110"/>
      <c r="AE460" s="96"/>
      <c r="AF460" s="97"/>
      <c r="AG460" s="98"/>
      <c r="AH460" s="99"/>
    </row>
    <row r="461" spans="1:34" x14ac:dyDescent="0.25">
      <c r="A461" s="10" t="str">
        <f t="shared" si="7"/>
        <v/>
      </c>
      <c r="B461" s="52"/>
      <c r="C461" s="53"/>
      <c r="D461" s="153"/>
      <c r="E461" s="78"/>
      <c r="F461" s="133"/>
      <c r="G461" s="54"/>
      <c r="H461" s="109"/>
      <c r="I461" s="109"/>
      <c r="J461" s="55"/>
      <c r="K461" s="110"/>
      <c r="L461" s="110"/>
      <c r="M461" s="55"/>
      <c r="N461" s="110"/>
      <c r="O461" s="110"/>
      <c r="P461" s="57"/>
      <c r="Q461" s="111"/>
      <c r="R461" s="111"/>
      <c r="S461" s="58"/>
      <c r="T461" s="112"/>
      <c r="U461" s="112"/>
      <c r="V461" s="59"/>
      <c r="W461" s="113"/>
      <c r="X461" s="113"/>
      <c r="Y461" s="54"/>
      <c r="Z461" s="109"/>
      <c r="AA461" s="109"/>
      <c r="AB461" s="55"/>
      <c r="AC461" s="110"/>
      <c r="AD461" s="110"/>
      <c r="AE461" s="96"/>
      <c r="AF461" s="97"/>
      <c r="AG461" s="98"/>
      <c r="AH461" s="99"/>
    </row>
    <row r="462" spans="1:34" x14ac:dyDescent="0.25">
      <c r="A462" s="10" t="str">
        <f t="shared" si="7"/>
        <v/>
      </c>
      <c r="B462" s="52"/>
      <c r="C462" s="53"/>
      <c r="D462" s="153"/>
      <c r="E462" s="78"/>
      <c r="F462" s="133"/>
      <c r="G462" s="54"/>
      <c r="H462" s="109"/>
      <c r="I462" s="109"/>
      <c r="J462" s="55"/>
      <c r="K462" s="110"/>
      <c r="L462" s="110"/>
      <c r="M462" s="55"/>
      <c r="N462" s="110"/>
      <c r="O462" s="110"/>
      <c r="P462" s="57"/>
      <c r="Q462" s="111"/>
      <c r="R462" s="111"/>
      <c r="S462" s="58"/>
      <c r="T462" s="112"/>
      <c r="U462" s="112"/>
      <c r="V462" s="59"/>
      <c r="W462" s="113"/>
      <c r="X462" s="113"/>
      <c r="Y462" s="54"/>
      <c r="Z462" s="109"/>
      <c r="AA462" s="109"/>
      <c r="AB462" s="55"/>
      <c r="AC462" s="110"/>
      <c r="AD462" s="110"/>
      <c r="AE462" s="96"/>
      <c r="AF462" s="97"/>
      <c r="AG462" s="98"/>
      <c r="AH462" s="99"/>
    </row>
    <row r="463" spans="1:34" x14ac:dyDescent="0.25">
      <c r="A463" s="10" t="str">
        <f t="shared" si="7"/>
        <v/>
      </c>
      <c r="B463" s="52"/>
      <c r="C463" s="53"/>
      <c r="D463" s="153"/>
      <c r="E463" s="78"/>
      <c r="F463" s="133"/>
      <c r="G463" s="54"/>
      <c r="H463" s="109"/>
      <c r="I463" s="109"/>
      <c r="J463" s="55"/>
      <c r="K463" s="110"/>
      <c r="L463" s="110"/>
      <c r="M463" s="55"/>
      <c r="N463" s="110"/>
      <c r="O463" s="110"/>
      <c r="P463" s="57"/>
      <c r="Q463" s="111"/>
      <c r="R463" s="111"/>
      <c r="S463" s="58"/>
      <c r="T463" s="112"/>
      <c r="U463" s="112"/>
      <c r="V463" s="59"/>
      <c r="W463" s="113"/>
      <c r="X463" s="113"/>
      <c r="Y463" s="54"/>
      <c r="Z463" s="109"/>
      <c r="AA463" s="109"/>
      <c r="AB463" s="55"/>
      <c r="AC463" s="110"/>
      <c r="AD463" s="110"/>
      <c r="AE463" s="96"/>
      <c r="AF463" s="97"/>
      <c r="AG463" s="98"/>
      <c r="AH463" s="99"/>
    </row>
    <row r="464" spans="1:34" x14ac:dyDescent="0.25">
      <c r="A464" s="10" t="str">
        <f t="shared" si="7"/>
        <v/>
      </c>
      <c r="B464" s="52"/>
      <c r="C464" s="53"/>
      <c r="D464" s="153"/>
      <c r="E464" s="78"/>
      <c r="F464" s="133"/>
      <c r="G464" s="54"/>
      <c r="H464" s="109"/>
      <c r="I464" s="109"/>
      <c r="J464" s="55"/>
      <c r="K464" s="110"/>
      <c r="L464" s="110"/>
      <c r="M464" s="55"/>
      <c r="N464" s="110"/>
      <c r="O464" s="110"/>
      <c r="P464" s="57"/>
      <c r="Q464" s="111"/>
      <c r="R464" s="111"/>
      <c r="S464" s="58"/>
      <c r="T464" s="112"/>
      <c r="U464" s="112"/>
      <c r="V464" s="59"/>
      <c r="W464" s="113"/>
      <c r="X464" s="113"/>
      <c r="Y464" s="54"/>
      <c r="Z464" s="109"/>
      <c r="AA464" s="109"/>
      <c r="AB464" s="55"/>
      <c r="AC464" s="110"/>
      <c r="AD464" s="110"/>
      <c r="AE464" s="96"/>
      <c r="AF464" s="97"/>
      <c r="AG464" s="98"/>
      <c r="AH464" s="99"/>
    </row>
    <row r="465" spans="1:34" x14ac:dyDescent="0.25">
      <c r="A465" s="10" t="str">
        <f t="shared" si="7"/>
        <v/>
      </c>
      <c r="B465" s="52"/>
      <c r="C465" s="53"/>
      <c r="D465" s="153"/>
      <c r="E465" s="78"/>
      <c r="F465" s="133"/>
      <c r="G465" s="54"/>
      <c r="H465" s="109"/>
      <c r="I465" s="109"/>
      <c r="J465" s="55"/>
      <c r="K465" s="110"/>
      <c r="L465" s="110"/>
      <c r="M465" s="55"/>
      <c r="N465" s="110"/>
      <c r="O465" s="110"/>
      <c r="P465" s="57"/>
      <c r="Q465" s="111"/>
      <c r="R465" s="111"/>
      <c r="S465" s="58"/>
      <c r="T465" s="112"/>
      <c r="U465" s="112"/>
      <c r="V465" s="59"/>
      <c r="W465" s="113"/>
      <c r="X465" s="113"/>
      <c r="Y465" s="54"/>
      <c r="Z465" s="109"/>
      <c r="AA465" s="109"/>
      <c r="AB465" s="55"/>
      <c r="AC465" s="110"/>
      <c r="AD465" s="110"/>
      <c r="AE465" s="96"/>
      <c r="AF465" s="97"/>
      <c r="AG465" s="98"/>
      <c r="AH465" s="99"/>
    </row>
    <row r="466" spans="1:34" x14ac:dyDescent="0.25">
      <c r="A466" s="10" t="str">
        <f t="shared" si="7"/>
        <v/>
      </c>
      <c r="B466" s="52"/>
      <c r="C466" s="53"/>
      <c r="D466" s="153"/>
      <c r="E466" s="78"/>
      <c r="F466" s="133"/>
      <c r="G466" s="54"/>
      <c r="H466" s="109"/>
      <c r="I466" s="109"/>
      <c r="J466" s="55"/>
      <c r="K466" s="110"/>
      <c r="L466" s="110"/>
      <c r="M466" s="55"/>
      <c r="N466" s="110"/>
      <c r="O466" s="110"/>
      <c r="P466" s="57"/>
      <c r="Q466" s="111"/>
      <c r="R466" s="111"/>
      <c r="S466" s="58"/>
      <c r="T466" s="112"/>
      <c r="U466" s="112"/>
      <c r="V466" s="59"/>
      <c r="W466" s="113"/>
      <c r="X466" s="113"/>
      <c r="Y466" s="54"/>
      <c r="Z466" s="109"/>
      <c r="AA466" s="109"/>
      <c r="AB466" s="55"/>
      <c r="AC466" s="110"/>
      <c r="AD466" s="110"/>
      <c r="AE466" s="96"/>
      <c r="AF466" s="97"/>
      <c r="AG466" s="98"/>
      <c r="AH466" s="99"/>
    </row>
    <row r="467" spans="1:34" x14ac:dyDescent="0.25">
      <c r="A467" s="10" t="str">
        <f t="shared" si="7"/>
        <v/>
      </c>
      <c r="B467" s="52"/>
      <c r="C467" s="53"/>
      <c r="D467" s="153"/>
      <c r="E467" s="78"/>
      <c r="F467" s="133"/>
      <c r="G467" s="54"/>
      <c r="H467" s="109"/>
      <c r="I467" s="109"/>
      <c r="J467" s="55"/>
      <c r="K467" s="110"/>
      <c r="L467" s="110"/>
      <c r="M467" s="55"/>
      <c r="N467" s="110"/>
      <c r="O467" s="110"/>
      <c r="P467" s="57"/>
      <c r="Q467" s="111"/>
      <c r="R467" s="111"/>
      <c r="S467" s="58"/>
      <c r="T467" s="112"/>
      <c r="U467" s="112"/>
      <c r="V467" s="59"/>
      <c r="W467" s="113"/>
      <c r="X467" s="113"/>
      <c r="Y467" s="54"/>
      <c r="Z467" s="109"/>
      <c r="AA467" s="109"/>
      <c r="AB467" s="55"/>
      <c r="AC467" s="110"/>
      <c r="AD467" s="110"/>
      <c r="AE467" s="96"/>
      <c r="AF467" s="97"/>
      <c r="AG467" s="98"/>
      <c r="AH467" s="99"/>
    </row>
    <row r="468" spans="1:34" x14ac:dyDescent="0.25">
      <c r="A468" s="10" t="str">
        <f t="shared" si="7"/>
        <v/>
      </c>
      <c r="B468" s="52"/>
      <c r="C468" s="53"/>
      <c r="D468" s="153"/>
      <c r="E468" s="78"/>
      <c r="F468" s="133"/>
      <c r="G468" s="54"/>
      <c r="H468" s="109"/>
      <c r="I468" s="109"/>
      <c r="J468" s="55"/>
      <c r="K468" s="110"/>
      <c r="L468" s="110"/>
      <c r="M468" s="55"/>
      <c r="N468" s="110"/>
      <c r="O468" s="110"/>
      <c r="P468" s="57"/>
      <c r="Q468" s="111"/>
      <c r="R468" s="111"/>
      <c r="S468" s="58"/>
      <c r="T468" s="112"/>
      <c r="U468" s="112"/>
      <c r="V468" s="59"/>
      <c r="W468" s="113"/>
      <c r="X468" s="113"/>
      <c r="Y468" s="54"/>
      <c r="Z468" s="109"/>
      <c r="AA468" s="109"/>
      <c r="AB468" s="55"/>
      <c r="AC468" s="110"/>
      <c r="AD468" s="110"/>
      <c r="AE468" s="96"/>
      <c r="AF468" s="97"/>
      <c r="AG468" s="98"/>
      <c r="AH468" s="99"/>
    </row>
    <row r="469" spans="1:34" x14ac:dyDescent="0.25">
      <c r="A469" s="10" t="str">
        <f t="shared" si="7"/>
        <v/>
      </c>
      <c r="B469" s="52"/>
      <c r="C469" s="53"/>
      <c r="D469" s="153"/>
      <c r="E469" s="78"/>
      <c r="F469" s="133"/>
      <c r="G469" s="54"/>
      <c r="H469" s="109"/>
      <c r="I469" s="109"/>
      <c r="J469" s="55"/>
      <c r="K469" s="110"/>
      <c r="L469" s="110"/>
      <c r="M469" s="55"/>
      <c r="N469" s="110"/>
      <c r="O469" s="110"/>
      <c r="P469" s="57"/>
      <c r="Q469" s="111"/>
      <c r="R469" s="111"/>
      <c r="S469" s="58"/>
      <c r="T469" s="112"/>
      <c r="U469" s="112"/>
      <c r="V469" s="59"/>
      <c r="W469" s="113"/>
      <c r="X469" s="113"/>
      <c r="Y469" s="54"/>
      <c r="Z469" s="109"/>
      <c r="AA469" s="109"/>
      <c r="AB469" s="55"/>
      <c r="AC469" s="110"/>
      <c r="AD469" s="110"/>
      <c r="AE469" s="96"/>
      <c r="AF469" s="97"/>
      <c r="AG469" s="98"/>
      <c r="AH469" s="99"/>
    </row>
    <row r="470" spans="1:34" x14ac:dyDescent="0.25">
      <c r="A470" s="10" t="str">
        <f t="shared" si="7"/>
        <v/>
      </c>
      <c r="B470" s="52"/>
      <c r="C470" s="53"/>
      <c r="D470" s="153"/>
      <c r="E470" s="78"/>
      <c r="F470" s="133"/>
      <c r="G470" s="54"/>
      <c r="H470" s="109"/>
      <c r="I470" s="109"/>
      <c r="J470" s="55"/>
      <c r="K470" s="110"/>
      <c r="L470" s="110"/>
      <c r="M470" s="55"/>
      <c r="N470" s="110"/>
      <c r="O470" s="110"/>
      <c r="P470" s="57"/>
      <c r="Q470" s="111"/>
      <c r="R470" s="111"/>
      <c r="S470" s="58"/>
      <c r="T470" s="112"/>
      <c r="U470" s="112"/>
      <c r="V470" s="59"/>
      <c r="W470" s="113"/>
      <c r="X470" s="113"/>
      <c r="Y470" s="54"/>
      <c r="Z470" s="109"/>
      <c r="AA470" s="109"/>
      <c r="AB470" s="55"/>
      <c r="AC470" s="110"/>
      <c r="AD470" s="110"/>
      <c r="AE470" s="96"/>
      <c r="AF470" s="97"/>
      <c r="AG470" s="98"/>
      <c r="AH470" s="99"/>
    </row>
    <row r="471" spans="1:34" x14ac:dyDescent="0.25">
      <c r="A471" s="10" t="str">
        <f t="shared" si="7"/>
        <v/>
      </c>
      <c r="B471" s="52"/>
      <c r="C471" s="53"/>
      <c r="D471" s="153"/>
      <c r="E471" s="78"/>
      <c r="F471" s="133"/>
      <c r="G471" s="54"/>
      <c r="H471" s="109"/>
      <c r="I471" s="109"/>
      <c r="J471" s="55"/>
      <c r="K471" s="110"/>
      <c r="L471" s="110"/>
      <c r="M471" s="55"/>
      <c r="N471" s="110"/>
      <c r="O471" s="110"/>
      <c r="P471" s="57"/>
      <c r="Q471" s="111"/>
      <c r="R471" s="111"/>
      <c r="S471" s="58"/>
      <c r="T471" s="112"/>
      <c r="U471" s="112"/>
      <c r="V471" s="59"/>
      <c r="W471" s="113"/>
      <c r="X471" s="113"/>
      <c r="Y471" s="54"/>
      <c r="Z471" s="109"/>
      <c r="AA471" s="109"/>
      <c r="AB471" s="55"/>
      <c r="AC471" s="110"/>
      <c r="AD471" s="110"/>
      <c r="AE471" s="96"/>
      <c r="AF471" s="97"/>
      <c r="AG471" s="98"/>
      <c r="AH471" s="99"/>
    </row>
    <row r="472" spans="1:34" x14ac:dyDescent="0.25">
      <c r="A472" s="10" t="str">
        <f t="shared" si="7"/>
        <v/>
      </c>
      <c r="B472" s="52"/>
      <c r="C472" s="53"/>
      <c r="D472" s="153"/>
      <c r="E472" s="78"/>
      <c r="F472" s="133"/>
      <c r="G472" s="54"/>
      <c r="H472" s="109"/>
      <c r="I472" s="109"/>
      <c r="J472" s="55"/>
      <c r="K472" s="110"/>
      <c r="L472" s="110"/>
      <c r="M472" s="55"/>
      <c r="N472" s="110"/>
      <c r="O472" s="110"/>
      <c r="P472" s="57"/>
      <c r="Q472" s="111"/>
      <c r="R472" s="111"/>
      <c r="S472" s="58"/>
      <c r="T472" s="112"/>
      <c r="U472" s="112"/>
      <c r="V472" s="59"/>
      <c r="W472" s="113"/>
      <c r="X472" s="113"/>
      <c r="Y472" s="54"/>
      <c r="Z472" s="109"/>
      <c r="AA472" s="109"/>
      <c r="AB472" s="55"/>
      <c r="AC472" s="110"/>
      <c r="AD472" s="110"/>
      <c r="AE472" s="96"/>
      <c r="AF472" s="97"/>
      <c r="AG472" s="98"/>
      <c r="AH472" s="99"/>
    </row>
    <row r="473" spans="1:34" x14ac:dyDescent="0.25">
      <c r="A473" s="10" t="str">
        <f t="shared" si="7"/>
        <v/>
      </c>
      <c r="B473" s="52"/>
      <c r="C473" s="53"/>
      <c r="D473" s="153"/>
      <c r="E473" s="78"/>
      <c r="F473" s="133"/>
      <c r="G473" s="54"/>
      <c r="H473" s="109"/>
      <c r="I473" s="109"/>
      <c r="J473" s="55"/>
      <c r="K473" s="110"/>
      <c r="L473" s="110"/>
      <c r="M473" s="55"/>
      <c r="N473" s="110"/>
      <c r="O473" s="110"/>
      <c r="P473" s="57"/>
      <c r="Q473" s="111"/>
      <c r="R473" s="111"/>
      <c r="S473" s="58"/>
      <c r="T473" s="112"/>
      <c r="U473" s="112"/>
      <c r="V473" s="59"/>
      <c r="W473" s="113"/>
      <c r="X473" s="113"/>
      <c r="Y473" s="54"/>
      <c r="Z473" s="109"/>
      <c r="AA473" s="109"/>
      <c r="AB473" s="55"/>
      <c r="AC473" s="110"/>
      <c r="AD473" s="110"/>
      <c r="AE473" s="96"/>
      <c r="AF473" s="97"/>
      <c r="AG473" s="98"/>
      <c r="AH473" s="99"/>
    </row>
    <row r="474" spans="1:34" x14ac:dyDescent="0.25">
      <c r="A474" s="10" t="str">
        <f t="shared" si="7"/>
        <v/>
      </c>
      <c r="B474" s="52"/>
      <c r="C474" s="53"/>
      <c r="D474" s="153"/>
      <c r="E474" s="78"/>
      <c r="F474" s="133"/>
      <c r="G474" s="54"/>
      <c r="H474" s="109"/>
      <c r="I474" s="109"/>
      <c r="J474" s="55"/>
      <c r="K474" s="110"/>
      <c r="L474" s="110"/>
      <c r="M474" s="55"/>
      <c r="N474" s="110"/>
      <c r="O474" s="110"/>
      <c r="P474" s="57"/>
      <c r="Q474" s="111"/>
      <c r="R474" s="111"/>
      <c r="S474" s="58"/>
      <c r="T474" s="112"/>
      <c r="U474" s="112"/>
      <c r="V474" s="59"/>
      <c r="W474" s="113"/>
      <c r="X474" s="113"/>
      <c r="Y474" s="54"/>
      <c r="Z474" s="109"/>
      <c r="AA474" s="109"/>
      <c r="AB474" s="55"/>
      <c r="AC474" s="110"/>
      <c r="AD474" s="110"/>
      <c r="AE474" s="96"/>
      <c r="AF474" s="97"/>
      <c r="AG474" s="98"/>
      <c r="AH474" s="99"/>
    </row>
    <row r="475" spans="1:34" x14ac:dyDescent="0.25">
      <c r="A475" s="10" t="str">
        <f t="shared" si="7"/>
        <v/>
      </c>
      <c r="B475" s="52"/>
      <c r="C475" s="53"/>
      <c r="D475" s="153"/>
      <c r="E475" s="78"/>
      <c r="F475" s="133"/>
      <c r="G475" s="54"/>
      <c r="H475" s="109"/>
      <c r="I475" s="109"/>
      <c r="J475" s="55"/>
      <c r="K475" s="110"/>
      <c r="L475" s="110"/>
      <c r="M475" s="55"/>
      <c r="N475" s="110"/>
      <c r="O475" s="110"/>
      <c r="P475" s="57"/>
      <c r="Q475" s="111"/>
      <c r="R475" s="111"/>
      <c r="S475" s="58"/>
      <c r="T475" s="112"/>
      <c r="U475" s="112"/>
      <c r="V475" s="59"/>
      <c r="W475" s="113"/>
      <c r="X475" s="113"/>
      <c r="Y475" s="54"/>
      <c r="Z475" s="109"/>
      <c r="AA475" s="109"/>
      <c r="AB475" s="55"/>
      <c r="AC475" s="110"/>
      <c r="AD475" s="110"/>
      <c r="AE475" s="96"/>
      <c r="AF475" s="97"/>
      <c r="AG475" s="98"/>
      <c r="AH475" s="99"/>
    </row>
    <row r="476" spans="1:34" x14ac:dyDescent="0.25">
      <c r="A476" s="10" t="str">
        <f t="shared" si="7"/>
        <v/>
      </c>
      <c r="B476" s="52"/>
      <c r="C476" s="53"/>
      <c r="D476" s="153"/>
      <c r="E476" s="78"/>
      <c r="F476" s="133"/>
      <c r="G476" s="54"/>
      <c r="H476" s="109"/>
      <c r="I476" s="109"/>
      <c r="J476" s="55"/>
      <c r="K476" s="110"/>
      <c r="L476" s="110"/>
      <c r="M476" s="55"/>
      <c r="N476" s="110"/>
      <c r="O476" s="110"/>
      <c r="P476" s="57"/>
      <c r="Q476" s="111"/>
      <c r="R476" s="111"/>
      <c r="S476" s="58"/>
      <c r="T476" s="112"/>
      <c r="U476" s="112"/>
      <c r="V476" s="59"/>
      <c r="W476" s="113"/>
      <c r="X476" s="113"/>
      <c r="Y476" s="54"/>
      <c r="Z476" s="109"/>
      <c r="AA476" s="109"/>
      <c r="AB476" s="55"/>
      <c r="AC476" s="110"/>
      <c r="AD476" s="110"/>
      <c r="AE476" s="96"/>
      <c r="AF476" s="97"/>
      <c r="AG476" s="98"/>
      <c r="AH476" s="99"/>
    </row>
    <row r="477" spans="1:34" x14ac:dyDescent="0.25">
      <c r="A477" s="10" t="str">
        <f t="shared" si="7"/>
        <v/>
      </c>
      <c r="B477" s="52"/>
      <c r="C477" s="53"/>
      <c r="D477" s="153"/>
      <c r="E477" s="78"/>
      <c r="F477" s="133"/>
      <c r="G477" s="54"/>
      <c r="H477" s="109"/>
      <c r="I477" s="109"/>
      <c r="J477" s="55"/>
      <c r="K477" s="110"/>
      <c r="L477" s="110"/>
      <c r="M477" s="55"/>
      <c r="N477" s="110"/>
      <c r="O477" s="110"/>
      <c r="P477" s="57"/>
      <c r="Q477" s="111"/>
      <c r="R477" s="111"/>
      <c r="S477" s="58"/>
      <c r="T477" s="112"/>
      <c r="U477" s="112"/>
      <c r="V477" s="59"/>
      <c r="W477" s="113"/>
      <c r="X477" s="113"/>
      <c r="Y477" s="54"/>
      <c r="Z477" s="109"/>
      <c r="AA477" s="109"/>
      <c r="AB477" s="55"/>
      <c r="AC477" s="110"/>
      <c r="AD477" s="110"/>
      <c r="AE477" s="96"/>
      <c r="AF477" s="97"/>
      <c r="AG477" s="98"/>
      <c r="AH477" s="99"/>
    </row>
    <row r="478" spans="1:34" x14ac:dyDescent="0.25">
      <c r="A478" s="10" t="str">
        <f t="shared" si="7"/>
        <v/>
      </c>
      <c r="B478" s="52"/>
      <c r="C478" s="53"/>
      <c r="D478" s="153"/>
      <c r="E478" s="78"/>
      <c r="F478" s="133"/>
      <c r="G478" s="54"/>
      <c r="H478" s="109"/>
      <c r="I478" s="109"/>
      <c r="J478" s="55"/>
      <c r="K478" s="110"/>
      <c r="L478" s="110"/>
      <c r="M478" s="55"/>
      <c r="N478" s="110"/>
      <c r="O478" s="110"/>
      <c r="P478" s="57"/>
      <c r="Q478" s="111"/>
      <c r="R478" s="111"/>
      <c r="S478" s="58"/>
      <c r="T478" s="112"/>
      <c r="U478" s="112"/>
      <c r="V478" s="59"/>
      <c r="W478" s="113"/>
      <c r="X478" s="113"/>
      <c r="Y478" s="54"/>
      <c r="Z478" s="109"/>
      <c r="AA478" s="109"/>
      <c r="AB478" s="55"/>
      <c r="AC478" s="110"/>
      <c r="AD478" s="110"/>
      <c r="AE478" s="96"/>
      <c r="AF478" s="97"/>
      <c r="AG478" s="98"/>
      <c r="AH478" s="99"/>
    </row>
    <row r="479" spans="1:34" x14ac:dyDescent="0.25">
      <c r="A479" s="10" t="str">
        <f t="shared" si="7"/>
        <v/>
      </c>
      <c r="B479" s="52"/>
      <c r="C479" s="53"/>
      <c r="D479" s="153"/>
      <c r="E479" s="78"/>
      <c r="F479" s="133"/>
      <c r="G479" s="54"/>
      <c r="H479" s="109"/>
      <c r="I479" s="109"/>
      <c r="J479" s="55"/>
      <c r="K479" s="110"/>
      <c r="L479" s="110"/>
      <c r="M479" s="55"/>
      <c r="N479" s="110"/>
      <c r="O479" s="110"/>
      <c r="P479" s="57"/>
      <c r="Q479" s="111"/>
      <c r="R479" s="111"/>
      <c r="S479" s="58"/>
      <c r="T479" s="112"/>
      <c r="U479" s="112"/>
      <c r="V479" s="59"/>
      <c r="W479" s="113"/>
      <c r="X479" s="113"/>
      <c r="Y479" s="54"/>
      <c r="Z479" s="109"/>
      <c r="AA479" s="109"/>
      <c r="AB479" s="55"/>
      <c r="AC479" s="110"/>
      <c r="AD479" s="110"/>
      <c r="AE479" s="96"/>
      <c r="AF479" s="97"/>
      <c r="AG479" s="98"/>
      <c r="AH479" s="99"/>
    </row>
    <row r="480" spans="1:34" x14ac:dyDescent="0.25">
      <c r="A480" s="10" t="str">
        <f t="shared" si="7"/>
        <v/>
      </c>
      <c r="B480" s="52"/>
      <c r="C480" s="53"/>
      <c r="D480" s="153"/>
      <c r="E480" s="78"/>
      <c r="F480" s="133"/>
      <c r="G480" s="54"/>
      <c r="H480" s="109"/>
      <c r="I480" s="109"/>
      <c r="J480" s="55"/>
      <c r="K480" s="110"/>
      <c r="L480" s="110"/>
      <c r="M480" s="55"/>
      <c r="N480" s="110"/>
      <c r="O480" s="110"/>
      <c r="P480" s="57"/>
      <c r="Q480" s="111"/>
      <c r="R480" s="111"/>
      <c r="S480" s="58"/>
      <c r="T480" s="112"/>
      <c r="U480" s="112"/>
      <c r="V480" s="59"/>
      <c r="W480" s="113"/>
      <c r="X480" s="113"/>
      <c r="Y480" s="54"/>
      <c r="Z480" s="109"/>
      <c r="AA480" s="109"/>
      <c r="AB480" s="55"/>
      <c r="AC480" s="110"/>
      <c r="AD480" s="110"/>
      <c r="AE480" s="96"/>
      <c r="AF480" s="97"/>
      <c r="AG480" s="98"/>
      <c r="AH480" s="99"/>
    </row>
    <row r="481" spans="1:34" x14ac:dyDescent="0.25">
      <c r="A481" s="10" t="str">
        <f t="shared" si="7"/>
        <v/>
      </c>
      <c r="B481" s="52"/>
      <c r="C481" s="53"/>
      <c r="D481" s="153"/>
      <c r="E481" s="78"/>
      <c r="F481" s="133"/>
      <c r="G481" s="54"/>
      <c r="H481" s="109"/>
      <c r="I481" s="109"/>
      <c r="J481" s="55"/>
      <c r="K481" s="110"/>
      <c r="L481" s="110"/>
      <c r="M481" s="55"/>
      <c r="N481" s="110"/>
      <c r="O481" s="110"/>
      <c r="P481" s="57"/>
      <c r="Q481" s="111"/>
      <c r="R481" s="111"/>
      <c r="S481" s="58"/>
      <c r="T481" s="112"/>
      <c r="U481" s="112"/>
      <c r="V481" s="59"/>
      <c r="W481" s="113"/>
      <c r="X481" s="113"/>
      <c r="Y481" s="54"/>
      <c r="Z481" s="109"/>
      <c r="AA481" s="109"/>
      <c r="AB481" s="55"/>
      <c r="AC481" s="110"/>
      <c r="AD481" s="110"/>
      <c r="AE481" s="96"/>
      <c r="AF481" s="97"/>
      <c r="AG481" s="98"/>
      <c r="AH481" s="99"/>
    </row>
    <row r="482" spans="1:34" x14ac:dyDescent="0.25">
      <c r="A482" s="10" t="str">
        <f t="shared" si="7"/>
        <v/>
      </c>
      <c r="B482" s="52"/>
      <c r="C482" s="53"/>
      <c r="D482" s="153"/>
      <c r="E482" s="78"/>
      <c r="F482" s="133"/>
      <c r="G482" s="54"/>
      <c r="H482" s="109"/>
      <c r="I482" s="109"/>
      <c r="J482" s="55"/>
      <c r="K482" s="110"/>
      <c r="L482" s="110"/>
      <c r="M482" s="55"/>
      <c r="N482" s="110"/>
      <c r="O482" s="110"/>
      <c r="P482" s="57"/>
      <c r="Q482" s="111"/>
      <c r="R482" s="111"/>
      <c r="S482" s="58"/>
      <c r="T482" s="112"/>
      <c r="U482" s="112"/>
      <c r="V482" s="59"/>
      <c r="W482" s="113"/>
      <c r="X482" s="113"/>
      <c r="Y482" s="54"/>
      <c r="Z482" s="109"/>
      <c r="AA482" s="109"/>
      <c r="AB482" s="55"/>
      <c r="AC482" s="110"/>
      <c r="AD482" s="110"/>
      <c r="AE482" s="96"/>
      <c r="AF482" s="97"/>
      <c r="AG482" s="98"/>
      <c r="AH482" s="99"/>
    </row>
    <row r="483" spans="1:34" x14ac:dyDescent="0.25">
      <c r="A483" s="10" t="str">
        <f t="shared" si="7"/>
        <v/>
      </c>
      <c r="B483" s="52"/>
      <c r="C483" s="53"/>
      <c r="D483" s="153"/>
      <c r="E483" s="78"/>
      <c r="F483" s="133"/>
      <c r="G483" s="54"/>
      <c r="H483" s="109"/>
      <c r="I483" s="109"/>
      <c r="J483" s="55"/>
      <c r="K483" s="110"/>
      <c r="L483" s="110"/>
      <c r="M483" s="55"/>
      <c r="N483" s="110"/>
      <c r="O483" s="110"/>
      <c r="P483" s="57"/>
      <c r="Q483" s="111"/>
      <c r="R483" s="111"/>
      <c r="S483" s="58"/>
      <c r="T483" s="112"/>
      <c r="U483" s="112"/>
      <c r="V483" s="59"/>
      <c r="W483" s="113"/>
      <c r="X483" s="113"/>
      <c r="Y483" s="54"/>
      <c r="Z483" s="109"/>
      <c r="AA483" s="109"/>
      <c r="AB483" s="55"/>
      <c r="AC483" s="110"/>
      <c r="AD483" s="110"/>
      <c r="AE483" s="96"/>
      <c r="AF483" s="97"/>
      <c r="AG483" s="98"/>
      <c r="AH483" s="99"/>
    </row>
    <row r="484" spans="1:34" x14ac:dyDescent="0.25">
      <c r="A484" s="10" t="str">
        <f t="shared" si="7"/>
        <v/>
      </c>
      <c r="B484" s="52"/>
      <c r="C484" s="53"/>
      <c r="D484" s="153"/>
      <c r="E484" s="78"/>
      <c r="F484" s="133"/>
      <c r="G484" s="54"/>
      <c r="H484" s="109"/>
      <c r="I484" s="109"/>
      <c r="J484" s="55"/>
      <c r="K484" s="110"/>
      <c r="L484" s="110"/>
      <c r="M484" s="55"/>
      <c r="N484" s="110"/>
      <c r="O484" s="110"/>
      <c r="P484" s="57"/>
      <c r="Q484" s="111"/>
      <c r="R484" s="111"/>
      <c r="S484" s="58"/>
      <c r="T484" s="112"/>
      <c r="U484" s="112"/>
      <c r="V484" s="59"/>
      <c r="W484" s="113"/>
      <c r="X484" s="113"/>
      <c r="Y484" s="54"/>
      <c r="Z484" s="109"/>
      <c r="AA484" s="109"/>
      <c r="AB484" s="55"/>
      <c r="AC484" s="110"/>
      <c r="AD484" s="110"/>
      <c r="AE484" s="96"/>
      <c r="AF484" s="97"/>
      <c r="AG484" s="98"/>
      <c r="AH484" s="99"/>
    </row>
    <row r="485" spans="1:34" x14ac:dyDescent="0.25">
      <c r="A485" s="10" t="str">
        <f t="shared" si="7"/>
        <v/>
      </c>
      <c r="B485" s="52"/>
      <c r="C485" s="53"/>
      <c r="D485" s="153"/>
      <c r="E485" s="78"/>
      <c r="F485" s="133"/>
      <c r="G485" s="54"/>
      <c r="H485" s="109"/>
      <c r="I485" s="109"/>
      <c r="J485" s="55"/>
      <c r="K485" s="110"/>
      <c r="L485" s="110"/>
      <c r="M485" s="55"/>
      <c r="N485" s="110"/>
      <c r="O485" s="110"/>
      <c r="P485" s="57"/>
      <c r="Q485" s="111"/>
      <c r="R485" s="111"/>
      <c r="S485" s="58"/>
      <c r="T485" s="112"/>
      <c r="U485" s="112"/>
      <c r="V485" s="59"/>
      <c r="W485" s="113"/>
      <c r="X485" s="113"/>
      <c r="Y485" s="54"/>
      <c r="Z485" s="109"/>
      <c r="AA485" s="109"/>
      <c r="AB485" s="55"/>
      <c r="AC485" s="110"/>
      <c r="AD485" s="110"/>
      <c r="AE485" s="96"/>
      <c r="AF485" s="97"/>
      <c r="AG485" s="98"/>
      <c r="AH485" s="99"/>
    </row>
    <row r="486" spans="1:34" x14ac:dyDescent="0.25">
      <c r="A486" s="10" t="str">
        <f t="shared" si="7"/>
        <v/>
      </c>
      <c r="B486" s="52"/>
      <c r="C486" s="53"/>
      <c r="D486" s="153"/>
      <c r="E486" s="78"/>
      <c r="F486" s="133"/>
      <c r="G486" s="54"/>
      <c r="H486" s="109"/>
      <c r="I486" s="109"/>
      <c r="J486" s="55"/>
      <c r="K486" s="110"/>
      <c r="L486" s="110"/>
      <c r="M486" s="55"/>
      <c r="N486" s="110"/>
      <c r="O486" s="110"/>
      <c r="P486" s="57"/>
      <c r="Q486" s="111"/>
      <c r="R486" s="111"/>
      <c r="S486" s="58"/>
      <c r="T486" s="112"/>
      <c r="U486" s="112"/>
      <c r="V486" s="59"/>
      <c r="W486" s="113"/>
      <c r="X486" s="113"/>
      <c r="Y486" s="54"/>
      <c r="Z486" s="109"/>
      <c r="AA486" s="109"/>
      <c r="AB486" s="55"/>
      <c r="AC486" s="110"/>
      <c r="AD486" s="110"/>
      <c r="AE486" s="96"/>
      <c r="AF486" s="97"/>
      <c r="AG486" s="98"/>
      <c r="AH486" s="99"/>
    </row>
    <row r="487" spans="1:34" x14ac:dyDescent="0.25">
      <c r="A487" s="10" t="str">
        <f t="shared" si="7"/>
        <v/>
      </c>
      <c r="B487" s="52"/>
      <c r="C487" s="53"/>
      <c r="D487" s="153"/>
      <c r="E487" s="78"/>
      <c r="F487" s="133"/>
      <c r="G487" s="54"/>
      <c r="H487" s="109"/>
      <c r="I487" s="109"/>
      <c r="J487" s="55"/>
      <c r="K487" s="110"/>
      <c r="L487" s="110"/>
      <c r="M487" s="55"/>
      <c r="N487" s="110"/>
      <c r="O487" s="110"/>
      <c r="P487" s="57"/>
      <c r="Q487" s="111"/>
      <c r="R487" s="111"/>
      <c r="S487" s="58"/>
      <c r="T487" s="112"/>
      <c r="U487" s="112"/>
      <c r="V487" s="59"/>
      <c r="W487" s="113"/>
      <c r="X487" s="113"/>
      <c r="Y487" s="54"/>
      <c r="Z487" s="109"/>
      <c r="AA487" s="109"/>
      <c r="AB487" s="55"/>
      <c r="AC487" s="110"/>
      <c r="AD487" s="110"/>
      <c r="AE487" s="96"/>
      <c r="AF487" s="97"/>
      <c r="AG487" s="98"/>
      <c r="AH487" s="99"/>
    </row>
    <row r="488" spans="1:34" x14ac:dyDescent="0.25">
      <c r="A488" s="10" t="str">
        <f t="shared" si="7"/>
        <v/>
      </c>
      <c r="B488" s="52"/>
      <c r="C488" s="53"/>
      <c r="D488" s="153"/>
      <c r="E488" s="78"/>
      <c r="F488" s="133"/>
      <c r="G488" s="54"/>
      <c r="H488" s="109"/>
      <c r="I488" s="109"/>
      <c r="J488" s="55"/>
      <c r="K488" s="110"/>
      <c r="L488" s="110"/>
      <c r="M488" s="55"/>
      <c r="N488" s="110"/>
      <c r="O488" s="110"/>
      <c r="P488" s="57"/>
      <c r="Q488" s="111"/>
      <c r="R488" s="111"/>
      <c r="S488" s="58"/>
      <c r="T488" s="112"/>
      <c r="U488" s="112"/>
      <c r="V488" s="59"/>
      <c r="W488" s="113"/>
      <c r="X488" s="113"/>
      <c r="Y488" s="54"/>
      <c r="Z488" s="109"/>
      <c r="AA488" s="109"/>
      <c r="AB488" s="55"/>
      <c r="AC488" s="110"/>
      <c r="AD488" s="110"/>
      <c r="AE488" s="96"/>
      <c r="AF488" s="97"/>
      <c r="AG488" s="98"/>
      <c r="AH488" s="99"/>
    </row>
    <row r="489" spans="1:34" x14ac:dyDescent="0.25">
      <c r="A489" s="10" t="str">
        <f t="shared" si="7"/>
        <v/>
      </c>
      <c r="B489" s="52"/>
      <c r="C489" s="53"/>
      <c r="D489" s="153"/>
      <c r="E489" s="78"/>
      <c r="F489" s="133"/>
      <c r="G489" s="54"/>
      <c r="H489" s="109"/>
      <c r="I489" s="109"/>
      <c r="J489" s="55"/>
      <c r="K489" s="110"/>
      <c r="L489" s="110"/>
      <c r="M489" s="55"/>
      <c r="N489" s="110"/>
      <c r="O489" s="110"/>
      <c r="P489" s="57"/>
      <c r="Q489" s="111"/>
      <c r="R489" s="111"/>
      <c r="S489" s="58"/>
      <c r="T489" s="112"/>
      <c r="U489" s="112"/>
      <c r="V489" s="59"/>
      <c r="W489" s="113"/>
      <c r="X489" s="113"/>
      <c r="Y489" s="54"/>
      <c r="Z489" s="109"/>
      <c r="AA489" s="109"/>
      <c r="AB489" s="55"/>
      <c r="AC489" s="110"/>
      <c r="AD489" s="110"/>
      <c r="AE489" s="96"/>
      <c r="AF489" s="97"/>
      <c r="AG489" s="98"/>
      <c r="AH489" s="99"/>
    </row>
    <row r="490" spans="1:34" x14ac:dyDescent="0.25">
      <c r="A490" s="10" t="str">
        <f t="shared" si="7"/>
        <v/>
      </c>
      <c r="B490" s="52"/>
      <c r="C490" s="53"/>
      <c r="D490" s="153"/>
      <c r="E490" s="78"/>
      <c r="F490" s="133"/>
      <c r="G490" s="54"/>
      <c r="H490" s="109"/>
      <c r="I490" s="109"/>
      <c r="J490" s="55"/>
      <c r="K490" s="110"/>
      <c r="L490" s="110"/>
      <c r="M490" s="55"/>
      <c r="N490" s="110"/>
      <c r="O490" s="110"/>
      <c r="P490" s="57"/>
      <c r="Q490" s="111"/>
      <c r="R490" s="111"/>
      <c r="S490" s="58"/>
      <c r="T490" s="112"/>
      <c r="U490" s="112"/>
      <c r="V490" s="59"/>
      <c r="W490" s="113"/>
      <c r="X490" s="113"/>
      <c r="Y490" s="54"/>
      <c r="Z490" s="109"/>
      <c r="AA490" s="109"/>
      <c r="AB490" s="55"/>
      <c r="AC490" s="110"/>
      <c r="AD490" s="110"/>
      <c r="AE490" s="96"/>
      <c r="AF490" s="97"/>
      <c r="AG490" s="98"/>
      <c r="AH490" s="99"/>
    </row>
    <row r="491" spans="1:34" x14ac:dyDescent="0.25">
      <c r="A491" s="10" t="str">
        <f t="shared" si="7"/>
        <v/>
      </c>
      <c r="B491" s="52"/>
      <c r="C491" s="53"/>
      <c r="D491" s="153"/>
      <c r="E491" s="78"/>
      <c r="F491" s="133"/>
      <c r="G491" s="54"/>
      <c r="H491" s="109"/>
      <c r="I491" s="109"/>
      <c r="J491" s="55"/>
      <c r="K491" s="110"/>
      <c r="L491" s="110"/>
      <c r="M491" s="55"/>
      <c r="N491" s="110"/>
      <c r="O491" s="110"/>
      <c r="P491" s="57"/>
      <c r="Q491" s="111"/>
      <c r="R491" s="111"/>
      <c r="S491" s="58"/>
      <c r="T491" s="112"/>
      <c r="U491" s="112"/>
      <c r="V491" s="59"/>
      <c r="W491" s="113"/>
      <c r="X491" s="113"/>
      <c r="Y491" s="54"/>
      <c r="Z491" s="109"/>
      <c r="AA491" s="109"/>
      <c r="AB491" s="55"/>
      <c r="AC491" s="110"/>
      <c r="AD491" s="110"/>
      <c r="AE491" s="96"/>
      <c r="AF491" s="97"/>
      <c r="AG491" s="98"/>
      <c r="AH491" s="99"/>
    </row>
    <row r="492" spans="1:34" x14ac:dyDescent="0.25">
      <c r="A492" s="10" t="str">
        <f t="shared" si="7"/>
        <v/>
      </c>
      <c r="B492" s="52"/>
      <c r="C492" s="53"/>
      <c r="D492" s="153"/>
      <c r="E492" s="78"/>
      <c r="F492" s="133"/>
      <c r="G492" s="54"/>
      <c r="H492" s="109"/>
      <c r="I492" s="109"/>
      <c r="J492" s="55"/>
      <c r="K492" s="110"/>
      <c r="L492" s="110"/>
      <c r="M492" s="55"/>
      <c r="N492" s="110"/>
      <c r="O492" s="110"/>
      <c r="P492" s="57"/>
      <c r="Q492" s="111"/>
      <c r="R492" s="111"/>
      <c r="S492" s="58"/>
      <c r="T492" s="112"/>
      <c r="U492" s="112"/>
      <c r="V492" s="59"/>
      <c r="W492" s="113"/>
      <c r="X492" s="113"/>
      <c r="Y492" s="54"/>
      <c r="Z492" s="109"/>
      <c r="AA492" s="109"/>
      <c r="AB492" s="55"/>
      <c r="AC492" s="110"/>
      <c r="AD492" s="110"/>
      <c r="AE492" s="96"/>
      <c r="AF492" s="97"/>
      <c r="AG492" s="98"/>
      <c r="AH492" s="99"/>
    </row>
    <row r="493" spans="1:34" x14ac:dyDescent="0.25">
      <c r="A493" s="10" t="str">
        <f t="shared" si="7"/>
        <v/>
      </c>
      <c r="B493" s="52"/>
      <c r="C493" s="53"/>
      <c r="D493" s="153"/>
      <c r="E493" s="78"/>
      <c r="F493" s="133"/>
      <c r="G493" s="54"/>
      <c r="H493" s="109"/>
      <c r="I493" s="109"/>
      <c r="J493" s="55"/>
      <c r="K493" s="110"/>
      <c r="L493" s="110"/>
      <c r="M493" s="55"/>
      <c r="N493" s="110"/>
      <c r="O493" s="110"/>
      <c r="P493" s="57"/>
      <c r="Q493" s="111"/>
      <c r="R493" s="111"/>
      <c r="S493" s="58"/>
      <c r="T493" s="112"/>
      <c r="U493" s="112"/>
      <c r="V493" s="59"/>
      <c r="W493" s="113"/>
      <c r="X493" s="113"/>
      <c r="Y493" s="54"/>
      <c r="Z493" s="109"/>
      <c r="AA493" s="109"/>
      <c r="AB493" s="55"/>
      <c r="AC493" s="110"/>
      <c r="AD493" s="110"/>
      <c r="AE493" s="96"/>
      <c r="AF493" s="97"/>
      <c r="AG493" s="98"/>
      <c r="AH493" s="99"/>
    </row>
    <row r="494" spans="1:34" x14ac:dyDescent="0.25">
      <c r="A494" s="10" t="str">
        <f t="shared" si="7"/>
        <v/>
      </c>
      <c r="B494" s="52"/>
      <c r="C494" s="53"/>
      <c r="D494" s="153"/>
      <c r="E494" s="78"/>
      <c r="F494" s="133"/>
      <c r="G494" s="54"/>
      <c r="H494" s="109"/>
      <c r="I494" s="109"/>
      <c r="J494" s="55"/>
      <c r="K494" s="110"/>
      <c r="L494" s="110"/>
      <c r="M494" s="55"/>
      <c r="N494" s="110"/>
      <c r="O494" s="110"/>
      <c r="P494" s="57"/>
      <c r="Q494" s="111"/>
      <c r="R494" s="111"/>
      <c r="S494" s="58"/>
      <c r="T494" s="112"/>
      <c r="U494" s="112"/>
      <c r="V494" s="59"/>
      <c r="W494" s="113"/>
      <c r="X494" s="113"/>
      <c r="Y494" s="54"/>
      <c r="Z494" s="109"/>
      <c r="AA494" s="109"/>
      <c r="AB494" s="55"/>
      <c r="AC494" s="110"/>
      <c r="AD494" s="110"/>
      <c r="AE494" s="96"/>
      <c r="AF494" s="97"/>
      <c r="AG494" s="98"/>
      <c r="AH494" s="99"/>
    </row>
    <row r="495" spans="1:34" x14ac:dyDescent="0.25">
      <c r="A495" s="10" t="str">
        <f t="shared" si="7"/>
        <v/>
      </c>
      <c r="B495" s="52"/>
      <c r="C495" s="53"/>
      <c r="D495" s="153"/>
      <c r="E495" s="78"/>
      <c r="F495" s="133"/>
      <c r="G495" s="54"/>
      <c r="H495" s="109"/>
      <c r="I495" s="109"/>
      <c r="J495" s="55"/>
      <c r="K495" s="110"/>
      <c r="L495" s="110"/>
      <c r="M495" s="55"/>
      <c r="N495" s="110"/>
      <c r="O495" s="110"/>
      <c r="P495" s="57"/>
      <c r="Q495" s="111"/>
      <c r="R495" s="111"/>
      <c r="S495" s="58"/>
      <c r="T495" s="112"/>
      <c r="U495" s="112"/>
      <c r="V495" s="59"/>
      <c r="W495" s="113"/>
      <c r="X495" s="113"/>
      <c r="Y495" s="54"/>
      <c r="Z495" s="109"/>
      <c r="AA495" s="109"/>
      <c r="AB495" s="55"/>
      <c r="AC495" s="110"/>
      <c r="AD495" s="110"/>
      <c r="AE495" s="96"/>
      <c r="AF495" s="97"/>
      <c r="AG495" s="98"/>
      <c r="AH495" s="99"/>
    </row>
    <row r="496" spans="1:34" x14ac:dyDescent="0.25">
      <c r="A496" s="10" t="str">
        <f t="shared" si="7"/>
        <v/>
      </c>
      <c r="B496" s="52"/>
      <c r="C496" s="53"/>
      <c r="D496" s="153"/>
      <c r="E496" s="78"/>
      <c r="F496" s="133"/>
      <c r="G496" s="54"/>
      <c r="H496" s="109"/>
      <c r="I496" s="109"/>
      <c r="J496" s="55"/>
      <c r="K496" s="110"/>
      <c r="L496" s="110"/>
      <c r="M496" s="55"/>
      <c r="N496" s="110"/>
      <c r="O496" s="110"/>
      <c r="P496" s="57"/>
      <c r="Q496" s="111"/>
      <c r="R496" s="111"/>
      <c r="S496" s="58"/>
      <c r="T496" s="112"/>
      <c r="U496" s="112"/>
      <c r="V496" s="59"/>
      <c r="W496" s="113"/>
      <c r="X496" s="113"/>
      <c r="Y496" s="54"/>
      <c r="Z496" s="109"/>
      <c r="AA496" s="109"/>
      <c r="AB496" s="55"/>
      <c r="AC496" s="110"/>
      <c r="AD496" s="110"/>
      <c r="AE496" s="96"/>
      <c r="AF496" s="97"/>
      <c r="AG496" s="98"/>
      <c r="AH496" s="99"/>
    </row>
    <row r="497" spans="1:34" x14ac:dyDescent="0.25">
      <c r="A497" s="10" t="str">
        <f t="shared" si="7"/>
        <v/>
      </c>
      <c r="B497" s="52"/>
      <c r="C497" s="53"/>
      <c r="D497" s="153"/>
      <c r="E497" s="78"/>
      <c r="F497" s="133"/>
      <c r="G497" s="54"/>
      <c r="H497" s="109"/>
      <c r="I497" s="109"/>
      <c r="J497" s="55"/>
      <c r="K497" s="110"/>
      <c r="L497" s="110"/>
      <c r="M497" s="55"/>
      <c r="N497" s="110"/>
      <c r="O497" s="110"/>
      <c r="P497" s="57"/>
      <c r="Q497" s="111"/>
      <c r="R497" s="111"/>
      <c r="S497" s="58"/>
      <c r="T497" s="112"/>
      <c r="U497" s="112"/>
      <c r="V497" s="59"/>
      <c r="W497" s="113"/>
      <c r="X497" s="113"/>
      <c r="Y497" s="54"/>
      <c r="Z497" s="109"/>
      <c r="AA497" s="109"/>
      <c r="AB497" s="55"/>
      <c r="AC497" s="110"/>
      <c r="AD497" s="110"/>
      <c r="AE497" s="96"/>
      <c r="AF497" s="97"/>
      <c r="AG497" s="98"/>
      <c r="AH497" s="99"/>
    </row>
    <row r="498" spans="1:34" x14ac:dyDescent="0.25">
      <c r="A498" s="10" t="str">
        <f t="shared" si="7"/>
        <v/>
      </c>
      <c r="B498" s="52"/>
      <c r="C498" s="53"/>
      <c r="D498" s="153"/>
      <c r="E498" s="78"/>
      <c r="F498" s="133"/>
      <c r="G498" s="54"/>
      <c r="H498" s="109"/>
      <c r="I498" s="109"/>
      <c r="J498" s="55"/>
      <c r="K498" s="110"/>
      <c r="L498" s="110"/>
      <c r="M498" s="55"/>
      <c r="N498" s="110"/>
      <c r="O498" s="110"/>
      <c r="P498" s="57"/>
      <c r="Q498" s="111"/>
      <c r="R498" s="111"/>
      <c r="S498" s="58"/>
      <c r="T498" s="112"/>
      <c r="U498" s="112"/>
      <c r="V498" s="59"/>
      <c r="W498" s="113"/>
      <c r="X498" s="113"/>
      <c r="Y498" s="54"/>
      <c r="Z498" s="109"/>
      <c r="AA498" s="109"/>
      <c r="AB498" s="55"/>
      <c r="AC498" s="110"/>
      <c r="AD498" s="110"/>
      <c r="AE498" s="96"/>
      <c r="AF498" s="97"/>
      <c r="AG498" s="98"/>
      <c r="AH498" s="99"/>
    </row>
    <row r="499" spans="1:34" x14ac:dyDescent="0.25">
      <c r="A499" s="10" t="str">
        <f t="shared" si="7"/>
        <v/>
      </c>
      <c r="B499" s="52"/>
      <c r="C499" s="53"/>
      <c r="D499" s="153"/>
      <c r="E499" s="78"/>
      <c r="F499" s="133"/>
      <c r="G499" s="54"/>
      <c r="H499" s="109"/>
      <c r="I499" s="109"/>
      <c r="J499" s="55"/>
      <c r="K499" s="110"/>
      <c r="L499" s="110"/>
      <c r="M499" s="55"/>
      <c r="N499" s="110"/>
      <c r="O499" s="110"/>
      <c r="P499" s="57"/>
      <c r="Q499" s="111"/>
      <c r="R499" s="111"/>
      <c r="S499" s="58"/>
      <c r="T499" s="112"/>
      <c r="U499" s="112"/>
      <c r="V499" s="59"/>
      <c r="W499" s="113"/>
      <c r="X499" s="113"/>
      <c r="Y499" s="54"/>
      <c r="Z499" s="109"/>
      <c r="AA499" s="109"/>
      <c r="AB499" s="55"/>
      <c r="AC499" s="110"/>
      <c r="AD499" s="110"/>
      <c r="AE499" s="96"/>
      <c r="AF499" s="97"/>
      <c r="AG499" s="98"/>
      <c r="AH499" s="99"/>
    </row>
    <row r="500" spans="1:34" x14ac:dyDescent="0.25">
      <c r="A500" s="10" t="str">
        <f t="shared" si="7"/>
        <v/>
      </c>
      <c r="B500" s="52"/>
      <c r="C500" s="53"/>
      <c r="D500" s="153"/>
      <c r="E500" s="78"/>
      <c r="F500" s="133"/>
      <c r="G500" s="54"/>
      <c r="H500" s="109"/>
      <c r="I500" s="109"/>
      <c r="J500" s="55"/>
      <c r="K500" s="110"/>
      <c r="L500" s="110"/>
      <c r="M500" s="55"/>
      <c r="N500" s="110"/>
      <c r="O500" s="110"/>
      <c r="P500" s="57"/>
      <c r="Q500" s="111"/>
      <c r="R500" s="111"/>
      <c r="S500" s="58"/>
      <c r="T500" s="112"/>
      <c r="U500" s="112"/>
      <c r="V500" s="59"/>
      <c r="W500" s="113"/>
      <c r="X500" s="113"/>
      <c r="Y500" s="54"/>
      <c r="Z500" s="109"/>
      <c r="AA500" s="109"/>
      <c r="AB500" s="55"/>
      <c r="AC500" s="110"/>
      <c r="AD500" s="110"/>
      <c r="AE500" s="96"/>
      <c r="AF500" s="97"/>
      <c r="AG500" s="98"/>
      <c r="AH500" s="99"/>
    </row>
    <row r="501" spans="1:34" x14ac:dyDescent="0.25">
      <c r="A501" s="10" t="str">
        <f t="shared" si="7"/>
        <v/>
      </c>
      <c r="B501" s="52"/>
      <c r="C501" s="53"/>
      <c r="D501" s="153"/>
      <c r="E501" s="78"/>
      <c r="F501" s="133"/>
      <c r="G501" s="54"/>
      <c r="H501" s="109"/>
      <c r="I501" s="109"/>
      <c r="J501" s="55"/>
      <c r="K501" s="110"/>
      <c r="L501" s="110"/>
      <c r="M501" s="55"/>
      <c r="N501" s="110"/>
      <c r="O501" s="110"/>
      <c r="P501" s="57"/>
      <c r="Q501" s="111"/>
      <c r="R501" s="111"/>
      <c r="S501" s="58"/>
      <c r="T501" s="112"/>
      <c r="U501" s="112"/>
      <c r="V501" s="59"/>
      <c r="W501" s="113"/>
      <c r="X501" s="113"/>
      <c r="Y501" s="54"/>
      <c r="Z501" s="109"/>
      <c r="AA501" s="109"/>
      <c r="AB501" s="55"/>
      <c r="AC501" s="110"/>
      <c r="AD501" s="110"/>
      <c r="AE501" s="96"/>
      <c r="AF501" s="97"/>
      <c r="AG501" s="98"/>
      <c r="AH501" s="99"/>
    </row>
    <row r="502" spans="1:34" x14ac:dyDescent="0.25">
      <c r="A502" s="10" t="str">
        <f t="shared" si="7"/>
        <v/>
      </c>
      <c r="B502" s="52"/>
      <c r="C502" s="53"/>
      <c r="D502" s="153"/>
      <c r="E502" s="78"/>
      <c r="F502" s="133"/>
      <c r="G502" s="54"/>
      <c r="H502" s="109"/>
      <c r="I502" s="109"/>
      <c r="J502" s="55"/>
      <c r="K502" s="110"/>
      <c r="L502" s="110"/>
      <c r="M502" s="55"/>
      <c r="N502" s="110"/>
      <c r="O502" s="110"/>
      <c r="P502" s="57"/>
      <c r="Q502" s="111"/>
      <c r="R502" s="111"/>
      <c r="S502" s="58"/>
      <c r="T502" s="112"/>
      <c r="U502" s="112"/>
      <c r="V502" s="59"/>
      <c r="W502" s="113"/>
      <c r="X502" s="113"/>
      <c r="Y502" s="54"/>
      <c r="Z502" s="109"/>
      <c r="AA502" s="109"/>
      <c r="AB502" s="55"/>
      <c r="AC502" s="110"/>
      <c r="AD502" s="110"/>
      <c r="AE502" s="96"/>
      <c r="AF502" s="97"/>
      <c r="AG502" s="98"/>
      <c r="AH502" s="99"/>
    </row>
    <row r="503" spans="1:34" x14ac:dyDescent="0.25">
      <c r="A503" s="10" t="str">
        <f t="shared" si="7"/>
        <v/>
      </c>
      <c r="B503" s="52"/>
      <c r="C503" s="53"/>
      <c r="D503" s="153"/>
      <c r="E503" s="78"/>
      <c r="F503" s="133"/>
      <c r="G503" s="54"/>
      <c r="H503" s="109"/>
      <c r="I503" s="109"/>
      <c r="J503" s="55"/>
      <c r="K503" s="110"/>
      <c r="L503" s="110"/>
      <c r="M503" s="55"/>
      <c r="N503" s="110"/>
      <c r="O503" s="110"/>
      <c r="P503" s="57"/>
      <c r="Q503" s="111"/>
      <c r="R503" s="111"/>
      <c r="S503" s="58"/>
      <c r="T503" s="112"/>
      <c r="U503" s="112"/>
      <c r="V503" s="59"/>
      <c r="W503" s="113"/>
      <c r="X503" s="113"/>
      <c r="Y503" s="54"/>
      <c r="Z503" s="109"/>
      <c r="AA503" s="109"/>
      <c r="AB503" s="55"/>
      <c r="AC503" s="110"/>
      <c r="AD503" s="110"/>
      <c r="AE503" s="96"/>
      <c r="AF503" s="97"/>
      <c r="AG503" s="98"/>
      <c r="AH503" s="99"/>
    </row>
    <row r="504" spans="1:34" x14ac:dyDescent="0.25">
      <c r="A504" s="10" t="str">
        <f t="shared" si="7"/>
        <v/>
      </c>
      <c r="B504" s="52"/>
      <c r="C504" s="53"/>
      <c r="D504" s="153"/>
      <c r="E504" s="78"/>
      <c r="F504" s="133"/>
      <c r="G504" s="54"/>
      <c r="H504" s="109"/>
      <c r="I504" s="109"/>
      <c r="J504" s="55"/>
      <c r="K504" s="110"/>
      <c r="L504" s="110"/>
      <c r="M504" s="55"/>
      <c r="N504" s="110"/>
      <c r="O504" s="110"/>
      <c r="P504" s="57"/>
      <c r="Q504" s="111"/>
      <c r="R504" s="111"/>
      <c r="S504" s="58"/>
      <c r="T504" s="112"/>
      <c r="U504" s="112"/>
      <c r="V504" s="59"/>
      <c r="W504" s="113"/>
      <c r="X504" s="113"/>
      <c r="Y504" s="54"/>
      <c r="Z504" s="109"/>
      <c r="AA504" s="109"/>
      <c r="AB504" s="55"/>
      <c r="AC504" s="110"/>
      <c r="AD504" s="110"/>
      <c r="AE504" s="96"/>
      <c r="AF504" s="97"/>
      <c r="AG504" s="98"/>
      <c r="AH504" s="99"/>
    </row>
    <row r="505" spans="1:34" x14ac:dyDescent="0.25">
      <c r="A505" s="10" t="str">
        <f t="shared" si="7"/>
        <v/>
      </c>
      <c r="B505" s="52"/>
      <c r="C505" s="53"/>
      <c r="D505" s="153"/>
      <c r="E505" s="78"/>
      <c r="F505" s="133"/>
      <c r="G505" s="54"/>
      <c r="H505" s="109"/>
      <c r="I505" s="109"/>
      <c r="J505" s="55"/>
      <c r="K505" s="110"/>
      <c r="L505" s="110"/>
      <c r="M505" s="55"/>
      <c r="N505" s="110"/>
      <c r="O505" s="110"/>
      <c r="P505" s="57"/>
      <c r="Q505" s="111"/>
      <c r="R505" s="111"/>
      <c r="S505" s="58"/>
      <c r="T505" s="112"/>
      <c r="U505" s="112"/>
      <c r="V505" s="59"/>
      <c r="W505" s="113"/>
      <c r="X505" s="113"/>
      <c r="Y505" s="54"/>
      <c r="Z505" s="109"/>
      <c r="AA505" s="109"/>
      <c r="AB505" s="55"/>
      <c r="AC505" s="110"/>
      <c r="AD505" s="110"/>
      <c r="AE505" s="96"/>
      <c r="AF505" s="97"/>
      <c r="AG505" s="98"/>
      <c r="AH505" s="99"/>
    </row>
  </sheetData>
  <sheetProtection algorithmName="SHA-512" hashValue="nD+iA5vYM6ltBKZtb8KkcfaX4RWKXeknunZ4XoulMkZCeBFaMb8xH3fJRDPSOw9z0NeTWBSQAaAk+h/LOu+Y/w==" saltValue="I7z2VrOqmuGeO3tL5daGuA=="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66" r:id="rId3" name="Button 23">
              <controlPr defaultSize="0" print="0" autoFill="0" autoPict="0" macro="[0]!IR_VF">
                <anchor moveWithCells="1" sizeWithCells="1">
                  <from>
                    <xdr:col>5</xdr:col>
                    <xdr:colOff>1933575</xdr:colOff>
                    <xdr:row>0</xdr:row>
                    <xdr:rowOff>0</xdr:rowOff>
                  </from>
                  <to>
                    <xdr:col>5</xdr:col>
                    <xdr:colOff>3248025</xdr:colOff>
                    <xdr:row>0</xdr:row>
                    <xdr:rowOff>152400</xdr:rowOff>
                  </to>
                </anchor>
              </controlPr>
            </control>
          </mc:Choice>
        </mc:AlternateContent>
        <mc:AlternateContent xmlns:mc="http://schemas.openxmlformats.org/markup-compatibility/2006">
          <mc:Choice Requires="x14">
            <control shapeId="4167" r:id="rId4" name="Button 24">
              <controlPr defaultSize="0" print="0" autoFill="0" autoPict="0" macro="[0]!IR_OM">
                <anchor moveWithCells="1" sizeWithCells="1">
                  <from>
                    <xdr:col>5</xdr:col>
                    <xdr:colOff>609600</xdr:colOff>
                    <xdr:row>0</xdr:row>
                    <xdr:rowOff>0</xdr:rowOff>
                  </from>
                  <to>
                    <xdr:col>5</xdr:col>
                    <xdr:colOff>1924050</xdr:colOff>
                    <xdr:row>0</xdr:row>
                    <xdr:rowOff>152400</xdr:rowOff>
                  </to>
                </anchor>
              </controlPr>
            </control>
          </mc:Choice>
        </mc:AlternateContent>
        <mc:AlternateContent xmlns:mc="http://schemas.openxmlformats.org/markup-compatibility/2006">
          <mc:Choice Requires="x14">
            <control shapeId="4168" r:id="rId5" name="Button 25">
              <controlPr defaultSize="0" print="0" autoFill="0" autoPict="0" macro="[0]!IR_RC">
                <anchor moveWithCells="1" sizeWithCells="1">
                  <from>
                    <xdr:col>5</xdr:col>
                    <xdr:colOff>609600</xdr:colOff>
                    <xdr:row>0</xdr:row>
                    <xdr:rowOff>161925</xdr:rowOff>
                  </from>
                  <to>
                    <xdr:col>5</xdr:col>
                    <xdr:colOff>1924050</xdr:colOff>
                    <xdr:row>0</xdr:row>
                    <xdr:rowOff>314325</xdr:rowOff>
                  </to>
                </anchor>
              </controlPr>
            </control>
          </mc:Choice>
        </mc:AlternateContent>
        <mc:AlternateContent xmlns:mc="http://schemas.openxmlformats.org/markup-compatibility/2006">
          <mc:Choice Requires="x14">
            <control shapeId="4169" r:id="rId6" name="Button 26">
              <controlPr defaultSize="0" print="0" autoFill="0" autoPict="0" macro="[0]!IR_E">
                <anchor moveWithCells="1" sizeWithCells="1">
                  <from>
                    <xdr:col>5</xdr:col>
                    <xdr:colOff>3248025</xdr:colOff>
                    <xdr:row>0</xdr:row>
                    <xdr:rowOff>0</xdr:rowOff>
                  </from>
                  <to>
                    <xdr:col>7</xdr:col>
                    <xdr:colOff>457200</xdr:colOff>
                    <xdr:row>0</xdr:row>
                    <xdr:rowOff>152400</xdr:rowOff>
                  </to>
                </anchor>
              </controlPr>
            </control>
          </mc:Choice>
        </mc:AlternateContent>
        <mc:AlternateContent xmlns:mc="http://schemas.openxmlformats.org/markup-compatibility/2006">
          <mc:Choice Requires="x14">
            <control shapeId="4170" r:id="rId7" name="Button 27">
              <controlPr defaultSize="0" print="0" autoFill="0" autoPict="0" macro="[0]!IR_PP">
                <anchor moveWithCells="1" sizeWithCells="1">
                  <from>
                    <xdr:col>5</xdr:col>
                    <xdr:colOff>1933575</xdr:colOff>
                    <xdr:row>0</xdr:row>
                    <xdr:rowOff>161925</xdr:rowOff>
                  </from>
                  <to>
                    <xdr:col>5</xdr:col>
                    <xdr:colOff>3248025</xdr:colOff>
                    <xdr:row>0</xdr:row>
                    <xdr:rowOff>314325</xdr:rowOff>
                  </to>
                </anchor>
              </controlPr>
            </control>
          </mc:Choice>
        </mc:AlternateContent>
        <mc:AlternateContent xmlns:mc="http://schemas.openxmlformats.org/markup-compatibility/2006">
          <mc:Choice Requires="x14">
            <control shapeId="4171" r:id="rId8" name="Button 28">
              <controlPr defaultSize="0" print="0" autoFill="0" autoPict="0" macro="[0]!IR_INICIO">
                <anchor moveWithCells="1" sizeWithCells="1">
                  <from>
                    <xdr:col>5</xdr:col>
                    <xdr:colOff>3248025</xdr:colOff>
                    <xdr:row>0</xdr:row>
                    <xdr:rowOff>161925</xdr:rowOff>
                  </from>
                  <to>
                    <xdr:col>7</xdr:col>
                    <xdr:colOff>457200</xdr:colOff>
                    <xdr:row>0</xdr:row>
                    <xdr:rowOff>314325</xdr:rowOff>
                  </to>
                </anchor>
              </controlPr>
            </control>
          </mc:Choice>
        </mc:AlternateContent>
        <mc:AlternateContent xmlns:mc="http://schemas.openxmlformats.org/markup-compatibility/2006">
          <mc:Choice Requires="x14">
            <control shapeId="4172" r:id="rId9" name="Button 29">
              <controlPr defaultSize="0" autoFill="0" autoPict="0" macro="[0]!IR_INICIO">
                <anchor moveWithCells="1" sizeWithCells="1">
                  <from>
                    <xdr:col>5</xdr:col>
                    <xdr:colOff>38100</xdr:colOff>
                    <xdr:row>0</xdr:row>
                    <xdr:rowOff>0</xdr:rowOff>
                  </from>
                  <to>
                    <xdr:col>5</xdr:col>
                    <xdr:colOff>600075</xdr:colOff>
                    <xdr:row>0</xdr:row>
                    <xdr:rowOff>161925</xdr:rowOff>
                  </to>
                </anchor>
              </controlPr>
            </control>
          </mc:Choice>
        </mc:AlternateContent>
        <mc:AlternateContent xmlns:mc="http://schemas.openxmlformats.org/markup-compatibility/2006">
          <mc:Choice Requires="x14">
            <control shapeId="4173" r:id="rId10" name="Button 30">
              <controlPr defaultSize="0" autoFill="0" autoPict="0" macro="[0]!Copiar_Formatos">
                <anchor moveWithCells="1" sizeWithCells="1">
                  <from>
                    <xdr:col>5</xdr:col>
                    <xdr:colOff>38100</xdr:colOff>
                    <xdr:row>0</xdr:row>
                    <xdr:rowOff>161925</xdr:rowOff>
                  </from>
                  <to>
                    <xdr:col>5</xdr:col>
                    <xdr:colOff>600075</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6"/>
  <dimension ref="A1:AH814"/>
  <sheetViews>
    <sheetView showGridLines="0" showRowColHeaders="0" zoomScale="125" zoomScaleNormal="125" workbookViewId="0">
      <pane xSplit="8" ySplit="3" topLeftCell="I4" activePane="bottomRight" state="frozen"/>
      <selection activeCell="D4" sqref="D4:D505"/>
      <selection pane="topRight" activeCell="D4" sqref="D4:D505"/>
      <selection pane="bottomLeft" activeCell="D4" sqref="D4:D505"/>
      <selection pane="bottomRight" activeCell="F4" sqref="F4"/>
    </sheetView>
  </sheetViews>
  <sheetFormatPr baseColWidth="10" defaultColWidth="11.42578125" defaultRowHeight="15" x14ac:dyDescent="0.25"/>
  <cols>
    <col min="1" max="1" width="5.7109375" style="5" customWidth="1"/>
    <col min="2" max="2" width="3.42578125" style="5" hidden="1" customWidth="1"/>
    <col min="3" max="3" width="5.28515625" style="6" hidden="1" customWidth="1"/>
    <col min="4" max="4" width="5.7109375" style="6" hidden="1" customWidth="1"/>
    <col min="5" max="5" width="17.5703125" style="6" customWidth="1"/>
    <col min="6" max="6" width="49.7109375" style="5" customWidth="1"/>
    <col min="7" max="12" width="12.5703125" style="5" customWidth="1"/>
    <col min="13" max="27" width="14.28515625" style="5" customWidth="1"/>
    <col min="28" max="16384" width="11.42578125" style="5"/>
  </cols>
  <sheetData>
    <row r="1" spans="1:34" s="2" customFormat="1" ht="24.95" customHeight="1" thickBot="1" x14ac:dyDescent="0.3">
      <c r="B1" s="120"/>
      <c r="C1" s="120"/>
      <c r="D1" s="120"/>
      <c r="E1" s="120"/>
      <c r="F1" s="122" t="str">
        <f ca="1">'Datos OM'!F1</f>
        <v>OM 1R                       OM VR                         VF</v>
      </c>
      <c r="G1" s="123" t="str">
        <f ca="1">'Datos OM'!G1</f>
        <v>INICIO</v>
      </c>
      <c r="H1" s="123" t="str">
        <f ca="1">'Datos OM'!H1</f>
        <v>FORMATO</v>
      </c>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row>
    <row r="2" spans="1:34" s="2" customFormat="1" ht="24.95" customHeight="1" x14ac:dyDescent="0.25">
      <c r="B2" s="3"/>
      <c r="C2" s="4"/>
      <c r="D2" s="4"/>
      <c r="F2" s="122" t="str">
        <f ca="1">'Datos OM'!F2</f>
        <v>EM                                 RC                             PP</v>
      </c>
      <c r="G2" s="119">
        <f>COUNTA(F4:F505)</f>
        <v>2</v>
      </c>
      <c r="H2" s="148" t="str">
        <f ca="1">'Datos OM'!H2</f>
        <v>Preguntas Almacenadas</v>
      </c>
    </row>
    <row r="3" spans="1:34" s="115" customFormat="1" ht="50.1" customHeight="1" x14ac:dyDescent="0.25">
      <c r="A3" s="154" t="str">
        <f ca="1">INDIRECT("Z_BP_20_"&amp;IDIOMA)</f>
        <v xml:space="preserve">Palabra </v>
      </c>
      <c r="B3" s="24"/>
      <c r="C3" s="114"/>
      <c r="D3" s="114"/>
      <c r="E3" s="30" t="str">
        <f ca="1">'Datos OM'!E3</f>
        <v>Descripción</v>
      </c>
      <c r="F3" s="121" t="str">
        <f ca="1">"FastTest PlugIn - "&amp;UPPER(INICIO!S23)&amp;"
"&amp;INDIRECT("Z_BP_03_"&amp;IDIOMA)</f>
        <v>FastTest PlugIn - PALABRA PERDIDA
Enunciado de la pregunta</v>
      </c>
      <c r="G3" s="117" t="str">
        <f ca="1">INDIRECT("Z_BP_23_"&amp;IDIOMA)&amp;"
"&amp;H3</f>
        <v>Grupo 
Palabra  01</v>
      </c>
      <c r="H3" s="117" t="str">
        <f ca="1">INDIRECT("Z_BP_20_"&amp;IDIOMA)&amp;" 01"</f>
        <v>Palabra  01</v>
      </c>
      <c r="I3" s="118" t="str">
        <f ca="1">INDIRECT("Z_BP_23_"&amp;IDIOMA)&amp;"
"&amp;J3</f>
        <v>Grupo 
Palabra  02</v>
      </c>
      <c r="J3" s="118" t="str">
        <f ca="1">INDIRECT("Z_BP_20_"&amp;IDIOMA)&amp;" 02"</f>
        <v>Palabra  02</v>
      </c>
      <c r="K3" s="117" t="str">
        <f ca="1">INDIRECT("Z_BP_23_"&amp;IDIOMA)&amp;"
"&amp;L3</f>
        <v>Grupo 
Palabra  03</v>
      </c>
      <c r="L3" s="117" t="str">
        <f ca="1">INDIRECT("Z_BP_20_"&amp;IDIOMA)&amp;" 03"</f>
        <v>Palabra  03</v>
      </c>
      <c r="M3" s="118" t="str">
        <f ca="1">INDIRECT("Z_BP_23_"&amp;IDIOMA)&amp;"
"&amp;N3</f>
        <v>Grupo 
Palabra  04</v>
      </c>
      <c r="N3" s="118" t="str">
        <f ca="1">INDIRECT("Z_BP_20_"&amp;IDIOMA)&amp;" 04"</f>
        <v>Palabra  04</v>
      </c>
      <c r="O3" s="117" t="str">
        <f ca="1">INDIRECT("Z_BP_23_"&amp;IDIOMA)&amp;"
"&amp;P3</f>
        <v>Grupo 
Palabra  05</v>
      </c>
      <c r="P3" s="117" t="str">
        <f ca="1">INDIRECT("Z_BP_20_"&amp;IDIOMA)&amp;" 05"</f>
        <v>Palabra  05</v>
      </c>
      <c r="Q3" s="118" t="str">
        <f ca="1">INDIRECT("Z_BP_23_"&amp;IDIOMA)&amp;"
"&amp;R3</f>
        <v>Grupo 
Palabra  06</v>
      </c>
      <c r="R3" s="118" t="str">
        <f ca="1">INDIRECT("Z_BP_20_"&amp;IDIOMA)&amp;" 06"</f>
        <v>Palabra  06</v>
      </c>
      <c r="S3" s="117" t="str">
        <f ca="1">INDIRECT("Z_BP_23_"&amp;IDIOMA)&amp;"
"&amp;T3</f>
        <v>Grupo 
Palabra  07</v>
      </c>
      <c r="T3" s="117" t="str">
        <f ca="1">INDIRECT("Z_BP_20_"&amp;IDIOMA)&amp;" 07"</f>
        <v>Palabra  07</v>
      </c>
      <c r="U3" s="118" t="str">
        <f ca="1">INDIRECT("Z_BP_23_"&amp;IDIOMA)&amp;"
"&amp;V3</f>
        <v>Grupo 
Palabra  08</v>
      </c>
      <c r="V3" s="118" t="str">
        <f ca="1">INDIRECT("Z_BP_20_"&amp;IDIOMA)&amp;" 08"</f>
        <v>Palabra  08</v>
      </c>
      <c r="W3" s="117" t="str">
        <f ca="1">INDIRECT("Z_BP_23_"&amp;IDIOMA)&amp;"
"&amp;X3</f>
        <v>Grupo 
Palabra  09</v>
      </c>
      <c r="X3" s="117" t="str">
        <f ca="1">INDIRECT("Z_BP_20_"&amp;IDIOMA)&amp;" 09"</f>
        <v>Palabra  09</v>
      </c>
      <c r="Y3" s="118" t="str">
        <f ca="1">INDIRECT("Z_BP_23_"&amp;IDIOMA)&amp;"
"&amp;Z3</f>
        <v>Grupo 
Palabra  10</v>
      </c>
      <c r="Z3" s="118" t="str">
        <f ca="1">INDIRECT("Z_BP_20_"&amp;IDIOMA)&amp;" 10"</f>
        <v>Palabra  10</v>
      </c>
      <c r="AA3" s="117" t="str">
        <f ca="1">INDIRECT("Z_BP_23_"&amp;IDIOMA)&amp;"
"&amp;AB3</f>
        <v>Grupo 
Palabra  11</v>
      </c>
      <c r="AB3" s="117" t="str">
        <f ca="1">INDIRECT("Z_BP_20_"&amp;IDIOMA)&amp;" 11"</f>
        <v>Palabra  11</v>
      </c>
      <c r="AC3" s="118" t="str">
        <f ca="1">INDIRECT("Z_BP_23_"&amp;IDIOMA)&amp;"
"&amp;AD3</f>
        <v>Grupo 
Palabra  12</v>
      </c>
      <c r="AD3" s="118" t="str">
        <f ca="1">INDIRECT("Z_BP_20_"&amp;IDIOMA)&amp;" 12"</f>
        <v>Palabra  12</v>
      </c>
      <c r="AE3" s="26" t="str">
        <f ca="1">'Datos E'!AE3</f>
        <v>Pista 1</v>
      </c>
      <c r="AF3" s="27" t="str">
        <f ca="1">'Datos E'!AF3</f>
        <v>Pista 2</v>
      </c>
      <c r="AG3" s="28" t="str">
        <f ca="1">'Datos E'!AG3</f>
        <v>Pista 3</v>
      </c>
      <c r="AH3" s="29" t="str">
        <f ca="1">'Datos E'!AH3</f>
        <v>Pista 4</v>
      </c>
    </row>
    <row r="4" spans="1:34" s="11" customFormat="1" ht="30" x14ac:dyDescent="0.2">
      <c r="A4" s="20">
        <f>IF(COUNTA(G4:AD4)/2=0,"",COUNTA(G4:AD4)/2)</f>
        <v>12</v>
      </c>
      <c r="B4" s="25"/>
      <c r="C4" s="116"/>
      <c r="D4" s="116"/>
      <c r="E4" s="31" t="s">
        <v>128</v>
      </c>
      <c r="F4" s="133" t="s">
        <v>129</v>
      </c>
      <c r="G4" s="117">
        <v>1</v>
      </c>
      <c r="H4" s="117" t="s">
        <v>108</v>
      </c>
      <c r="I4" s="118">
        <v>1</v>
      </c>
      <c r="J4" s="118" t="s">
        <v>110</v>
      </c>
      <c r="K4" s="117">
        <v>1</v>
      </c>
      <c r="L4" s="117" t="s">
        <v>113</v>
      </c>
      <c r="M4" s="118">
        <v>1</v>
      </c>
      <c r="N4" s="118" t="s">
        <v>114</v>
      </c>
      <c r="O4" s="117">
        <v>2</v>
      </c>
      <c r="P4" s="117" t="s">
        <v>130</v>
      </c>
      <c r="Q4" s="118">
        <v>2</v>
      </c>
      <c r="R4" s="118" t="s">
        <v>131</v>
      </c>
      <c r="S4" s="117">
        <v>2</v>
      </c>
      <c r="T4" s="117" t="s">
        <v>132</v>
      </c>
      <c r="U4" s="118">
        <v>3</v>
      </c>
      <c r="V4" s="118" t="s">
        <v>133</v>
      </c>
      <c r="W4" s="117">
        <v>3</v>
      </c>
      <c r="X4" s="117" t="s">
        <v>134</v>
      </c>
      <c r="Y4" s="118">
        <v>3</v>
      </c>
      <c r="Z4" s="118" t="s">
        <v>135</v>
      </c>
      <c r="AA4" s="117">
        <v>3</v>
      </c>
      <c r="AB4" s="117" t="s">
        <v>136</v>
      </c>
      <c r="AC4" s="118">
        <v>3</v>
      </c>
      <c r="AD4" s="118" t="s">
        <v>137</v>
      </c>
      <c r="AE4" s="26" t="s">
        <v>138</v>
      </c>
      <c r="AF4" s="27" t="s">
        <v>139</v>
      </c>
      <c r="AG4" s="28" t="s">
        <v>140</v>
      </c>
      <c r="AH4" s="29" t="s">
        <v>141</v>
      </c>
    </row>
    <row r="5" spans="1:34" s="11" customFormat="1" ht="75" x14ac:dyDescent="0.2">
      <c r="A5" s="20">
        <f t="shared" ref="A5:A68" si="0">IF(COUNTA(G5:AD5)/2=0,"",COUNTA(G5:AD5)/2)</f>
        <v>12</v>
      </c>
      <c r="B5" s="25"/>
      <c r="C5" s="116"/>
      <c r="D5" s="116"/>
      <c r="E5" s="31" t="s">
        <v>128</v>
      </c>
      <c r="F5" s="133" t="s">
        <v>142</v>
      </c>
      <c r="G5" s="117">
        <v>1</v>
      </c>
      <c r="H5" s="117" t="s">
        <v>108</v>
      </c>
      <c r="I5" s="118">
        <v>1</v>
      </c>
      <c r="J5" s="118" t="s">
        <v>110</v>
      </c>
      <c r="K5" s="117">
        <v>1</v>
      </c>
      <c r="L5" s="117" t="s">
        <v>113</v>
      </c>
      <c r="M5" s="118">
        <v>1</v>
      </c>
      <c r="N5" s="118" t="s">
        <v>114</v>
      </c>
      <c r="O5" s="117">
        <v>2</v>
      </c>
      <c r="P5" s="117" t="s">
        <v>130</v>
      </c>
      <c r="Q5" s="118">
        <v>2</v>
      </c>
      <c r="R5" s="118" t="s">
        <v>131</v>
      </c>
      <c r="S5" s="117">
        <v>2</v>
      </c>
      <c r="T5" s="117" t="s">
        <v>132</v>
      </c>
      <c r="U5" s="118">
        <v>3</v>
      </c>
      <c r="V5" s="118" t="s">
        <v>133</v>
      </c>
      <c r="W5" s="117">
        <v>3</v>
      </c>
      <c r="X5" s="117" t="s">
        <v>134</v>
      </c>
      <c r="Y5" s="118">
        <v>3</v>
      </c>
      <c r="Z5" s="118" t="s">
        <v>135</v>
      </c>
      <c r="AA5" s="117">
        <v>3</v>
      </c>
      <c r="AB5" s="117" t="s">
        <v>136</v>
      </c>
      <c r="AC5" s="118">
        <v>3</v>
      </c>
      <c r="AD5" s="118" t="s">
        <v>137</v>
      </c>
      <c r="AE5" s="26" t="s">
        <v>138</v>
      </c>
      <c r="AF5" s="27" t="s">
        <v>139</v>
      </c>
      <c r="AG5" s="28" t="s">
        <v>140</v>
      </c>
      <c r="AH5" s="29" t="s">
        <v>141</v>
      </c>
    </row>
    <row r="6" spans="1:34" s="11" customFormat="1" x14ac:dyDescent="0.2">
      <c r="A6" s="20" t="str">
        <f t="shared" si="0"/>
        <v/>
      </c>
      <c r="B6" s="25"/>
      <c r="C6" s="116"/>
      <c r="D6" s="116"/>
      <c r="E6" s="31"/>
      <c r="F6" s="133"/>
      <c r="G6" s="117"/>
      <c r="H6" s="117"/>
      <c r="I6" s="118"/>
      <c r="J6" s="118"/>
      <c r="K6" s="117"/>
      <c r="L6" s="117"/>
      <c r="M6" s="118"/>
      <c r="N6" s="118"/>
      <c r="O6" s="117"/>
      <c r="P6" s="117"/>
      <c r="Q6" s="118"/>
      <c r="R6" s="118"/>
      <c r="S6" s="117"/>
      <c r="T6" s="117"/>
      <c r="U6" s="118"/>
      <c r="V6" s="118"/>
      <c r="W6" s="117"/>
      <c r="X6" s="117"/>
      <c r="Y6" s="118"/>
      <c r="Z6" s="118"/>
      <c r="AA6" s="117"/>
      <c r="AB6" s="117"/>
      <c r="AC6" s="118"/>
      <c r="AD6" s="118"/>
      <c r="AE6" s="26"/>
      <c r="AF6" s="27"/>
      <c r="AG6" s="28"/>
      <c r="AH6" s="29"/>
    </row>
    <row r="7" spans="1:34" s="11" customFormat="1" x14ac:dyDescent="0.2">
      <c r="A7" s="20" t="str">
        <f t="shared" si="0"/>
        <v/>
      </c>
      <c r="B7" s="25"/>
      <c r="C7" s="116"/>
      <c r="D7" s="116"/>
      <c r="E7" s="31"/>
      <c r="F7" s="133"/>
      <c r="G7" s="117"/>
      <c r="H7" s="117"/>
      <c r="I7" s="118"/>
      <c r="J7" s="118"/>
      <c r="K7" s="117"/>
      <c r="L7" s="117"/>
      <c r="M7" s="118"/>
      <c r="N7" s="118"/>
      <c r="O7" s="117"/>
      <c r="P7" s="117"/>
      <c r="Q7" s="118"/>
      <c r="R7" s="118"/>
      <c r="S7" s="117"/>
      <c r="T7" s="117"/>
      <c r="U7" s="118"/>
      <c r="V7" s="118"/>
      <c r="W7" s="117"/>
      <c r="X7" s="117"/>
      <c r="Y7" s="118"/>
      <c r="Z7" s="118"/>
      <c r="AA7" s="117"/>
      <c r="AB7" s="117"/>
      <c r="AC7" s="118"/>
      <c r="AD7" s="118"/>
      <c r="AE7" s="26"/>
      <c r="AF7" s="27"/>
      <c r="AG7" s="28"/>
      <c r="AH7" s="29"/>
    </row>
    <row r="8" spans="1:34" s="11" customFormat="1" x14ac:dyDescent="0.2">
      <c r="A8" s="20" t="str">
        <f t="shared" si="0"/>
        <v/>
      </c>
      <c r="B8" s="25"/>
      <c r="C8" s="116"/>
      <c r="D8" s="116"/>
      <c r="E8" s="31"/>
      <c r="F8" s="133"/>
      <c r="G8" s="117"/>
      <c r="H8" s="117"/>
      <c r="I8" s="118"/>
      <c r="J8" s="118"/>
      <c r="K8" s="117"/>
      <c r="L8" s="117"/>
      <c r="M8" s="118"/>
      <c r="N8" s="118"/>
      <c r="O8" s="117"/>
      <c r="P8" s="117"/>
      <c r="Q8" s="118"/>
      <c r="R8" s="118"/>
      <c r="S8" s="117"/>
      <c r="T8" s="117"/>
      <c r="U8" s="118"/>
      <c r="V8" s="118"/>
      <c r="W8" s="117"/>
      <c r="X8" s="117"/>
      <c r="Y8" s="118"/>
      <c r="Z8" s="118"/>
      <c r="AA8" s="117"/>
      <c r="AB8" s="117"/>
      <c r="AC8" s="118"/>
      <c r="AD8" s="118"/>
      <c r="AE8" s="26"/>
      <c r="AF8" s="27"/>
      <c r="AG8" s="28"/>
      <c r="AH8" s="29"/>
    </row>
    <row r="9" spans="1:34" s="11" customFormat="1" x14ac:dyDescent="0.2">
      <c r="A9" s="20" t="str">
        <f t="shared" si="0"/>
        <v/>
      </c>
      <c r="B9" s="25"/>
      <c r="C9" s="116"/>
      <c r="D9" s="116"/>
      <c r="E9" s="31"/>
      <c r="F9" s="133"/>
      <c r="G9" s="117"/>
      <c r="H9" s="117"/>
      <c r="I9" s="118"/>
      <c r="J9" s="118"/>
      <c r="K9" s="117"/>
      <c r="L9" s="117"/>
      <c r="M9" s="118"/>
      <c r="N9" s="118"/>
      <c r="O9" s="117"/>
      <c r="P9" s="117"/>
      <c r="Q9" s="118"/>
      <c r="R9" s="118"/>
      <c r="S9" s="117"/>
      <c r="T9" s="117"/>
      <c r="U9" s="118"/>
      <c r="V9" s="118"/>
      <c r="W9" s="117"/>
      <c r="X9" s="117"/>
      <c r="Y9" s="118"/>
      <c r="Z9" s="118"/>
      <c r="AA9" s="117"/>
      <c r="AB9" s="117"/>
      <c r="AC9" s="118"/>
      <c r="AD9" s="118"/>
      <c r="AE9" s="26"/>
      <c r="AF9" s="27"/>
      <c r="AG9" s="28"/>
      <c r="AH9" s="29"/>
    </row>
    <row r="10" spans="1:34" s="11" customFormat="1" x14ac:dyDescent="0.2">
      <c r="A10" s="20" t="str">
        <f t="shared" si="0"/>
        <v/>
      </c>
      <c r="B10" s="25"/>
      <c r="C10" s="116"/>
      <c r="D10" s="116"/>
      <c r="E10" s="31"/>
      <c r="F10" s="133"/>
      <c r="G10" s="117"/>
      <c r="H10" s="117"/>
      <c r="I10" s="118"/>
      <c r="J10" s="118"/>
      <c r="K10" s="117"/>
      <c r="L10" s="117"/>
      <c r="M10" s="118"/>
      <c r="N10" s="118"/>
      <c r="O10" s="117"/>
      <c r="P10" s="117"/>
      <c r="Q10" s="118"/>
      <c r="R10" s="118"/>
      <c r="S10" s="117"/>
      <c r="T10" s="117"/>
      <c r="U10" s="118"/>
      <c r="V10" s="118"/>
      <c r="W10" s="117"/>
      <c r="X10" s="117"/>
      <c r="Y10" s="118"/>
      <c r="Z10" s="118"/>
      <c r="AA10" s="117"/>
      <c r="AB10" s="117"/>
      <c r="AC10" s="118"/>
      <c r="AD10" s="118"/>
      <c r="AE10" s="26"/>
      <c r="AF10" s="27"/>
      <c r="AG10" s="28"/>
      <c r="AH10" s="29"/>
    </row>
    <row r="11" spans="1:34" s="11" customFormat="1" x14ac:dyDescent="0.2">
      <c r="A11" s="20" t="str">
        <f t="shared" si="0"/>
        <v/>
      </c>
      <c r="B11" s="25"/>
      <c r="C11" s="116"/>
      <c r="D11" s="116"/>
      <c r="E11" s="31"/>
      <c r="F11" s="133"/>
      <c r="G11" s="117"/>
      <c r="H11" s="117"/>
      <c r="I11" s="118"/>
      <c r="J11" s="118"/>
      <c r="K11" s="117"/>
      <c r="L11" s="117"/>
      <c r="M11" s="118"/>
      <c r="N11" s="118"/>
      <c r="O11" s="117"/>
      <c r="P11" s="117"/>
      <c r="Q11" s="118"/>
      <c r="R11" s="118"/>
      <c r="S11" s="117"/>
      <c r="T11" s="117"/>
      <c r="U11" s="118"/>
      <c r="V11" s="118"/>
      <c r="W11" s="117"/>
      <c r="X11" s="117"/>
      <c r="Y11" s="118"/>
      <c r="Z11" s="118"/>
      <c r="AA11" s="117"/>
      <c r="AB11" s="117"/>
      <c r="AC11" s="118"/>
      <c r="AD11" s="118"/>
      <c r="AE11" s="26"/>
      <c r="AF11" s="27"/>
      <c r="AG11" s="28"/>
      <c r="AH11" s="29"/>
    </row>
    <row r="12" spans="1:34" s="11" customFormat="1" x14ac:dyDescent="0.2">
      <c r="A12" s="20" t="str">
        <f t="shared" si="0"/>
        <v/>
      </c>
      <c r="B12" s="25"/>
      <c r="C12" s="116"/>
      <c r="D12" s="116"/>
      <c r="E12" s="31"/>
      <c r="F12" s="133"/>
      <c r="G12" s="117"/>
      <c r="H12" s="117"/>
      <c r="I12" s="118"/>
      <c r="J12" s="118"/>
      <c r="K12" s="117"/>
      <c r="L12" s="117"/>
      <c r="M12" s="118"/>
      <c r="N12" s="118"/>
      <c r="O12" s="117"/>
      <c r="P12" s="117"/>
      <c r="Q12" s="118"/>
      <c r="R12" s="118"/>
      <c r="S12" s="117"/>
      <c r="T12" s="117"/>
      <c r="U12" s="118"/>
      <c r="V12" s="118"/>
      <c r="W12" s="117"/>
      <c r="X12" s="117"/>
      <c r="Y12" s="118"/>
      <c r="Z12" s="118"/>
      <c r="AA12" s="117"/>
      <c r="AB12" s="117"/>
      <c r="AC12" s="118"/>
      <c r="AD12" s="118"/>
      <c r="AE12" s="26"/>
      <c r="AF12" s="27"/>
      <c r="AG12" s="28"/>
      <c r="AH12" s="29"/>
    </row>
    <row r="13" spans="1:34" s="11" customFormat="1" x14ac:dyDescent="0.2">
      <c r="A13" s="20" t="str">
        <f t="shared" si="0"/>
        <v/>
      </c>
      <c r="B13" s="25"/>
      <c r="C13" s="116"/>
      <c r="D13" s="116"/>
      <c r="E13" s="31"/>
      <c r="F13" s="133"/>
      <c r="G13" s="117"/>
      <c r="H13" s="117"/>
      <c r="I13" s="118"/>
      <c r="J13" s="118"/>
      <c r="K13" s="117"/>
      <c r="L13" s="117"/>
      <c r="M13" s="118"/>
      <c r="N13" s="118"/>
      <c r="O13" s="117"/>
      <c r="P13" s="117"/>
      <c r="Q13" s="118"/>
      <c r="R13" s="118"/>
      <c r="S13" s="117"/>
      <c r="T13" s="117"/>
      <c r="U13" s="118"/>
      <c r="V13" s="118"/>
      <c r="W13" s="117"/>
      <c r="X13" s="117"/>
      <c r="Y13" s="118"/>
      <c r="Z13" s="118"/>
      <c r="AA13" s="117"/>
      <c r="AB13" s="117"/>
      <c r="AC13" s="118"/>
      <c r="AD13" s="118"/>
      <c r="AE13" s="26"/>
      <c r="AF13" s="27"/>
      <c r="AG13" s="28"/>
      <c r="AH13" s="29"/>
    </row>
    <row r="14" spans="1:34" s="11" customFormat="1" x14ac:dyDescent="0.2">
      <c r="A14" s="20" t="str">
        <f t="shared" si="0"/>
        <v/>
      </c>
      <c r="B14" s="25"/>
      <c r="C14" s="116"/>
      <c r="D14" s="116"/>
      <c r="E14" s="31"/>
      <c r="F14" s="133"/>
      <c r="G14" s="117"/>
      <c r="H14" s="117"/>
      <c r="I14" s="118"/>
      <c r="J14" s="118"/>
      <c r="K14" s="117"/>
      <c r="L14" s="117"/>
      <c r="M14" s="118"/>
      <c r="N14" s="118"/>
      <c r="O14" s="117"/>
      <c r="P14" s="117"/>
      <c r="Q14" s="118"/>
      <c r="R14" s="118"/>
      <c r="S14" s="117"/>
      <c r="T14" s="117"/>
      <c r="U14" s="118"/>
      <c r="V14" s="118"/>
      <c r="W14" s="117"/>
      <c r="X14" s="117"/>
      <c r="Y14" s="118"/>
      <c r="Z14" s="118"/>
      <c r="AA14" s="117"/>
      <c r="AB14" s="117"/>
      <c r="AC14" s="118"/>
      <c r="AD14" s="118"/>
      <c r="AE14" s="26"/>
      <c r="AF14" s="27"/>
      <c r="AG14" s="28"/>
      <c r="AH14" s="29"/>
    </row>
    <row r="15" spans="1:34" s="11" customFormat="1" x14ac:dyDescent="0.2">
      <c r="A15" s="20" t="str">
        <f t="shared" si="0"/>
        <v/>
      </c>
      <c r="B15" s="25"/>
      <c r="C15" s="116"/>
      <c r="D15" s="116"/>
      <c r="E15" s="31"/>
      <c r="F15" s="133"/>
      <c r="G15" s="117"/>
      <c r="H15" s="117"/>
      <c r="I15" s="118"/>
      <c r="J15" s="118"/>
      <c r="K15" s="117"/>
      <c r="L15" s="117"/>
      <c r="M15" s="118"/>
      <c r="N15" s="118"/>
      <c r="O15" s="117"/>
      <c r="P15" s="117"/>
      <c r="Q15" s="118"/>
      <c r="R15" s="118"/>
      <c r="S15" s="117"/>
      <c r="T15" s="117"/>
      <c r="U15" s="118"/>
      <c r="V15" s="118"/>
      <c r="W15" s="117"/>
      <c r="X15" s="117"/>
      <c r="Y15" s="118"/>
      <c r="Z15" s="118"/>
      <c r="AA15" s="117"/>
      <c r="AB15" s="117"/>
      <c r="AC15" s="118"/>
      <c r="AD15" s="118"/>
      <c r="AE15" s="26"/>
      <c r="AF15" s="27"/>
      <c r="AG15" s="28"/>
      <c r="AH15" s="29"/>
    </row>
    <row r="16" spans="1:34" s="11" customFormat="1" x14ac:dyDescent="0.2">
      <c r="A16" s="20" t="str">
        <f t="shared" si="0"/>
        <v/>
      </c>
      <c r="B16" s="25"/>
      <c r="C16" s="116"/>
      <c r="D16" s="116"/>
      <c r="E16" s="31"/>
      <c r="F16" s="133"/>
      <c r="G16" s="117"/>
      <c r="H16" s="117"/>
      <c r="I16" s="118"/>
      <c r="J16" s="118"/>
      <c r="K16" s="117"/>
      <c r="L16" s="117"/>
      <c r="M16" s="118"/>
      <c r="N16" s="118"/>
      <c r="O16" s="117"/>
      <c r="P16" s="117"/>
      <c r="Q16" s="118"/>
      <c r="R16" s="118"/>
      <c r="S16" s="117"/>
      <c r="T16" s="117"/>
      <c r="U16" s="118"/>
      <c r="V16" s="118"/>
      <c r="W16" s="117"/>
      <c r="X16" s="117"/>
      <c r="Y16" s="118"/>
      <c r="Z16" s="118"/>
      <c r="AA16" s="117"/>
      <c r="AB16" s="117"/>
      <c r="AC16" s="118"/>
      <c r="AD16" s="118"/>
      <c r="AE16" s="26"/>
      <c r="AF16" s="27"/>
      <c r="AG16" s="28"/>
      <c r="AH16" s="29"/>
    </row>
    <row r="17" spans="1:34" s="11" customFormat="1" x14ac:dyDescent="0.2">
      <c r="A17" s="20" t="str">
        <f t="shared" si="0"/>
        <v/>
      </c>
      <c r="B17" s="25"/>
      <c r="C17" s="116"/>
      <c r="D17" s="116"/>
      <c r="E17" s="31"/>
      <c r="F17" s="133"/>
      <c r="G17" s="117"/>
      <c r="H17" s="117"/>
      <c r="I17" s="118"/>
      <c r="J17" s="118"/>
      <c r="K17" s="117"/>
      <c r="L17" s="117"/>
      <c r="M17" s="118"/>
      <c r="N17" s="118"/>
      <c r="O17" s="117"/>
      <c r="P17" s="117"/>
      <c r="Q17" s="118"/>
      <c r="R17" s="118"/>
      <c r="S17" s="117"/>
      <c r="T17" s="117"/>
      <c r="U17" s="118"/>
      <c r="V17" s="118"/>
      <c r="W17" s="117"/>
      <c r="X17" s="117"/>
      <c r="Y17" s="118"/>
      <c r="Z17" s="118"/>
      <c r="AA17" s="117"/>
      <c r="AB17" s="117"/>
      <c r="AC17" s="118"/>
      <c r="AD17" s="118"/>
      <c r="AE17" s="26"/>
      <c r="AF17" s="27"/>
      <c r="AG17" s="28"/>
      <c r="AH17" s="29"/>
    </row>
    <row r="18" spans="1:34" s="11" customFormat="1" x14ac:dyDescent="0.2">
      <c r="A18" s="20" t="str">
        <f t="shared" si="0"/>
        <v/>
      </c>
      <c r="B18" s="25"/>
      <c r="C18" s="116"/>
      <c r="D18" s="116"/>
      <c r="E18" s="31"/>
      <c r="F18" s="133"/>
      <c r="G18" s="117"/>
      <c r="H18" s="117"/>
      <c r="I18" s="118"/>
      <c r="J18" s="118"/>
      <c r="K18" s="117"/>
      <c r="L18" s="117"/>
      <c r="M18" s="118"/>
      <c r="N18" s="118"/>
      <c r="O18" s="117"/>
      <c r="P18" s="117"/>
      <c r="Q18" s="118"/>
      <c r="R18" s="118"/>
      <c r="S18" s="117"/>
      <c r="T18" s="117"/>
      <c r="U18" s="118"/>
      <c r="V18" s="118"/>
      <c r="W18" s="117"/>
      <c r="X18" s="117"/>
      <c r="Y18" s="118"/>
      <c r="Z18" s="118"/>
      <c r="AA18" s="117"/>
      <c r="AB18" s="117"/>
      <c r="AC18" s="118"/>
      <c r="AD18" s="118"/>
      <c r="AE18" s="26"/>
      <c r="AF18" s="27"/>
      <c r="AG18" s="28"/>
      <c r="AH18" s="29"/>
    </row>
    <row r="19" spans="1:34" s="11" customFormat="1" x14ac:dyDescent="0.2">
      <c r="A19" s="20" t="str">
        <f t="shared" si="0"/>
        <v/>
      </c>
      <c r="B19" s="25"/>
      <c r="C19" s="116"/>
      <c r="D19" s="116"/>
      <c r="E19" s="31"/>
      <c r="F19" s="133"/>
      <c r="G19" s="117"/>
      <c r="H19" s="117"/>
      <c r="I19" s="118"/>
      <c r="J19" s="118"/>
      <c r="K19" s="117"/>
      <c r="L19" s="117"/>
      <c r="M19" s="118"/>
      <c r="N19" s="118"/>
      <c r="O19" s="117"/>
      <c r="P19" s="117"/>
      <c r="Q19" s="118"/>
      <c r="R19" s="118"/>
      <c r="S19" s="117"/>
      <c r="T19" s="117"/>
      <c r="U19" s="118"/>
      <c r="V19" s="118"/>
      <c r="W19" s="117"/>
      <c r="X19" s="117"/>
      <c r="Y19" s="118"/>
      <c r="Z19" s="118"/>
      <c r="AA19" s="117"/>
      <c r="AB19" s="117"/>
      <c r="AC19" s="118"/>
      <c r="AD19" s="118"/>
      <c r="AE19" s="26"/>
      <c r="AF19" s="27"/>
      <c r="AG19" s="28"/>
      <c r="AH19" s="29"/>
    </row>
    <row r="20" spans="1:34" s="11" customFormat="1" x14ac:dyDescent="0.2">
      <c r="A20" s="20" t="str">
        <f t="shared" si="0"/>
        <v/>
      </c>
      <c r="B20" s="25"/>
      <c r="C20" s="116"/>
      <c r="D20" s="116"/>
      <c r="E20" s="31"/>
      <c r="F20" s="133"/>
      <c r="G20" s="117"/>
      <c r="H20" s="117"/>
      <c r="I20" s="118"/>
      <c r="J20" s="118"/>
      <c r="K20" s="117"/>
      <c r="L20" s="117"/>
      <c r="M20" s="118"/>
      <c r="N20" s="118"/>
      <c r="O20" s="117"/>
      <c r="P20" s="117"/>
      <c r="Q20" s="118"/>
      <c r="R20" s="118"/>
      <c r="S20" s="117"/>
      <c r="T20" s="117"/>
      <c r="U20" s="118"/>
      <c r="V20" s="118"/>
      <c r="W20" s="117"/>
      <c r="X20" s="117"/>
      <c r="Y20" s="118"/>
      <c r="Z20" s="118"/>
      <c r="AA20" s="117"/>
      <c r="AB20" s="117"/>
      <c r="AC20" s="118"/>
      <c r="AD20" s="118"/>
      <c r="AE20" s="26"/>
      <c r="AF20" s="27"/>
      <c r="AG20" s="28"/>
      <c r="AH20" s="29"/>
    </row>
    <row r="21" spans="1:34" s="11" customFormat="1" x14ac:dyDescent="0.2">
      <c r="A21" s="20" t="str">
        <f t="shared" si="0"/>
        <v/>
      </c>
      <c r="B21" s="25"/>
      <c r="C21" s="116"/>
      <c r="D21" s="116"/>
      <c r="E21" s="31"/>
      <c r="F21" s="133"/>
      <c r="G21" s="117"/>
      <c r="H21" s="117"/>
      <c r="I21" s="118"/>
      <c r="J21" s="118"/>
      <c r="K21" s="117"/>
      <c r="L21" s="117"/>
      <c r="M21" s="118"/>
      <c r="N21" s="118"/>
      <c r="O21" s="117"/>
      <c r="P21" s="117"/>
      <c r="Q21" s="118"/>
      <c r="R21" s="118"/>
      <c r="S21" s="117"/>
      <c r="T21" s="117"/>
      <c r="U21" s="118"/>
      <c r="V21" s="118"/>
      <c r="W21" s="117"/>
      <c r="X21" s="117"/>
      <c r="Y21" s="118"/>
      <c r="Z21" s="118"/>
      <c r="AA21" s="117"/>
      <c r="AB21" s="117"/>
      <c r="AC21" s="118"/>
      <c r="AD21" s="118"/>
      <c r="AE21" s="26"/>
      <c r="AF21" s="27"/>
      <c r="AG21" s="28"/>
      <c r="AH21" s="29"/>
    </row>
    <row r="22" spans="1:34" s="11" customFormat="1" x14ac:dyDescent="0.2">
      <c r="A22" s="20" t="str">
        <f t="shared" si="0"/>
        <v/>
      </c>
      <c r="B22" s="25"/>
      <c r="C22" s="116"/>
      <c r="D22" s="116"/>
      <c r="E22" s="31"/>
      <c r="F22" s="133"/>
      <c r="G22" s="117"/>
      <c r="H22" s="117"/>
      <c r="I22" s="118"/>
      <c r="J22" s="118"/>
      <c r="K22" s="117"/>
      <c r="L22" s="117"/>
      <c r="M22" s="118"/>
      <c r="N22" s="118"/>
      <c r="O22" s="117"/>
      <c r="P22" s="117"/>
      <c r="Q22" s="118"/>
      <c r="R22" s="118"/>
      <c r="S22" s="117"/>
      <c r="T22" s="117"/>
      <c r="U22" s="118"/>
      <c r="V22" s="118"/>
      <c r="W22" s="117"/>
      <c r="X22" s="117"/>
      <c r="Y22" s="118"/>
      <c r="Z22" s="118"/>
      <c r="AA22" s="117"/>
      <c r="AB22" s="117"/>
      <c r="AC22" s="118"/>
      <c r="AD22" s="118"/>
      <c r="AE22" s="26"/>
      <c r="AF22" s="27"/>
      <c r="AG22" s="28"/>
      <c r="AH22" s="29"/>
    </row>
    <row r="23" spans="1:34" s="11" customFormat="1" x14ac:dyDescent="0.2">
      <c r="A23" s="20" t="str">
        <f t="shared" si="0"/>
        <v/>
      </c>
      <c r="B23" s="25"/>
      <c r="C23" s="116"/>
      <c r="D23" s="116"/>
      <c r="E23" s="31"/>
      <c r="F23" s="133"/>
      <c r="G23" s="117"/>
      <c r="H23" s="117"/>
      <c r="I23" s="118"/>
      <c r="J23" s="118"/>
      <c r="K23" s="117"/>
      <c r="L23" s="117"/>
      <c r="M23" s="118"/>
      <c r="N23" s="118"/>
      <c r="O23" s="117"/>
      <c r="P23" s="117"/>
      <c r="Q23" s="118"/>
      <c r="R23" s="118"/>
      <c r="S23" s="117"/>
      <c r="T23" s="117"/>
      <c r="U23" s="118"/>
      <c r="V23" s="118"/>
      <c r="W23" s="117"/>
      <c r="X23" s="117"/>
      <c r="Y23" s="118"/>
      <c r="Z23" s="118"/>
      <c r="AA23" s="117"/>
      <c r="AB23" s="117"/>
      <c r="AC23" s="118"/>
      <c r="AD23" s="118"/>
      <c r="AE23" s="26"/>
      <c r="AF23" s="27"/>
      <c r="AG23" s="28"/>
      <c r="AH23" s="29"/>
    </row>
    <row r="24" spans="1:34" s="11" customFormat="1" x14ac:dyDescent="0.2">
      <c r="A24" s="20" t="str">
        <f t="shared" si="0"/>
        <v/>
      </c>
      <c r="B24" s="25"/>
      <c r="C24" s="116"/>
      <c r="D24" s="116"/>
      <c r="E24" s="31"/>
      <c r="F24" s="133"/>
      <c r="G24" s="117"/>
      <c r="H24" s="117"/>
      <c r="I24" s="118"/>
      <c r="J24" s="118"/>
      <c r="K24" s="117"/>
      <c r="L24" s="117"/>
      <c r="M24" s="118"/>
      <c r="N24" s="118"/>
      <c r="O24" s="117"/>
      <c r="P24" s="117"/>
      <c r="Q24" s="118"/>
      <c r="R24" s="118"/>
      <c r="S24" s="117"/>
      <c r="T24" s="117"/>
      <c r="U24" s="118"/>
      <c r="V24" s="118"/>
      <c r="W24" s="117"/>
      <c r="X24" s="117"/>
      <c r="Y24" s="118"/>
      <c r="Z24" s="118"/>
      <c r="AA24" s="117"/>
      <c r="AB24" s="117"/>
      <c r="AC24" s="118"/>
      <c r="AD24" s="118"/>
      <c r="AE24" s="26"/>
      <c r="AF24" s="27"/>
      <c r="AG24" s="28"/>
      <c r="AH24" s="29"/>
    </row>
    <row r="25" spans="1:34" s="11" customFormat="1" x14ac:dyDescent="0.2">
      <c r="A25" s="20" t="str">
        <f t="shared" si="0"/>
        <v/>
      </c>
      <c r="B25" s="25"/>
      <c r="C25" s="116"/>
      <c r="D25" s="116"/>
      <c r="E25" s="31"/>
      <c r="F25" s="133"/>
      <c r="G25" s="117"/>
      <c r="H25" s="117"/>
      <c r="I25" s="118"/>
      <c r="J25" s="118"/>
      <c r="K25" s="117"/>
      <c r="L25" s="117"/>
      <c r="M25" s="118"/>
      <c r="N25" s="118"/>
      <c r="O25" s="117"/>
      <c r="P25" s="117"/>
      <c r="Q25" s="118"/>
      <c r="R25" s="118"/>
      <c r="S25" s="117"/>
      <c r="T25" s="117"/>
      <c r="U25" s="118"/>
      <c r="V25" s="118"/>
      <c r="W25" s="117"/>
      <c r="X25" s="117"/>
      <c r="Y25" s="118"/>
      <c r="Z25" s="118"/>
      <c r="AA25" s="117"/>
      <c r="AB25" s="117"/>
      <c r="AC25" s="118"/>
      <c r="AD25" s="118"/>
      <c r="AE25" s="26"/>
      <c r="AF25" s="27"/>
      <c r="AG25" s="28"/>
      <c r="AH25" s="29"/>
    </row>
    <row r="26" spans="1:34" s="11" customFormat="1" x14ac:dyDescent="0.2">
      <c r="A26" s="20" t="str">
        <f t="shared" si="0"/>
        <v/>
      </c>
      <c r="B26" s="25"/>
      <c r="C26" s="116"/>
      <c r="D26" s="116"/>
      <c r="E26" s="31"/>
      <c r="F26" s="133"/>
      <c r="G26" s="117"/>
      <c r="H26" s="117"/>
      <c r="I26" s="118"/>
      <c r="J26" s="118"/>
      <c r="K26" s="117"/>
      <c r="L26" s="117"/>
      <c r="M26" s="118"/>
      <c r="N26" s="118"/>
      <c r="O26" s="117"/>
      <c r="P26" s="117"/>
      <c r="Q26" s="118"/>
      <c r="R26" s="118"/>
      <c r="S26" s="117"/>
      <c r="T26" s="117"/>
      <c r="U26" s="118"/>
      <c r="V26" s="118"/>
      <c r="W26" s="117"/>
      <c r="X26" s="117"/>
      <c r="Y26" s="118"/>
      <c r="Z26" s="118"/>
      <c r="AA26" s="117"/>
      <c r="AB26" s="117"/>
      <c r="AC26" s="118"/>
      <c r="AD26" s="118"/>
      <c r="AE26" s="26"/>
      <c r="AF26" s="27"/>
      <c r="AG26" s="28"/>
      <c r="AH26" s="29"/>
    </row>
    <row r="27" spans="1:34" s="11" customFormat="1" x14ac:dyDescent="0.2">
      <c r="A27" s="20" t="str">
        <f t="shared" si="0"/>
        <v/>
      </c>
      <c r="B27" s="25"/>
      <c r="C27" s="116"/>
      <c r="D27" s="116"/>
      <c r="E27" s="31"/>
      <c r="F27" s="133"/>
      <c r="G27" s="117"/>
      <c r="H27" s="117"/>
      <c r="I27" s="118"/>
      <c r="J27" s="118"/>
      <c r="K27" s="117"/>
      <c r="L27" s="117"/>
      <c r="M27" s="118"/>
      <c r="N27" s="118"/>
      <c r="O27" s="117"/>
      <c r="P27" s="117"/>
      <c r="Q27" s="118"/>
      <c r="R27" s="118"/>
      <c r="S27" s="117"/>
      <c r="T27" s="117"/>
      <c r="U27" s="118"/>
      <c r="V27" s="118"/>
      <c r="W27" s="117"/>
      <c r="X27" s="117"/>
      <c r="Y27" s="118"/>
      <c r="Z27" s="118"/>
      <c r="AA27" s="117"/>
      <c r="AB27" s="117"/>
      <c r="AC27" s="118"/>
      <c r="AD27" s="118"/>
      <c r="AE27" s="26"/>
      <c r="AF27" s="27"/>
      <c r="AG27" s="28"/>
      <c r="AH27" s="29"/>
    </row>
    <row r="28" spans="1:34" s="11" customFormat="1" x14ac:dyDescent="0.2">
      <c r="A28" s="20" t="str">
        <f t="shared" si="0"/>
        <v/>
      </c>
      <c r="B28" s="25"/>
      <c r="C28" s="116"/>
      <c r="D28" s="116"/>
      <c r="E28" s="31"/>
      <c r="F28" s="133"/>
      <c r="G28" s="117"/>
      <c r="H28" s="117"/>
      <c r="I28" s="118"/>
      <c r="J28" s="118"/>
      <c r="K28" s="117"/>
      <c r="L28" s="117"/>
      <c r="M28" s="118"/>
      <c r="N28" s="118"/>
      <c r="O28" s="117"/>
      <c r="P28" s="117"/>
      <c r="Q28" s="118"/>
      <c r="R28" s="118"/>
      <c r="S28" s="117"/>
      <c r="T28" s="117"/>
      <c r="U28" s="118"/>
      <c r="V28" s="118"/>
      <c r="W28" s="117"/>
      <c r="X28" s="117"/>
      <c r="Y28" s="118"/>
      <c r="Z28" s="118"/>
      <c r="AA28" s="117"/>
      <c r="AB28" s="117"/>
      <c r="AC28" s="118"/>
      <c r="AD28" s="118"/>
      <c r="AE28" s="26"/>
      <c r="AF28" s="27"/>
      <c r="AG28" s="28"/>
      <c r="AH28" s="29"/>
    </row>
    <row r="29" spans="1:34" s="11" customFormat="1" x14ac:dyDescent="0.2">
      <c r="A29" s="20" t="str">
        <f t="shared" si="0"/>
        <v/>
      </c>
      <c r="B29" s="25"/>
      <c r="C29" s="116"/>
      <c r="D29" s="116"/>
      <c r="E29" s="31"/>
      <c r="F29" s="133"/>
      <c r="G29" s="117"/>
      <c r="H29" s="117"/>
      <c r="I29" s="118"/>
      <c r="J29" s="118"/>
      <c r="K29" s="117"/>
      <c r="L29" s="117"/>
      <c r="M29" s="118"/>
      <c r="N29" s="118"/>
      <c r="O29" s="117"/>
      <c r="P29" s="117"/>
      <c r="Q29" s="118"/>
      <c r="R29" s="118"/>
      <c r="S29" s="117"/>
      <c r="T29" s="117"/>
      <c r="U29" s="118"/>
      <c r="V29" s="118"/>
      <c r="W29" s="117"/>
      <c r="X29" s="117"/>
      <c r="Y29" s="118"/>
      <c r="Z29" s="118"/>
      <c r="AA29" s="117"/>
      <c r="AB29" s="117"/>
      <c r="AC29" s="118"/>
      <c r="AD29" s="118"/>
      <c r="AE29" s="26"/>
      <c r="AF29" s="27"/>
      <c r="AG29" s="28"/>
      <c r="AH29" s="29"/>
    </row>
    <row r="30" spans="1:34" s="11" customFormat="1" x14ac:dyDescent="0.2">
      <c r="A30" s="20" t="str">
        <f t="shared" si="0"/>
        <v/>
      </c>
      <c r="B30" s="25"/>
      <c r="C30" s="116"/>
      <c r="D30" s="116"/>
      <c r="E30" s="31"/>
      <c r="F30" s="133"/>
      <c r="G30" s="117"/>
      <c r="H30" s="117"/>
      <c r="I30" s="118"/>
      <c r="J30" s="118"/>
      <c r="K30" s="117"/>
      <c r="L30" s="117"/>
      <c r="M30" s="118"/>
      <c r="N30" s="118"/>
      <c r="O30" s="117"/>
      <c r="P30" s="117"/>
      <c r="Q30" s="118"/>
      <c r="R30" s="118"/>
      <c r="S30" s="117"/>
      <c r="T30" s="117"/>
      <c r="U30" s="118"/>
      <c r="V30" s="118"/>
      <c r="W30" s="117"/>
      <c r="X30" s="117"/>
      <c r="Y30" s="118"/>
      <c r="Z30" s="118"/>
      <c r="AA30" s="117"/>
      <c r="AB30" s="117"/>
      <c r="AC30" s="118"/>
      <c r="AD30" s="118"/>
      <c r="AE30" s="26"/>
      <c r="AF30" s="27"/>
      <c r="AG30" s="28"/>
      <c r="AH30" s="29"/>
    </row>
    <row r="31" spans="1:34" s="11" customFormat="1" x14ac:dyDescent="0.2">
      <c r="A31" s="20" t="str">
        <f t="shared" si="0"/>
        <v/>
      </c>
      <c r="B31" s="25"/>
      <c r="C31" s="116"/>
      <c r="D31" s="116"/>
      <c r="E31" s="31"/>
      <c r="F31" s="133"/>
      <c r="G31" s="117"/>
      <c r="H31" s="117"/>
      <c r="I31" s="118"/>
      <c r="J31" s="118"/>
      <c r="K31" s="117"/>
      <c r="L31" s="117"/>
      <c r="M31" s="118"/>
      <c r="N31" s="118"/>
      <c r="O31" s="117"/>
      <c r="P31" s="117"/>
      <c r="Q31" s="118"/>
      <c r="R31" s="118"/>
      <c r="S31" s="117"/>
      <c r="T31" s="117"/>
      <c r="U31" s="118"/>
      <c r="V31" s="118"/>
      <c r="W31" s="117"/>
      <c r="X31" s="117"/>
      <c r="Y31" s="118"/>
      <c r="Z31" s="118"/>
      <c r="AA31" s="117"/>
      <c r="AB31" s="117"/>
      <c r="AC31" s="118"/>
      <c r="AD31" s="118"/>
      <c r="AE31" s="26"/>
      <c r="AF31" s="27"/>
      <c r="AG31" s="28"/>
      <c r="AH31" s="29"/>
    </row>
    <row r="32" spans="1:34" s="11" customFormat="1" x14ac:dyDescent="0.2">
      <c r="A32" s="20" t="str">
        <f t="shared" si="0"/>
        <v/>
      </c>
      <c r="B32" s="25"/>
      <c r="C32" s="116"/>
      <c r="D32" s="116"/>
      <c r="E32" s="31"/>
      <c r="F32" s="133"/>
      <c r="G32" s="117"/>
      <c r="H32" s="117"/>
      <c r="I32" s="118"/>
      <c r="J32" s="118"/>
      <c r="K32" s="117"/>
      <c r="L32" s="117"/>
      <c r="M32" s="118"/>
      <c r="N32" s="118"/>
      <c r="O32" s="117"/>
      <c r="P32" s="117"/>
      <c r="Q32" s="118"/>
      <c r="R32" s="118"/>
      <c r="S32" s="117"/>
      <c r="T32" s="117"/>
      <c r="U32" s="118"/>
      <c r="V32" s="118"/>
      <c r="W32" s="117"/>
      <c r="X32" s="117"/>
      <c r="Y32" s="118"/>
      <c r="Z32" s="118"/>
      <c r="AA32" s="117"/>
      <c r="AB32" s="117"/>
      <c r="AC32" s="118"/>
      <c r="AD32" s="118"/>
      <c r="AE32" s="26"/>
      <c r="AF32" s="27"/>
      <c r="AG32" s="28"/>
      <c r="AH32" s="29"/>
    </row>
    <row r="33" spans="1:34" s="11" customFormat="1" x14ac:dyDescent="0.2">
      <c r="A33" s="20" t="str">
        <f t="shared" si="0"/>
        <v/>
      </c>
      <c r="B33" s="25"/>
      <c r="C33" s="116"/>
      <c r="D33" s="116"/>
      <c r="E33" s="31"/>
      <c r="F33" s="133"/>
      <c r="G33" s="117"/>
      <c r="H33" s="117"/>
      <c r="I33" s="118"/>
      <c r="J33" s="118"/>
      <c r="K33" s="117"/>
      <c r="L33" s="117"/>
      <c r="M33" s="118"/>
      <c r="N33" s="118"/>
      <c r="O33" s="117"/>
      <c r="P33" s="117"/>
      <c r="Q33" s="118"/>
      <c r="R33" s="118"/>
      <c r="S33" s="117"/>
      <c r="T33" s="117"/>
      <c r="U33" s="118"/>
      <c r="V33" s="118"/>
      <c r="W33" s="117"/>
      <c r="X33" s="117"/>
      <c r="Y33" s="118"/>
      <c r="Z33" s="118"/>
      <c r="AA33" s="117"/>
      <c r="AB33" s="117"/>
      <c r="AC33" s="118"/>
      <c r="AD33" s="118"/>
      <c r="AE33" s="26"/>
      <c r="AF33" s="27"/>
      <c r="AG33" s="28"/>
      <c r="AH33" s="29"/>
    </row>
    <row r="34" spans="1:34" s="11" customFormat="1" x14ac:dyDescent="0.2">
      <c r="A34" s="20" t="str">
        <f t="shared" si="0"/>
        <v/>
      </c>
      <c r="B34" s="25"/>
      <c r="C34" s="116"/>
      <c r="D34" s="116"/>
      <c r="E34" s="31"/>
      <c r="F34" s="133"/>
      <c r="G34" s="117"/>
      <c r="H34" s="117"/>
      <c r="I34" s="118"/>
      <c r="J34" s="118"/>
      <c r="K34" s="117"/>
      <c r="L34" s="117"/>
      <c r="M34" s="118"/>
      <c r="N34" s="118"/>
      <c r="O34" s="117"/>
      <c r="P34" s="117"/>
      <c r="Q34" s="118"/>
      <c r="R34" s="118"/>
      <c r="S34" s="117"/>
      <c r="T34" s="117"/>
      <c r="U34" s="118"/>
      <c r="V34" s="118"/>
      <c r="W34" s="117"/>
      <c r="X34" s="117"/>
      <c r="Y34" s="118"/>
      <c r="Z34" s="118"/>
      <c r="AA34" s="117"/>
      <c r="AB34" s="117"/>
      <c r="AC34" s="118"/>
      <c r="AD34" s="118"/>
      <c r="AE34" s="26"/>
      <c r="AF34" s="27"/>
      <c r="AG34" s="28"/>
      <c r="AH34" s="29"/>
    </row>
    <row r="35" spans="1:34" s="11" customFormat="1" x14ac:dyDescent="0.2">
      <c r="A35" s="20" t="str">
        <f t="shared" si="0"/>
        <v/>
      </c>
      <c r="B35" s="25"/>
      <c r="C35" s="116"/>
      <c r="D35" s="116"/>
      <c r="E35" s="31"/>
      <c r="F35" s="133"/>
      <c r="G35" s="117"/>
      <c r="H35" s="117"/>
      <c r="I35" s="118"/>
      <c r="J35" s="118"/>
      <c r="K35" s="117"/>
      <c r="L35" s="117"/>
      <c r="M35" s="118"/>
      <c r="N35" s="118"/>
      <c r="O35" s="117"/>
      <c r="P35" s="117"/>
      <c r="Q35" s="118"/>
      <c r="R35" s="118"/>
      <c r="S35" s="117"/>
      <c r="T35" s="117"/>
      <c r="U35" s="118"/>
      <c r="V35" s="118"/>
      <c r="W35" s="117"/>
      <c r="X35" s="117"/>
      <c r="Y35" s="118"/>
      <c r="Z35" s="118"/>
      <c r="AA35" s="117"/>
      <c r="AB35" s="117"/>
      <c r="AC35" s="118"/>
      <c r="AD35" s="118"/>
      <c r="AE35" s="26"/>
      <c r="AF35" s="27"/>
      <c r="AG35" s="28"/>
      <c r="AH35" s="29"/>
    </row>
    <row r="36" spans="1:34" s="11" customFormat="1" x14ac:dyDescent="0.2">
      <c r="A36" s="20" t="str">
        <f t="shared" si="0"/>
        <v/>
      </c>
      <c r="B36" s="25"/>
      <c r="C36" s="116"/>
      <c r="D36" s="116"/>
      <c r="E36" s="31"/>
      <c r="F36" s="133"/>
      <c r="G36" s="117"/>
      <c r="H36" s="117"/>
      <c r="I36" s="118"/>
      <c r="J36" s="118"/>
      <c r="K36" s="117"/>
      <c r="L36" s="117"/>
      <c r="M36" s="118"/>
      <c r="N36" s="118"/>
      <c r="O36" s="117"/>
      <c r="P36" s="117"/>
      <c r="Q36" s="118"/>
      <c r="R36" s="118"/>
      <c r="S36" s="117"/>
      <c r="T36" s="117"/>
      <c r="U36" s="118"/>
      <c r="V36" s="118"/>
      <c r="W36" s="117"/>
      <c r="X36" s="117"/>
      <c r="Y36" s="118"/>
      <c r="Z36" s="118"/>
      <c r="AA36" s="117"/>
      <c r="AB36" s="117"/>
      <c r="AC36" s="118"/>
      <c r="AD36" s="118"/>
      <c r="AE36" s="26"/>
      <c r="AF36" s="27"/>
      <c r="AG36" s="28"/>
      <c r="AH36" s="29"/>
    </row>
    <row r="37" spans="1:34" s="11" customFormat="1" x14ac:dyDescent="0.2">
      <c r="A37" s="20" t="str">
        <f t="shared" si="0"/>
        <v/>
      </c>
      <c r="B37" s="25"/>
      <c r="C37" s="116"/>
      <c r="D37" s="116"/>
      <c r="E37" s="31"/>
      <c r="F37" s="133"/>
      <c r="G37" s="117"/>
      <c r="H37" s="117"/>
      <c r="I37" s="118"/>
      <c r="J37" s="118"/>
      <c r="K37" s="117"/>
      <c r="L37" s="117"/>
      <c r="M37" s="118"/>
      <c r="N37" s="118"/>
      <c r="O37" s="117"/>
      <c r="P37" s="117"/>
      <c r="Q37" s="118"/>
      <c r="R37" s="118"/>
      <c r="S37" s="117"/>
      <c r="T37" s="117"/>
      <c r="U37" s="118"/>
      <c r="V37" s="118"/>
      <c r="W37" s="117"/>
      <c r="X37" s="117"/>
      <c r="Y37" s="118"/>
      <c r="Z37" s="118"/>
      <c r="AA37" s="117"/>
      <c r="AB37" s="117"/>
      <c r="AC37" s="118"/>
      <c r="AD37" s="118"/>
      <c r="AE37" s="26"/>
      <c r="AF37" s="27"/>
      <c r="AG37" s="28"/>
      <c r="AH37" s="29"/>
    </row>
    <row r="38" spans="1:34" s="11" customFormat="1" x14ac:dyDescent="0.2">
      <c r="A38" s="20" t="str">
        <f t="shared" si="0"/>
        <v/>
      </c>
      <c r="B38" s="25"/>
      <c r="C38" s="116"/>
      <c r="D38" s="116"/>
      <c r="E38" s="31"/>
      <c r="F38" s="133"/>
      <c r="G38" s="117"/>
      <c r="H38" s="117"/>
      <c r="I38" s="118"/>
      <c r="J38" s="118"/>
      <c r="K38" s="117"/>
      <c r="L38" s="117"/>
      <c r="M38" s="118"/>
      <c r="N38" s="118"/>
      <c r="O38" s="117"/>
      <c r="P38" s="117"/>
      <c r="Q38" s="118"/>
      <c r="R38" s="118"/>
      <c r="S38" s="117"/>
      <c r="T38" s="117"/>
      <c r="U38" s="118"/>
      <c r="V38" s="118"/>
      <c r="W38" s="117"/>
      <c r="X38" s="117"/>
      <c r="Y38" s="118"/>
      <c r="Z38" s="118"/>
      <c r="AA38" s="117"/>
      <c r="AB38" s="117"/>
      <c r="AC38" s="118"/>
      <c r="AD38" s="118"/>
      <c r="AE38" s="26"/>
      <c r="AF38" s="27"/>
      <c r="AG38" s="28"/>
      <c r="AH38" s="29"/>
    </row>
    <row r="39" spans="1:34" s="11" customFormat="1" x14ac:dyDescent="0.2">
      <c r="A39" s="20" t="str">
        <f t="shared" si="0"/>
        <v/>
      </c>
      <c r="B39" s="25"/>
      <c r="C39" s="116"/>
      <c r="D39" s="116"/>
      <c r="E39" s="31"/>
      <c r="F39" s="133"/>
      <c r="G39" s="117"/>
      <c r="H39" s="117"/>
      <c r="I39" s="118"/>
      <c r="J39" s="118"/>
      <c r="K39" s="117"/>
      <c r="L39" s="117"/>
      <c r="M39" s="118"/>
      <c r="N39" s="118"/>
      <c r="O39" s="117"/>
      <c r="P39" s="117"/>
      <c r="Q39" s="118"/>
      <c r="R39" s="118"/>
      <c r="S39" s="117"/>
      <c r="T39" s="117"/>
      <c r="U39" s="118"/>
      <c r="V39" s="118"/>
      <c r="W39" s="117"/>
      <c r="X39" s="117"/>
      <c r="Y39" s="118"/>
      <c r="Z39" s="118"/>
      <c r="AA39" s="117"/>
      <c r="AB39" s="117"/>
      <c r="AC39" s="118"/>
      <c r="AD39" s="118"/>
      <c r="AE39" s="26"/>
      <c r="AF39" s="27"/>
      <c r="AG39" s="28"/>
      <c r="AH39" s="29"/>
    </row>
    <row r="40" spans="1:34" s="11" customFormat="1" x14ac:dyDescent="0.2">
      <c r="A40" s="20" t="str">
        <f t="shared" si="0"/>
        <v/>
      </c>
      <c r="B40" s="25"/>
      <c r="C40" s="116"/>
      <c r="D40" s="116"/>
      <c r="E40" s="31"/>
      <c r="F40" s="133"/>
      <c r="G40" s="117"/>
      <c r="H40" s="117"/>
      <c r="I40" s="118"/>
      <c r="J40" s="118"/>
      <c r="K40" s="117"/>
      <c r="L40" s="117"/>
      <c r="M40" s="118"/>
      <c r="N40" s="118"/>
      <c r="O40" s="117"/>
      <c r="P40" s="117"/>
      <c r="Q40" s="118"/>
      <c r="R40" s="118"/>
      <c r="S40" s="117"/>
      <c r="T40" s="117"/>
      <c r="U40" s="118"/>
      <c r="V40" s="118"/>
      <c r="W40" s="117"/>
      <c r="X40" s="117"/>
      <c r="Y40" s="118"/>
      <c r="Z40" s="118"/>
      <c r="AA40" s="117"/>
      <c r="AB40" s="117"/>
      <c r="AC40" s="118"/>
      <c r="AD40" s="118"/>
      <c r="AE40" s="26"/>
      <c r="AF40" s="27"/>
      <c r="AG40" s="28"/>
      <c r="AH40" s="29"/>
    </row>
    <row r="41" spans="1:34" s="11" customFormat="1" x14ac:dyDescent="0.2">
      <c r="A41" s="20" t="str">
        <f t="shared" si="0"/>
        <v/>
      </c>
      <c r="B41" s="25"/>
      <c r="C41" s="116"/>
      <c r="D41" s="116"/>
      <c r="E41" s="31"/>
      <c r="F41" s="133"/>
      <c r="G41" s="117"/>
      <c r="H41" s="117"/>
      <c r="I41" s="118"/>
      <c r="J41" s="118"/>
      <c r="K41" s="117"/>
      <c r="L41" s="117"/>
      <c r="M41" s="118"/>
      <c r="N41" s="118"/>
      <c r="O41" s="117"/>
      <c r="P41" s="117"/>
      <c r="Q41" s="118"/>
      <c r="R41" s="118"/>
      <c r="S41" s="117"/>
      <c r="T41" s="117"/>
      <c r="U41" s="118"/>
      <c r="V41" s="118"/>
      <c r="W41" s="117"/>
      <c r="X41" s="117"/>
      <c r="Y41" s="118"/>
      <c r="Z41" s="118"/>
      <c r="AA41" s="117"/>
      <c r="AB41" s="117"/>
      <c r="AC41" s="118"/>
      <c r="AD41" s="118"/>
      <c r="AE41" s="26"/>
      <c r="AF41" s="27"/>
      <c r="AG41" s="28"/>
      <c r="AH41" s="29"/>
    </row>
    <row r="42" spans="1:34" s="11" customFormat="1" x14ac:dyDescent="0.2">
      <c r="A42" s="20" t="str">
        <f t="shared" si="0"/>
        <v/>
      </c>
      <c r="B42" s="25"/>
      <c r="C42" s="116"/>
      <c r="D42" s="116"/>
      <c r="E42" s="31"/>
      <c r="F42" s="133"/>
      <c r="G42" s="117"/>
      <c r="H42" s="117"/>
      <c r="I42" s="118"/>
      <c r="J42" s="118"/>
      <c r="K42" s="117"/>
      <c r="L42" s="117"/>
      <c r="M42" s="118"/>
      <c r="N42" s="118"/>
      <c r="O42" s="117"/>
      <c r="P42" s="117"/>
      <c r="Q42" s="118"/>
      <c r="R42" s="118"/>
      <c r="S42" s="117"/>
      <c r="T42" s="117"/>
      <c r="U42" s="118"/>
      <c r="V42" s="118"/>
      <c r="W42" s="117"/>
      <c r="X42" s="117"/>
      <c r="Y42" s="118"/>
      <c r="Z42" s="118"/>
      <c r="AA42" s="117"/>
      <c r="AB42" s="117"/>
      <c r="AC42" s="118"/>
      <c r="AD42" s="118"/>
      <c r="AE42" s="26"/>
      <c r="AF42" s="27"/>
      <c r="AG42" s="28"/>
      <c r="AH42" s="29"/>
    </row>
    <row r="43" spans="1:34" s="11" customFormat="1" x14ac:dyDescent="0.2">
      <c r="A43" s="20" t="str">
        <f t="shared" si="0"/>
        <v/>
      </c>
      <c r="B43" s="25"/>
      <c r="C43" s="116"/>
      <c r="D43" s="116"/>
      <c r="E43" s="31"/>
      <c r="F43" s="133"/>
      <c r="G43" s="117"/>
      <c r="H43" s="117"/>
      <c r="I43" s="118"/>
      <c r="J43" s="118"/>
      <c r="K43" s="117"/>
      <c r="L43" s="117"/>
      <c r="M43" s="118"/>
      <c r="N43" s="118"/>
      <c r="O43" s="117"/>
      <c r="P43" s="117"/>
      <c r="Q43" s="118"/>
      <c r="R43" s="118"/>
      <c r="S43" s="117"/>
      <c r="T43" s="117"/>
      <c r="U43" s="118"/>
      <c r="V43" s="118"/>
      <c r="W43" s="117"/>
      <c r="X43" s="117"/>
      <c r="Y43" s="118"/>
      <c r="Z43" s="118"/>
      <c r="AA43" s="117"/>
      <c r="AB43" s="117"/>
      <c r="AC43" s="118"/>
      <c r="AD43" s="118"/>
      <c r="AE43" s="26"/>
      <c r="AF43" s="27"/>
      <c r="AG43" s="28"/>
      <c r="AH43" s="29"/>
    </row>
    <row r="44" spans="1:34" s="11" customFormat="1" x14ac:dyDescent="0.2">
      <c r="A44" s="20" t="str">
        <f t="shared" si="0"/>
        <v/>
      </c>
      <c r="B44" s="25"/>
      <c r="C44" s="116"/>
      <c r="D44" s="116"/>
      <c r="E44" s="31"/>
      <c r="F44" s="133"/>
      <c r="G44" s="117"/>
      <c r="H44" s="117"/>
      <c r="I44" s="118"/>
      <c r="J44" s="118"/>
      <c r="K44" s="117"/>
      <c r="L44" s="117"/>
      <c r="M44" s="118"/>
      <c r="N44" s="118"/>
      <c r="O44" s="117"/>
      <c r="P44" s="117"/>
      <c r="Q44" s="118"/>
      <c r="R44" s="118"/>
      <c r="S44" s="117"/>
      <c r="T44" s="117"/>
      <c r="U44" s="118"/>
      <c r="V44" s="118"/>
      <c r="W44" s="117"/>
      <c r="X44" s="117"/>
      <c r="Y44" s="118"/>
      <c r="Z44" s="118"/>
      <c r="AA44" s="117"/>
      <c r="AB44" s="117"/>
      <c r="AC44" s="118"/>
      <c r="AD44" s="118"/>
      <c r="AE44" s="26"/>
      <c r="AF44" s="27"/>
      <c r="AG44" s="28"/>
      <c r="AH44" s="29"/>
    </row>
    <row r="45" spans="1:34" s="11" customFormat="1" x14ac:dyDescent="0.2">
      <c r="A45" s="20" t="str">
        <f t="shared" si="0"/>
        <v/>
      </c>
      <c r="B45" s="25"/>
      <c r="C45" s="116"/>
      <c r="D45" s="116"/>
      <c r="E45" s="31"/>
      <c r="F45" s="133"/>
      <c r="G45" s="117"/>
      <c r="H45" s="117"/>
      <c r="I45" s="118"/>
      <c r="J45" s="118"/>
      <c r="K45" s="117"/>
      <c r="L45" s="117"/>
      <c r="M45" s="118"/>
      <c r="N45" s="118"/>
      <c r="O45" s="117"/>
      <c r="P45" s="117"/>
      <c r="Q45" s="118"/>
      <c r="R45" s="118"/>
      <c r="S45" s="117"/>
      <c r="T45" s="117"/>
      <c r="U45" s="118"/>
      <c r="V45" s="118"/>
      <c r="W45" s="117"/>
      <c r="X45" s="117"/>
      <c r="Y45" s="118"/>
      <c r="Z45" s="118"/>
      <c r="AA45" s="117"/>
      <c r="AB45" s="117"/>
      <c r="AC45" s="118"/>
      <c r="AD45" s="118"/>
      <c r="AE45" s="26"/>
      <c r="AF45" s="27"/>
      <c r="AG45" s="28"/>
      <c r="AH45" s="29"/>
    </row>
    <row r="46" spans="1:34" s="11" customFormat="1" x14ac:dyDescent="0.2">
      <c r="A46" s="20" t="str">
        <f t="shared" si="0"/>
        <v/>
      </c>
      <c r="B46" s="25"/>
      <c r="C46" s="116"/>
      <c r="D46" s="116"/>
      <c r="E46" s="31"/>
      <c r="F46" s="133"/>
      <c r="G46" s="117"/>
      <c r="H46" s="117"/>
      <c r="I46" s="118"/>
      <c r="J46" s="118"/>
      <c r="K46" s="117"/>
      <c r="L46" s="117"/>
      <c r="M46" s="118"/>
      <c r="N46" s="118"/>
      <c r="O46" s="117"/>
      <c r="P46" s="117"/>
      <c r="Q46" s="118"/>
      <c r="R46" s="118"/>
      <c r="S46" s="117"/>
      <c r="T46" s="117"/>
      <c r="U46" s="118"/>
      <c r="V46" s="118"/>
      <c r="W46" s="117"/>
      <c r="X46" s="117"/>
      <c r="Y46" s="118"/>
      <c r="Z46" s="118"/>
      <c r="AA46" s="117"/>
      <c r="AB46" s="117"/>
      <c r="AC46" s="118"/>
      <c r="AD46" s="118"/>
      <c r="AE46" s="26"/>
      <c r="AF46" s="27"/>
      <c r="AG46" s="28"/>
      <c r="AH46" s="29"/>
    </row>
    <row r="47" spans="1:34" s="11" customFormat="1" x14ac:dyDescent="0.2">
      <c r="A47" s="20" t="str">
        <f t="shared" si="0"/>
        <v/>
      </c>
      <c r="B47" s="25"/>
      <c r="C47" s="116"/>
      <c r="D47" s="116"/>
      <c r="E47" s="31"/>
      <c r="F47" s="133"/>
      <c r="G47" s="117"/>
      <c r="H47" s="117"/>
      <c r="I47" s="118"/>
      <c r="J47" s="118"/>
      <c r="K47" s="117"/>
      <c r="L47" s="117"/>
      <c r="M47" s="118"/>
      <c r="N47" s="118"/>
      <c r="O47" s="117"/>
      <c r="P47" s="117"/>
      <c r="Q47" s="118"/>
      <c r="R47" s="118"/>
      <c r="S47" s="117"/>
      <c r="T47" s="117"/>
      <c r="U47" s="118"/>
      <c r="V47" s="118"/>
      <c r="W47" s="117"/>
      <c r="X47" s="117"/>
      <c r="Y47" s="118"/>
      <c r="Z47" s="118"/>
      <c r="AA47" s="117"/>
      <c r="AB47" s="117"/>
      <c r="AC47" s="118"/>
      <c r="AD47" s="118"/>
      <c r="AE47" s="26"/>
      <c r="AF47" s="27"/>
      <c r="AG47" s="28"/>
      <c r="AH47" s="29"/>
    </row>
    <row r="48" spans="1:34" s="11" customFormat="1" x14ac:dyDescent="0.2">
      <c r="A48" s="20" t="str">
        <f t="shared" si="0"/>
        <v/>
      </c>
      <c r="B48" s="25"/>
      <c r="C48" s="116"/>
      <c r="D48" s="116"/>
      <c r="E48" s="31"/>
      <c r="F48" s="133"/>
      <c r="G48" s="117"/>
      <c r="H48" s="117"/>
      <c r="I48" s="118"/>
      <c r="J48" s="118"/>
      <c r="K48" s="117"/>
      <c r="L48" s="117"/>
      <c r="M48" s="118"/>
      <c r="N48" s="118"/>
      <c r="O48" s="117"/>
      <c r="P48" s="117"/>
      <c r="Q48" s="118"/>
      <c r="R48" s="118"/>
      <c r="S48" s="117"/>
      <c r="T48" s="117"/>
      <c r="U48" s="118"/>
      <c r="V48" s="118"/>
      <c r="W48" s="117"/>
      <c r="X48" s="117"/>
      <c r="Y48" s="118"/>
      <c r="Z48" s="118"/>
      <c r="AA48" s="117"/>
      <c r="AB48" s="117"/>
      <c r="AC48" s="118"/>
      <c r="AD48" s="118"/>
      <c r="AE48" s="26"/>
      <c r="AF48" s="27"/>
      <c r="AG48" s="28"/>
      <c r="AH48" s="29"/>
    </row>
    <row r="49" spans="1:34" s="11" customFormat="1" x14ac:dyDescent="0.2">
      <c r="A49" s="20" t="str">
        <f t="shared" si="0"/>
        <v/>
      </c>
      <c r="B49" s="25"/>
      <c r="C49" s="116"/>
      <c r="D49" s="116"/>
      <c r="E49" s="31"/>
      <c r="F49" s="133"/>
      <c r="G49" s="117"/>
      <c r="H49" s="117"/>
      <c r="I49" s="118"/>
      <c r="J49" s="118"/>
      <c r="K49" s="117"/>
      <c r="L49" s="117"/>
      <c r="M49" s="118"/>
      <c r="N49" s="118"/>
      <c r="O49" s="117"/>
      <c r="P49" s="117"/>
      <c r="Q49" s="118"/>
      <c r="R49" s="118"/>
      <c r="S49" s="117"/>
      <c r="T49" s="117"/>
      <c r="U49" s="118"/>
      <c r="V49" s="118"/>
      <c r="W49" s="117"/>
      <c r="X49" s="117"/>
      <c r="Y49" s="118"/>
      <c r="Z49" s="118"/>
      <c r="AA49" s="117"/>
      <c r="AB49" s="117"/>
      <c r="AC49" s="118"/>
      <c r="AD49" s="118"/>
      <c r="AE49" s="26"/>
      <c r="AF49" s="27"/>
      <c r="AG49" s="28"/>
      <c r="AH49" s="29"/>
    </row>
    <row r="50" spans="1:34" s="11" customFormat="1" x14ac:dyDescent="0.2">
      <c r="A50" s="20" t="str">
        <f t="shared" si="0"/>
        <v/>
      </c>
      <c r="B50" s="25"/>
      <c r="C50" s="116"/>
      <c r="D50" s="116"/>
      <c r="E50" s="31"/>
      <c r="F50" s="133"/>
      <c r="G50" s="117"/>
      <c r="H50" s="117"/>
      <c r="I50" s="118"/>
      <c r="J50" s="118"/>
      <c r="K50" s="117"/>
      <c r="L50" s="117"/>
      <c r="M50" s="118"/>
      <c r="N50" s="118"/>
      <c r="O50" s="117"/>
      <c r="P50" s="117"/>
      <c r="Q50" s="118"/>
      <c r="R50" s="118"/>
      <c r="S50" s="117"/>
      <c r="T50" s="117"/>
      <c r="U50" s="118"/>
      <c r="V50" s="118"/>
      <c r="W50" s="117"/>
      <c r="X50" s="117"/>
      <c r="Y50" s="118"/>
      <c r="Z50" s="118"/>
      <c r="AA50" s="117"/>
      <c r="AB50" s="117"/>
      <c r="AC50" s="118"/>
      <c r="AD50" s="118"/>
      <c r="AE50" s="26"/>
      <c r="AF50" s="27"/>
      <c r="AG50" s="28"/>
      <c r="AH50" s="29"/>
    </row>
    <row r="51" spans="1:34" s="11" customFormat="1" x14ac:dyDescent="0.2">
      <c r="A51" s="20" t="str">
        <f t="shared" si="0"/>
        <v/>
      </c>
      <c r="B51" s="25"/>
      <c r="C51" s="116"/>
      <c r="D51" s="116"/>
      <c r="E51" s="31"/>
      <c r="F51" s="133"/>
      <c r="G51" s="117"/>
      <c r="H51" s="117"/>
      <c r="I51" s="118"/>
      <c r="J51" s="118"/>
      <c r="K51" s="117"/>
      <c r="L51" s="117"/>
      <c r="M51" s="118"/>
      <c r="N51" s="118"/>
      <c r="O51" s="117"/>
      <c r="P51" s="117"/>
      <c r="Q51" s="118"/>
      <c r="R51" s="118"/>
      <c r="S51" s="117"/>
      <c r="T51" s="117"/>
      <c r="U51" s="118"/>
      <c r="V51" s="118"/>
      <c r="W51" s="117"/>
      <c r="X51" s="117"/>
      <c r="Y51" s="118"/>
      <c r="Z51" s="118"/>
      <c r="AA51" s="117"/>
      <c r="AB51" s="117"/>
      <c r="AC51" s="118"/>
      <c r="AD51" s="118"/>
      <c r="AE51" s="26"/>
      <c r="AF51" s="27"/>
      <c r="AG51" s="28"/>
      <c r="AH51" s="29"/>
    </row>
    <row r="52" spans="1:34" s="11" customFormat="1" x14ac:dyDescent="0.2">
      <c r="A52" s="20" t="str">
        <f t="shared" si="0"/>
        <v/>
      </c>
      <c r="B52" s="25"/>
      <c r="C52" s="116"/>
      <c r="D52" s="116"/>
      <c r="E52" s="31"/>
      <c r="F52" s="133"/>
      <c r="G52" s="117"/>
      <c r="H52" s="117"/>
      <c r="I52" s="118"/>
      <c r="J52" s="118"/>
      <c r="K52" s="117"/>
      <c r="L52" s="117"/>
      <c r="M52" s="118"/>
      <c r="N52" s="118"/>
      <c r="O52" s="117"/>
      <c r="P52" s="117"/>
      <c r="Q52" s="118"/>
      <c r="R52" s="118"/>
      <c r="S52" s="117"/>
      <c r="T52" s="117"/>
      <c r="U52" s="118"/>
      <c r="V52" s="118"/>
      <c r="W52" s="117"/>
      <c r="X52" s="117"/>
      <c r="Y52" s="118"/>
      <c r="Z52" s="118"/>
      <c r="AA52" s="117"/>
      <c r="AB52" s="117"/>
      <c r="AC52" s="118"/>
      <c r="AD52" s="118"/>
      <c r="AE52" s="26"/>
      <c r="AF52" s="27"/>
      <c r="AG52" s="28"/>
      <c r="AH52" s="29"/>
    </row>
    <row r="53" spans="1:34" s="11" customFormat="1" x14ac:dyDescent="0.2">
      <c r="A53" s="20" t="str">
        <f t="shared" si="0"/>
        <v/>
      </c>
      <c r="B53" s="25"/>
      <c r="C53" s="116"/>
      <c r="D53" s="116"/>
      <c r="E53" s="31"/>
      <c r="F53" s="133"/>
      <c r="G53" s="117"/>
      <c r="H53" s="117"/>
      <c r="I53" s="118"/>
      <c r="J53" s="118"/>
      <c r="K53" s="117"/>
      <c r="L53" s="117"/>
      <c r="M53" s="118"/>
      <c r="N53" s="118"/>
      <c r="O53" s="117"/>
      <c r="P53" s="117"/>
      <c r="Q53" s="118"/>
      <c r="R53" s="118"/>
      <c r="S53" s="117"/>
      <c r="T53" s="117"/>
      <c r="U53" s="118"/>
      <c r="V53" s="118"/>
      <c r="W53" s="117"/>
      <c r="X53" s="117"/>
      <c r="Y53" s="118"/>
      <c r="Z53" s="118"/>
      <c r="AA53" s="117"/>
      <c r="AB53" s="117"/>
      <c r="AC53" s="118"/>
      <c r="AD53" s="118"/>
      <c r="AE53" s="26"/>
      <c r="AF53" s="27"/>
      <c r="AG53" s="28"/>
      <c r="AH53" s="29"/>
    </row>
    <row r="54" spans="1:34" s="11" customFormat="1" x14ac:dyDescent="0.2">
      <c r="A54" s="20" t="str">
        <f t="shared" si="0"/>
        <v/>
      </c>
      <c r="B54" s="25"/>
      <c r="C54" s="116"/>
      <c r="D54" s="116"/>
      <c r="E54" s="31"/>
      <c r="F54" s="133"/>
      <c r="G54" s="117"/>
      <c r="H54" s="117"/>
      <c r="I54" s="118"/>
      <c r="J54" s="118"/>
      <c r="K54" s="117"/>
      <c r="L54" s="117"/>
      <c r="M54" s="118"/>
      <c r="N54" s="118"/>
      <c r="O54" s="117"/>
      <c r="P54" s="117"/>
      <c r="Q54" s="118"/>
      <c r="R54" s="118"/>
      <c r="S54" s="117"/>
      <c r="T54" s="117"/>
      <c r="U54" s="118"/>
      <c r="V54" s="118"/>
      <c r="W54" s="117"/>
      <c r="X54" s="117"/>
      <c r="Y54" s="118"/>
      <c r="Z54" s="118"/>
      <c r="AA54" s="117"/>
      <c r="AB54" s="117"/>
      <c r="AC54" s="118"/>
      <c r="AD54" s="118"/>
      <c r="AE54" s="26"/>
      <c r="AF54" s="27"/>
      <c r="AG54" s="28"/>
      <c r="AH54" s="29"/>
    </row>
    <row r="55" spans="1:34" s="11" customFormat="1" x14ac:dyDescent="0.2">
      <c r="A55" s="20" t="str">
        <f t="shared" si="0"/>
        <v/>
      </c>
      <c r="B55" s="25"/>
      <c r="C55" s="116"/>
      <c r="D55" s="116"/>
      <c r="E55" s="31"/>
      <c r="F55" s="133"/>
      <c r="G55" s="117"/>
      <c r="H55" s="117"/>
      <c r="I55" s="118"/>
      <c r="J55" s="118"/>
      <c r="K55" s="117"/>
      <c r="L55" s="117"/>
      <c r="M55" s="118"/>
      <c r="N55" s="118"/>
      <c r="O55" s="117"/>
      <c r="P55" s="117"/>
      <c r="Q55" s="118"/>
      <c r="R55" s="118"/>
      <c r="S55" s="117"/>
      <c r="T55" s="117"/>
      <c r="U55" s="118"/>
      <c r="V55" s="118"/>
      <c r="W55" s="117"/>
      <c r="X55" s="117"/>
      <c r="Y55" s="118"/>
      <c r="Z55" s="118"/>
      <c r="AA55" s="117"/>
      <c r="AB55" s="117"/>
      <c r="AC55" s="118"/>
      <c r="AD55" s="118"/>
      <c r="AE55" s="26"/>
      <c r="AF55" s="27"/>
      <c r="AG55" s="28"/>
      <c r="AH55" s="29"/>
    </row>
    <row r="56" spans="1:34" s="11" customFormat="1" x14ac:dyDescent="0.2">
      <c r="A56" s="20" t="str">
        <f t="shared" si="0"/>
        <v/>
      </c>
      <c r="B56" s="25"/>
      <c r="C56" s="116"/>
      <c r="D56" s="116"/>
      <c r="E56" s="31"/>
      <c r="F56" s="133"/>
      <c r="G56" s="117"/>
      <c r="H56" s="117"/>
      <c r="I56" s="118"/>
      <c r="J56" s="118"/>
      <c r="K56" s="117"/>
      <c r="L56" s="117"/>
      <c r="M56" s="118"/>
      <c r="N56" s="118"/>
      <c r="O56" s="117"/>
      <c r="P56" s="117"/>
      <c r="Q56" s="118"/>
      <c r="R56" s="118"/>
      <c r="S56" s="117"/>
      <c r="T56" s="117"/>
      <c r="U56" s="118"/>
      <c r="V56" s="118"/>
      <c r="W56" s="117"/>
      <c r="X56" s="117"/>
      <c r="Y56" s="118"/>
      <c r="Z56" s="118"/>
      <c r="AA56" s="117"/>
      <c r="AB56" s="117"/>
      <c r="AC56" s="118"/>
      <c r="AD56" s="118"/>
      <c r="AE56" s="26"/>
      <c r="AF56" s="27"/>
      <c r="AG56" s="28"/>
      <c r="AH56" s="29"/>
    </row>
    <row r="57" spans="1:34" s="11" customFormat="1" x14ac:dyDescent="0.2">
      <c r="A57" s="20" t="str">
        <f t="shared" si="0"/>
        <v/>
      </c>
      <c r="B57" s="25"/>
      <c r="C57" s="116"/>
      <c r="D57" s="116"/>
      <c r="E57" s="31"/>
      <c r="F57" s="133"/>
      <c r="G57" s="117"/>
      <c r="H57" s="117"/>
      <c r="I57" s="118"/>
      <c r="J57" s="118"/>
      <c r="K57" s="117"/>
      <c r="L57" s="117"/>
      <c r="M57" s="118"/>
      <c r="N57" s="118"/>
      <c r="O57" s="117"/>
      <c r="P57" s="117"/>
      <c r="Q57" s="118"/>
      <c r="R57" s="118"/>
      <c r="S57" s="117"/>
      <c r="T57" s="117"/>
      <c r="U57" s="118"/>
      <c r="V57" s="118"/>
      <c r="W57" s="117"/>
      <c r="X57" s="117"/>
      <c r="Y57" s="118"/>
      <c r="Z57" s="118"/>
      <c r="AA57" s="117"/>
      <c r="AB57" s="117"/>
      <c r="AC57" s="118"/>
      <c r="AD57" s="118"/>
      <c r="AE57" s="26"/>
      <c r="AF57" s="27"/>
      <c r="AG57" s="28"/>
      <c r="AH57" s="29"/>
    </row>
    <row r="58" spans="1:34" s="11" customFormat="1" x14ac:dyDescent="0.2">
      <c r="A58" s="20" t="str">
        <f t="shared" si="0"/>
        <v/>
      </c>
      <c r="B58" s="25"/>
      <c r="C58" s="116"/>
      <c r="D58" s="116"/>
      <c r="E58" s="31"/>
      <c r="F58" s="133"/>
      <c r="G58" s="117"/>
      <c r="H58" s="117"/>
      <c r="I58" s="118"/>
      <c r="J58" s="118"/>
      <c r="K58" s="117"/>
      <c r="L58" s="117"/>
      <c r="M58" s="118"/>
      <c r="N58" s="118"/>
      <c r="O58" s="117"/>
      <c r="P58" s="117"/>
      <c r="Q58" s="118"/>
      <c r="R58" s="118"/>
      <c r="S58" s="117"/>
      <c r="T58" s="117"/>
      <c r="U58" s="118"/>
      <c r="V58" s="118"/>
      <c r="W58" s="117"/>
      <c r="X58" s="117"/>
      <c r="Y58" s="118"/>
      <c r="Z58" s="118"/>
      <c r="AA58" s="117"/>
      <c r="AB58" s="117"/>
      <c r="AC58" s="118"/>
      <c r="AD58" s="118"/>
      <c r="AE58" s="26"/>
      <c r="AF58" s="27"/>
      <c r="AG58" s="28"/>
      <c r="AH58" s="29"/>
    </row>
    <row r="59" spans="1:34" s="11" customFormat="1" x14ac:dyDescent="0.2">
      <c r="A59" s="20" t="str">
        <f t="shared" si="0"/>
        <v/>
      </c>
      <c r="B59" s="25"/>
      <c r="C59" s="116"/>
      <c r="D59" s="116"/>
      <c r="E59" s="31"/>
      <c r="F59" s="133"/>
      <c r="G59" s="117"/>
      <c r="H59" s="117"/>
      <c r="I59" s="118"/>
      <c r="J59" s="118"/>
      <c r="K59" s="117"/>
      <c r="L59" s="117"/>
      <c r="M59" s="118"/>
      <c r="N59" s="118"/>
      <c r="O59" s="117"/>
      <c r="P59" s="117"/>
      <c r="Q59" s="118"/>
      <c r="R59" s="118"/>
      <c r="S59" s="117"/>
      <c r="T59" s="117"/>
      <c r="U59" s="118"/>
      <c r="V59" s="118"/>
      <c r="W59" s="117"/>
      <c r="X59" s="117"/>
      <c r="Y59" s="118"/>
      <c r="Z59" s="118"/>
      <c r="AA59" s="117"/>
      <c r="AB59" s="117"/>
      <c r="AC59" s="118"/>
      <c r="AD59" s="118"/>
      <c r="AE59" s="26"/>
      <c r="AF59" s="27"/>
      <c r="AG59" s="28"/>
      <c r="AH59" s="29"/>
    </row>
    <row r="60" spans="1:34" s="11" customFormat="1" x14ac:dyDescent="0.2">
      <c r="A60" s="20" t="str">
        <f t="shared" si="0"/>
        <v/>
      </c>
      <c r="B60" s="25"/>
      <c r="C60" s="116"/>
      <c r="D60" s="116"/>
      <c r="E60" s="31"/>
      <c r="F60" s="133"/>
      <c r="G60" s="117"/>
      <c r="H60" s="117"/>
      <c r="I60" s="118"/>
      <c r="J60" s="118"/>
      <c r="K60" s="117"/>
      <c r="L60" s="117"/>
      <c r="M60" s="118"/>
      <c r="N60" s="118"/>
      <c r="O60" s="117"/>
      <c r="P60" s="117"/>
      <c r="Q60" s="118"/>
      <c r="R60" s="118"/>
      <c r="S60" s="117"/>
      <c r="T60" s="117"/>
      <c r="U60" s="118"/>
      <c r="V60" s="118"/>
      <c r="W60" s="117"/>
      <c r="X60" s="117"/>
      <c r="Y60" s="118"/>
      <c r="Z60" s="118"/>
      <c r="AA60" s="117"/>
      <c r="AB60" s="117"/>
      <c r="AC60" s="118"/>
      <c r="AD60" s="118"/>
      <c r="AE60" s="26"/>
      <c r="AF60" s="27"/>
      <c r="AG60" s="28"/>
      <c r="AH60" s="29"/>
    </row>
    <row r="61" spans="1:34" s="11" customFormat="1" x14ac:dyDescent="0.2">
      <c r="A61" s="20" t="str">
        <f t="shared" si="0"/>
        <v/>
      </c>
      <c r="B61" s="25"/>
      <c r="C61" s="116"/>
      <c r="D61" s="116"/>
      <c r="E61" s="31"/>
      <c r="F61" s="133"/>
      <c r="G61" s="117"/>
      <c r="H61" s="117"/>
      <c r="I61" s="118"/>
      <c r="J61" s="118"/>
      <c r="K61" s="117"/>
      <c r="L61" s="117"/>
      <c r="M61" s="118"/>
      <c r="N61" s="118"/>
      <c r="O61" s="117"/>
      <c r="P61" s="117"/>
      <c r="Q61" s="118"/>
      <c r="R61" s="118"/>
      <c r="S61" s="117"/>
      <c r="T61" s="117"/>
      <c r="U61" s="118"/>
      <c r="V61" s="118"/>
      <c r="W61" s="117"/>
      <c r="X61" s="117"/>
      <c r="Y61" s="118"/>
      <c r="Z61" s="118"/>
      <c r="AA61" s="117"/>
      <c r="AB61" s="117"/>
      <c r="AC61" s="118"/>
      <c r="AD61" s="118"/>
      <c r="AE61" s="26"/>
      <c r="AF61" s="27"/>
      <c r="AG61" s="28"/>
      <c r="AH61" s="29"/>
    </row>
    <row r="62" spans="1:34" s="11" customFormat="1" x14ac:dyDescent="0.2">
      <c r="A62" s="20" t="str">
        <f t="shared" si="0"/>
        <v/>
      </c>
      <c r="B62" s="25"/>
      <c r="C62" s="116"/>
      <c r="D62" s="116"/>
      <c r="E62" s="31"/>
      <c r="F62" s="133"/>
      <c r="G62" s="117"/>
      <c r="H62" s="117"/>
      <c r="I62" s="118"/>
      <c r="J62" s="118"/>
      <c r="K62" s="117"/>
      <c r="L62" s="117"/>
      <c r="M62" s="118"/>
      <c r="N62" s="118"/>
      <c r="O62" s="117"/>
      <c r="P62" s="117"/>
      <c r="Q62" s="118"/>
      <c r="R62" s="118"/>
      <c r="S62" s="117"/>
      <c r="T62" s="117"/>
      <c r="U62" s="118"/>
      <c r="V62" s="118"/>
      <c r="W62" s="117"/>
      <c r="X62" s="117"/>
      <c r="Y62" s="118"/>
      <c r="Z62" s="118"/>
      <c r="AA62" s="117"/>
      <c r="AB62" s="117"/>
      <c r="AC62" s="118"/>
      <c r="AD62" s="118"/>
      <c r="AE62" s="26"/>
      <c r="AF62" s="27"/>
      <c r="AG62" s="28"/>
      <c r="AH62" s="29"/>
    </row>
    <row r="63" spans="1:34" s="11" customFormat="1" x14ac:dyDescent="0.2">
      <c r="A63" s="20" t="str">
        <f t="shared" si="0"/>
        <v/>
      </c>
      <c r="B63" s="25"/>
      <c r="C63" s="116"/>
      <c r="D63" s="116"/>
      <c r="E63" s="31"/>
      <c r="F63" s="133"/>
      <c r="G63" s="117"/>
      <c r="H63" s="117"/>
      <c r="I63" s="118"/>
      <c r="J63" s="118"/>
      <c r="K63" s="117"/>
      <c r="L63" s="117"/>
      <c r="M63" s="118"/>
      <c r="N63" s="118"/>
      <c r="O63" s="117"/>
      <c r="P63" s="117"/>
      <c r="Q63" s="118"/>
      <c r="R63" s="118"/>
      <c r="S63" s="117"/>
      <c r="T63" s="117"/>
      <c r="U63" s="118"/>
      <c r="V63" s="118"/>
      <c r="W63" s="117"/>
      <c r="X63" s="117"/>
      <c r="Y63" s="118"/>
      <c r="Z63" s="118"/>
      <c r="AA63" s="117"/>
      <c r="AB63" s="117"/>
      <c r="AC63" s="118"/>
      <c r="AD63" s="118"/>
      <c r="AE63" s="26"/>
      <c r="AF63" s="27"/>
      <c r="AG63" s="28"/>
      <c r="AH63" s="29"/>
    </row>
    <row r="64" spans="1:34" s="11" customFormat="1" x14ac:dyDescent="0.2">
      <c r="A64" s="20" t="str">
        <f t="shared" si="0"/>
        <v/>
      </c>
      <c r="B64" s="25"/>
      <c r="C64" s="116"/>
      <c r="D64" s="116"/>
      <c r="E64" s="31"/>
      <c r="F64" s="133"/>
      <c r="G64" s="117"/>
      <c r="H64" s="117"/>
      <c r="I64" s="118"/>
      <c r="J64" s="118"/>
      <c r="K64" s="117"/>
      <c r="L64" s="117"/>
      <c r="M64" s="118"/>
      <c r="N64" s="118"/>
      <c r="O64" s="117"/>
      <c r="P64" s="117"/>
      <c r="Q64" s="118"/>
      <c r="R64" s="118"/>
      <c r="S64" s="117"/>
      <c r="T64" s="117"/>
      <c r="U64" s="118"/>
      <c r="V64" s="118"/>
      <c r="W64" s="117"/>
      <c r="X64" s="117"/>
      <c r="Y64" s="118"/>
      <c r="Z64" s="118"/>
      <c r="AA64" s="117"/>
      <c r="AB64" s="117"/>
      <c r="AC64" s="118"/>
      <c r="AD64" s="118"/>
      <c r="AE64" s="26"/>
      <c r="AF64" s="27"/>
      <c r="AG64" s="28"/>
      <c r="AH64" s="29"/>
    </row>
    <row r="65" spans="1:34" s="11" customFormat="1" x14ac:dyDescent="0.2">
      <c r="A65" s="20" t="str">
        <f t="shared" si="0"/>
        <v/>
      </c>
      <c r="B65" s="25"/>
      <c r="C65" s="116"/>
      <c r="D65" s="116"/>
      <c r="E65" s="31"/>
      <c r="F65" s="133"/>
      <c r="G65" s="117"/>
      <c r="H65" s="117"/>
      <c r="I65" s="118"/>
      <c r="J65" s="118"/>
      <c r="K65" s="117"/>
      <c r="L65" s="117"/>
      <c r="M65" s="118"/>
      <c r="N65" s="118"/>
      <c r="O65" s="117"/>
      <c r="P65" s="117"/>
      <c r="Q65" s="118"/>
      <c r="R65" s="118"/>
      <c r="S65" s="117"/>
      <c r="T65" s="117"/>
      <c r="U65" s="118"/>
      <c r="V65" s="118"/>
      <c r="W65" s="117"/>
      <c r="X65" s="117"/>
      <c r="Y65" s="118"/>
      <c r="Z65" s="118"/>
      <c r="AA65" s="117"/>
      <c r="AB65" s="117"/>
      <c r="AC65" s="118"/>
      <c r="AD65" s="118"/>
      <c r="AE65" s="26"/>
      <c r="AF65" s="27"/>
      <c r="AG65" s="28"/>
      <c r="AH65" s="29"/>
    </row>
    <row r="66" spans="1:34" s="11" customFormat="1" x14ac:dyDescent="0.2">
      <c r="A66" s="20" t="str">
        <f t="shared" si="0"/>
        <v/>
      </c>
      <c r="B66" s="25"/>
      <c r="C66" s="116"/>
      <c r="D66" s="116"/>
      <c r="E66" s="31"/>
      <c r="F66" s="133"/>
      <c r="G66" s="117"/>
      <c r="H66" s="117"/>
      <c r="I66" s="118"/>
      <c r="J66" s="118"/>
      <c r="K66" s="117"/>
      <c r="L66" s="117"/>
      <c r="M66" s="118"/>
      <c r="N66" s="118"/>
      <c r="O66" s="117"/>
      <c r="P66" s="117"/>
      <c r="Q66" s="118"/>
      <c r="R66" s="118"/>
      <c r="S66" s="117"/>
      <c r="T66" s="117"/>
      <c r="U66" s="118"/>
      <c r="V66" s="118"/>
      <c r="W66" s="117"/>
      <c r="X66" s="117"/>
      <c r="Y66" s="118"/>
      <c r="Z66" s="118"/>
      <c r="AA66" s="117"/>
      <c r="AB66" s="117"/>
      <c r="AC66" s="118"/>
      <c r="AD66" s="118"/>
      <c r="AE66" s="26"/>
      <c r="AF66" s="27"/>
      <c r="AG66" s="28"/>
      <c r="AH66" s="29"/>
    </row>
    <row r="67" spans="1:34" s="11" customFormat="1" x14ac:dyDescent="0.2">
      <c r="A67" s="20" t="str">
        <f t="shared" si="0"/>
        <v/>
      </c>
      <c r="B67" s="25"/>
      <c r="C67" s="116"/>
      <c r="D67" s="116"/>
      <c r="E67" s="31"/>
      <c r="F67" s="133"/>
      <c r="G67" s="117"/>
      <c r="H67" s="117"/>
      <c r="I67" s="118"/>
      <c r="J67" s="118"/>
      <c r="K67" s="117"/>
      <c r="L67" s="117"/>
      <c r="M67" s="118"/>
      <c r="N67" s="118"/>
      <c r="O67" s="117"/>
      <c r="P67" s="117"/>
      <c r="Q67" s="118"/>
      <c r="R67" s="118"/>
      <c r="S67" s="117"/>
      <c r="T67" s="117"/>
      <c r="U67" s="118"/>
      <c r="V67" s="118"/>
      <c r="W67" s="117"/>
      <c r="X67" s="117"/>
      <c r="Y67" s="118"/>
      <c r="Z67" s="118"/>
      <c r="AA67" s="117"/>
      <c r="AB67" s="117"/>
      <c r="AC67" s="118"/>
      <c r="AD67" s="118"/>
      <c r="AE67" s="26"/>
      <c r="AF67" s="27"/>
      <c r="AG67" s="28"/>
      <c r="AH67" s="29"/>
    </row>
    <row r="68" spans="1:34" s="11" customFormat="1" x14ac:dyDescent="0.2">
      <c r="A68" s="20" t="str">
        <f t="shared" si="0"/>
        <v/>
      </c>
      <c r="B68" s="25"/>
      <c r="C68" s="116"/>
      <c r="D68" s="116"/>
      <c r="E68" s="31"/>
      <c r="F68" s="133"/>
      <c r="G68" s="117"/>
      <c r="H68" s="117"/>
      <c r="I68" s="118"/>
      <c r="J68" s="118"/>
      <c r="K68" s="117"/>
      <c r="L68" s="117"/>
      <c r="M68" s="118"/>
      <c r="N68" s="118"/>
      <c r="O68" s="117"/>
      <c r="P68" s="117"/>
      <c r="Q68" s="118"/>
      <c r="R68" s="118"/>
      <c r="S68" s="117"/>
      <c r="T68" s="117"/>
      <c r="U68" s="118"/>
      <c r="V68" s="118"/>
      <c r="W68" s="117"/>
      <c r="X68" s="117"/>
      <c r="Y68" s="118"/>
      <c r="Z68" s="118"/>
      <c r="AA68" s="117"/>
      <c r="AB68" s="117"/>
      <c r="AC68" s="118"/>
      <c r="AD68" s="118"/>
      <c r="AE68" s="26"/>
      <c r="AF68" s="27"/>
      <c r="AG68" s="28"/>
      <c r="AH68" s="29"/>
    </row>
    <row r="69" spans="1:34" s="11" customFormat="1" x14ac:dyDescent="0.2">
      <c r="A69" s="20" t="str">
        <f t="shared" ref="A69:A132" si="1">IF(COUNTA(G69:AD69)/2=0,"",COUNTA(G69:AD69)/2)</f>
        <v/>
      </c>
      <c r="B69" s="25"/>
      <c r="C69" s="116"/>
      <c r="D69" s="116"/>
      <c r="E69" s="31"/>
      <c r="F69" s="133"/>
      <c r="G69" s="117"/>
      <c r="H69" s="117"/>
      <c r="I69" s="118"/>
      <c r="J69" s="118"/>
      <c r="K69" s="117"/>
      <c r="L69" s="117"/>
      <c r="M69" s="118"/>
      <c r="N69" s="118"/>
      <c r="O69" s="117"/>
      <c r="P69" s="117"/>
      <c r="Q69" s="118"/>
      <c r="R69" s="118"/>
      <c r="S69" s="117"/>
      <c r="T69" s="117"/>
      <c r="U69" s="118"/>
      <c r="V69" s="118"/>
      <c r="W69" s="117"/>
      <c r="X69" s="117"/>
      <c r="Y69" s="118"/>
      <c r="Z69" s="118"/>
      <c r="AA69" s="117"/>
      <c r="AB69" s="117"/>
      <c r="AC69" s="118"/>
      <c r="AD69" s="118"/>
      <c r="AE69" s="26"/>
      <c r="AF69" s="27"/>
      <c r="AG69" s="28"/>
      <c r="AH69" s="29"/>
    </row>
    <row r="70" spans="1:34" s="11" customFormat="1" x14ac:dyDescent="0.2">
      <c r="A70" s="20" t="str">
        <f t="shared" si="1"/>
        <v/>
      </c>
      <c r="B70" s="25"/>
      <c r="C70" s="116"/>
      <c r="D70" s="116"/>
      <c r="E70" s="31"/>
      <c r="F70" s="133"/>
      <c r="G70" s="117"/>
      <c r="H70" s="117"/>
      <c r="I70" s="118"/>
      <c r="J70" s="118"/>
      <c r="K70" s="117"/>
      <c r="L70" s="117"/>
      <c r="M70" s="118"/>
      <c r="N70" s="118"/>
      <c r="O70" s="117"/>
      <c r="P70" s="117"/>
      <c r="Q70" s="118"/>
      <c r="R70" s="118"/>
      <c r="S70" s="117"/>
      <c r="T70" s="117"/>
      <c r="U70" s="118"/>
      <c r="V70" s="118"/>
      <c r="W70" s="117"/>
      <c r="X70" s="117"/>
      <c r="Y70" s="118"/>
      <c r="Z70" s="118"/>
      <c r="AA70" s="117"/>
      <c r="AB70" s="117"/>
      <c r="AC70" s="118"/>
      <c r="AD70" s="118"/>
      <c r="AE70" s="26"/>
      <c r="AF70" s="27"/>
      <c r="AG70" s="28"/>
      <c r="AH70" s="29"/>
    </row>
    <row r="71" spans="1:34" s="11" customFormat="1" x14ac:dyDescent="0.2">
      <c r="A71" s="20" t="str">
        <f t="shared" si="1"/>
        <v/>
      </c>
      <c r="B71" s="25"/>
      <c r="C71" s="116"/>
      <c r="D71" s="116"/>
      <c r="E71" s="31"/>
      <c r="F71" s="133"/>
      <c r="G71" s="117"/>
      <c r="H71" s="117"/>
      <c r="I71" s="118"/>
      <c r="J71" s="118"/>
      <c r="K71" s="117"/>
      <c r="L71" s="117"/>
      <c r="M71" s="118"/>
      <c r="N71" s="118"/>
      <c r="O71" s="117"/>
      <c r="P71" s="117"/>
      <c r="Q71" s="118"/>
      <c r="R71" s="118"/>
      <c r="S71" s="117"/>
      <c r="T71" s="117"/>
      <c r="U71" s="118"/>
      <c r="V71" s="118"/>
      <c r="W71" s="117"/>
      <c r="X71" s="117"/>
      <c r="Y71" s="118"/>
      <c r="Z71" s="118"/>
      <c r="AA71" s="117"/>
      <c r="AB71" s="117"/>
      <c r="AC71" s="118"/>
      <c r="AD71" s="118"/>
      <c r="AE71" s="26"/>
      <c r="AF71" s="27"/>
      <c r="AG71" s="28"/>
      <c r="AH71" s="29"/>
    </row>
    <row r="72" spans="1:34" s="11" customFormat="1" x14ac:dyDescent="0.2">
      <c r="A72" s="20" t="str">
        <f t="shared" si="1"/>
        <v/>
      </c>
      <c r="B72" s="25"/>
      <c r="C72" s="116"/>
      <c r="D72" s="116"/>
      <c r="E72" s="31"/>
      <c r="F72" s="133"/>
      <c r="G72" s="117"/>
      <c r="H72" s="117"/>
      <c r="I72" s="118"/>
      <c r="J72" s="118"/>
      <c r="K72" s="117"/>
      <c r="L72" s="117"/>
      <c r="M72" s="118"/>
      <c r="N72" s="118"/>
      <c r="O72" s="117"/>
      <c r="P72" s="117"/>
      <c r="Q72" s="118"/>
      <c r="R72" s="118"/>
      <c r="S72" s="117"/>
      <c r="T72" s="117"/>
      <c r="U72" s="118"/>
      <c r="V72" s="118"/>
      <c r="W72" s="117"/>
      <c r="X72" s="117"/>
      <c r="Y72" s="118"/>
      <c r="Z72" s="118"/>
      <c r="AA72" s="117"/>
      <c r="AB72" s="117"/>
      <c r="AC72" s="118"/>
      <c r="AD72" s="118"/>
      <c r="AE72" s="26"/>
      <c r="AF72" s="27"/>
      <c r="AG72" s="28"/>
      <c r="AH72" s="29"/>
    </row>
    <row r="73" spans="1:34" s="11" customFormat="1" x14ac:dyDescent="0.2">
      <c r="A73" s="20" t="str">
        <f t="shared" si="1"/>
        <v/>
      </c>
      <c r="B73" s="25"/>
      <c r="C73" s="116"/>
      <c r="D73" s="116"/>
      <c r="E73" s="31"/>
      <c r="F73" s="133"/>
      <c r="G73" s="117"/>
      <c r="H73" s="117"/>
      <c r="I73" s="118"/>
      <c r="J73" s="118"/>
      <c r="K73" s="117"/>
      <c r="L73" s="117"/>
      <c r="M73" s="118"/>
      <c r="N73" s="118"/>
      <c r="O73" s="117"/>
      <c r="P73" s="117"/>
      <c r="Q73" s="118"/>
      <c r="R73" s="118"/>
      <c r="S73" s="117"/>
      <c r="T73" s="117"/>
      <c r="U73" s="118"/>
      <c r="V73" s="118"/>
      <c r="W73" s="117"/>
      <c r="X73" s="117"/>
      <c r="Y73" s="118"/>
      <c r="Z73" s="118"/>
      <c r="AA73" s="117"/>
      <c r="AB73" s="117"/>
      <c r="AC73" s="118"/>
      <c r="AD73" s="118"/>
      <c r="AE73" s="26"/>
      <c r="AF73" s="27"/>
      <c r="AG73" s="28"/>
      <c r="AH73" s="29"/>
    </row>
    <row r="74" spans="1:34" s="11" customFormat="1" x14ac:dyDescent="0.2">
      <c r="A74" s="20" t="str">
        <f t="shared" si="1"/>
        <v/>
      </c>
      <c r="B74" s="25"/>
      <c r="C74" s="116"/>
      <c r="D74" s="116"/>
      <c r="E74" s="31"/>
      <c r="F74" s="133"/>
      <c r="G74" s="117"/>
      <c r="H74" s="117"/>
      <c r="I74" s="118"/>
      <c r="J74" s="118"/>
      <c r="K74" s="117"/>
      <c r="L74" s="117"/>
      <c r="M74" s="118"/>
      <c r="N74" s="118"/>
      <c r="O74" s="117"/>
      <c r="P74" s="117"/>
      <c r="Q74" s="118"/>
      <c r="R74" s="118"/>
      <c r="S74" s="117"/>
      <c r="T74" s="117"/>
      <c r="U74" s="118"/>
      <c r="V74" s="118"/>
      <c r="W74" s="117"/>
      <c r="X74" s="117"/>
      <c r="Y74" s="118"/>
      <c r="Z74" s="118"/>
      <c r="AA74" s="117"/>
      <c r="AB74" s="117"/>
      <c r="AC74" s="118"/>
      <c r="AD74" s="118"/>
      <c r="AE74" s="26"/>
      <c r="AF74" s="27"/>
      <c r="AG74" s="28"/>
      <c r="AH74" s="29"/>
    </row>
    <row r="75" spans="1:34" s="11" customFormat="1" x14ac:dyDescent="0.2">
      <c r="A75" s="20" t="str">
        <f t="shared" si="1"/>
        <v/>
      </c>
      <c r="B75" s="25"/>
      <c r="C75" s="116"/>
      <c r="D75" s="116"/>
      <c r="E75" s="31"/>
      <c r="F75" s="133"/>
      <c r="G75" s="117"/>
      <c r="H75" s="117"/>
      <c r="I75" s="118"/>
      <c r="J75" s="118"/>
      <c r="K75" s="117"/>
      <c r="L75" s="117"/>
      <c r="M75" s="118"/>
      <c r="N75" s="118"/>
      <c r="O75" s="117"/>
      <c r="P75" s="117"/>
      <c r="Q75" s="118"/>
      <c r="R75" s="118"/>
      <c r="S75" s="117"/>
      <c r="T75" s="117"/>
      <c r="U75" s="118"/>
      <c r="V75" s="118"/>
      <c r="W75" s="117"/>
      <c r="X75" s="117"/>
      <c r="Y75" s="118"/>
      <c r="Z75" s="118"/>
      <c r="AA75" s="117"/>
      <c r="AB75" s="117"/>
      <c r="AC75" s="118"/>
      <c r="AD75" s="118"/>
      <c r="AE75" s="26"/>
      <c r="AF75" s="27"/>
      <c r="AG75" s="28"/>
      <c r="AH75" s="29"/>
    </row>
    <row r="76" spans="1:34" s="11" customFormat="1" x14ac:dyDescent="0.2">
      <c r="A76" s="20" t="str">
        <f t="shared" si="1"/>
        <v/>
      </c>
      <c r="B76" s="25"/>
      <c r="C76" s="116"/>
      <c r="D76" s="116"/>
      <c r="E76" s="31"/>
      <c r="F76" s="133"/>
      <c r="G76" s="117"/>
      <c r="H76" s="117"/>
      <c r="I76" s="118"/>
      <c r="J76" s="118"/>
      <c r="K76" s="117"/>
      <c r="L76" s="117"/>
      <c r="M76" s="118"/>
      <c r="N76" s="118"/>
      <c r="O76" s="117"/>
      <c r="P76" s="117"/>
      <c r="Q76" s="118"/>
      <c r="R76" s="118"/>
      <c r="S76" s="117"/>
      <c r="T76" s="117"/>
      <c r="U76" s="118"/>
      <c r="V76" s="118"/>
      <c r="W76" s="117"/>
      <c r="X76" s="117"/>
      <c r="Y76" s="118"/>
      <c r="Z76" s="118"/>
      <c r="AA76" s="117"/>
      <c r="AB76" s="117"/>
      <c r="AC76" s="118"/>
      <c r="AD76" s="118"/>
      <c r="AE76" s="26"/>
      <c r="AF76" s="27"/>
      <c r="AG76" s="28"/>
      <c r="AH76" s="29"/>
    </row>
    <row r="77" spans="1:34" s="11" customFormat="1" x14ac:dyDescent="0.2">
      <c r="A77" s="20" t="str">
        <f t="shared" si="1"/>
        <v/>
      </c>
      <c r="B77" s="25"/>
      <c r="C77" s="116"/>
      <c r="D77" s="116"/>
      <c r="E77" s="31"/>
      <c r="F77" s="133"/>
      <c r="G77" s="117"/>
      <c r="H77" s="117"/>
      <c r="I77" s="118"/>
      <c r="J77" s="118"/>
      <c r="K77" s="117"/>
      <c r="L77" s="117"/>
      <c r="M77" s="118"/>
      <c r="N77" s="118"/>
      <c r="O77" s="117"/>
      <c r="P77" s="117"/>
      <c r="Q77" s="118"/>
      <c r="R77" s="118"/>
      <c r="S77" s="117"/>
      <c r="T77" s="117"/>
      <c r="U77" s="118"/>
      <c r="V77" s="118"/>
      <c r="W77" s="117"/>
      <c r="X77" s="117"/>
      <c r="Y77" s="118"/>
      <c r="Z77" s="118"/>
      <c r="AA77" s="117"/>
      <c r="AB77" s="117"/>
      <c r="AC77" s="118"/>
      <c r="AD77" s="118"/>
      <c r="AE77" s="26"/>
      <c r="AF77" s="27"/>
      <c r="AG77" s="28"/>
      <c r="AH77" s="29"/>
    </row>
    <row r="78" spans="1:34" s="11" customFormat="1" x14ac:dyDescent="0.2">
      <c r="A78" s="20" t="str">
        <f t="shared" si="1"/>
        <v/>
      </c>
      <c r="B78" s="25"/>
      <c r="C78" s="116"/>
      <c r="D78" s="116"/>
      <c r="E78" s="31"/>
      <c r="F78" s="133"/>
      <c r="G78" s="117"/>
      <c r="H78" s="117"/>
      <c r="I78" s="118"/>
      <c r="J78" s="118"/>
      <c r="K78" s="117"/>
      <c r="L78" s="117"/>
      <c r="M78" s="118"/>
      <c r="N78" s="118"/>
      <c r="O78" s="117"/>
      <c r="P78" s="117"/>
      <c r="Q78" s="118"/>
      <c r="R78" s="118"/>
      <c r="S78" s="117"/>
      <c r="T78" s="117"/>
      <c r="U78" s="118"/>
      <c r="V78" s="118"/>
      <c r="W78" s="117"/>
      <c r="X78" s="117"/>
      <c r="Y78" s="118"/>
      <c r="Z78" s="118"/>
      <c r="AA78" s="117"/>
      <c r="AB78" s="117"/>
      <c r="AC78" s="118"/>
      <c r="AD78" s="118"/>
      <c r="AE78" s="26"/>
      <c r="AF78" s="27"/>
      <c r="AG78" s="28"/>
      <c r="AH78" s="29"/>
    </row>
    <row r="79" spans="1:34" s="11" customFormat="1" x14ac:dyDescent="0.2">
      <c r="A79" s="20" t="str">
        <f t="shared" si="1"/>
        <v/>
      </c>
      <c r="B79" s="25"/>
      <c r="C79" s="116"/>
      <c r="D79" s="116"/>
      <c r="E79" s="31"/>
      <c r="F79" s="133"/>
      <c r="G79" s="117"/>
      <c r="H79" s="117"/>
      <c r="I79" s="118"/>
      <c r="J79" s="118"/>
      <c r="K79" s="117"/>
      <c r="L79" s="117"/>
      <c r="M79" s="118"/>
      <c r="N79" s="118"/>
      <c r="O79" s="117"/>
      <c r="P79" s="117"/>
      <c r="Q79" s="118"/>
      <c r="R79" s="118"/>
      <c r="S79" s="117"/>
      <c r="T79" s="117"/>
      <c r="U79" s="118"/>
      <c r="V79" s="118"/>
      <c r="W79" s="117"/>
      <c r="X79" s="117"/>
      <c r="Y79" s="118"/>
      <c r="Z79" s="118"/>
      <c r="AA79" s="117"/>
      <c r="AB79" s="117"/>
      <c r="AC79" s="118"/>
      <c r="AD79" s="118"/>
      <c r="AE79" s="26"/>
      <c r="AF79" s="27"/>
      <c r="AG79" s="28"/>
      <c r="AH79" s="29"/>
    </row>
    <row r="80" spans="1:34" s="11" customFormat="1" x14ac:dyDescent="0.2">
      <c r="A80" s="20" t="str">
        <f t="shared" si="1"/>
        <v/>
      </c>
      <c r="B80" s="25"/>
      <c r="C80" s="116"/>
      <c r="D80" s="116"/>
      <c r="E80" s="31"/>
      <c r="F80" s="133"/>
      <c r="G80" s="117"/>
      <c r="H80" s="117"/>
      <c r="I80" s="118"/>
      <c r="J80" s="118"/>
      <c r="K80" s="117"/>
      <c r="L80" s="117"/>
      <c r="M80" s="118"/>
      <c r="N80" s="118"/>
      <c r="O80" s="117"/>
      <c r="P80" s="117"/>
      <c r="Q80" s="118"/>
      <c r="R80" s="118"/>
      <c r="S80" s="117"/>
      <c r="T80" s="117"/>
      <c r="U80" s="118"/>
      <c r="V80" s="118"/>
      <c r="W80" s="117"/>
      <c r="X80" s="117"/>
      <c r="Y80" s="118"/>
      <c r="Z80" s="118"/>
      <c r="AA80" s="117"/>
      <c r="AB80" s="117"/>
      <c r="AC80" s="118"/>
      <c r="AD80" s="118"/>
      <c r="AE80" s="26"/>
      <c r="AF80" s="27"/>
      <c r="AG80" s="28"/>
      <c r="AH80" s="29"/>
    </row>
    <row r="81" spans="1:34" s="11" customFormat="1" x14ac:dyDescent="0.2">
      <c r="A81" s="20" t="str">
        <f t="shared" si="1"/>
        <v/>
      </c>
      <c r="B81" s="25"/>
      <c r="C81" s="116"/>
      <c r="D81" s="116"/>
      <c r="E81" s="31"/>
      <c r="F81" s="133"/>
      <c r="G81" s="117"/>
      <c r="H81" s="117"/>
      <c r="I81" s="118"/>
      <c r="J81" s="118"/>
      <c r="K81" s="117"/>
      <c r="L81" s="117"/>
      <c r="M81" s="118"/>
      <c r="N81" s="118"/>
      <c r="O81" s="117"/>
      <c r="P81" s="117"/>
      <c r="Q81" s="118"/>
      <c r="R81" s="118"/>
      <c r="S81" s="117"/>
      <c r="T81" s="117"/>
      <c r="U81" s="118"/>
      <c r="V81" s="118"/>
      <c r="W81" s="117"/>
      <c r="X81" s="117"/>
      <c r="Y81" s="118"/>
      <c r="Z81" s="118"/>
      <c r="AA81" s="117"/>
      <c r="AB81" s="117"/>
      <c r="AC81" s="118"/>
      <c r="AD81" s="118"/>
      <c r="AE81" s="26"/>
      <c r="AF81" s="27"/>
      <c r="AG81" s="28"/>
      <c r="AH81" s="29"/>
    </row>
    <row r="82" spans="1:34" s="11" customFormat="1" x14ac:dyDescent="0.2">
      <c r="A82" s="20" t="str">
        <f t="shared" si="1"/>
        <v/>
      </c>
      <c r="B82" s="25"/>
      <c r="C82" s="116"/>
      <c r="D82" s="116"/>
      <c r="E82" s="31"/>
      <c r="F82" s="133"/>
      <c r="G82" s="117"/>
      <c r="H82" s="117"/>
      <c r="I82" s="118"/>
      <c r="J82" s="118"/>
      <c r="K82" s="117"/>
      <c r="L82" s="117"/>
      <c r="M82" s="118"/>
      <c r="N82" s="118"/>
      <c r="O82" s="117"/>
      <c r="P82" s="117"/>
      <c r="Q82" s="118"/>
      <c r="R82" s="118"/>
      <c r="S82" s="117"/>
      <c r="T82" s="117"/>
      <c r="U82" s="118"/>
      <c r="V82" s="118"/>
      <c r="W82" s="117"/>
      <c r="X82" s="117"/>
      <c r="Y82" s="118"/>
      <c r="Z82" s="118"/>
      <c r="AA82" s="117"/>
      <c r="AB82" s="117"/>
      <c r="AC82" s="118"/>
      <c r="AD82" s="118"/>
      <c r="AE82" s="26"/>
      <c r="AF82" s="27"/>
      <c r="AG82" s="28"/>
      <c r="AH82" s="29"/>
    </row>
    <row r="83" spans="1:34" s="11" customFormat="1" x14ac:dyDescent="0.2">
      <c r="A83" s="20" t="str">
        <f t="shared" si="1"/>
        <v/>
      </c>
      <c r="B83" s="25"/>
      <c r="C83" s="116"/>
      <c r="D83" s="116"/>
      <c r="E83" s="31"/>
      <c r="F83" s="133"/>
      <c r="G83" s="117"/>
      <c r="H83" s="117"/>
      <c r="I83" s="118"/>
      <c r="J83" s="118"/>
      <c r="K83" s="117"/>
      <c r="L83" s="117"/>
      <c r="M83" s="118"/>
      <c r="N83" s="118"/>
      <c r="O83" s="117"/>
      <c r="P83" s="117"/>
      <c r="Q83" s="118"/>
      <c r="R83" s="118"/>
      <c r="S83" s="117"/>
      <c r="T83" s="117"/>
      <c r="U83" s="118"/>
      <c r="V83" s="118"/>
      <c r="W83" s="117"/>
      <c r="X83" s="117"/>
      <c r="Y83" s="118"/>
      <c r="Z83" s="118"/>
      <c r="AA83" s="117"/>
      <c r="AB83" s="117"/>
      <c r="AC83" s="118"/>
      <c r="AD83" s="118"/>
      <c r="AE83" s="26"/>
      <c r="AF83" s="27"/>
      <c r="AG83" s="28"/>
      <c r="AH83" s="29"/>
    </row>
    <row r="84" spans="1:34" s="11" customFormat="1" x14ac:dyDescent="0.2">
      <c r="A84" s="20" t="str">
        <f t="shared" si="1"/>
        <v/>
      </c>
      <c r="B84" s="25"/>
      <c r="C84" s="116"/>
      <c r="D84" s="116"/>
      <c r="E84" s="31"/>
      <c r="F84" s="133"/>
      <c r="G84" s="117"/>
      <c r="H84" s="117"/>
      <c r="I84" s="118"/>
      <c r="J84" s="118"/>
      <c r="K84" s="117"/>
      <c r="L84" s="117"/>
      <c r="M84" s="118"/>
      <c r="N84" s="118"/>
      <c r="O84" s="117"/>
      <c r="P84" s="117"/>
      <c r="Q84" s="118"/>
      <c r="R84" s="118"/>
      <c r="S84" s="117"/>
      <c r="T84" s="117"/>
      <c r="U84" s="118"/>
      <c r="V84" s="118"/>
      <c r="W84" s="117"/>
      <c r="X84" s="117"/>
      <c r="Y84" s="118"/>
      <c r="Z84" s="118"/>
      <c r="AA84" s="117"/>
      <c r="AB84" s="117"/>
      <c r="AC84" s="118"/>
      <c r="AD84" s="118"/>
      <c r="AE84" s="26"/>
      <c r="AF84" s="27"/>
      <c r="AG84" s="28"/>
      <c r="AH84" s="29"/>
    </row>
    <row r="85" spans="1:34" s="11" customFormat="1" x14ac:dyDescent="0.2">
      <c r="A85" s="20" t="str">
        <f t="shared" si="1"/>
        <v/>
      </c>
      <c r="B85" s="25"/>
      <c r="C85" s="116"/>
      <c r="D85" s="116"/>
      <c r="E85" s="31"/>
      <c r="F85" s="133"/>
      <c r="G85" s="117"/>
      <c r="H85" s="117"/>
      <c r="I85" s="118"/>
      <c r="J85" s="118"/>
      <c r="K85" s="117"/>
      <c r="L85" s="117"/>
      <c r="M85" s="118"/>
      <c r="N85" s="118"/>
      <c r="O85" s="117"/>
      <c r="P85" s="117"/>
      <c r="Q85" s="118"/>
      <c r="R85" s="118"/>
      <c r="S85" s="117"/>
      <c r="T85" s="117"/>
      <c r="U85" s="118"/>
      <c r="V85" s="118"/>
      <c r="W85" s="117"/>
      <c r="X85" s="117"/>
      <c r="Y85" s="118"/>
      <c r="Z85" s="118"/>
      <c r="AA85" s="117"/>
      <c r="AB85" s="117"/>
      <c r="AC85" s="118"/>
      <c r="AD85" s="118"/>
      <c r="AE85" s="26"/>
      <c r="AF85" s="27"/>
      <c r="AG85" s="28"/>
      <c r="AH85" s="29"/>
    </row>
    <row r="86" spans="1:34" s="11" customFormat="1" x14ac:dyDescent="0.2">
      <c r="A86" s="20" t="str">
        <f t="shared" si="1"/>
        <v/>
      </c>
      <c r="B86" s="25"/>
      <c r="C86" s="116"/>
      <c r="D86" s="116"/>
      <c r="E86" s="31"/>
      <c r="F86" s="133"/>
      <c r="G86" s="117"/>
      <c r="H86" s="117"/>
      <c r="I86" s="118"/>
      <c r="J86" s="118"/>
      <c r="K86" s="117"/>
      <c r="L86" s="117"/>
      <c r="M86" s="118"/>
      <c r="N86" s="118"/>
      <c r="O86" s="117"/>
      <c r="P86" s="117"/>
      <c r="Q86" s="118"/>
      <c r="R86" s="118"/>
      <c r="S86" s="117"/>
      <c r="T86" s="117"/>
      <c r="U86" s="118"/>
      <c r="V86" s="118"/>
      <c r="W86" s="117"/>
      <c r="X86" s="117"/>
      <c r="Y86" s="118"/>
      <c r="Z86" s="118"/>
      <c r="AA86" s="117"/>
      <c r="AB86" s="117"/>
      <c r="AC86" s="118"/>
      <c r="AD86" s="118"/>
      <c r="AE86" s="26"/>
      <c r="AF86" s="27"/>
      <c r="AG86" s="28"/>
      <c r="AH86" s="29"/>
    </row>
    <row r="87" spans="1:34" s="11" customFormat="1" x14ac:dyDescent="0.2">
      <c r="A87" s="20" t="str">
        <f t="shared" si="1"/>
        <v/>
      </c>
      <c r="B87" s="25"/>
      <c r="C87" s="116"/>
      <c r="D87" s="116"/>
      <c r="E87" s="31"/>
      <c r="F87" s="133"/>
      <c r="G87" s="117"/>
      <c r="H87" s="117"/>
      <c r="I87" s="118"/>
      <c r="J87" s="118"/>
      <c r="K87" s="117"/>
      <c r="L87" s="117"/>
      <c r="M87" s="118"/>
      <c r="N87" s="118"/>
      <c r="O87" s="117"/>
      <c r="P87" s="117"/>
      <c r="Q87" s="118"/>
      <c r="R87" s="118"/>
      <c r="S87" s="117"/>
      <c r="T87" s="117"/>
      <c r="U87" s="118"/>
      <c r="V87" s="118"/>
      <c r="W87" s="117"/>
      <c r="X87" s="117"/>
      <c r="Y87" s="118"/>
      <c r="Z87" s="118"/>
      <c r="AA87" s="117"/>
      <c r="AB87" s="117"/>
      <c r="AC87" s="118"/>
      <c r="AD87" s="118"/>
      <c r="AE87" s="26"/>
      <c r="AF87" s="27"/>
      <c r="AG87" s="28"/>
      <c r="AH87" s="29"/>
    </row>
    <row r="88" spans="1:34" s="11" customFormat="1" x14ac:dyDescent="0.2">
      <c r="A88" s="20" t="str">
        <f t="shared" si="1"/>
        <v/>
      </c>
      <c r="B88" s="25"/>
      <c r="C88" s="116"/>
      <c r="D88" s="116"/>
      <c r="E88" s="31"/>
      <c r="F88" s="133"/>
      <c r="G88" s="117"/>
      <c r="H88" s="117"/>
      <c r="I88" s="118"/>
      <c r="J88" s="118"/>
      <c r="K88" s="117"/>
      <c r="L88" s="117"/>
      <c r="M88" s="118"/>
      <c r="N88" s="118"/>
      <c r="O88" s="117"/>
      <c r="P88" s="117"/>
      <c r="Q88" s="118"/>
      <c r="R88" s="118"/>
      <c r="S88" s="117"/>
      <c r="T88" s="117"/>
      <c r="U88" s="118"/>
      <c r="V88" s="118"/>
      <c r="W88" s="117"/>
      <c r="X88" s="117"/>
      <c r="Y88" s="118"/>
      <c r="Z88" s="118"/>
      <c r="AA88" s="117"/>
      <c r="AB88" s="117"/>
      <c r="AC88" s="118"/>
      <c r="AD88" s="118"/>
      <c r="AE88" s="26"/>
      <c r="AF88" s="27"/>
      <c r="AG88" s="28"/>
      <c r="AH88" s="29"/>
    </row>
    <row r="89" spans="1:34" s="11" customFormat="1" x14ac:dyDescent="0.2">
      <c r="A89" s="20" t="str">
        <f t="shared" si="1"/>
        <v/>
      </c>
      <c r="B89" s="25"/>
      <c r="C89" s="116"/>
      <c r="D89" s="116"/>
      <c r="E89" s="31"/>
      <c r="F89" s="133"/>
      <c r="G89" s="117"/>
      <c r="H89" s="117"/>
      <c r="I89" s="118"/>
      <c r="J89" s="118"/>
      <c r="K89" s="117"/>
      <c r="L89" s="117"/>
      <c r="M89" s="118"/>
      <c r="N89" s="118"/>
      <c r="O89" s="117"/>
      <c r="P89" s="117"/>
      <c r="Q89" s="118"/>
      <c r="R89" s="118"/>
      <c r="S89" s="117"/>
      <c r="T89" s="117"/>
      <c r="U89" s="118"/>
      <c r="V89" s="118"/>
      <c r="W89" s="117"/>
      <c r="X89" s="117"/>
      <c r="Y89" s="118"/>
      <c r="Z89" s="118"/>
      <c r="AA89" s="117"/>
      <c r="AB89" s="117"/>
      <c r="AC89" s="118"/>
      <c r="AD89" s="118"/>
      <c r="AE89" s="26"/>
      <c r="AF89" s="27"/>
      <c r="AG89" s="28"/>
      <c r="AH89" s="29"/>
    </row>
    <row r="90" spans="1:34" s="11" customFormat="1" x14ac:dyDescent="0.2">
      <c r="A90" s="20" t="str">
        <f t="shared" si="1"/>
        <v/>
      </c>
      <c r="B90" s="25"/>
      <c r="C90" s="116"/>
      <c r="D90" s="116"/>
      <c r="E90" s="31"/>
      <c r="F90" s="133"/>
      <c r="G90" s="117"/>
      <c r="H90" s="117"/>
      <c r="I90" s="118"/>
      <c r="J90" s="118"/>
      <c r="K90" s="117"/>
      <c r="L90" s="117"/>
      <c r="M90" s="118"/>
      <c r="N90" s="118"/>
      <c r="O90" s="117"/>
      <c r="P90" s="117"/>
      <c r="Q90" s="118"/>
      <c r="R90" s="118"/>
      <c r="S90" s="117"/>
      <c r="T90" s="117"/>
      <c r="U90" s="118"/>
      <c r="V90" s="118"/>
      <c r="W90" s="117"/>
      <c r="X90" s="117"/>
      <c r="Y90" s="118"/>
      <c r="Z90" s="118"/>
      <c r="AA90" s="117"/>
      <c r="AB90" s="117"/>
      <c r="AC90" s="118"/>
      <c r="AD90" s="118"/>
      <c r="AE90" s="26"/>
      <c r="AF90" s="27"/>
      <c r="AG90" s="28"/>
      <c r="AH90" s="29"/>
    </row>
    <row r="91" spans="1:34" s="11" customFormat="1" x14ac:dyDescent="0.2">
      <c r="A91" s="20" t="str">
        <f t="shared" si="1"/>
        <v/>
      </c>
      <c r="B91" s="25"/>
      <c r="C91" s="116"/>
      <c r="D91" s="116"/>
      <c r="E91" s="31"/>
      <c r="F91" s="133"/>
      <c r="G91" s="117"/>
      <c r="H91" s="117"/>
      <c r="I91" s="118"/>
      <c r="J91" s="118"/>
      <c r="K91" s="117"/>
      <c r="L91" s="117"/>
      <c r="M91" s="118"/>
      <c r="N91" s="118"/>
      <c r="O91" s="117"/>
      <c r="P91" s="117"/>
      <c r="Q91" s="118"/>
      <c r="R91" s="118"/>
      <c r="S91" s="117"/>
      <c r="T91" s="117"/>
      <c r="U91" s="118"/>
      <c r="V91" s="118"/>
      <c r="W91" s="117"/>
      <c r="X91" s="117"/>
      <c r="Y91" s="118"/>
      <c r="Z91" s="118"/>
      <c r="AA91" s="117"/>
      <c r="AB91" s="117"/>
      <c r="AC91" s="118"/>
      <c r="AD91" s="118"/>
      <c r="AE91" s="26"/>
      <c r="AF91" s="27"/>
      <c r="AG91" s="28"/>
      <c r="AH91" s="29"/>
    </row>
    <row r="92" spans="1:34" s="11" customFormat="1" x14ac:dyDescent="0.2">
      <c r="A92" s="20" t="str">
        <f t="shared" si="1"/>
        <v/>
      </c>
      <c r="B92" s="25"/>
      <c r="C92" s="116"/>
      <c r="D92" s="116"/>
      <c r="E92" s="31"/>
      <c r="F92" s="133"/>
      <c r="G92" s="117"/>
      <c r="H92" s="117"/>
      <c r="I92" s="118"/>
      <c r="J92" s="118"/>
      <c r="K92" s="117"/>
      <c r="L92" s="117"/>
      <c r="M92" s="118"/>
      <c r="N92" s="118"/>
      <c r="O92" s="117"/>
      <c r="P92" s="117"/>
      <c r="Q92" s="118"/>
      <c r="R92" s="118"/>
      <c r="S92" s="117"/>
      <c r="T92" s="117"/>
      <c r="U92" s="118"/>
      <c r="V92" s="118"/>
      <c r="W92" s="117"/>
      <c r="X92" s="117"/>
      <c r="Y92" s="118"/>
      <c r="Z92" s="118"/>
      <c r="AA92" s="117"/>
      <c r="AB92" s="117"/>
      <c r="AC92" s="118"/>
      <c r="AD92" s="118"/>
      <c r="AE92" s="26"/>
      <c r="AF92" s="27"/>
      <c r="AG92" s="28"/>
      <c r="AH92" s="29"/>
    </row>
    <row r="93" spans="1:34" s="11" customFormat="1" x14ac:dyDescent="0.2">
      <c r="A93" s="20" t="str">
        <f t="shared" si="1"/>
        <v/>
      </c>
      <c r="B93" s="25"/>
      <c r="C93" s="116"/>
      <c r="D93" s="116"/>
      <c r="E93" s="31"/>
      <c r="F93" s="133"/>
      <c r="G93" s="117"/>
      <c r="H93" s="117"/>
      <c r="I93" s="118"/>
      <c r="J93" s="118"/>
      <c r="K93" s="117"/>
      <c r="L93" s="117"/>
      <c r="M93" s="118"/>
      <c r="N93" s="118"/>
      <c r="O93" s="117"/>
      <c r="P93" s="117"/>
      <c r="Q93" s="118"/>
      <c r="R93" s="118"/>
      <c r="S93" s="117"/>
      <c r="T93" s="117"/>
      <c r="U93" s="118"/>
      <c r="V93" s="118"/>
      <c r="W93" s="117"/>
      <c r="X93" s="117"/>
      <c r="Y93" s="118"/>
      <c r="Z93" s="118"/>
      <c r="AA93" s="117"/>
      <c r="AB93" s="117"/>
      <c r="AC93" s="118"/>
      <c r="AD93" s="118"/>
      <c r="AE93" s="26"/>
      <c r="AF93" s="27"/>
      <c r="AG93" s="28"/>
      <c r="AH93" s="29"/>
    </row>
    <row r="94" spans="1:34" s="11" customFormat="1" x14ac:dyDescent="0.2">
      <c r="A94" s="20" t="str">
        <f t="shared" si="1"/>
        <v/>
      </c>
      <c r="B94" s="25"/>
      <c r="C94" s="116"/>
      <c r="D94" s="116"/>
      <c r="E94" s="31"/>
      <c r="F94" s="133"/>
      <c r="G94" s="117"/>
      <c r="H94" s="117"/>
      <c r="I94" s="118"/>
      <c r="J94" s="118"/>
      <c r="K94" s="117"/>
      <c r="L94" s="117"/>
      <c r="M94" s="118"/>
      <c r="N94" s="118"/>
      <c r="O94" s="117"/>
      <c r="P94" s="117"/>
      <c r="Q94" s="118"/>
      <c r="R94" s="118"/>
      <c r="S94" s="117"/>
      <c r="T94" s="117"/>
      <c r="U94" s="118"/>
      <c r="V94" s="118"/>
      <c r="W94" s="117"/>
      <c r="X94" s="117"/>
      <c r="Y94" s="118"/>
      <c r="Z94" s="118"/>
      <c r="AA94" s="117"/>
      <c r="AB94" s="117"/>
      <c r="AC94" s="118"/>
      <c r="AD94" s="118"/>
      <c r="AE94" s="26"/>
      <c r="AF94" s="27"/>
      <c r="AG94" s="28"/>
      <c r="AH94" s="29"/>
    </row>
    <row r="95" spans="1:34" s="11" customFormat="1" x14ac:dyDescent="0.2">
      <c r="A95" s="20" t="str">
        <f t="shared" si="1"/>
        <v/>
      </c>
      <c r="B95" s="25"/>
      <c r="C95" s="116"/>
      <c r="D95" s="116"/>
      <c r="E95" s="31"/>
      <c r="F95" s="133"/>
      <c r="G95" s="117"/>
      <c r="H95" s="117"/>
      <c r="I95" s="118"/>
      <c r="J95" s="118"/>
      <c r="K95" s="117"/>
      <c r="L95" s="117"/>
      <c r="M95" s="118"/>
      <c r="N95" s="118"/>
      <c r="O95" s="117"/>
      <c r="P95" s="117"/>
      <c r="Q95" s="118"/>
      <c r="R95" s="118"/>
      <c r="S95" s="117"/>
      <c r="T95" s="117"/>
      <c r="U95" s="118"/>
      <c r="V95" s="118"/>
      <c r="W95" s="117"/>
      <c r="X95" s="117"/>
      <c r="Y95" s="118"/>
      <c r="Z95" s="118"/>
      <c r="AA95" s="117"/>
      <c r="AB95" s="117"/>
      <c r="AC95" s="118"/>
      <c r="AD95" s="118"/>
      <c r="AE95" s="26"/>
      <c r="AF95" s="27"/>
      <c r="AG95" s="28"/>
      <c r="AH95" s="29"/>
    </row>
    <row r="96" spans="1:34" s="11" customFormat="1" x14ac:dyDescent="0.2">
      <c r="A96" s="20" t="str">
        <f t="shared" si="1"/>
        <v/>
      </c>
      <c r="B96" s="25"/>
      <c r="C96" s="116"/>
      <c r="D96" s="116"/>
      <c r="E96" s="31"/>
      <c r="F96" s="133"/>
      <c r="G96" s="117"/>
      <c r="H96" s="117"/>
      <c r="I96" s="118"/>
      <c r="J96" s="118"/>
      <c r="K96" s="117"/>
      <c r="L96" s="117"/>
      <c r="M96" s="118"/>
      <c r="N96" s="118"/>
      <c r="O96" s="117"/>
      <c r="P96" s="117"/>
      <c r="Q96" s="118"/>
      <c r="R96" s="118"/>
      <c r="S96" s="117"/>
      <c r="T96" s="117"/>
      <c r="U96" s="118"/>
      <c r="V96" s="118"/>
      <c r="W96" s="117"/>
      <c r="X96" s="117"/>
      <c r="Y96" s="118"/>
      <c r="Z96" s="118"/>
      <c r="AA96" s="117"/>
      <c r="AB96" s="117"/>
      <c r="AC96" s="118"/>
      <c r="AD96" s="118"/>
      <c r="AE96" s="26"/>
      <c r="AF96" s="27"/>
      <c r="AG96" s="28"/>
      <c r="AH96" s="29"/>
    </row>
    <row r="97" spans="1:34" s="11" customFormat="1" x14ac:dyDescent="0.2">
      <c r="A97" s="20" t="str">
        <f t="shared" si="1"/>
        <v/>
      </c>
      <c r="B97" s="25"/>
      <c r="C97" s="116"/>
      <c r="D97" s="116"/>
      <c r="E97" s="31"/>
      <c r="F97" s="133"/>
      <c r="G97" s="117"/>
      <c r="H97" s="117"/>
      <c r="I97" s="118"/>
      <c r="J97" s="118"/>
      <c r="K97" s="117"/>
      <c r="L97" s="117"/>
      <c r="M97" s="118"/>
      <c r="N97" s="118"/>
      <c r="O97" s="117"/>
      <c r="P97" s="117"/>
      <c r="Q97" s="118"/>
      <c r="R97" s="118"/>
      <c r="S97" s="117"/>
      <c r="T97" s="117"/>
      <c r="U97" s="118"/>
      <c r="V97" s="118"/>
      <c r="W97" s="117"/>
      <c r="X97" s="117"/>
      <c r="Y97" s="118"/>
      <c r="Z97" s="118"/>
      <c r="AA97" s="117"/>
      <c r="AB97" s="117"/>
      <c r="AC97" s="118"/>
      <c r="AD97" s="118"/>
      <c r="AE97" s="26"/>
      <c r="AF97" s="27"/>
      <c r="AG97" s="28"/>
      <c r="AH97" s="29"/>
    </row>
    <row r="98" spans="1:34" s="11" customFormat="1" x14ac:dyDescent="0.2">
      <c r="A98" s="20" t="str">
        <f t="shared" si="1"/>
        <v/>
      </c>
      <c r="B98" s="25"/>
      <c r="C98" s="116"/>
      <c r="D98" s="116"/>
      <c r="E98" s="31"/>
      <c r="F98" s="133"/>
      <c r="G98" s="117"/>
      <c r="H98" s="117"/>
      <c r="I98" s="118"/>
      <c r="J98" s="118"/>
      <c r="K98" s="117"/>
      <c r="L98" s="117"/>
      <c r="M98" s="118"/>
      <c r="N98" s="118"/>
      <c r="O98" s="117"/>
      <c r="P98" s="117"/>
      <c r="Q98" s="118"/>
      <c r="R98" s="118"/>
      <c r="S98" s="117"/>
      <c r="T98" s="117"/>
      <c r="U98" s="118"/>
      <c r="V98" s="118"/>
      <c r="W98" s="117"/>
      <c r="X98" s="117"/>
      <c r="Y98" s="118"/>
      <c r="Z98" s="118"/>
      <c r="AA98" s="117"/>
      <c r="AB98" s="117"/>
      <c r="AC98" s="118"/>
      <c r="AD98" s="118"/>
      <c r="AE98" s="26"/>
      <c r="AF98" s="27"/>
      <c r="AG98" s="28"/>
      <c r="AH98" s="29"/>
    </row>
    <row r="99" spans="1:34" s="11" customFormat="1" x14ac:dyDescent="0.2">
      <c r="A99" s="20" t="str">
        <f t="shared" si="1"/>
        <v/>
      </c>
      <c r="B99" s="25"/>
      <c r="C99" s="116"/>
      <c r="D99" s="116"/>
      <c r="E99" s="31"/>
      <c r="F99" s="133"/>
      <c r="G99" s="117"/>
      <c r="H99" s="117"/>
      <c r="I99" s="118"/>
      <c r="J99" s="118"/>
      <c r="K99" s="117"/>
      <c r="L99" s="117"/>
      <c r="M99" s="118"/>
      <c r="N99" s="118"/>
      <c r="O99" s="117"/>
      <c r="P99" s="117"/>
      <c r="Q99" s="118"/>
      <c r="R99" s="118"/>
      <c r="S99" s="117"/>
      <c r="T99" s="117"/>
      <c r="U99" s="118"/>
      <c r="V99" s="118"/>
      <c r="W99" s="117"/>
      <c r="X99" s="117"/>
      <c r="Y99" s="118"/>
      <c r="Z99" s="118"/>
      <c r="AA99" s="117"/>
      <c r="AB99" s="117"/>
      <c r="AC99" s="118"/>
      <c r="AD99" s="118"/>
      <c r="AE99" s="26"/>
      <c r="AF99" s="27"/>
      <c r="AG99" s="28"/>
      <c r="AH99" s="29"/>
    </row>
    <row r="100" spans="1:34" s="11" customFormat="1" x14ac:dyDescent="0.2">
      <c r="A100" s="20" t="str">
        <f t="shared" si="1"/>
        <v/>
      </c>
      <c r="B100" s="25"/>
      <c r="C100" s="116"/>
      <c r="D100" s="116"/>
      <c r="E100" s="31"/>
      <c r="F100" s="133"/>
      <c r="G100" s="117"/>
      <c r="H100" s="117"/>
      <c r="I100" s="118"/>
      <c r="J100" s="118"/>
      <c r="K100" s="117"/>
      <c r="L100" s="117"/>
      <c r="M100" s="118"/>
      <c r="N100" s="118"/>
      <c r="O100" s="117"/>
      <c r="P100" s="117"/>
      <c r="Q100" s="118"/>
      <c r="R100" s="118"/>
      <c r="S100" s="117"/>
      <c r="T100" s="117"/>
      <c r="U100" s="118"/>
      <c r="V100" s="118"/>
      <c r="W100" s="117"/>
      <c r="X100" s="117"/>
      <c r="Y100" s="118"/>
      <c r="Z100" s="118"/>
      <c r="AA100" s="117"/>
      <c r="AB100" s="117"/>
      <c r="AC100" s="118"/>
      <c r="AD100" s="118"/>
      <c r="AE100" s="26"/>
      <c r="AF100" s="27"/>
      <c r="AG100" s="28"/>
      <c r="AH100" s="29"/>
    </row>
    <row r="101" spans="1:34" s="11" customFormat="1" x14ac:dyDescent="0.2">
      <c r="A101" s="20" t="str">
        <f t="shared" si="1"/>
        <v/>
      </c>
      <c r="B101" s="25"/>
      <c r="C101" s="116"/>
      <c r="D101" s="116"/>
      <c r="E101" s="31"/>
      <c r="F101" s="133"/>
      <c r="G101" s="117"/>
      <c r="H101" s="117"/>
      <c r="I101" s="118"/>
      <c r="J101" s="118"/>
      <c r="K101" s="117"/>
      <c r="L101" s="117"/>
      <c r="M101" s="118"/>
      <c r="N101" s="118"/>
      <c r="O101" s="117"/>
      <c r="P101" s="117"/>
      <c r="Q101" s="118"/>
      <c r="R101" s="118"/>
      <c r="S101" s="117"/>
      <c r="T101" s="117"/>
      <c r="U101" s="118"/>
      <c r="V101" s="118"/>
      <c r="W101" s="117"/>
      <c r="X101" s="117"/>
      <c r="Y101" s="118"/>
      <c r="Z101" s="118"/>
      <c r="AA101" s="117"/>
      <c r="AB101" s="117"/>
      <c r="AC101" s="118"/>
      <c r="AD101" s="118"/>
      <c r="AE101" s="26"/>
      <c r="AF101" s="27"/>
      <c r="AG101" s="28"/>
      <c r="AH101" s="29"/>
    </row>
    <row r="102" spans="1:34" s="11" customFormat="1" x14ac:dyDescent="0.2">
      <c r="A102" s="20" t="str">
        <f t="shared" si="1"/>
        <v/>
      </c>
      <c r="B102" s="25"/>
      <c r="C102" s="116"/>
      <c r="D102" s="116"/>
      <c r="E102" s="31"/>
      <c r="F102" s="133"/>
      <c r="G102" s="117"/>
      <c r="H102" s="117"/>
      <c r="I102" s="118"/>
      <c r="J102" s="118"/>
      <c r="K102" s="117"/>
      <c r="L102" s="117"/>
      <c r="M102" s="118"/>
      <c r="N102" s="118"/>
      <c r="O102" s="117"/>
      <c r="P102" s="117"/>
      <c r="Q102" s="118"/>
      <c r="R102" s="118"/>
      <c r="S102" s="117"/>
      <c r="T102" s="117"/>
      <c r="U102" s="118"/>
      <c r="V102" s="118"/>
      <c r="W102" s="117"/>
      <c r="X102" s="117"/>
      <c r="Y102" s="118"/>
      <c r="Z102" s="118"/>
      <c r="AA102" s="117"/>
      <c r="AB102" s="117"/>
      <c r="AC102" s="118"/>
      <c r="AD102" s="118"/>
      <c r="AE102" s="26"/>
      <c r="AF102" s="27"/>
      <c r="AG102" s="28"/>
      <c r="AH102" s="29"/>
    </row>
    <row r="103" spans="1:34" s="11" customFormat="1" x14ac:dyDescent="0.2">
      <c r="A103" s="20" t="str">
        <f t="shared" si="1"/>
        <v/>
      </c>
      <c r="B103" s="25"/>
      <c r="C103" s="116"/>
      <c r="D103" s="116"/>
      <c r="E103" s="31"/>
      <c r="F103" s="133"/>
      <c r="G103" s="117"/>
      <c r="H103" s="117"/>
      <c r="I103" s="118"/>
      <c r="J103" s="118"/>
      <c r="K103" s="117"/>
      <c r="L103" s="117"/>
      <c r="M103" s="118"/>
      <c r="N103" s="118"/>
      <c r="O103" s="117"/>
      <c r="P103" s="117"/>
      <c r="Q103" s="118"/>
      <c r="R103" s="118"/>
      <c r="S103" s="117"/>
      <c r="T103" s="117"/>
      <c r="U103" s="118"/>
      <c r="V103" s="118"/>
      <c r="W103" s="117"/>
      <c r="X103" s="117"/>
      <c r="Y103" s="118"/>
      <c r="Z103" s="118"/>
      <c r="AA103" s="117"/>
      <c r="AB103" s="117"/>
      <c r="AC103" s="118"/>
      <c r="AD103" s="118"/>
      <c r="AE103" s="26"/>
      <c r="AF103" s="27"/>
      <c r="AG103" s="28"/>
      <c r="AH103" s="29"/>
    </row>
    <row r="104" spans="1:34" s="11" customFormat="1" x14ac:dyDescent="0.2">
      <c r="A104" s="20" t="str">
        <f t="shared" si="1"/>
        <v/>
      </c>
      <c r="B104" s="25"/>
      <c r="C104" s="116"/>
      <c r="D104" s="116"/>
      <c r="E104" s="31"/>
      <c r="F104" s="133"/>
      <c r="G104" s="117"/>
      <c r="H104" s="117"/>
      <c r="I104" s="118"/>
      <c r="J104" s="118"/>
      <c r="K104" s="117"/>
      <c r="L104" s="117"/>
      <c r="M104" s="118"/>
      <c r="N104" s="118"/>
      <c r="O104" s="117"/>
      <c r="P104" s="117"/>
      <c r="Q104" s="118"/>
      <c r="R104" s="118"/>
      <c r="S104" s="117"/>
      <c r="T104" s="117"/>
      <c r="U104" s="118"/>
      <c r="V104" s="118"/>
      <c r="W104" s="117"/>
      <c r="X104" s="117"/>
      <c r="Y104" s="118"/>
      <c r="Z104" s="118"/>
      <c r="AA104" s="117"/>
      <c r="AB104" s="117"/>
      <c r="AC104" s="118"/>
      <c r="AD104" s="118"/>
      <c r="AE104" s="26"/>
      <c r="AF104" s="27"/>
      <c r="AG104" s="28"/>
      <c r="AH104" s="29"/>
    </row>
    <row r="105" spans="1:34" s="11" customFormat="1" x14ac:dyDescent="0.2">
      <c r="A105" s="20" t="str">
        <f t="shared" si="1"/>
        <v/>
      </c>
      <c r="B105" s="25"/>
      <c r="C105" s="116"/>
      <c r="D105" s="116"/>
      <c r="E105" s="31"/>
      <c r="F105" s="133"/>
      <c r="G105" s="117"/>
      <c r="H105" s="117"/>
      <c r="I105" s="118"/>
      <c r="J105" s="118"/>
      <c r="K105" s="117"/>
      <c r="L105" s="117"/>
      <c r="M105" s="118"/>
      <c r="N105" s="118"/>
      <c r="O105" s="117"/>
      <c r="P105" s="117"/>
      <c r="Q105" s="118"/>
      <c r="R105" s="118"/>
      <c r="S105" s="117"/>
      <c r="T105" s="117"/>
      <c r="U105" s="118"/>
      <c r="V105" s="118"/>
      <c r="W105" s="117"/>
      <c r="X105" s="117"/>
      <c r="Y105" s="118"/>
      <c r="Z105" s="118"/>
      <c r="AA105" s="117"/>
      <c r="AB105" s="117"/>
      <c r="AC105" s="118"/>
      <c r="AD105" s="118"/>
      <c r="AE105" s="26"/>
      <c r="AF105" s="27"/>
      <c r="AG105" s="28"/>
      <c r="AH105" s="29"/>
    </row>
    <row r="106" spans="1:34" s="11" customFormat="1" x14ac:dyDescent="0.2">
      <c r="A106" s="20" t="str">
        <f t="shared" si="1"/>
        <v/>
      </c>
      <c r="B106" s="25"/>
      <c r="C106" s="116"/>
      <c r="D106" s="116"/>
      <c r="E106" s="31"/>
      <c r="F106" s="133"/>
      <c r="G106" s="117"/>
      <c r="H106" s="117"/>
      <c r="I106" s="118"/>
      <c r="J106" s="118"/>
      <c r="K106" s="117"/>
      <c r="L106" s="117"/>
      <c r="M106" s="118"/>
      <c r="N106" s="118"/>
      <c r="O106" s="117"/>
      <c r="P106" s="117"/>
      <c r="Q106" s="118"/>
      <c r="R106" s="118"/>
      <c r="S106" s="117"/>
      <c r="T106" s="117"/>
      <c r="U106" s="118"/>
      <c r="V106" s="118"/>
      <c r="W106" s="117"/>
      <c r="X106" s="117"/>
      <c r="Y106" s="118"/>
      <c r="Z106" s="118"/>
      <c r="AA106" s="117"/>
      <c r="AB106" s="117"/>
      <c r="AC106" s="118"/>
      <c r="AD106" s="118"/>
      <c r="AE106" s="26"/>
      <c r="AF106" s="27"/>
      <c r="AG106" s="28"/>
      <c r="AH106" s="29"/>
    </row>
    <row r="107" spans="1:34" s="11" customFormat="1" x14ac:dyDescent="0.2">
      <c r="A107" s="20" t="str">
        <f t="shared" si="1"/>
        <v/>
      </c>
      <c r="B107" s="25"/>
      <c r="C107" s="116"/>
      <c r="D107" s="116"/>
      <c r="E107" s="31"/>
      <c r="F107" s="133"/>
      <c r="G107" s="117"/>
      <c r="H107" s="117"/>
      <c r="I107" s="118"/>
      <c r="J107" s="118"/>
      <c r="K107" s="117"/>
      <c r="L107" s="117"/>
      <c r="M107" s="118"/>
      <c r="N107" s="118"/>
      <c r="O107" s="117"/>
      <c r="P107" s="117"/>
      <c r="Q107" s="118"/>
      <c r="R107" s="118"/>
      <c r="S107" s="117"/>
      <c r="T107" s="117"/>
      <c r="U107" s="118"/>
      <c r="V107" s="118"/>
      <c r="W107" s="117"/>
      <c r="X107" s="117"/>
      <c r="Y107" s="118"/>
      <c r="Z107" s="118"/>
      <c r="AA107" s="117"/>
      <c r="AB107" s="117"/>
      <c r="AC107" s="118"/>
      <c r="AD107" s="118"/>
      <c r="AE107" s="26"/>
      <c r="AF107" s="27"/>
      <c r="AG107" s="28"/>
      <c r="AH107" s="29"/>
    </row>
    <row r="108" spans="1:34" s="11" customFormat="1" x14ac:dyDescent="0.2">
      <c r="A108" s="20" t="str">
        <f t="shared" si="1"/>
        <v/>
      </c>
      <c r="B108" s="25"/>
      <c r="C108" s="116"/>
      <c r="D108" s="116"/>
      <c r="E108" s="31"/>
      <c r="F108" s="133"/>
      <c r="G108" s="117"/>
      <c r="H108" s="117"/>
      <c r="I108" s="118"/>
      <c r="J108" s="118"/>
      <c r="K108" s="117"/>
      <c r="L108" s="117"/>
      <c r="M108" s="118"/>
      <c r="N108" s="118"/>
      <c r="O108" s="117"/>
      <c r="P108" s="117"/>
      <c r="Q108" s="118"/>
      <c r="R108" s="118"/>
      <c r="S108" s="117"/>
      <c r="T108" s="117"/>
      <c r="U108" s="118"/>
      <c r="V108" s="118"/>
      <c r="W108" s="117"/>
      <c r="X108" s="117"/>
      <c r="Y108" s="118"/>
      <c r="Z108" s="118"/>
      <c r="AA108" s="117"/>
      <c r="AB108" s="117"/>
      <c r="AC108" s="118"/>
      <c r="AD108" s="118"/>
      <c r="AE108" s="26"/>
      <c r="AF108" s="27"/>
      <c r="AG108" s="28"/>
      <c r="AH108" s="29"/>
    </row>
    <row r="109" spans="1:34" s="11" customFormat="1" x14ac:dyDescent="0.2">
      <c r="A109" s="20" t="str">
        <f t="shared" si="1"/>
        <v/>
      </c>
      <c r="B109" s="25"/>
      <c r="C109" s="116"/>
      <c r="D109" s="116"/>
      <c r="E109" s="31"/>
      <c r="F109" s="133"/>
      <c r="G109" s="117"/>
      <c r="H109" s="117"/>
      <c r="I109" s="118"/>
      <c r="J109" s="118"/>
      <c r="K109" s="117"/>
      <c r="L109" s="117"/>
      <c r="M109" s="118"/>
      <c r="N109" s="118"/>
      <c r="O109" s="117"/>
      <c r="P109" s="117"/>
      <c r="Q109" s="118"/>
      <c r="R109" s="118"/>
      <c r="S109" s="117"/>
      <c r="T109" s="117"/>
      <c r="U109" s="118"/>
      <c r="V109" s="118"/>
      <c r="W109" s="117"/>
      <c r="X109" s="117"/>
      <c r="Y109" s="118"/>
      <c r="Z109" s="118"/>
      <c r="AA109" s="117"/>
      <c r="AB109" s="117"/>
      <c r="AC109" s="118"/>
      <c r="AD109" s="118"/>
      <c r="AE109" s="26"/>
      <c r="AF109" s="27"/>
      <c r="AG109" s="28"/>
      <c r="AH109" s="29"/>
    </row>
    <row r="110" spans="1:34" s="11" customFormat="1" x14ac:dyDescent="0.2">
      <c r="A110" s="20" t="str">
        <f t="shared" si="1"/>
        <v/>
      </c>
      <c r="B110" s="25"/>
      <c r="C110" s="116"/>
      <c r="D110" s="116"/>
      <c r="E110" s="31"/>
      <c r="F110" s="133"/>
      <c r="G110" s="117"/>
      <c r="H110" s="117"/>
      <c r="I110" s="118"/>
      <c r="J110" s="118"/>
      <c r="K110" s="117"/>
      <c r="L110" s="117"/>
      <c r="M110" s="118"/>
      <c r="N110" s="118"/>
      <c r="O110" s="117"/>
      <c r="P110" s="117"/>
      <c r="Q110" s="118"/>
      <c r="R110" s="118"/>
      <c r="S110" s="117"/>
      <c r="T110" s="117"/>
      <c r="U110" s="118"/>
      <c r="V110" s="118"/>
      <c r="W110" s="117"/>
      <c r="X110" s="117"/>
      <c r="Y110" s="118"/>
      <c r="Z110" s="118"/>
      <c r="AA110" s="117"/>
      <c r="AB110" s="117"/>
      <c r="AC110" s="118"/>
      <c r="AD110" s="118"/>
      <c r="AE110" s="26"/>
      <c r="AF110" s="27"/>
      <c r="AG110" s="28"/>
      <c r="AH110" s="29"/>
    </row>
    <row r="111" spans="1:34" s="11" customFormat="1" x14ac:dyDescent="0.2">
      <c r="A111" s="20" t="str">
        <f t="shared" si="1"/>
        <v/>
      </c>
      <c r="B111" s="25"/>
      <c r="C111" s="116"/>
      <c r="D111" s="116"/>
      <c r="E111" s="31"/>
      <c r="F111" s="133"/>
      <c r="G111" s="117"/>
      <c r="H111" s="117"/>
      <c r="I111" s="118"/>
      <c r="J111" s="118"/>
      <c r="K111" s="117"/>
      <c r="L111" s="117"/>
      <c r="M111" s="118"/>
      <c r="N111" s="118"/>
      <c r="O111" s="117"/>
      <c r="P111" s="117"/>
      <c r="Q111" s="118"/>
      <c r="R111" s="118"/>
      <c r="S111" s="117"/>
      <c r="T111" s="117"/>
      <c r="U111" s="118"/>
      <c r="V111" s="118"/>
      <c r="W111" s="117"/>
      <c r="X111" s="117"/>
      <c r="Y111" s="118"/>
      <c r="Z111" s="118"/>
      <c r="AA111" s="117"/>
      <c r="AB111" s="117"/>
      <c r="AC111" s="118"/>
      <c r="AD111" s="118"/>
      <c r="AE111" s="26"/>
      <c r="AF111" s="27"/>
      <c r="AG111" s="28"/>
      <c r="AH111" s="29"/>
    </row>
    <row r="112" spans="1:34" s="11" customFormat="1" x14ac:dyDescent="0.2">
      <c r="A112" s="20" t="str">
        <f t="shared" si="1"/>
        <v/>
      </c>
      <c r="B112" s="25"/>
      <c r="C112" s="116"/>
      <c r="D112" s="116"/>
      <c r="E112" s="31"/>
      <c r="F112" s="133"/>
      <c r="G112" s="117"/>
      <c r="H112" s="117"/>
      <c r="I112" s="118"/>
      <c r="J112" s="118"/>
      <c r="K112" s="117"/>
      <c r="L112" s="117"/>
      <c r="M112" s="118"/>
      <c r="N112" s="118"/>
      <c r="O112" s="117"/>
      <c r="P112" s="117"/>
      <c r="Q112" s="118"/>
      <c r="R112" s="118"/>
      <c r="S112" s="117"/>
      <c r="T112" s="117"/>
      <c r="U112" s="118"/>
      <c r="V112" s="118"/>
      <c r="W112" s="117"/>
      <c r="X112" s="117"/>
      <c r="Y112" s="118"/>
      <c r="Z112" s="118"/>
      <c r="AA112" s="117"/>
      <c r="AB112" s="117"/>
      <c r="AC112" s="118"/>
      <c r="AD112" s="118"/>
      <c r="AE112" s="26"/>
      <c r="AF112" s="27"/>
      <c r="AG112" s="28"/>
      <c r="AH112" s="29"/>
    </row>
    <row r="113" spans="1:34" s="11" customFormat="1" x14ac:dyDescent="0.2">
      <c r="A113" s="20" t="str">
        <f t="shared" si="1"/>
        <v/>
      </c>
      <c r="B113" s="25"/>
      <c r="C113" s="116"/>
      <c r="D113" s="116"/>
      <c r="E113" s="31"/>
      <c r="F113" s="133"/>
      <c r="G113" s="117"/>
      <c r="H113" s="117"/>
      <c r="I113" s="118"/>
      <c r="J113" s="118"/>
      <c r="K113" s="117"/>
      <c r="L113" s="117"/>
      <c r="M113" s="118"/>
      <c r="N113" s="118"/>
      <c r="O113" s="117"/>
      <c r="P113" s="117"/>
      <c r="Q113" s="118"/>
      <c r="R113" s="118"/>
      <c r="S113" s="117"/>
      <c r="T113" s="117"/>
      <c r="U113" s="118"/>
      <c r="V113" s="118"/>
      <c r="W113" s="117"/>
      <c r="X113" s="117"/>
      <c r="Y113" s="118"/>
      <c r="Z113" s="118"/>
      <c r="AA113" s="117"/>
      <c r="AB113" s="117"/>
      <c r="AC113" s="118"/>
      <c r="AD113" s="118"/>
      <c r="AE113" s="26"/>
      <c r="AF113" s="27"/>
      <c r="AG113" s="28"/>
      <c r="AH113" s="29"/>
    </row>
    <row r="114" spans="1:34" s="11" customFormat="1" x14ac:dyDescent="0.2">
      <c r="A114" s="20" t="str">
        <f t="shared" si="1"/>
        <v/>
      </c>
      <c r="B114" s="25"/>
      <c r="C114" s="116"/>
      <c r="D114" s="116"/>
      <c r="E114" s="31"/>
      <c r="F114" s="133"/>
      <c r="G114" s="117"/>
      <c r="H114" s="117"/>
      <c r="I114" s="118"/>
      <c r="J114" s="118"/>
      <c r="K114" s="117"/>
      <c r="L114" s="117"/>
      <c r="M114" s="118"/>
      <c r="N114" s="118"/>
      <c r="O114" s="117"/>
      <c r="P114" s="117"/>
      <c r="Q114" s="118"/>
      <c r="R114" s="118"/>
      <c r="S114" s="117"/>
      <c r="T114" s="117"/>
      <c r="U114" s="118"/>
      <c r="V114" s="118"/>
      <c r="W114" s="117"/>
      <c r="X114" s="117"/>
      <c r="Y114" s="118"/>
      <c r="Z114" s="118"/>
      <c r="AA114" s="117"/>
      <c r="AB114" s="117"/>
      <c r="AC114" s="118"/>
      <c r="AD114" s="118"/>
      <c r="AE114" s="26"/>
      <c r="AF114" s="27"/>
      <c r="AG114" s="28"/>
      <c r="AH114" s="29"/>
    </row>
    <row r="115" spans="1:34" s="11" customFormat="1" x14ac:dyDescent="0.2">
      <c r="A115" s="20" t="str">
        <f t="shared" si="1"/>
        <v/>
      </c>
      <c r="B115" s="25"/>
      <c r="C115" s="116"/>
      <c r="D115" s="116"/>
      <c r="E115" s="31"/>
      <c r="F115" s="133"/>
      <c r="G115" s="117"/>
      <c r="H115" s="117"/>
      <c r="I115" s="118"/>
      <c r="J115" s="118"/>
      <c r="K115" s="117"/>
      <c r="L115" s="117"/>
      <c r="M115" s="118"/>
      <c r="N115" s="118"/>
      <c r="O115" s="117"/>
      <c r="P115" s="117"/>
      <c r="Q115" s="118"/>
      <c r="R115" s="118"/>
      <c r="S115" s="117"/>
      <c r="T115" s="117"/>
      <c r="U115" s="118"/>
      <c r="V115" s="118"/>
      <c r="W115" s="117"/>
      <c r="X115" s="117"/>
      <c r="Y115" s="118"/>
      <c r="Z115" s="118"/>
      <c r="AA115" s="117"/>
      <c r="AB115" s="117"/>
      <c r="AC115" s="118"/>
      <c r="AD115" s="118"/>
      <c r="AE115" s="26"/>
      <c r="AF115" s="27"/>
      <c r="AG115" s="28"/>
      <c r="AH115" s="29"/>
    </row>
    <row r="116" spans="1:34" s="11" customFormat="1" x14ac:dyDescent="0.2">
      <c r="A116" s="20" t="str">
        <f t="shared" si="1"/>
        <v/>
      </c>
      <c r="B116" s="25"/>
      <c r="C116" s="116"/>
      <c r="D116" s="116"/>
      <c r="E116" s="31"/>
      <c r="F116" s="133"/>
      <c r="G116" s="117"/>
      <c r="H116" s="117"/>
      <c r="I116" s="118"/>
      <c r="J116" s="118"/>
      <c r="K116" s="117"/>
      <c r="L116" s="117"/>
      <c r="M116" s="118"/>
      <c r="N116" s="118"/>
      <c r="O116" s="117"/>
      <c r="P116" s="117"/>
      <c r="Q116" s="118"/>
      <c r="R116" s="118"/>
      <c r="S116" s="117"/>
      <c r="T116" s="117"/>
      <c r="U116" s="118"/>
      <c r="V116" s="118"/>
      <c r="W116" s="117"/>
      <c r="X116" s="117"/>
      <c r="Y116" s="118"/>
      <c r="Z116" s="118"/>
      <c r="AA116" s="117"/>
      <c r="AB116" s="117"/>
      <c r="AC116" s="118"/>
      <c r="AD116" s="118"/>
      <c r="AE116" s="26"/>
      <c r="AF116" s="27"/>
      <c r="AG116" s="28"/>
      <c r="AH116" s="29"/>
    </row>
    <row r="117" spans="1:34" s="11" customFormat="1" x14ac:dyDescent="0.2">
      <c r="A117" s="20" t="str">
        <f t="shared" si="1"/>
        <v/>
      </c>
      <c r="B117" s="25"/>
      <c r="C117" s="116"/>
      <c r="D117" s="116"/>
      <c r="E117" s="31"/>
      <c r="F117" s="133"/>
      <c r="G117" s="117"/>
      <c r="H117" s="117"/>
      <c r="I117" s="118"/>
      <c r="J117" s="118"/>
      <c r="K117" s="117"/>
      <c r="L117" s="117"/>
      <c r="M117" s="118"/>
      <c r="N117" s="118"/>
      <c r="O117" s="117"/>
      <c r="P117" s="117"/>
      <c r="Q117" s="118"/>
      <c r="R117" s="118"/>
      <c r="S117" s="117"/>
      <c r="T117" s="117"/>
      <c r="U117" s="118"/>
      <c r="V117" s="118"/>
      <c r="W117" s="117"/>
      <c r="X117" s="117"/>
      <c r="Y117" s="118"/>
      <c r="Z117" s="118"/>
      <c r="AA117" s="117"/>
      <c r="AB117" s="117"/>
      <c r="AC117" s="118"/>
      <c r="AD117" s="118"/>
      <c r="AE117" s="26"/>
      <c r="AF117" s="27"/>
      <c r="AG117" s="28"/>
      <c r="AH117" s="29"/>
    </row>
    <row r="118" spans="1:34" s="11" customFormat="1" x14ac:dyDescent="0.2">
      <c r="A118" s="20" t="str">
        <f t="shared" si="1"/>
        <v/>
      </c>
      <c r="B118" s="25"/>
      <c r="C118" s="116"/>
      <c r="D118" s="116"/>
      <c r="E118" s="31"/>
      <c r="F118" s="133"/>
      <c r="G118" s="117"/>
      <c r="H118" s="117"/>
      <c r="I118" s="118"/>
      <c r="J118" s="118"/>
      <c r="K118" s="117"/>
      <c r="L118" s="117"/>
      <c r="M118" s="118"/>
      <c r="N118" s="118"/>
      <c r="O118" s="117"/>
      <c r="P118" s="117"/>
      <c r="Q118" s="118"/>
      <c r="R118" s="118"/>
      <c r="S118" s="117"/>
      <c r="T118" s="117"/>
      <c r="U118" s="118"/>
      <c r="V118" s="118"/>
      <c r="W118" s="117"/>
      <c r="X118" s="117"/>
      <c r="Y118" s="118"/>
      <c r="Z118" s="118"/>
      <c r="AA118" s="117"/>
      <c r="AB118" s="117"/>
      <c r="AC118" s="118"/>
      <c r="AD118" s="118"/>
      <c r="AE118" s="26"/>
      <c r="AF118" s="27"/>
      <c r="AG118" s="28"/>
      <c r="AH118" s="29"/>
    </row>
    <row r="119" spans="1:34" s="11" customFormat="1" x14ac:dyDescent="0.2">
      <c r="A119" s="20" t="str">
        <f t="shared" si="1"/>
        <v/>
      </c>
      <c r="B119" s="25"/>
      <c r="C119" s="116"/>
      <c r="D119" s="116"/>
      <c r="E119" s="31"/>
      <c r="F119" s="133"/>
      <c r="G119" s="117"/>
      <c r="H119" s="117"/>
      <c r="I119" s="118"/>
      <c r="J119" s="118"/>
      <c r="K119" s="117"/>
      <c r="L119" s="117"/>
      <c r="M119" s="118"/>
      <c r="N119" s="118"/>
      <c r="O119" s="117"/>
      <c r="P119" s="117"/>
      <c r="Q119" s="118"/>
      <c r="R119" s="118"/>
      <c r="S119" s="117"/>
      <c r="T119" s="117"/>
      <c r="U119" s="118"/>
      <c r="V119" s="118"/>
      <c r="W119" s="117"/>
      <c r="X119" s="117"/>
      <c r="Y119" s="118"/>
      <c r="Z119" s="118"/>
      <c r="AA119" s="117"/>
      <c r="AB119" s="117"/>
      <c r="AC119" s="118"/>
      <c r="AD119" s="118"/>
      <c r="AE119" s="26"/>
      <c r="AF119" s="27"/>
      <c r="AG119" s="28"/>
      <c r="AH119" s="29"/>
    </row>
    <row r="120" spans="1:34" s="11" customFormat="1" x14ac:dyDescent="0.2">
      <c r="A120" s="20" t="str">
        <f t="shared" si="1"/>
        <v/>
      </c>
      <c r="B120" s="25"/>
      <c r="C120" s="116"/>
      <c r="D120" s="116"/>
      <c r="E120" s="31"/>
      <c r="F120" s="133"/>
      <c r="G120" s="117"/>
      <c r="H120" s="117"/>
      <c r="I120" s="118"/>
      <c r="J120" s="118"/>
      <c r="K120" s="117"/>
      <c r="L120" s="117"/>
      <c r="M120" s="118"/>
      <c r="N120" s="118"/>
      <c r="O120" s="117"/>
      <c r="P120" s="117"/>
      <c r="Q120" s="118"/>
      <c r="R120" s="118"/>
      <c r="S120" s="117"/>
      <c r="T120" s="117"/>
      <c r="U120" s="118"/>
      <c r="V120" s="118"/>
      <c r="W120" s="117"/>
      <c r="X120" s="117"/>
      <c r="Y120" s="118"/>
      <c r="Z120" s="118"/>
      <c r="AA120" s="117"/>
      <c r="AB120" s="117"/>
      <c r="AC120" s="118"/>
      <c r="AD120" s="118"/>
      <c r="AE120" s="26"/>
      <c r="AF120" s="27"/>
      <c r="AG120" s="28"/>
      <c r="AH120" s="29"/>
    </row>
    <row r="121" spans="1:34" s="11" customFormat="1" x14ac:dyDescent="0.2">
      <c r="A121" s="20" t="str">
        <f t="shared" si="1"/>
        <v/>
      </c>
      <c r="B121" s="25"/>
      <c r="C121" s="116"/>
      <c r="D121" s="116"/>
      <c r="E121" s="31"/>
      <c r="F121" s="133"/>
      <c r="G121" s="117"/>
      <c r="H121" s="117"/>
      <c r="I121" s="118"/>
      <c r="J121" s="118"/>
      <c r="K121" s="117"/>
      <c r="L121" s="117"/>
      <c r="M121" s="118"/>
      <c r="N121" s="118"/>
      <c r="O121" s="117"/>
      <c r="P121" s="117"/>
      <c r="Q121" s="118"/>
      <c r="R121" s="118"/>
      <c r="S121" s="117"/>
      <c r="T121" s="117"/>
      <c r="U121" s="118"/>
      <c r="V121" s="118"/>
      <c r="W121" s="117"/>
      <c r="X121" s="117"/>
      <c r="Y121" s="118"/>
      <c r="Z121" s="118"/>
      <c r="AA121" s="117"/>
      <c r="AB121" s="117"/>
      <c r="AC121" s="118"/>
      <c r="AD121" s="118"/>
      <c r="AE121" s="26"/>
      <c r="AF121" s="27"/>
      <c r="AG121" s="28"/>
      <c r="AH121" s="29"/>
    </row>
    <row r="122" spans="1:34" s="11" customFormat="1" x14ac:dyDescent="0.2">
      <c r="A122" s="20" t="str">
        <f t="shared" si="1"/>
        <v/>
      </c>
      <c r="B122" s="25"/>
      <c r="C122" s="116"/>
      <c r="D122" s="116"/>
      <c r="E122" s="31"/>
      <c r="F122" s="133"/>
      <c r="G122" s="117"/>
      <c r="H122" s="117"/>
      <c r="I122" s="118"/>
      <c r="J122" s="118"/>
      <c r="K122" s="117"/>
      <c r="L122" s="117"/>
      <c r="M122" s="118"/>
      <c r="N122" s="118"/>
      <c r="O122" s="117"/>
      <c r="P122" s="117"/>
      <c r="Q122" s="118"/>
      <c r="R122" s="118"/>
      <c r="S122" s="117"/>
      <c r="T122" s="117"/>
      <c r="U122" s="118"/>
      <c r="V122" s="118"/>
      <c r="W122" s="117"/>
      <c r="X122" s="117"/>
      <c r="Y122" s="118"/>
      <c r="Z122" s="118"/>
      <c r="AA122" s="117"/>
      <c r="AB122" s="117"/>
      <c r="AC122" s="118"/>
      <c r="AD122" s="118"/>
      <c r="AE122" s="26"/>
      <c r="AF122" s="27"/>
      <c r="AG122" s="28"/>
      <c r="AH122" s="29"/>
    </row>
    <row r="123" spans="1:34" s="11" customFormat="1" x14ac:dyDescent="0.2">
      <c r="A123" s="20" t="str">
        <f t="shared" si="1"/>
        <v/>
      </c>
      <c r="B123" s="25"/>
      <c r="C123" s="116"/>
      <c r="D123" s="116"/>
      <c r="E123" s="31"/>
      <c r="F123" s="133"/>
      <c r="G123" s="117"/>
      <c r="H123" s="117"/>
      <c r="I123" s="118"/>
      <c r="J123" s="118"/>
      <c r="K123" s="117"/>
      <c r="L123" s="117"/>
      <c r="M123" s="118"/>
      <c r="N123" s="118"/>
      <c r="O123" s="117"/>
      <c r="P123" s="117"/>
      <c r="Q123" s="118"/>
      <c r="R123" s="118"/>
      <c r="S123" s="117"/>
      <c r="T123" s="117"/>
      <c r="U123" s="118"/>
      <c r="V123" s="118"/>
      <c r="W123" s="117"/>
      <c r="X123" s="117"/>
      <c r="Y123" s="118"/>
      <c r="Z123" s="118"/>
      <c r="AA123" s="117"/>
      <c r="AB123" s="117"/>
      <c r="AC123" s="118"/>
      <c r="AD123" s="118"/>
      <c r="AE123" s="26"/>
      <c r="AF123" s="27"/>
      <c r="AG123" s="28"/>
      <c r="AH123" s="29"/>
    </row>
    <row r="124" spans="1:34" s="11" customFormat="1" x14ac:dyDescent="0.2">
      <c r="A124" s="20" t="str">
        <f t="shared" si="1"/>
        <v/>
      </c>
      <c r="B124" s="25"/>
      <c r="C124" s="116"/>
      <c r="D124" s="116"/>
      <c r="E124" s="31"/>
      <c r="F124" s="133"/>
      <c r="G124" s="117"/>
      <c r="H124" s="117"/>
      <c r="I124" s="118"/>
      <c r="J124" s="118"/>
      <c r="K124" s="117"/>
      <c r="L124" s="117"/>
      <c r="M124" s="118"/>
      <c r="N124" s="118"/>
      <c r="O124" s="117"/>
      <c r="P124" s="117"/>
      <c r="Q124" s="118"/>
      <c r="R124" s="118"/>
      <c r="S124" s="117"/>
      <c r="T124" s="117"/>
      <c r="U124" s="118"/>
      <c r="V124" s="118"/>
      <c r="W124" s="117"/>
      <c r="X124" s="117"/>
      <c r="Y124" s="118"/>
      <c r="Z124" s="118"/>
      <c r="AA124" s="117"/>
      <c r="AB124" s="117"/>
      <c r="AC124" s="118"/>
      <c r="AD124" s="118"/>
      <c r="AE124" s="26"/>
      <c r="AF124" s="27"/>
      <c r="AG124" s="28"/>
      <c r="AH124" s="29"/>
    </row>
    <row r="125" spans="1:34" s="11" customFormat="1" x14ac:dyDescent="0.2">
      <c r="A125" s="20" t="str">
        <f t="shared" si="1"/>
        <v/>
      </c>
      <c r="B125" s="25"/>
      <c r="C125" s="116"/>
      <c r="D125" s="116"/>
      <c r="E125" s="31"/>
      <c r="F125" s="133"/>
      <c r="G125" s="117"/>
      <c r="H125" s="117"/>
      <c r="I125" s="118"/>
      <c r="J125" s="118"/>
      <c r="K125" s="117"/>
      <c r="L125" s="117"/>
      <c r="M125" s="118"/>
      <c r="N125" s="118"/>
      <c r="O125" s="117"/>
      <c r="P125" s="117"/>
      <c r="Q125" s="118"/>
      <c r="R125" s="118"/>
      <c r="S125" s="117"/>
      <c r="T125" s="117"/>
      <c r="U125" s="118"/>
      <c r="V125" s="118"/>
      <c r="W125" s="117"/>
      <c r="X125" s="117"/>
      <c r="Y125" s="118"/>
      <c r="Z125" s="118"/>
      <c r="AA125" s="117"/>
      <c r="AB125" s="117"/>
      <c r="AC125" s="118"/>
      <c r="AD125" s="118"/>
      <c r="AE125" s="26"/>
      <c r="AF125" s="27"/>
      <c r="AG125" s="28"/>
      <c r="AH125" s="29"/>
    </row>
    <row r="126" spans="1:34" s="11" customFormat="1" x14ac:dyDescent="0.2">
      <c r="A126" s="20" t="str">
        <f t="shared" si="1"/>
        <v/>
      </c>
      <c r="B126" s="25"/>
      <c r="C126" s="116"/>
      <c r="D126" s="116"/>
      <c r="E126" s="31"/>
      <c r="F126" s="133"/>
      <c r="G126" s="117"/>
      <c r="H126" s="117"/>
      <c r="I126" s="118"/>
      <c r="J126" s="118"/>
      <c r="K126" s="117"/>
      <c r="L126" s="117"/>
      <c r="M126" s="118"/>
      <c r="N126" s="118"/>
      <c r="O126" s="117"/>
      <c r="P126" s="117"/>
      <c r="Q126" s="118"/>
      <c r="R126" s="118"/>
      <c r="S126" s="117"/>
      <c r="T126" s="117"/>
      <c r="U126" s="118"/>
      <c r="V126" s="118"/>
      <c r="W126" s="117"/>
      <c r="X126" s="117"/>
      <c r="Y126" s="118"/>
      <c r="Z126" s="118"/>
      <c r="AA126" s="117"/>
      <c r="AB126" s="117"/>
      <c r="AC126" s="118"/>
      <c r="AD126" s="118"/>
      <c r="AE126" s="26"/>
      <c r="AF126" s="27"/>
      <c r="AG126" s="28"/>
      <c r="AH126" s="29"/>
    </row>
    <row r="127" spans="1:34" s="11" customFormat="1" x14ac:dyDescent="0.2">
      <c r="A127" s="20" t="str">
        <f t="shared" si="1"/>
        <v/>
      </c>
      <c r="B127" s="25"/>
      <c r="C127" s="116"/>
      <c r="D127" s="116"/>
      <c r="E127" s="31"/>
      <c r="F127" s="133"/>
      <c r="G127" s="117"/>
      <c r="H127" s="117"/>
      <c r="I127" s="118"/>
      <c r="J127" s="118"/>
      <c r="K127" s="117"/>
      <c r="L127" s="117"/>
      <c r="M127" s="118"/>
      <c r="N127" s="118"/>
      <c r="O127" s="117"/>
      <c r="P127" s="117"/>
      <c r="Q127" s="118"/>
      <c r="R127" s="118"/>
      <c r="S127" s="117"/>
      <c r="T127" s="117"/>
      <c r="U127" s="118"/>
      <c r="V127" s="118"/>
      <c r="W127" s="117"/>
      <c r="X127" s="117"/>
      <c r="Y127" s="118"/>
      <c r="Z127" s="118"/>
      <c r="AA127" s="117"/>
      <c r="AB127" s="117"/>
      <c r="AC127" s="118"/>
      <c r="AD127" s="118"/>
      <c r="AE127" s="26"/>
      <c r="AF127" s="27"/>
      <c r="AG127" s="28"/>
      <c r="AH127" s="29"/>
    </row>
    <row r="128" spans="1:34" s="11" customFormat="1" x14ac:dyDescent="0.2">
      <c r="A128" s="20" t="str">
        <f t="shared" si="1"/>
        <v/>
      </c>
      <c r="B128" s="25"/>
      <c r="C128" s="116"/>
      <c r="D128" s="116"/>
      <c r="E128" s="31"/>
      <c r="F128" s="133"/>
      <c r="G128" s="117"/>
      <c r="H128" s="117"/>
      <c r="I128" s="118"/>
      <c r="J128" s="118"/>
      <c r="K128" s="117"/>
      <c r="L128" s="117"/>
      <c r="M128" s="118"/>
      <c r="N128" s="118"/>
      <c r="O128" s="117"/>
      <c r="P128" s="117"/>
      <c r="Q128" s="118"/>
      <c r="R128" s="118"/>
      <c r="S128" s="117"/>
      <c r="T128" s="117"/>
      <c r="U128" s="118"/>
      <c r="V128" s="118"/>
      <c r="W128" s="117"/>
      <c r="X128" s="117"/>
      <c r="Y128" s="118"/>
      <c r="Z128" s="118"/>
      <c r="AA128" s="117"/>
      <c r="AB128" s="117"/>
      <c r="AC128" s="118"/>
      <c r="AD128" s="118"/>
      <c r="AE128" s="26"/>
      <c r="AF128" s="27"/>
      <c r="AG128" s="28"/>
      <c r="AH128" s="29"/>
    </row>
    <row r="129" spans="1:34" s="11" customFormat="1" x14ac:dyDescent="0.2">
      <c r="A129" s="20" t="str">
        <f t="shared" si="1"/>
        <v/>
      </c>
      <c r="B129" s="25"/>
      <c r="C129" s="116"/>
      <c r="D129" s="116"/>
      <c r="E129" s="31"/>
      <c r="F129" s="133"/>
      <c r="G129" s="117"/>
      <c r="H129" s="117"/>
      <c r="I129" s="118"/>
      <c r="J129" s="118"/>
      <c r="K129" s="117"/>
      <c r="L129" s="117"/>
      <c r="M129" s="118"/>
      <c r="N129" s="118"/>
      <c r="O129" s="117"/>
      <c r="P129" s="117"/>
      <c r="Q129" s="118"/>
      <c r="R129" s="118"/>
      <c r="S129" s="117"/>
      <c r="T129" s="117"/>
      <c r="U129" s="118"/>
      <c r="V129" s="118"/>
      <c r="W129" s="117"/>
      <c r="X129" s="117"/>
      <c r="Y129" s="118"/>
      <c r="Z129" s="118"/>
      <c r="AA129" s="117"/>
      <c r="AB129" s="117"/>
      <c r="AC129" s="118"/>
      <c r="AD129" s="118"/>
      <c r="AE129" s="26"/>
      <c r="AF129" s="27"/>
      <c r="AG129" s="28"/>
      <c r="AH129" s="29"/>
    </row>
    <row r="130" spans="1:34" s="11" customFormat="1" x14ac:dyDescent="0.2">
      <c r="A130" s="20" t="str">
        <f t="shared" si="1"/>
        <v/>
      </c>
      <c r="B130" s="25"/>
      <c r="C130" s="116"/>
      <c r="D130" s="116"/>
      <c r="E130" s="31"/>
      <c r="F130" s="133"/>
      <c r="G130" s="117"/>
      <c r="H130" s="117"/>
      <c r="I130" s="118"/>
      <c r="J130" s="118"/>
      <c r="K130" s="117"/>
      <c r="L130" s="117"/>
      <c r="M130" s="118"/>
      <c r="N130" s="118"/>
      <c r="O130" s="117"/>
      <c r="P130" s="117"/>
      <c r="Q130" s="118"/>
      <c r="R130" s="118"/>
      <c r="S130" s="117"/>
      <c r="T130" s="117"/>
      <c r="U130" s="118"/>
      <c r="V130" s="118"/>
      <c r="W130" s="117"/>
      <c r="X130" s="117"/>
      <c r="Y130" s="118"/>
      <c r="Z130" s="118"/>
      <c r="AA130" s="117"/>
      <c r="AB130" s="117"/>
      <c r="AC130" s="118"/>
      <c r="AD130" s="118"/>
      <c r="AE130" s="26"/>
      <c r="AF130" s="27"/>
      <c r="AG130" s="28"/>
      <c r="AH130" s="29"/>
    </row>
    <row r="131" spans="1:34" s="11" customFormat="1" x14ac:dyDescent="0.2">
      <c r="A131" s="20" t="str">
        <f t="shared" si="1"/>
        <v/>
      </c>
      <c r="B131" s="25"/>
      <c r="C131" s="116"/>
      <c r="D131" s="116"/>
      <c r="E131" s="31"/>
      <c r="F131" s="133"/>
      <c r="G131" s="117"/>
      <c r="H131" s="117"/>
      <c r="I131" s="118"/>
      <c r="J131" s="118"/>
      <c r="K131" s="117"/>
      <c r="L131" s="117"/>
      <c r="M131" s="118"/>
      <c r="N131" s="118"/>
      <c r="O131" s="117"/>
      <c r="P131" s="117"/>
      <c r="Q131" s="118"/>
      <c r="R131" s="118"/>
      <c r="S131" s="117"/>
      <c r="T131" s="117"/>
      <c r="U131" s="118"/>
      <c r="V131" s="118"/>
      <c r="W131" s="117"/>
      <c r="X131" s="117"/>
      <c r="Y131" s="118"/>
      <c r="Z131" s="118"/>
      <c r="AA131" s="117"/>
      <c r="AB131" s="117"/>
      <c r="AC131" s="118"/>
      <c r="AD131" s="118"/>
      <c r="AE131" s="26"/>
      <c r="AF131" s="27"/>
      <c r="AG131" s="28"/>
      <c r="AH131" s="29"/>
    </row>
    <row r="132" spans="1:34" s="11" customFormat="1" x14ac:dyDescent="0.2">
      <c r="A132" s="20" t="str">
        <f t="shared" si="1"/>
        <v/>
      </c>
      <c r="B132" s="25"/>
      <c r="C132" s="116"/>
      <c r="D132" s="116"/>
      <c r="E132" s="31"/>
      <c r="F132" s="133"/>
      <c r="G132" s="117"/>
      <c r="H132" s="117"/>
      <c r="I132" s="118"/>
      <c r="J132" s="118"/>
      <c r="K132" s="117"/>
      <c r="L132" s="117"/>
      <c r="M132" s="118"/>
      <c r="N132" s="118"/>
      <c r="O132" s="117"/>
      <c r="P132" s="117"/>
      <c r="Q132" s="118"/>
      <c r="R132" s="118"/>
      <c r="S132" s="117"/>
      <c r="T132" s="117"/>
      <c r="U132" s="118"/>
      <c r="V132" s="118"/>
      <c r="W132" s="117"/>
      <c r="X132" s="117"/>
      <c r="Y132" s="118"/>
      <c r="Z132" s="118"/>
      <c r="AA132" s="117"/>
      <c r="AB132" s="117"/>
      <c r="AC132" s="118"/>
      <c r="AD132" s="118"/>
      <c r="AE132" s="26"/>
      <c r="AF132" s="27"/>
      <c r="AG132" s="28"/>
      <c r="AH132" s="29"/>
    </row>
    <row r="133" spans="1:34" s="11" customFormat="1" x14ac:dyDescent="0.2">
      <c r="A133" s="20" t="str">
        <f t="shared" ref="A133:A196" si="2">IF(COUNTA(G133:AD133)/2=0,"",COUNTA(G133:AD133)/2)</f>
        <v/>
      </c>
      <c r="B133" s="25"/>
      <c r="C133" s="116"/>
      <c r="D133" s="116"/>
      <c r="E133" s="31"/>
      <c r="F133" s="133"/>
      <c r="G133" s="117"/>
      <c r="H133" s="117"/>
      <c r="I133" s="118"/>
      <c r="J133" s="118"/>
      <c r="K133" s="117"/>
      <c r="L133" s="117"/>
      <c r="M133" s="118"/>
      <c r="N133" s="118"/>
      <c r="O133" s="117"/>
      <c r="P133" s="117"/>
      <c r="Q133" s="118"/>
      <c r="R133" s="118"/>
      <c r="S133" s="117"/>
      <c r="T133" s="117"/>
      <c r="U133" s="118"/>
      <c r="V133" s="118"/>
      <c r="W133" s="117"/>
      <c r="X133" s="117"/>
      <c r="Y133" s="118"/>
      <c r="Z133" s="118"/>
      <c r="AA133" s="117"/>
      <c r="AB133" s="117"/>
      <c r="AC133" s="118"/>
      <c r="AD133" s="118"/>
      <c r="AE133" s="26"/>
      <c r="AF133" s="27"/>
      <c r="AG133" s="28"/>
      <c r="AH133" s="29"/>
    </row>
    <row r="134" spans="1:34" s="11" customFormat="1" x14ac:dyDescent="0.2">
      <c r="A134" s="20" t="str">
        <f t="shared" si="2"/>
        <v/>
      </c>
      <c r="B134" s="25"/>
      <c r="C134" s="116"/>
      <c r="D134" s="116"/>
      <c r="E134" s="31"/>
      <c r="F134" s="133"/>
      <c r="G134" s="117"/>
      <c r="H134" s="117"/>
      <c r="I134" s="118"/>
      <c r="J134" s="118"/>
      <c r="K134" s="117"/>
      <c r="L134" s="117"/>
      <c r="M134" s="118"/>
      <c r="N134" s="118"/>
      <c r="O134" s="117"/>
      <c r="P134" s="117"/>
      <c r="Q134" s="118"/>
      <c r="R134" s="118"/>
      <c r="S134" s="117"/>
      <c r="T134" s="117"/>
      <c r="U134" s="118"/>
      <c r="V134" s="118"/>
      <c r="W134" s="117"/>
      <c r="X134" s="117"/>
      <c r="Y134" s="118"/>
      <c r="Z134" s="118"/>
      <c r="AA134" s="117"/>
      <c r="AB134" s="117"/>
      <c r="AC134" s="118"/>
      <c r="AD134" s="118"/>
      <c r="AE134" s="26"/>
      <c r="AF134" s="27"/>
      <c r="AG134" s="28"/>
      <c r="AH134" s="29"/>
    </row>
    <row r="135" spans="1:34" s="11" customFormat="1" x14ac:dyDescent="0.2">
      <c r="A135" s="20" t="str">
        <f t="shared" si="2"/>
        <v/>
      </c>
      <c r="B135" s="25"/>
      <c r="C135" s="116"/>
      <c r="D135" s="116"/>
      <c r="E135" s="31"/>
      <c r="F135" s="133"/>
      <c r="G135" s="117"/>
      <c r="H135" s="117"/>
      <c r="I135" s="118"/>
      <c r="J135" s="118"/>
      <c r="K135" s="117"/>
      <c r="L135" s="117"/>
      <c r="M135" s="118"/>
      <c r="N135" s="118"/>
      <c r="O135" s="117"/>
      <c r="P135" s="117"/>
      <c r="Q135" s="118"/>
      <c r="R135" s="118"/>
      <c r="S135" s="117"/>
      <c r="T135" s="117"/>
      <c r="U135" s="118"/>
      <c r="V135" s="118"/>
      <c r="W135" s="117"/>
      <c r="X135" s="117"/>
      <c r="Y135" s="118"/>
      <c r="Z135" s="118"/>
      <c r="AA135" s="117"/>
      <c r="AB135" s="117"/>
      <c r="AC135" s="118"/>
      <c r="AD135" s="118"/>
      <c r="AE135" s="26"/>
      <c r="AF135" s="27"/>
      <c r="AG135" s="28"/>
      <c r="AH135" s="29"/>
    </row>
    <row r="136" spans="1:34" s="11" customFormat="1" x14ac:dyDescent="0.2">
      <c r="A136" s="20" t="str">
        <f t="shared" si="2"/>
        <v/>
      </c>
      <c r="B136" s="25"/>
      <c r="C136" s="116"/>
      <c r="D136" s="116"/>
      <c r="E136" s="31"/>
      <c r="F136" s="133"/>
      <c r="G136" s="117"/>
      <c r="H136" s="117"/>
      <c r="I136" s="118"/>
      <c r="J136" s="118"/>
      <c r="K136" s="117"/>
      <c r="L136" s="117"/>
      <c r="M136" s="118"/>
      <c r="N136" s="118"/>
      <c r="O136" s="117"/>
      <c r="P136" s="117"/>
      <c r="Q136" s="118"/>
      <c r="R136" s="118"/>
      <c r="S136" s="117"/>
      <c r="T136" s="117"/>
      <c r="U136" s="118"/>
      <c r="V136" s="118"/>
      <c r="W136" s="117"/>
      <c r="X136" s="117"/>
      <c r="Y136" s="118"/>
      <c r="Z136" s="118"/>
      <c r="AA136" s="117"/>
      <c r="AB136" s="117"/>
      <c r="AC136" s="118"/>
      <c r="AD136" s="118"/>
      <c r="AE136" s="26"/>
      <c r="AF136" s="27"/>
      <c r="AG136" s="28"/>
      <c r="AH136" s="29"/>
    </row>
    <row r="137" spans="1:34" s="11" customFormat="1" x14ac:dyDescent="0.2">
      <c r="A137" s="20" t="str">
        <f t="shared" si="2"/>
        <v/>
      </c>
      <c r="B137" s="25"/>
      <c r="C137" s="116"/>
      <c r="D137" s="116"/>
      <c r="E137" s="31"/>
      <c r="F137" s="133"/>
      <c r="G137" s="117"/>
      <c r="H137" s="117"/>
      <c r="I137" s="118"/>
      <c r="J137" s="118"/>
      <c r="K137" s="117"/>
      <c r="L137" s="117"/>
      <c r="M137" s="118"/>
      <c r="N137" s="118"/>
      <c r="O137" s="117"/>
      <c r="P137" s="117"/>
      <c r="Q137" s="118"/>
      <c r="R137" s="118"/>
      <c r="S137" s="117"/>
      <c r="T137" s="117"/>
      <c r="U137" s="118"/>
      <c r="V137" s="118"/>
      <c r="W137" s="117"/>
      <c r="X137" s="117"/>
      <c r="Y137" s="118"/>
      <c r="Z137" s="118"/>
      <c r="AA137" s="117"/>
      <c r="AB137" s="117"/>
      <c r="AC137" s="118"/>
      <c r="AD137" s="118"/>
      <c r="AE137" s="26"/>
      <c r="AF137" s="27"/>
      <c r="AG137" s="28"/>
      <c r="AH137" s="29"/>
    </row>
    <row r="138" spans="1:34" s="11" customFormat="1" x14ac:dyDescent="0.2">
      <c r="A138" s="20" t="str">
        <f t="shared" si="2"/>
        <v/>
      </c>
      <c r="B138" s="25"/>
      <c r="C138" s="116"/>
      <c r="D138" s="116"/>
      <c r="E138" s="31"/>
      <c r="F138" s="133"/>
      <c r="G138" s="117"/>
      <c r="H138" s="117"/>
      <c r="I138" s="118"/>
      <c r="J138" s="118"/>
      <c r="K138" s="117"/>
      <c r="L138" s="117"/>
      <c r="M138" s="118"/>
      <c r="N138" s="118"/>
      <c r="O138" s="117"/>
      <c r="P138" s="117"/>
      <c r="Q138" s="118"/>
      <c r="R138" s="118"/>
      <c r="S138" s="117"/>
      <c r="T138" s="117"/>
      <c r="U138" s="118"/>
      <c r="V138" s="118"/>
      <c r="W138" s="117"/>
      <c r="X138" s="117"/>
      <c r="Y138" s="118"/>
      <c r="Z138" s="118"/>
      <c r="AA138" s="117"/>
      <c r="AB138" s="117"/>
      <c r="AC138" s="118"/>
      <c r="AD138" s="118"/>
      <c r="AE138" s="26"/>
      <c r="AF138" s="27"/>
      <c r="AG138" s="28"/>
      <c r="AH138" s="29"/>
    </row>
    <row r="139" spans="1:34" s="11" customFormat="1" x14ac:dyDescent="0.2">
      <c r="A139" s="20" t="str">
        <f t="shared" si="2"/>
        <v/>
      </c>
      <c r="B139" s="25"/>
      <c r="C139" s="116"/>
      <c r="D139" s="116"/>
      <c r="E139" s="31"/>
      <c r="F139" s="133"/>
      <c r="G139" s="117"/>
      <c r="H139" s="117"/>
      <c r="I139" s="118"/>
      <c r="J139" s="118"/>
      <c r="K139" s="117"/>
      <c r="L139" s="117"/>
      <c r="M139" s="118"/>
      <c r="N139" s="118"/>
      <c r="O139" s="117"/>
      <c r="P139" s="117"/>
      <c r="Q139" s="118"/>
      <c r="R139" s="118"/>
      <c r="S139" s="117"/>
      <c r="T139" s="117"/>
      <c r="U139" s="118"/>
      <c r="V139" s="118"/>
      <c r="W139" s="117"/>
      <c r="X139" s="117"/>
      <c r="Y139" s="118"/>
      <c r="Z139" s="118"/>
      <c r="AA139" s="117"/>
      <c r="AB139" s="117"/>
      <c r="AC139" s="118"/>
      <c r="AD139" s="118"/>
      <c r="AE139" s="26"/>
      <c r="AF139" s="27"/>
      <c r="AG139" s="28"/>
      <c r="AH139" s="29"/>
    </row>
    <row r="140" spans="1:34" s="11" customFormat="1" x14ac:dyDescent="0.2">
      <c r="A140" s="20" t="str">
        <f t="shared" si="2"/>
        <v/>
      </c>
      <c r="B140" s="25"/>
      <c r="C140" s="116"/>
      <c r="D140" s="116"/>
      <c r="E140" s="31"/>
      <c r="F140" s="133"/>
      <c r="G140" s="117"/>
      <c r="H140" s="117"/>
      <c r="I140" s="118"/>
      <c r="J140" s="118"/>
      <c r="K140" s="117"/>
      <c r="L140" s="117"/>
      <c r="M140" s="118"/>
      <c r="N140" s="118"/>
      <c r="O140" s="117"/>
      <c r="P140" s="117"/>
      <c r="Q140" s="118"/>
      <c r="R140" s="118"/>
      <c r="S140" s="117"/>
      <c r="T140" s="117"/>
      <c r="U140" s="118"/>
      <c r="V140" s="118"/>
      <c r="W140" s="117"/>
      <c r="X140" s="117"/>
      <c r="Y140" s="118"/>
      <c r="Z140" s="118"/>
      <c r="AA140" s="117"/>
      <c r="AB140" s="117"/>
      <c r="AC140" s="118"/>
      <c r="AD140" s="118"/>
      <c r="AE140" s="26"/>
      <c r="AF140" s="27"/>
      <c r="AG140" s="28"/>
      <c r="AH140" s="29"/>
    </row>
    <row r="141" spans="1:34" s="11" customFormat="1" x14ac:dyDescent="0.2">
      <c r="A141" s="20" t="str">
        <f t="shared" si="2"/>
        <v/>
      </c>
      <c r="B141" s="25"/>
      <c r="C141" s="116"/>
      <c r="D141" s="116"/>
      <c r="E141" s="31"/>
      <c r="F141" s="133"/>
      <c r="G141" s="117"/>
      <c r="H141" s="117"/>
      <c r="I141" s="118"/>
      <c r="J141" s="118"/>
      <c r="K141" s="117"/>
      <c r="L141" s="117"/>
      <c r="M141" s="118"/>
      <c r="N141" s="118"/>
      <c r="O141" s="117"/>
      <c r="P141" s="117"/>
      <c r="Q141" s="118"/>
      <c r="R141" s="118"/>
      <c r="S141" s="117"/>
      <c r="T141" s="117"/>
      <c r="U141" s="118"/>
      <c r="V141" s="118"/>
      <c r="W141" s="117"/>
      <c r="X141" s="117"/>
      <c r="Y141" s="118"/>
      <c r="Z141" s="118"/>
      <c r="AA141" s="117"/>
      <c r="AB141" s="117"/>
      <c r="AC141" s="118"/>
      <c r="AD141" s="118"/>
      <c r="AE141" s="26"/>
      <c r="AF141" s="27"/>
      <c r="AG141" s="28"/>
      <c r="AH141" s="29"/>
    </row>
    <row r="142" spans="1:34" s="11" customFormat="1" x14ac:dyDescent="0.2">
      <c r="A142" s="20" t="str">
        <f t="shared" si="2"/>
        <v/>
      </c>
      <c r="B142" s="25"/>
      <c r="C142" s="116"/>
      <c r="D142" s="116"/>
      <c r="E142" s="31"/>
      <c r="F142" s="133"/>
      <c r="G142" s="117"/>
      <c r="H142" s="117"/>
      <c r="I142" s="118"/>
      <c r="J142" s="118"/>
      <c r="K142" s="117"/>
      <c r="L142" s="117"/>
      <c r="M142" s="118"/>
      <c r="N142" s="118"/>
      <c r="O142" s="117"/>
      <c r="P142" s="117"/>
      <c r="Q142" s="118"/>
      <c r="R142" s="118"/>
      <c r="S142" s="117"/>
      <c r="T142" s="117"/>
      <c r="U142" s="118"/>
      <c r="V142" s="118"/>
      <c r="W142" s="117"/>
      <c r="X142" s="117"/>
      <c r="Y142" s="118"/>
      <c r="Z142" s="118"/>
      <c r="AA142" s="117"/>
      <c r="AB142" s="117"/>
      <c r="AC142" s="118"/>
      <c r="AD142" s="118"/>
      <c r="AE142" s="26"/>
      <c r="AF142" s="27"/>
      <c r="AG142" s="28"/>
      <c r="AH142" s="29"/>
    </row>
    <row r="143" spans="1:34" s="11" customFormat="1" x14ac:dyDescent="0.2">
      <c r="A143" s="20" t="str">
        <f t="shared" si="2"/>
        <v/>
      </c>
      <c r="B143" s="25"/>
      <c r="C143" s="116"/>
      <c r="D143" s="116"/>
      <c r="E143" s="31"/>
      <c r="F143" s="133"/>
      <c r="G143" s="117"/>
      <c r="H143" s="117"/>
      <c r="I143" s="118"/>
      <c r="J143" s="118"/>
      <c r="K143" s="117"/>
      <c r="L143" s="117"/>
      <c r="M143" s="118"/>
      <c r="N143" s="118"/>
      <c r="O143" s="117"/>
      <c r="P143" s="117"/>
      <c r="Q143" s="118"/>
      <c r="R143" s="118"/>
      <c r="S143" s="117"/>
      <c r="T143" s="117"/>
      <c r="U143" s="118"/>
      <c r="V143" s="118"/>
      <c r="W143" s="117"/>
      <c r="X143" s="117"/>
      <c r="Y143" s="118"/>
      <c r="Z143" s="118"/>
      <c r="AA143" s="117"/>
      <c r="AB143" s="117"/>
      <c r="AC143" s="118"/>
      <c r="AD143" s="118"/>
      <c r="AE143" s="26"/>
      <c r="AF143" s="27"/>
      <c r="AG143" s="28"/>
      <c r="AH143" s="29"/>
    </row>
    <row r="144" spans="1:34" s="11" customFormat="1" x14ac:dyDescent="0.2">
      <c r="A144" s="20" t="str">
        <f t="shared" si="2"/>
        <v/>
      </c>
      <c r="B144" s="25"/>
      <c r="C144" s="116"/>
      <c r="D144" s="116"/>
      <c r="E144" s="31"/>
      <c r="F144" s="133"/>
      <c r="G144" s="117"/>
      <c r="H144" s="117"/>
      <c r="I144" s="118"/>
      <c r="J144" s="118"/>
      <c r="K144" s="117"/>
      <c r="L144" s="117"/>
      <c r="M144" s="118"/>
      <c r="N144" s="118"/>
      <c r="O144" s="117"/>
      <c r="P144" s="117"/>
      <c r="Q144" s="118"/>
      <c r="R144" s="118"/>
      <c r="S144" s="117"/>
      <c r="T144" s="117"/>
      <c r="U144" s="118"/>
      <c r="V144" s="118"/>
      <c r="W144" s="117"/>
      <c r="X144" s="117"/>
      <c r="Y144" s="118"/>
      <c r="Z144" s="118"/>
      <c r="AA144" s="117"/>
      <c r="AB144" s="117"/>
      <c r="AC144" s="118"/>
      <c r="AD144" s="118"/>
      <c r="AE144" s="26"/>
      <c r="AF144" s="27"/>
      <c r="AG144" s="28"/>
      <c r="AH144" s="29"/>
    </row>
    <row r="145" spans="1:34" s="11" customFormat="1" x14ac:dyDescent="0.2">
      <c r="A145" s="20" t="str">
        <f t="shared" si="2"/>
        <v/>
      </c>
      <c r="B145" s="25"/>
      <c r="C145" s="116"/>
      <c r="D145" s="116"/>
      <c r="E145" s="31"/>
      <c r="F145" s="133"/>
      <c r="G145" s="117"/>
      <c r="H145" s="117"/>
      <c r="I145" s="118"/>
      <c r="J145" s="118"/>
      <c r="K145" s="117"/>
      <c r="L145" s="117"/>
      <c r="M145" s="118"/>
      <c r="N145" s="118"/>
      <c r="O145" s="117"/>
      <c r="P145" s="117"/>
      <c r="Q145" s="118"/>
      <c r="R145" s="118"/>
      <c r="S145" s="117"/>
      <c r="T145" s="117"/>
      <c r="U145" s="118"/>
      <c r="V145" s="118"/>
      <c r="W145" s="117"/>
      <c r="X145" s="117"/>
      <c r="Y145" s="118"/>
      <c r="Z145" s="118"/>
      <c r="AA145" s="117"/>
      <c r="AB145" s="117"/>
      <c r="AC145" s="118"/>
      <c r="AD145" s="118"/>
      <c r="AE145" s="26"/>
      <c r="AF145" s="27"/>
      <c r="AG145" s="28"/>
      <c r="AH145" s="29"/>
    </row>
    <row r="146" spans="1:34" s="11" customFormat="1" x14ac:dyDescent="0.2">
      <c r="A146" s="20" t="str">
        <f t="shared" si="2"/>
        <v/>
      </c>
      <c r="B146" s="25"/>
      <c r="C146" s="116"/>
      <c r="D146" s="116"/>
      <c r="E146" s="31"/>
      <c r="F146" s="133"/>
      <c r="G146" s="117"/>
      <c r="H146" s="117"/>
      <c r="I146" s="118"/>
      <c r="J146" s="118"/>
      <c r="K146" s="117"/>
      <c r="L146" s="117"/>
      <c r="M146" s="118"/>
      <c r="N146" s="118"/>
      <c r="O146" s="117"/>
      <c r="P146" s="117"/>
      <c r="Q146" s="118"/>
      <c r="R146" s="118"/>
      <c r="S146" s="117"/>
      <c r="T146" s="117"/>
      <c r="U146" s="118"/>
      <c r="V146" s="118"/>
      <c r="W146" s="117"/>
      <c r="X146" s="117"/>
      <c r="Y146" s="118"/>
      <c r="Z146" s="118"/>
      <c r="AA146" s="117"/>
      <c r="AB146" s="117"/>
      <c r="AC146" s="118"/>
      <c r="AD146" s="118"/>
      <c r="AE146" s="26"/>
      <c r="AF146" s="27"/>
      <c r="AG146" s="28"/>
      <c r="AH146" s="29"/>
    </row>
    <row r="147" spans="1:34" s="11" customFormat="1" x14ac:dyDescent="0.2">
      <c r="A147" s="20" t="str">
        <f t="shared" si="2"/>
        <v/>
      </c>
      <c r="B147" s="25"/>
      <c r="C147" s="116"/>
      <c r="D147" s="116"/>
      <c r="E147" s="31"/>
      <c r="F147" s="133"/>
      <c r="G147" s="117"/>
      <c r="H147" s="117"/>
      <c r="I147" s="118"/>
      <c r="J147" s="118"/>
      <c r="K147" s="117"/>
      <c r="L147" s="117"/>
      <c r="M147" s="118"/>
      <c r="N147" s="118"/>
      <c r="O147" s="117"/>
      <c r="P147" s="117"/>
      <c r="Q147" s="118"/>
      <c r="R147" s="118"/>
      <c r="S147" s="117"/>
      <c r="T147" s="117"/>
      <c r="U147" s="118"/>
      <c r="V147" s="118"/>
      <c r="W147" s="117"/>
      <c r="X147" s="117"/>
      <c r="Y147" s="118"/>
      <c r="Z147" s="118"/>
      <c r="AA147" s="117"/>
      <c r="AB147" s="117"/>
      <c r="AC147" s="118"/>
      <c r="AD147" s="118"/>
      <c r="AE147" s="26"/>
      <c r="AF147" s="27"/>
      <c r="AG147" s="28"/>
      <c r="AH147" s="29"/>
    </row>
    <row r="148" spans="1:34" s="11" customFormat="1" x14ac:dyDescent="0.2">
      <c r="A148" s="20" t="str">
        <f t="shared" si="2"/>
        <v/>
      </c>
      <c r="B148" s="25"/>
      <c r="C148" s="116"/>
      <c r="D148" s="116"/>
      <c r="E148" s="31"/>
      <c r="F148" s="133"/>
      <c r="G148" s="117"/>
      <c r="H148" s="117"/>
      <c r="I148" s="118"/>
      <c r="J148" s="118"/>
      <c r="K148" s="117"/>
      <c r="L148" s="117"/>
      <c r="M148" s="118"/>
      <c r="N148" s="118"/>
      <c r="O148" s="117"/>
      <c r="P148" s="117"/>
      <c r="Q148" s="118"/>
      <c r="R148" s="118"/>
      <c r="S148" s="117"/>
      <c r="T148" s="117"/>
      <c r="U148" s="118"/>
      <c r="V148" s="118"/>
      <c r="W148" s="117"/>
      <c r="X148" s="117"/>
      <c r="Y148" s="118"/>
      <c r="Z148" s="118"/>
      <c r="AA148" s="117"/>
      <c r="AB148" s="117"/>
      <c r="AC148" s="118"/>
      <c r="AD148" s="118"/>
      <c r="AE148" s="26"/>
      <c r="AF148" s="27"/>
      <c r="AG148" s="28"/>
      <c r="AH148" s="29"/>
    </row>
    <row r="149" spans="1:34" s="11" customFormat="1" x14ac:dyDescent="0.2">
      <c r="A149" s="20" t="str">
        <f t="shared" si="2"/>
        <v/>
      </c>
      <c r="B149" s="25"/>
      <c r="C149" s="116"/>
      <c r="D149" s="116"/>
      <c r="E149" s="31"/>
      <c r="F149" s="133"/>
      <c r="G149" s="117"/>
      <c r="H149" s="117"/>
      <c r="I149" s="118"/>
      <c r="J149" s="118"/>
      <c r="K149" s="117"/>
      <c r="L149" s="117"/>
      <c r="M149" s="118"/>
      <c r="N149" s="118"/>
      <c r="O149" s="117"/>
      <c r="P149" s="117"/>
      <c r="Q149" s="118"/>
      <c r="R149" s="118"/>
      <c r="S149" s="117"/>
      <c r="T149" s="117"/>
      <c r="U149" s="118"/>
      <c r="V149" s="118"/>
      <c r="W149" s="117"/>
      <c r="X149" s="117"/>
      <c r="Y149" s="118"/>
      <c r="Z149" s="118"/>
      <c r="AA149" s="117"/>
      <c r="AB149" s="117"/>
      <c r="AC149" s="118"/>
      <c r="AD149" s="118"/>
      <c r="AE149" s="26"/>
      <c r="AF149" s="27"/>
      <c r="AG149" s="28"/>
      <c r="AH149" s="29"/>
    </row>
    <row r="150" spans="1:34" s="11" customFormat="1" x14ac:dyDescent="0.2">
      <c r="A150" s="20" t="str">
        <f t="shared" si="2"/>
        <v/>
      </c>
      <c r="B150" s="25"/>
      <c r="C150" s="116"/>
      <c r="D150" s="116"/>
      <c r="E150" s="31"/>
      <c r="F150" s="133"/>
      <c r="G150" s="117"/>
      <c r="H150" s="117"/>
      <c r="I150" s="118"/>
      <c r="J150" s="118"/>
      <c r="K150" s="117"/>
      <c r="L150" s="117"/>
      <c r="M150" s="118"/>
      <c r="N150" s="118"/>
      <c r="O150" s="117"/>
      <c r="P150" s="117"/>
      <c r="Q150" s="118"/>
      <c r="R150" s="118"/>
      <c r="S150" s="117"/>
      <c r="T150" s="117"/>
      <c r="U150" s="118"/>
      <c r="V150" s="118"/>
      <c r="W150" s="117"/>
      <c r="X150" s="117"/>
      <c r="Y150" s="118"/>
      <c r="Z150" s="118"/>
      <c r="AA150" s="117"/>
      <c r="AB150" s="117"/>
      <c r="AC150" s="118"/>
      <c r="AD150" s="118"/>
      <c r="AE150" s="26"/>
      <c r="AF150" s="27"/>
      <c r="AG150" s="28"/>
      <c r="AH150" s="29"/>
    </row>
    <row r="151" spans="1:34" s="11" customFormat="1" x14ac:dyDescent="0.2">
      <c r="A151" s="20" t="str">
        <f t="shared" si="2"/>
        <v/>
      </c>
      <c r="B151" s="25"/>
      <c r="C151" s="116"/>
      <c r="D151" s="116"/>
      <c r="E151" s="31"/>
      <c r="F151" s="133"/>
      <c r="G151" s="117"/>
      <c r="H151" s="117"/>
      <c r="I151" s="118"/>
      <c r="J151" s="118"/>
      <c r="K151" s="117"/>
      <c r="L151" s="117"/>
      <c r="M151" s="118"/>
      <c r="N151" s="118"/>
      <c r="O151" s="117"/>
      <c r="P151" s="117"/>
      <c r="Q151" s="118"/>
      <c r="R151" s="118"/>
      <c r="S151" s="117"/>
      <c r="T151" s="117"/>
      <c r="U151" s="118"/>
      <c r="V151" s="118"/>
      <c r="W151" s="117"/>
      <c r="X151" s="117"/>
      <c r="Y151" s="118"/>
      <c r="Z151" s="118"/>
      <c r="AA151" s="117"/>
      <c r="AB151" s="117"/>
      <c r="AC151" s="118"/>
      <c r="AD151" s="118"/>
      <c r="AE151" s="26"/>
      <c r="AF151" s="27"/>
      <c r="AG151" s="28"/>
      <c r="AH151" s="29"/>
    </row>
    <row r="152" spans="1:34" s="11" customFormat="1" x14ac:dyDescent="0.2">
      <c r="A152" s="20" t="str">
        <f t="shared" si="2"/>
        <v/>
      </c>
      <c r="B152" s="25"/>
      <c r="C152" s="116"/>
      <c r="D152" s="116"/>
      <c r="E152" s="31"/>
      <c r="F152" s="133"/>
      <c r="G152" s="117"/>
      <c r="H152" s="117"/>
      <c r="I152" s="118"/>
      <c r="J152" s="118"/>
      <c r="K152" s="117"/>
      <c r="L152" s="117"/>
      <c r="M152" s="118"/>
      <c r="N152" s="118"/>
      <c r="O152" s="117"/>
      <c r="P152" s="117"/>
      <c r="Q152" s="118"/>
      <c r="R152" s="118"/>
      <c r="S152" s="117"/>
      <c r="T152" s="117"/>
      <c r="U152" s="118"/>
      <c r="V152" s="118"/>
      <c r="W152" s="117"/>
      <c r="X152" s="117"/>
      <c r="Y152" s="118"/>
      <c r="Z152" s="118"/>
      <c r="AA152" s="117"/>
      <c r="AB152" s="117"/>
      <c r="AC152" s="118"/>
      <c r="AD152" s="118"/>
      <c r="AE152" s="26"/>
      <c r="AF152" s="27"/>
      <c r="AG152" s="28"/>
      <c r="AH152" s="29"/>
    </row>
    <row r="153" spans="1:34" s="11" customFormat="1" x14ac:dyDescent="0.2">
      <c r="A153" s="20" t="str">
        <f t="shared" si="2"/>
        <v/>
      </c>
      <c r="B153" s="25"/>
      <c r="C153" s="116"/>
      <c r="D153" s="116"/>
      <c r="E153" s="31"/>
      <c r="F153" s="133"/>
      <c r="G153" s="117"/>
      <c r="H153" s="117"/>
      <c r="I153" s="118"/>
      <c r="J153" s="118"/>
      <c r="K153" s="117"/>
      <c r="L153" s="117"/>
      <c r="M153" s="118"/>
      <c r="N153" s="118"/>
      <c r="O153" s="117"/>
      <c r="P153" s="117"/>
      <c r="Q153" s="118"/>
      <c r="R153" s="118"/>
      <c r="S153" s="117"/>
      <c r="T153" s="117"/>
      <c r="U153" s="118"/>
      <c r="V153" s="118"/>
      <c r="W153" s="117"/>
      <c r="X153" s="117"/>
      <c r="Y153" s="118"/>
      <c r="Z153" s="118"/>
      <c r="AA153" s="117"/>
      <c r="AB153" s="117"/>
      <c r="AC153" s="118"/>
      <c r="AD153" s="118"/>
      <c r="AE153" s="26"/>
      <c r="AF153" s="27"/>
      <c r="AG153" s="28"/>
      <c r="AH153" s="29"/>
    </row>
    <row r="154" spans="1:34" s="11" customFormat="1" x14ac:dyDescent="0.2">
      <c r="A154" s="20" t="str">
        <f t="shared" si="2"/>
        <v/>
      </c>
      <c r="B154" s="25"/>
      <c r="C154" s="116"/>
      <c r="D154" s="116"/>
      <c r="E154" s="31"/>
      <c r="F154" s="133"/>
      <c r="G154" s="117"/>
      <c r="H154" s="117"/>
      <c r="I154" s="118"/>
      <c r="J154" s="118"/>
      <c r="K154" s="117"/>
      <c r="L154" s="117"/>
      <c r="M154" s="118"/>
      <c r="N154" s="118"/>
      <c r="O154" s="117"/>
      <c r="P154" s="117"/>
      <c r="Q154" s="118"/>
      <c r="R154" s="118"/>
      <c r="S154" s="117"/>
      <c r="T154" s="117"/>
      <c r="U154" s="118"/>
      <c r="V154" s="118"/>
      <c r="W154" s="117"/>
      <c r="X154" s="117"/>
      <c r="Y154" s="118"/>
      <c r="Z154" s="118"/>
      <c r="AA154" s="117"/>
      <c r="AB154" s="117"/>
      <c r="AC154" s="118"/>
      <c r="AD154" s="118"/>
      <c r="AE154" s="26"/>
      <c r="AF154" s="27"/>
      <c r="AG154" s="28"/>
      <c r="AH154" s="29"/>
    </row>
    <row r="155" spans="1:34" s="11" customFormat="1" x14ac:dyDescent="0.2">
      <c r="A155" s="20" t="str">
        <f t="shared" si="2"/>
        <v/>
      </c>
      <c r="B155" s="25"/>
      <c r="C155" s="116"/>
      <c r="D155" s="116"/>
      <c r="E155" s="31"/>
      <c r="F155" s="133"/>
      <c r="G155" s="117"/>
      <c r="H155" s="117"/>
      <c r="I155" s="118"/>
      <c r="J155" s="118"/>
      <c r="K155" s="117"/>
      <c r="L155" s="117"/>
      <c r="M155" s="118"/>
      <c r="N155" s="118"/>
      <c r="O155" s="117"/>
      <c r="P155" s="117"/>
      <c r="Q155" s="118"/>
      <c r="R155" s="118"/>
      <c r="S155" s="117"/>
      <c r="T155" s="117"/>
      <c r="U155" s="118"/>
      <c r="V155" s="118"/>
      <c r="W155" s="117"/>
      <c r="X155" s="117"/>
      <c r="Y155" s="118"/>
      <c r="Z155" s="118"/>
      <c r="AA155" s="117"/>
      <c r="AB155" s="117"/>
      <c r="AC155" s="118"/>
      <c r="AD155" s="118"/>
      <c r="AE155" s="26"/>
      <c r="AF155" s="27"/>
      <c r="AG155" s="28"/>
      <c r="AH155" s="29"/>
    </row>
    <row r="156" spans="1:34" s="11" customFormat="1" x14ac:dyDescent="0.2">
      <c r="A156" s="20" t="str">
        <f t="shared" si="2"/>
        <v/>
      </c>
      <c r="B156" s="25"/>
      <c r="C156" s="116"/>
      <c r="D156" s="116"/>
      <c r="E156" s="31"/>
      <c r="F156" s="133"/>
      <c r="G156" s="117"/>
      <c r="H156" s="117"/>
      <c r="I156" s="118"/>
      <c r="J156" s="118"/>
      <c r="K156" s="117"/>
      <c r="L156" s="117"/>
      <c r="M156" s="118"/>
      <c r="N156" s="118"/>
      <c r="O156" s="117"/>
      <c r="P156" s="117"/>
      <c r="Q156" s="118"/>
      <c r="R156" s="118"/>
      <c r="S156" s="117"/>
      <c r="T156" s="117"/>
      <c r="U156" s="118"/>
      <c r="V156" s="118"/>
      <c r="W156" s="117"/>
      <c r="X156" s="117"/>
      <c r="Y156" s="118"/>
      <c r="Z156" s="118"/>
      <c r="AA156" s="117"/>
      <c r="AB156" s="117"/>
      <c r="AC156" s="118"/>
      <c r="AD156" s="118"/>
      <c r="AE156" s="26"/>
      <c r="AF156" s="27"/>
      <c r="AG156" s="28"/>
      <c r="AH156" s="29"/>
    </row>
    <row r="157" spans="1:34" s="11" customFormat="1" x14ac:dyDescent="0.2">
      <c r="A157" s="20" t="str">
        <f t="shared" si="2"/>
        <v/>
      </c>
      <c r="B157" s="25"/>
      <c r="C157" s="116"/>
      <c r="D157" s="116"/>
      <c r="E157" s="31"/>
      <c r="F157" s="133"/>
      <c r="G157" s="117"/>
      <c r="H157" s="117"/>
      <c r="I157" s="118"/>
      <c r="J157" s="118"/>
      <c r="K157" s="117"/>
      <c r="L157" s="117"/>
      <c r="M157" s="118"/>
      <c r="N157" s="118"/>
      <c r="O157" s="117"/>
      <c r="P157" s="117"/>
      <c r="Q157" s="118"/>
      <c r="R157" s="118"/>
      <c r="S157" s="117"/>
      <c r="T157" s="117"/>
      <c r="U157" s="118"/>
      <c r="V157" s="118"/>
      <c r="W157" s="117"/>
      <c r="X157" s="117"/>
      <c r="Y157" s="118"/>
      <c r="Z157" s="118"/>
      <c r="AA157" s="117"/>
      <c r="AB157" s="117"/>
      <c r="AC157" s="118"/>
      <c r="AD157" s="118"/>
      <c r="AE157" s="26"/>
      <c r="AF157" s="27"/>
      <c r="AG157" s="28"/>
      <c r="AH157" s="29"/>
    </row>
    <row r="158" spans="1:34" s="11" customFormat="1" x14ac:dyDescent="0.2">
      <c r="A158" s="20" t="str">
        <f t="shared" si="2"/>
        <v/>
      </c>
      <c r="B158" s="25"/>
      <c r="C158" s="116"/>
      <c r="D158" s="116"/>
      <c r="E158" s="31"/>
      <c r="F158" s="133"/>
      <c r="G158" s="117"/>
      <c r="H158" s="117"/>
      <c r="I158" s="118"/>
      <c r="J158" s="118"/>
      <c r="K158" s="117"/>
      <c r="L158" s="117"/>
      <c r="M158" s="118"/>
      <c r="N158" s="118"/>
      <c r="O158" s="117"/>
      <c r="P158" s="117"/>
      <c r="Q158" s="118"/>
      <c r="R158" s="118"/>
      <c r="S158" s="117"/>
      <c r="T158" s="117"/>
      <c r="U158" s="118"/>
      <c r="V158" s="118"/>
      <c r="W158" s="117"/>
      <c r="X158" s="117"/>
      <c r="Y158" s="118"/>
      <c r="Z158" s="118"/>
      <c r="AA158" s="117"/>
      <c r="AB158" s="117"/>
      <c r="AC158" s="118"/>
      <c r="AD158" s="118"/>
      <c r="AE158" s="26"/>
      <c r="AF158" s="27"/>
      <c r="AG158" s="28"/>
      <c r="AH158" s="29"/>
    </row>
    <row r="159" spans="1:34" s="11" customFormat="1" x14ac:dyDescent="0.2">
      <c r="A159" s="20" t="str">
        <f t="shared" si="2"/>
        <v/>
      </c>
      <c r="B159" s="25"/>
      <c r="C159" s="116"/>
      <c r="D159" s="116"/>
      <c r="E159" s="31"/>
      <c r="F159" s="133"/>
      <c r="G159" s="117"/>
      <c r="H159" s="117"/>
      <c r="I159" s="118"/>
      <c r="J159" s="118"/>
      <c r="K159" s="117"/>
      <c r="L159" s="117"/>
      <c r="M159" s="118"/>
      <c r="N159" s="118"/>
      <c r="O159" s="117"/>
      <c r="P159" s="117"/>
      <c r="Q159" s="118"/>
      <c r="R159" s="118"/>
      <c r="S159" s="117"/>
      <c r="T159" s="117"/>
      <c r="U159" s="118"/>
      <c r="V159" s="118"/>
      <c r="W159" s="117"/>
      <c r="X159" s="117"/>
      <c r="Y159" s="118"/>
      <c r="Z159" s="118"/>
      <c r="AA159" s="117"/>
      <c r="AB159" s="117"/>
      <c r="AC159" s="118"/>
      <c r="AD159" s="118"/>
      <c r="AE159" s="26"/>
      <c r="AF159" s="27"/>
      <c r="AG159" s="28"/>
      <c r="AH159" s="29"/>
    </row>
    <row r="160" spans="1:34" s="11" customFormat="1" x14ac:dyDescent="0.2">
      <c r="A160" s="20" t="str">
        <f t="shared" si="2"/>
        <v/>
      </c>
      <c r="B160" s="25"/>
      <c r="C160" s="116"/>
      <c r="D160" s="116"/>
      <c r="E160" s="31"/>
      <c r="F160" s="133"/>
      <c r="G160" s="117"/>
      <c r="H160" s="117"/>
      <c r="I160" s="118"/>
      <c r="J160" s="118"/>
      <c r="K160" s="117"/>
      <c r="L160" s="117"/>
      <c r="M160" s="118"/>
      <c r="N160" s="118"/>
      <c r="O160" s="117"/>
      <c r="P160" s="117"/>
      <c r="Q160" s="118"/>
      <c r="R160" s="118"/>
      <c r="S160" s="117"/>
      <c r="T160" s="117"/>
      <c r="U160" s="118"/>
      <c r="V160" s="118"/>
      <c r="W160" s="117"/>
      <c r="X160" s="117"/>
      <c r="Y160" s="118"/>
      <c r="Z160" s="118"/>
      <c r="AA160" s="117"/>
      <c r="AB160" s="117"/>
      <c r="AC160" s="118"/>
      <c r="AD160" s="118"/>
      <c r="AE160" s="26"/>
      <c r="AF160" s="27"/>
      <c r="AG160" s="28"/>
      <c r="AH160" s="29"/>
    </row>
    <row r="161" spans="1:34" s="11" customFormat="1" x14ac:dyDescent="0.2">
      <c r="A161" s="20" t="str">
        <f t="shared" si="2"/>
        <v/>
      </c>
      <c r="B161" s="25"/>
      <c r="C161" s="116"/>
      <c r="D161" s="116"/>
      <c r="E161" s="31"/>
      <c r="F161" s="133"/>
      <c r="G161" s="117"/>
      <c r="H161" s="117"/>
      <c r="I161" s="118"/>
      <c r="J161" s="118"/>
      <c r="K161" s="117"/>
      <c r="L161" s="117"/>
      <c r="M161" s="118"/>
      <c r="N161" s="118"/>
      <c r="O161" s="117"/>
      <c r="P161" s="117"/>
      <c r="Q161" s="118"/>
      <c r="R161" s="118"/>
      <c r="S161" s="117"/>
      <c r="T161" s="117"/>
      <c r="U161" s="118"/>
      <c r="V161" s="118"/>
      <c r="W161" s="117"/>
      <c r="X161" s="117"/>
      <c r="Y161" s="118"/>
      <c r="Z161" s="118"/>
      <c r="AA161" s="117"/>
      <c r="AB161" s="117"/>
      <c r="AC161" s="118"/>
      <c r="AD161" s="118"/>
      <c r="AE161" s="26"/>
      <c r="AF161" s="27"/>
      <c r="AG161" s="28"/>
      <c r="AH161" s="29"/>
    </row>
    <row r="162" spans="1:34" s="11" customFormat="1" x14ac:dyDescent="0.2">
      <c r="A162" s="20" t="str">
        <f t="shared" si="2"/>
        <v/>
      </c>
      <c r="B162" s="25"/>
      <c r="C162" s="116"/>
      <c r="D162" s="116"/>
      <c r="E162" s="31"/>
      <c r="F162" s="133"/>
      <c r="G162" s="117"/>
      <c r="H162" s="117"/>
      <c r="I162" s="118"/>
      <c r="J162" s="118"/>
      <c r="K162" s="117"/>
      <c r="L162" s="117"/>
      <c r="M162" s="118"/>
      <c r="N162" s="118"/>
      <c r="O162" s="117"/>
      <c r="P162" s="117"/>
      <c r="Q162" s="118"/>
      <c r="R162" s="118"/>
      <c r="S162" s="117"/>
      <c r="T162" s="117"/>
      <c r="U162" s="118"/>
      <c r="V162" s="118"/>
      <c r="W162" s="117"/>
      <c r="X162" s="117"/>
      <c r="Y162" s="118"/>
      <c r="Z162" s="118"/>
      <c r="AA162" s="117"/>
      <c r="AB162" s="117"/>
      <c r="AC162" s="118"/>
      <c r="AD162" s="118"/>
      <c r="AE162" s="26"/>
      <c r="AF162" s="27"/>
      <c r="AG162" s="28"/>
      <c r="AH162" s="29"/>
    </row>
    <row r="163" spans="1:34" s="11" customFormat="1" x14ac:dyDescent="0.2">
      <c r="A163" s="20" t="str">
        <f t="shared" si="2"/>
        <v/>
      </c>
      <c r="B163" s="25"/>
      <c r="C163" s="116"/>
      <c r="D163" s="116"/>
      <c r="E163" s="31"/>
      <c r="F163" s="133"/>
      <c r="G163" s="117"/>
      <c r="H163" s="117"/>
      <c r="I163" s="118"/>
      <c r="J163" s="118"/>
      <c r="K163" s="117"/>
      <c r="L163" s="117"/>
      <c r="M163" s="118"/>
      <c r="N163" s="118"/>
      <c r="O163" s="117"/>
      <c r="P163" s="117"/>
      <c r="Q163" s="118"/>
      <c r="R163" s="118"/>
      <c r="S163" s="117"/>
      <c r="T163" s="117"/>
      <c r="U163" s="118"/>
      <c r="V163" s="118"/>
      <c r="W163" s="117"/>
      <c r="X163" s="117"/>
      <c r="Y163" s="118"/>
      <c r="Z163" s="118"/>
      <c r="AA163" s="117"/>
      <c r="AB163" s="117"/>
      <c r="AC163" s="118"/>
      <c r="AD163" s="118"/>
      <c r="AE163" s="26"/>
      <c r="AF163" s="27"/>
      <c r="AG163" s="28"/>
      <c r="AH163" s="29"/>
    </row>
    <row r="164" spans="1:34" s="11" customFormat="1" x14ac:dyDescent="0.2">
      <c r="A164" s="20" t="str">
        <f t="shared" si="2"/>
        <v/>
      </c>
      <c r="B164" s="25"/>
      <c r="C164" s="116"/>
      <c r="D164" s="116"/>
      <c r="E164" s="31"/>
      <c r="F164" s="133"/>
      <c r="G164" s="117"/>
      <c r="H164" s="117"/>
      <c r="I164" s="118"/>
      <c r="J164" s="118"/>
      <c r="K164" s="117"/>
      <c r="L164" s="117"/>
      <c r="M164" s="118"/>
      <c r="N164" s="118"/>
      <c r="O164" s="117"/>
      <c r="P164" s="117"/>
      <c r="Q164" s="118"/>
      <c r="R164" s="118"/>
      <c r="S164" s="117"/>
      <c r="T164" s="117"/>
      <c r="U164" s="118"/>
      <c r="V164" s="118"/>
      <c r="W164" s="117"/>
      <c r="X164" s="117"/>
      <c r="Y164" s="118"/>
      <c r="Z164" s="118"/>
      <c r="AA164" s="117"/>
      <c r="AB164" s="117"/>
      <c r="AC164" s="118"/>
      <c r="AD164" s="118"/>
      <c r="AE164" s="26"/>
      <c r="AF164" s="27"/>
      <c r="AG164" s="28"/>
      <c r="AH164" s="29"/>
    </row>
    <row r="165" spans="1:34" s="11" customFormat="1" x14ac:dyDescent="0.2">
      <c r="A165" s="20" t="str">
        <f t="shared" si="2"/>
        <v/>
      </c>
      <c r="B165" s="25"/>
      <c r="C165" s="116"/>
      <c r="D165" s="116"/>
      <c r="E165" s="31"/>
      <c r="F165" s="133"/>
      <c r="G165" s="117"/>
      <c r="H165" s="117"/>
      <c r="I165" s="118"/>
      <c r="J165" s="118"/>
      <c r="K165" s="117"/>
      <c r="L165" s="117"/>
      <c r="M165" s="118"/>
      <c r="N165" s="118"/>
      <c r="O165" s="117"/>
      <c r="P165" s="117"/>
      <c r="Q165" s="118"/>
      <c r="R165" s="118"/>
      <c r="S165" s="117"/>
      <c r="T165" s="117"/>
      <c r="U165" s="118"/>
      <c r="V165" s="118"/>
      <c r="W165" s="117"/>
      <c r="X165" s="117"/>
      <c r="Y165" s="118"/>
      <c r="Z165" s="118"/>
      <c r="AA165" s="117"/>
      <c r="AB165" s="117"/>
      <c r="AC165" s="118"/>
      <c r="AD165" s="118"/>
      <c r="AE165" s="26"/>
      <c r="AF165" s="27"/>
      <c r="AG165" s="28"/>
      <c r="AH165" s="29"/>
    </row>
    <row r="166" spans="1:34" s="11" customFormat="1" x14ac:dyDescent="0.2">
      <c r="A166" s="20" t="str">
        <f t="shared" si="2"/>
        <v/>
      </c>
      <c r="B166" s="25"/>
      <c r="C166" s="116"/>
      <c r="D166" s="116"/>
      <c r="E166" s="31"/>
      <c r="F166" s="133"/>
      <c r="G166" s="117"/>
      <c r="H166" s="117"/>
      <c r="I166" s="118"/>
      <c r="J166" s="118"/>
      <c r="K166" s="117"/>
      <c r="L166" s="117"/>
      <c r="M166" s="118"/>
      <c r="N166" s="118"/>
      <c r="O166" s="117"/>
      <c r="P166" s="117"/>
      <c r="Q166" s="118"/>
      <c r="R166" s="118"/>
      <c r="S166" s="117"/>
      <c r="T166" s="117"/>
      <c r="U166" s="118"/>
      <c r="V166" s="118"/>
      <c r="W166" s="117"/>
      <c r="X166" s="117"/>
      <c r="Y166" s="118"/>
      <c r="Z166" s="118"/>
      <c r="AA166" s="117"/>
      <c r="AB166" s="117"/>
      <c r="AC166" s="118"/>
      <c r="AD166" s="118"/>
      <c r="AE166" s="26"/>
      <c r="AF166" s="27"/>
      <c r="AG166" s="28"/>
      <c r="AH166" s="29"/>
    </row>
    <row r="167" spans="1:34" s="11" customFormat="1" x14ac:dyDescent="0.2">
      <c r="A167" s="20" t="str">
        <f t="shared" si="2"/>
        <v/>
      </c>
      <c r="B167" s="25"/>
      <c r="C167" s="116"/>
      <c r="D167" s="116"/>
      <c r="E167" s="31"/>
      <c r="F167" s="133"/>
      <c r="G167" s="117"/>
      <c r="H167" s="117"/>
      <c r="I167" s="118"/>
      <c r="J167" s="118"/>
      <c r="K167" s="117"/>
      <c r="L167" s="117"/>
      <c r="M167" s="118"/>
      <c r="N167" s="118"/>
      <c r="O167" s="117"/>
      <c r="P167" s="117"/>
      <c r="Q167" s="118"/>
      <c r="R167" s="118"/>
      <c r="S167" s="117"/>
      <c r="T167" s="117"/>
      <c r="U167" s="118"/>
      <c r="V167" s="118"/>
      <c r="W167" s="117"/>
      <c r="X167" s="117"/>
      <c r="Y167" s="118"/>
      <c r="Z167" s="118"/>
      <c r="AA167" s="117"/>
      <c r="AB167" s="117"/>
      <c r="AC167" s="118"/>
      <c r="AD167" s="118"/>
      <c r="AE167" s="26"/>
      <c r="AF167" s="27"/>
      <c r="AG167" s="28"/>
      <c r="AH167" s="29"/>
    </row>
    <row r="168" spans="1:34" s="11" customFormat="1" x14ac:dyDescent="0.2">
      <c r="A168" s="20" t="str">
        <f t="shared" si="2"/>
        <v/>
      </c>
      <c r="B168" s="25"/>
      <c r="C168" s="116"/>
      <c r="D168" s="116"/>
      <c r="E168" s="31"/>
      <c r="F168" s="133"/>
      <c r="G168" s="117"/>
      <c r="H168" s="117"/>
      <c r="I168" s="118"/>
      <c r="J168" s="118"/>
      <c r="K168" s="117"/>
      <c r="L168" s="117"/>
      <c r="M168" s="118"/>
      <c r="N168" s="118"/>
      <c r="O168" s="117"/>
      <c r="P168" s="117"/>
      <c r="Q168" s="118"/>
      <c r="R168" s="118"/>
      <c r="S168" s="117"/>
      <c r="T168" s="117"/>
      <c r="U168" s="118"/>
      <c r="V168" s="118"/>
      <c r="W168" s="117"/>
      <c r="X168" s="117"/>
      <c r="Y168" s="118"/>
      <c r="Z168" s="118"/>
      <c r="AA168" s="117"/>
      <c r="AB168" s="117"/>
      <c r="AC168" s="118"/>
      <c r="AD168" s="118"/>
      <c r="AE168" s="26"/>
      <c r="AF168" s="27"/>
      <c r="AG168" s="28"/>
      <c r="AH168" s="29"/>
    </row>
    <row r="169" spans="1:34" s="11" customFormat="1" x14ac:dyDescent="0.2">
      <c r="A169" s="20" t="str">
        <f t="shared" si="2"/>
        <v/>
      </c>
      <c r="B169" s="25"/>
      <c r="C169" s="116"/>
      <c r="D169" s="116"/>
      <c r="E169" s="31"/>
      <c r="F169" s="133"/>
      <c r="G169" s="117"/>
      <c r="H169" s="117"/>
      <c r="I169" s="118"/>
      <c r="J169" s="118"/>
      <c r="K169" s="117"/>
      <c r="L169" s="117"/>
      <c r="M169" s="118"/>
      <c r="N169" s="118"/>
      <c r="O169" s="117"/>
      <c r="P169" s="117"/>
      <c r="Q169" s="118"/>
      <c r="R169" s="118"/>
      <c r="S169" s="117"/>
      <c r="T169" s="117"/>
      <c r="U169" s="118"/>
      <c r="V169" s="118"/>
      <c r="W169" s="117"/>
      <c r="X169" s="117"/>
      <c r="Y169" s="118"/>
      <c r="Z169" s="118"/>
      <c r="AA169" s="117"/>
      <c r="AB169" s="117"/>
      <c r="AC169" s="118"/>
      <c r="AD169" s="118"/>
      <c r="AE169" s="26"/>
      <c r="AF169" s="27"/>
      <c r="AG169" s="28"/>
      <c r="AH169" s="29"/>
    </row>
    <row r="170" spans="1:34" s="11" customFormat="1" x14ac:dyDescent="0.2">
      <c r="A170" s="20" t="str">
        <f t="shared" si="2"/>
        <v/>
      </c>
      <c r="B170" s="25"/>
      <c r="C170" s="116"/>
      <c r="D170" s="116"/>
      <c r="E170" s="31"/>
      <c r="F170" s="133"/>
      <c r="G170" s="117"/>
      <c r="H170" s="117"/>
      <c r="I170" s="118"/>
      <c r="J170" s="118"/>
      <c r="K170" s="117"/>
      <c r="L170" s="117"/>
      <c r="M170" s="118"/>
      <c r="N170" s="118"/>
      <c r="O170" s="117"/>
      <c r="P170" s="117"/>
      <c r="Q170" s="118"/>
      <c r="R170" s="118"/>
      <c r="S170" s="117"/>
      <c r="T170" s="117"/>
      <c r="U170" s="118"/>
      <c r="V170" s="118"/>
      <c r="W170" s="117"/>
      <c r="X170" s="117"/>
      <c r="Y170" s="118"/>
      <c r="Z170" s="118"/>
      <c r="AA170" s="117"/>
      <c r="AB170" s="117"/>
      <c r="AC170" s="118"/>
      <c r="AD170" s="118"/>
      <c r="AE170" s="26"/>
      <c r="AF170" s="27"/>
      <c r="AG170" s="28"/>
      <c r="AH170" s="29"/>
    </row>
    <row r="171" spans="1:34" s="11" customFormat="1" x14ac:dyDescent="0.2">
      <c r="A171" s="20" t="str">
        <f t="shared" si="2"/>
        <v/>
      </c>
      <c r="B171" s="25"/>
      <c r="C171" s="116"/>
      <c r="D171" s="116"/>
      <c r="E171" s="31"/>
      <c r="F171" s="133"/>
      <c r="G171" s="117"/>
      <c r="H171" s="117"/>
      <c r="I171" s="118"/>
      <c r="J171" s="118"/>
      <c r="K171" s="117"/>
      <c r="L171" s="117"/>
      <c r="M171" s="118"/>
      <c r="N171" s="118"/>
      <c r="O171" s="117"/>
      <c r="P171" s="117"/>
      <c r="Q171" s="118"/>
      <c r="R171" s="118"/>
      <c r="S171" s="117"/>
      <c r="T171" s="117"/>
      <c r="U171" s="118"/>
      <c r="V171" s="118"/>
      <c r="W171" s="117"/>
      <c r="X171" s="117"/>
      <c r="Y171" s="118"/>
      <c r="Z171" s="118"/>
      <c r="AA171" s="117"/>
      <c r="AB171" s="117"/>
      <c r="AC171" s="118"/>
      <c r="AD171" s="118"/>
      <c r="AE171" s="26"/>
      <c r="AF171" s="27"/>
      <c r="AG171" s="28"/>
      <c r="AH171" s="29"/>
    </row>
    <row r="172" spans="1:34" s="11" customFormat="1" x14ac:dyDescent="0.2">
      <c r="A172" s="20" t="str">
        <f t="shared" si="2"/>
        <v/>
      </c>
      <c r="B172" s="25"/>
      <c r="C172" s="116"/>
      <c r="D172" s="116"/>
      <c r="E172" s="31"/>
      <c r="F172" s="133"/>
      <c r="G172" s="117"/>
      <c r="H172" s="117"/>
      <c r="I172" s="118"/>
      <c r="J172" s="118"/>
      <c r="K172" s="117"/>
      <c r="L172" s="117"/>
      <c r="M172" s="118"/>
      <c r="N172" s="118"/>
      <c r="O172" s="117"/>
      <c r="P172" s="117"/>
      <c r="Q172" s="118"/>
      <c r="R172" s="118"/>
      <c r="S172" s="117"/>
      <c r="T172" s="117"/>
      <c r="U172" s="118"/>
      <c r="V172" s="118"/>
      <c r="W172" s="117"/>
      <c r="X172" s="117"/>
      <c r="Y172" s="118"/>
      <c r="Z172" s="118"/>
      <c r="AA172" s="117"/>
      <c r="AB172" s="117"/>
      <c r="AC172" s="118"/>
      <c r="AD172" s="118"/>
      <c r="AE172" s="26"/>
      <c r="AF172" s="27"/>
      <c r="AG172" s="28"/>
      <c r="AH172" s="29"/>
    </row>
    <row r="173" spans="1:34" s="11" customFormat="1" x14ac:dyDescent="0.2">
      <c r="A173" s="20" t="str">
        <f t="shared" si="2"/>
        <v/>
      </c>
      <c r="B173" s="25"/>
      <c r="C173" s="116"/>
      <c r="D173" s="116"/>
      <c r="E173" s="31"/>
      <c r="F173" s="133"/>
      <c r="G173" s="117"/>
      <c r="H173" s="117"/>
      <c r="I173" s="118"/>
      <c r="J173" s="118"/>
      <c r="K173" s="117"/>
      <c r="L173" s="117"/>
      <c r="M173" s="118"/>
      <c r="N173" s="118"/>
      <c r="O173" s="117"/>
      <c r="P173" s="117"/>
      <c r="Q173" s="118"/>
      <c r="R173" s="118"/>
      <c r="S173" s="117"/>
      <c r="T173" s="117"/>
      <c r="U173" s="118"/>
      <c r="V173" s="118"/>
      <c r="W173" s="117"/>
      <c r="X173" s="117"/>
      <c r="Y173" s="118"/>
      <c r="Z173" s="118"/>
      <c r="AA173" s="117"/>
      <c r="AB173" s="117"/>
      <c r="AC173" s="118"/>
      <c r="AD173" s="118"/>
      <c r="AE173" s="26"/>
      <c r="AF173" s="27"/>
      <c r="AG173" s="28"/>
      <c r="AH173" s="29"/>
    </row>
    <row r="174" spans="1:34" s="11" customFormat="1" x14ac:dyDescent="0.2">
      <c r="A174" s="20" t="str">
        <f t="shared" si="2"/>
        <v/>
      </c>
      <c r="B174" s="25"/>
      <c r="C174" s="116"/>
      <c r="D174" s="116"/>
      <c r="E174" s="31"/>
      <c r="F174" s="133"/>
      <c r="G174" s="117"/>
      <c r="H174" s="117"/>
      <c r="I174" s="118"/>
      <c r="J174" s="118"/>
      <c r="K174" s="117"/>
      <c r="L174" s="117"/>
      <c r="M174" s="118"/>
      <c r="N174" s="118"/>
      <c r="O174" s="117"/>
      <c r="P174" s="117"/>
      <c r="Q174" s="118"/>
      <c r="R174" s="118"/>
      <c r="S174" s="117"/>
      <c r="T174" s="117"/>
      <c r="U174" s="118"/>
      <c r="V174" s="118"/>
      <c r="W174" s="117"/>
      <c r="X174" s="117"/>
      <c r="Y174" s="118"/>
      <c r="Z174" s="118"/>
      <c r="AA174" s="117"/>
      <c r="AB174" s="117"/>
      <c r="AC174" s="118"/>
      <c r="AD174" s="118"/>
      <c r="AE174" s="26"/>
      <c r="AF174" s="27"/>
      <c r="AG174" s="28"/>
      <c r="AH174" s="29"/>
    </row>
    <row r="175" spans="1:34" s="11" customFormat="1" x14ac:dyDescent="0.2">
      <c r="A175" s="20" t="str">
        <f t="shared" si="2"/>
        <v/>
      </c>
      <c r="B175" s="25"/>
      <c r="C175" s="116"/>
      <c r="D175" s="116"/>
      <c r="E175" s="31"/>
      <c r="F175" s="133"/>
      <c r="G175" s="117"/>
      <c r="H175" s="117"/>
      <c r="I175" s="118"/>
      <c r="J175" s="118"/>
      <c r="K175" s="117"/>
      <c r="L175" s="117"/>
      <c r="M175" s="118"/>
      <c r="N175" s="118"/>
      <c r="O175" s="117"/>
      <c r="P175" s="117"/>
      <c r="Q175" s="118"/>
      <c r="R175" s="118"/>
      <c r="S175" s="117"/>
      <c r="T175" s="117"/>
      <c r="U175" s="118"/>
      <c r="V175" s="118"/>
      <c r="W175" s="117"/>
      <c r="X175" s="117"/>
      <c r="Y175" s="118"/>
      <c r="Z175" s="118"/>
      <c r="AA175" s="117"/>
      <c r="AB175" s="117"/>
      <c r="AC175" s="118"/>
      <c r="AD175" s="118"/>
      <c r="AE175" s="26"/>
      <c r="AF175" s="27"/>
      <c r="AG175" s="28"/>
      <c r="AH175" s="29"/>
    </row>
    <row r="176" spans="1:34" s="11" customFormat="1" x14ac:dyDescent="0.2">
      <c r="A176" s="20" t="str">
        <f t="shared" si="2"/>
        <v/>
      </c>
      <c r="B176" s="25"/>
      <c r="C176" s="116"/>
      <c r="D176" s="116"/>
      <c r="E176" s="31"/>
      <c r="F176" s="133"/>
      <c r="G176" s="117"/>
      <c r="H176" s="117"/>
      <c r="I176" s="118"/>
      <c r="J176" s="118"/>
      <c r="K176" s="117"/>
      <c r="L176" s="117"/>
      <c r="M176" s="118"/>
      <c r="N176" s="118"/>
      <c r="O176" s="117"/>
      <c r="P176" s="117"/>
      <c r="Q176" s="118"/>
      <c r="R176" s="118"/>
      <c r="S176" s="117"/>
      <c r="T176" s="117"/>
      <c r="U176" s="118"/>
      <c r="V176" s="118"/>
      <c r="W176" s="117"/>
      <c r="X176" s="117"/>
      <c r="Y176" s="118"/>
      <c r="Z176" s="118"/>
      <c r="AA176" s="117"/>
      <c r="AB176" s="117"/>
      <c r="AC176" s="118"/>
      <c r="AD176" s="118"/>
      <c r="AE176" s="26"/>
      <c r="AF176" s="27"/>
      <c r="AG176" s="28"/>
      <c r="AH176" s="29"/>
    </row>
    <row r="177" spans="1:34" s="11" customFormat="1" x14ac:dyDescent="0.2">
      <c r="A177" s="20" t="str">
        <f t="shared" si="2"/>
        <v/>
      </c>
      <c r="B177" s="25"/>
      <c r="C177" s="116"/>
      <c r="D177" s="116"/>
      <c r="E177" s="31"/>
      <c r="F177" s="133"/>
      <c r="G177" s="117"/>
      <c r="H177" s="117"/>
      <c r="I177" s="118"/>
      <c r="J177" s="118"/>
      <c r="K177" s="117"/>
      <c r="L177" s="117"/>
      <c r="M177" s="118"/>
      <c r="N177" s="118"/>
      <c r="O177" s="117"/>
      <c r="P177" s="117"/>
      <c r="Q177" s="118"/>
      <c r="R177" s="118"/>
      <c r="S177" s="117"/>
      <c r="T177" s="117"/>
      <c r="U177" s="118"/>
      <c r="V177" s="118"/>
      <c r="W177" s="117"/>
      <c r="X177" s="117"/>
      <c r="Y177" s="118"/>
      <c r="Z177" s="118"/>
      <c r="AA177" s="117"/>
      <c r="AB177" s="117"/>
      <c r="AC177" s="118"/>
      <c r="AD177" s="118"/>
      <c r="AE177" s="26"/>
      <c r="AF177" s="27"/>
      <c r="AG177" s="28"/>
      <c r="AH177" s="29"/>
    </row>
    <row r="178" spans="1:34" s="11" customFormat="1" x14ac:dyDescent="0.2">
      <c r="A178" s="20" t="str">
        <f t="shared" si="2"/>
        <v/>
      </c>
      <c r="B178" s="25"/>
      <c r="C178" s="116"/>
      <c r="D178" s="116"/>
      <c r="E178" s="31"/>
      <c r="F178" s="133"/>
      <c r="G178" s="117"/>
      <c r="H178" s="117"/>
      <c r="I178" s="118"/>
      <c r="J178" s="118"/>
      <c r="K178" s="117"/>
      <c r="L178" s="117"/>
      <c r="M178" s="118"/>
      <c r="N178" s="118"/>
      <c r="O178" s="117"/>
      <c r="P178" s="117"/>
      <c r="Q178" s="118"/>
      <c r="R178" s="118"/>
      <c r="S178" s="117"/>
      <c r="T178" s="117"/>
      <c r="U178" s="118"/>
      <c r="V178" s="118"/>
      <c r="W178" s="117"/>
      <c r="X178" s="117"/>
      <c r="Y178" s="118"/>
      <c r="Z178" s="118"/>
      <c r="AA178" s="117"/>
      <c r="AB178" s="117"/>
      <c r="AC178" s="118"/>
      <c r="AD178" s="118"/>
      <c r="AE178" s="26"/>
      <c r="AF178" s="27"/>
      <c r="AG178" s="28"/>
      <c r="AH178" s="29"/>
    </row>
    <row r="179" spans="1:34" s="11" customFormat="1" x14ac:dyDescent="0.2">
      <c r="A179" s="20" t="str">
        <f t="shared" si="2"/>
        <v/>
      </c>
      <c r="B179" s="25"/>
      <c r="C179" s="116"/>
      <c r="D179" s="116"/>
      <c r="E179" s="31"/>
      <c r="F179" s="133"/>
      <c r="G179" s="117"/>
      <c r="H179" s="117"/>
      <c r="I179" s="118"/>
      <c r="J179" s="118"/>
      <c r="K179" s="117"/>
      <c r="L179" s="117"/>
      <c r="M179" s="118"/>
      <c r="N179" s="118"/>
      <c r="O179" s="117"/>
      <c r="P179" s="117"/>
      <c r="Q179" s="118"/>
      <c r="R179" s="118"/>
      <c r="S179" s="117"/>
      <c r="T179" s="117"/>
      <c r="U179" s="118"/>
      <c r="V179" s="118"/>
      <c r="W179" s="117"/>
      <c r="X179" s="117"/>
      <c r="Y179" s="118"/>
      <c r="Z179" s="118"/>
      <c r="AA179" s="117"/>
      <c r="AB179" s="117"/>
      <c r="AC179" s="118"/>
      <c r="AD179" s="118"/>
      <c r="AE179" s="26"/>
      <c r="AF179" s="27"/>
      <c r="AG179" s="28"/>
      <c r="AH179" s="29"/>
    </row>
    <row r="180" spans="1:34" s="11" customFormat="1" x14ac:dyDescent="0.2">
      <c r="A180" s="20" t="str">
        <f t="shared" si="2"/>
        <v/>
      </c>
      <c r="B180" s="25"/>
      <c r="C180" s="116"/>
      <c r="D180" s="116"/>
      <c r="E180" s="31"/>
      <c r="F180" s="133"/>
      <c r="G180" s="117"/>
      <c r="H180" s="117"/>
      <c r="I180" s="118"/>
      <c r="J180" s="118"/>
      <c r="K180" s="117"/>
      <c r="L180" s="117"/>
      <c r="M180" s="118"/>
      <c r="N180" s="118"/>
      <c r="O180" s="117"/>
      <c r="P180" s="117"/>
      <c r="Q180" s="118"/>
      <c r="R180" s="118"/>
      <c r="S180" s="117"/>
      <c r="T180" s="117"/>
      <c r="U180" s="118"/>
      <c r="V180" s="118"/>
      <c r="W180" s="117"/>
      <c r="X180" s="117"/>
      <c r="Y180" s="118"/>
      <c r="Z180" s="118"/>
      <c r="AA180" s="117"/>
      <c r="AB180" s="117"/>
      <c r="AC180" s="118"/>
      <c r="AD180" s="118"/>
      <c r="AE180" s="26"/>
      <c r="AF180" s="27"/>
      <c r="AG180" s="28"/>
      <c r="AH180" s="29"/>
    </row>
    <row r="181" spans="1:34" s="11" customFormat="1" x14ac:dyDescent="0.2">
      <c r="A181" s="20" t="str">
        <f t="shared" si="2"/>
        <v/>
      </c>
      <c r="B181" s="25"/>
      <c r="C181" s="116"/>
      <c r="D181" s="116"/>
      <c r="E181" s="31"/>
      <c r="F181" s="133"/>
      <c r="G181" s="117"/>
      <c r="H181" s="117"/>
      <c r="I181" s="118"/>
      <c r="J181" s="118"/>
      <c r="K181" s="117"/>
      <c r="L181" s="117"/>
      <c r="M181" s="118"/>
      <c r="N181" s="118"/>
      <c r="O181" s="117"/>
      <c r="P181" s="117"/>
      <c r="Q181" s="118"/>
      <c r="R181" s="118"/>
      <c r="S181" s="117"/>
      <c r="T181" s="117"/>
      <c r="U181" s="118"/>
      <c r="V181" s="118"/>
      <c r="W181" s="117"/>
      <c r="X181" s="117"/>
      <c r="Y181" s="118"/>
      <c r="Z181" s="118"/>
      <c r="AA181" s="117"/>
      <c r="AB181" s="117"/>
      <c r="AC181" s="118"/>
      <c r="AD181" s="118"/>
      <c r="AE181" s="26"/>
      <c r="AF181" s="27"/>
      <c r="AG181" s="28"/>
      <c r="AH181" s="29"/>
    </row>
    <row r="182" spans="1:34" s="11" customFormat="1" x14ac:dyDescent="0.2">
      <c r="A182" s="20" t="str">
        <f t="shared" si="2"/>
        <v/>
      </c>
      <c r="B182" s="25"/>
      <c r="C182" s="116"/>
      <c r="D182" s="116"/>
      <c r="E182" s="31"/>
      <c r="F182" s="133"/>
      <c r="G182" s="117"/>
      <c r="H182" s="117"/>
      <c r="I182" s="118"/>
      <c r="J182" s="118"/>
      <c r="K182" s="117"/>
      <c r="L182" s="117"/>
      <c r="M182" s="118"/>
      <c r="N182" s="118"/>
      <c r="O182" s="117"/>
      <c r="P182" s="117"/>
      <c r="Q182" s="118"/>
      <c r="R182" s="118"/>
      <c r="S182" s="117"/>
      <c r="T182" s="117"/>
      <c r="U182" s="118"/>
      <c r="V182" s="118"/>
      <c r="W182" s="117"/>
      <c r="X182" s="117"/>
      <c r="Y182" s="118"/>
      <c r="Z182" s="118"/>
      <c r="AA182" s="117"/>
      <c r="AB182" s="117"/>
      <c r="AC182" s="118"/>
      <c r="AD182" s="118"/>
      <c r="AE182" s="26"/>
      <c r="AF182" s="27"/>
      <c r="AG182" s="28"/>
      <c r="AH182" s="29"/>
    </row>
    <row r="183" spans="1:34" s="11" customFormat="1" x14ac:dyDescent="0.2">
      <c r="A183" s="20" t="str">
        <f t="shared" si="2"/>
        <v/>
      </c>
      <c r="B183" s="25"/>
      <c r="C183" s="116"/>
      <c r="D183" s="116"/>
      <c r="E183" s="31"/>
      <c r="F183" s="133"/>
      <c r="G183" s="117"/>
      <c r="H183" s="117"/>
      <c r="I183" s="118"/>
      <c r="J183" s="118"/>
      <c r="K183" s="117"/>
      <c r="L183" s="117"/>
      <c r="M183" s="118"/>
      <c r="N183" s="118"/>
      <c r="O183" s="117"/>
      <c r="P183" s="117"/>
      <c r="Q183" s="118"/>
      <c r="R183" s="118"/>
      <c r="S183" s="117"/>
      <c r="T183" s="117"/>
      <c r="U183" s="118"/>
      <c r="V183" s="118"/>
      <c r="W183" s="117"/>
      <c r="X183" s="117"/>
      <c r="Y183" s="118"/>
      <c r="Z183" s="118"/>
      <c r="AA183" s="117"/>
      <c r="AB183" s="117"/>
      <c r="AC183" s="118"/>
      <c r="AD183" s="118"/>
      <c r="AE183" s="26"/>
      <c r="AF183" s="27"/>
      <c r="AG183" s="28"/>
      <c r="AH183" s="29"/>
    </row>
    <row r="184" spans="1:34" s="11" customFormat="1" x14ac:dyDescent="0.2">
      <c r="A184" s="20" t="str">
        <f t="shared" si="2"/>
        <v/>
      </c>
      <c r="B184" s="25"/>
      <c r="C184" s="116"/>
      <c r="D184" s="116"/>
      <c r="E184" s="31"/>
      <c r="F184" s="133"/>
      <c r="G184" s="117"/>
      <c r="H184" s="117"/>
      <c r="I184" s="118"/>
      <c r="J184" s="118"/>
      <c r="K184" s="117"/>
      <c r="L184" s="117"/>
      <c r="M184" s="118"/>
      <c r="N184" s="118"/>
      <c r="O184" s="117"/>
      <c r="P184" s="117"/>
      <c r="Q184" s="118"/>
      <c r="R184" s="118"/>
      <c r="S184" s="117"/>
      <c r="T184" s="117"/>
      <c r="U184" s="118"/>
      <c r="V184" s="118"/>
      <c r="W184" s="117"/>
      <c r="X184" s="117"/>
      <c r="Y184" s="118"/>
      <c r="Z184" s="118"/>
      <c r="AA184" s="117"/>
      <c r="AB184" s="117"/>
      <c r="AC184" s="118"/>
      <c r="AD184" s="118"/>
      <c r="AE184" s="26"/>
      <c r="AF184" s="27"/>
      <c r="AG184" s="28"/>
      <c r="AH184" s="29"/>
    </row>
    <row r="185" spans="1:34" s="11" customFormat="1" x14ac:dyDescent="0.2">
      <c r="A185" s="20" t="str">
        <f t="shared" si="2"/>
        <v/>
      </c>
      <c r="B185" s="25"/>
      <c r="C185" s="116"/>
      <c r="D185" s="116"/>
      <c r="E185" s="31"/>
      <c r="F185" s="133"/>
      <c r="G185" s="117"/>
      <c r="H185" s="117"/>
      <c r="I185" s="118"/>
      <c r="J185" s="118"/>
      <c r="K185" s="117"/>
      <c r="L185" s="117"/>
      <c r="M185" s="118"/>
      <c r="N185" s="118"/>
      <c r="O185" s="117"/>
      <c r="P185" s="117"/>
      <c r="Q185" s="118"/>
      <c r="R185" s="118"/>
      <c r="S185" s="117"/>
      <c r="T185" s="117"/>
      <c r="U185" s="118"/>
      <c r="V185" s="118"/>
      <c r="W185" s="117"/>
      <c r="X185" s="117"/>
      <c r="Y185" s="118"/>
      <c r="Z185" s="118"/>
      <c r="AA185" s="117"/>
      <c r="AB185" s="117"/>
      <c r="AC185" s="118"/>
      <c r="AD185" s="118"/>
      <c r="AE185" s="26"/>
      <c r="AF185" s="27"/>
      <c r="AG185" s="28"/>
      <c r="AH185" s="29"/>
    </row>
    <row r="186" spans="1:34" s="11" customFormat="1" x14ac:dyDescent="0.2">
      <c r="A186" s="20" t="str">
        <f t="shared" si="2"/>
        <v/>
      </c>
      <c r="B186" s="25"/>
      <c r="C186" s="116"/>
      <c r="D186" s="116"/>
      <c r="E186" s="31"/>
      <c r="F186" s="133"/>
      <c r="G186" s="117"/>
      <c r="H186" s="117"/>
      <c r="I186" s="118"/>
      <c r="J186" s="118"/>
      <c r="K186" s="117"/>
      <c r="L186" s="117"/>
      <c r="M186" s="118"/>
      <c r="N186" s="118"/>
      <c r="O186" s="117"/>
      <c r="P186" s="117"/>
      <c r="Q186" s="118"/>
      <c r="R186" s="118"/>
      <c r="S186" s="117"/>
      <c r="T186" s="117"/>
      <c r="U186" s="118"/>
      <c r="V186" s="118"/>
      <c r="W186" s="117"/>
      <c r="X186" s="117"/>
      <c r="Y186" s="118"/>
      <c r="Z186" s="118"/>
      <c r="AA186" s="117"/>
      <c r="AB186" s="117"/>
      <c r="AC186" s="118"/>
      <c r="AD186" s="118"/>
      <c r="AE186" s="26"/>
      <c r="AF186" s="27"/>
      <c r="AG186" s="28"/>
      <c r="AH186" s="29"/>
    </row>
    <row r="187" spans="1:34" s="11" customFormat="1" x14ac:dyDescent="0.2">
      <c r="A187" s="20" t="str">
        <f t="shared" si="2"/>
        <v/>
      </c>
      <c r="B187" s="25"/>
      <c r="C187" s="116"/>
      <c r="D187" s="116"/>
      <c r="E187" s="31"/>
      <c r="F187" s="133"/>
      <c r="G187" s="117"/>
      <c r="H187" s="117"/>
      <c r="I187" s="118"/>
      <c r="J187" s="118"/>
      <c r="K187" s="117"/>
      <c r="L187" s="117"/>
      <c r="M187" s="118"/>
      <c r="N187" s="118"/>
      <c r="O187" s="117"/>
      <c r="P187" s="117"/>
      <c r="Q187" s="118"/>
      <c r="R187" s="118"/>
      <c r="S187" s="117"/>
      <c r="T187" s="117"/>
      <c r="U187" s="118"/>
      <c r="V187" s="118"/>
      <c r="W187" s="117"/>
      <c r="X187" s="117"/>
      <c r="Y187" s="118"/>
      <c r="Z187" s="118"/>
      <c r="AA187" s="117"/>
      <c r="AB187" s="117"/>
      <c r="AC187" s="118"/>
      <c r="AD187" s="118"/>
      <c r="AE187" s="26"/>
      <c r="AF187" s="27"/>
      <c r="AG187" s="28"/>
      <c r="AH187" s="29"/>
    </row>
    <row r="188" spans="1:34" s="11" customFormat="1" x14ac:dyDescent="0.2">
      <c r="A188" s="20" t="str">
        <f t="shared" si="2"/>
        <v/>
      </c>
      <c r="B188" s="25"/>
      <c r="C188" s="116"/>
      <c r="D188" s="116"/>
      <c r="E188" s="31"/>
      <c r="F188" s="133"/>
      <c r="G188" s="117"/>
      <c r="H188" s="117"/>
      <c r="I188" s="118"/>
      <c r="J188" s="118"/>
      <c r="K188" s="117"/>
      <c r="L188" s="117"/>
      <c r="M188" s="118"/>
      <c r="N188" s="118"/>
      <c r="O188" s="117"/>
      <c r="P188" s="117"/>
      <c r="Q188" s="118"/>
      <c r="R188" s="118"/>
      <c r="S188" s="117"/>
      <c r="T188" s="117"/>
      <c r="U188" s="118"/>
      <c r="V188" s="118"/>
      <c r="W188" s="117"/>
      <c r="X188" s="117"/>
      <c r="Y188" s="118"/>
      <c r="Z188" s="118"/>
      <c r="AA188" s="117"/>
      <c r="AB188" s="117"/>
      <c r="AC188" s="118"/>
      <c r="AD188" s="118"/>
      <c r="AE188" s="26"/>
      <c r="AF188" s="27"/>
      <c r="AG188" s="28"/>
      <c r="AH188" s="29"/>
    </row>
    <row r="189" spans="1:34" s="11" customFormat="1" x14ac:dyDescent="0.2">
      <c r="A189" s="20" t="str">
        <f t="shared" si="2"/>
        <v/>
      </c>
      <c r="B189" s="25"/>
      <c r="C189" s="116"/>
      <c r="D189" s="116"/>
      <c r="E189" s="31"/>
      <c r="F189" s="133"/>
      <c r="G189" s="117"/>
      <c r="H189" s="117"/>
      <c r="I189" s="118"/>
      <c r="J189" s="118"/>
      <c r="K189" s="117"/>
      <c r="L189" s="117"/>
      <c r="M189" s="118"/>
      <c r="N189" s="118"/>
      <c r="O189" s="117"/>
      <c r="P189" s="117"/>
      <c r="Q189" s="118"/>
      <c r="R189" s="118"/>
      <c r="S189" s="117"/>
      <c r="T189" s="117"/>
      <c r="U189" s="118"/>
      <c r="V189" s="118"/>
      <c r="W189" s="117"/>
      <c r="X189" s="117"/>
      <c r="Y189" s="118"/>
      <c r="Z189" s="118"/>
      <c r="AA189" s="117"/>
      <c r="AB189" s="117"/>
      <c r="AC189" s="118"/>
      <c r="AD189" s="118"/>
      <c r="AE189" s="26"/>
      <c r="AF189" s="27"/>
      <c r="AG189" s="28"/>
      <c r="AH189" s="29"/>
    </row>
    <row r="190" spans="1:34" s="11" customFormat="1" x14ac:dyDescent="0.2">
      <c r="A190" s="20" t="str">
        <f t="shared" si="2"/>
        <v/>
      </c>
      <c r="B190" s="25"/>
      <c r="C190" s="116"/>
      <c r="D190" s="116"/>
      <c r="E190" s="31"/>
      <c r="F190" s="133"/>
      <c r="G190" s="117"/>
      <c r="H190" s="117"/>
      <c r="I190" s="118"/>
      <c r="J190" s="118"/>
      <c r="K190" s="117"/>
      <c r="L190" s="117"/>
      <c r="M190" s="118"/>
      <c r="N190" s="118"/>
      <c r="O190" s="117"/>
      <c r="P190" s="117"/>
      <c r="Q190" s="118"/>
      <c r="R190" s="118"/>
      <c r="S190" s="117"/>
      <c r="T190" s="117"/>
      <c r="U190" s="118"/>
      <c r="V190" s="118"/>
      <c r="W190" s="117"/>
      <c r="X190" s="117"/>
      <c r="Y190" s="118"/>
      <c r="Z190" s="118"/>
      <c r="AA190" s="117"/>
      <c r="AB190" s="117"/>
      <c r="AC190" s="118"/>
      <c r="AD190" s="118"/>
      <c r="AE190" s="26"/>
      <c r="AF190" s="27"/>
      <c r="AG190" s="28"/>
      <c r="AH190" s="29"/>
    </row>
    <row r="191" spans="1:34" s="11" customFormat="1" x14ac:dyDescent="0.2">
      <c r="A191" s="20" t="str">
        <f t="shared" si="2"/>
        <v/>
      </c>
      <c r="B191" s="25"/>
      <c r="C191" s="116"/>
      <c r="D191" s="116"/>
      <c r="E191" s="31"/>
      <c r="F191" s="133"/>
      <c r="G191" s="117"/>
      <c r="H191" s="117"/>
      <c r="I191" s="118"/>
      <c r="J191" s="118"/>
      <c r="K191" s="117"/>
      <c r="L191" s="117"/>
      <c r="M191" s="118"/>
      <c r="N191" s="118"/>
      <c r="O191" s="117"/>
      <c r="P191" s="117"/>
      <c r="Q191" s="118"/>
      <c r="R191" s="118"/>
      <c r="S191" s="117"/>
      <c r="T191" s="117"/>
      <c r="U191" s="118"/>
      <c r="V191" s="118"/>
      <c r="W191" s="117"/>
      <c r="X191" s="117"/>
      <c r="Y191" s="118"/>
      <c r="Z191" s="118"/>
      <c r="AA191" s="117"/>
      <c r="AB191" s="117"/>
      <c r="AC191" s="118"/>
      <c r="AD191" s="118"/>
      <c r="AE191" s="26"/>
      <c r="AF191" s="27"/>
      <c r="AG191" s="28"/>
      <c r="AH191" s="29"/>
    </row>
    <row r="192" spans="1:34" s="11" customFormat="1" x14ac:dyDescent="0.2">
      <c r="A192" s="20" t="str">
        <f t="shared" si="2"/>
        <v/>
      </c>
      <c r="B192" s="25"/>
      <c r="C192" s="116"/>
      <c r="D192" s="116"/>
      <c r="E192" s="31"/>
      <c r="F192" s="133"/>
      <c r="G192" s="117"/>
      <c r="H192" s="117"/>
      <c r="I192" s="118"/>
      <c r="J192" s="118"/>
      <c r="K192" s="117"/>
      <c r="L192" s="117"/>
      <c r="M192" s="118"/>
      <c r="N192" s="118"/>
      <c r="O192" s="117"/>
      <c r="P192" s="117"/>
      <c r="Q192" s="118"/>
      <c r="R192" s="118"/>
      <c r="S192" s="117"/>
      <c r="T192" s="117"/>
      <c r="U192" s="118"/>
      <c r="V192" s="118"/>
      <c r="W192" s="117"/>
      <c r="X192" s="117"/>
      <c r="Y192" s="118"/>
      <c r="Z192" s="118"/>
      <c r="AA192" s="117"/>
      <c r="AB192" s="117"/>
      <c r="AC192" s="118"/>
      <c r="AD192" s="118"/>
      <c r="AE192" s="26"/>
      <c r="AF192" s="27"/>
      <c r="AG192" s="28"/>
      <c r="AH192" s="29"/>
    </row>
    <row r="193" spans="1:34" s="11" customFormat="1" x14ac:dyDescent="0.2">
      <c r="A193" s="20" t="str">
        <f t="shared" si="2"/>
        <v/>
      </c>
      <c r="B193" s="25"/>
      <c r="C193" s="116"/>
      <c r="D193" s="116"/>
      <c r="E193" s="31"/>
      <c r="F193" s="133"/>
      <c r="G193" s="117"/>
      <c r="H193" s="117"/>
      <c r="I193" s="118"/>
      <c r="J193" s="118"/>
      <c r="K193" s="117"/>
      <c r="L193" s="117"/>
      <c r="M193" s="118"/>
      <c r="N193" s="118"/>
      <c r="O193" s="117"/>
      <c r="P193" s="117"/>
      <c r="Q193" s="118"/>
      <c r="R193" s="118"/>
      <c r="S193" s="117"/>
      <c r="T193" s="117"/>
      <c r="U193" s="118"/>
      <c r="V193" s="118"/>
      <c r="W193" s="117"/>
      <c r="X193" s="117"/>
      <c r="Y193" s="118"/>
      <c r="Z193" s="118"/>
      <c r="AA193" s="117"/>
      <c r="AB193" s="117"/>
      <c r="AC193" s="118"/>
      <c r="AD193" s="118"/>
      <c r="AE193" s="26"/>
      <c r="AF193" s="27"/>
      <c r="AG193" s="28"/>
      <c r="AH193" s="29"/>
    </row>
    <row r="194" spans="1:34" s="11" customFormat="1" x14ac:dyDescent="0.2">
      <c r="A194" s="20" t="str">
        <f t="shared" si="2"/>
        <v/>
      </c>
      <c r="B194" s="25"/>
      <c r="C194" s="116"/>
      <c r="D194" s="116"/>
      <c r="E194" s="31"/>
      <c r="F194" s="133"/>
      <c r="G194" s="117"/>
      <c r="H194" s="117"/>
      <c r="I194" s="118"/>
      <c r="J194" s="118"/>
      <c r="K194" s="117"/>
      <c r="L194" s="117"/>
      <c r="M194" s="118"/>
      <c r="N194" s="118"/>
      <c r="O194" s="117"/>
      <c r="P194" s="117"/>
      <c r="Q194" s="118"/>
      <c r="R194" s="118"/>
      <c r="S194" s="117"/>
      <c r="T194" s="117"/>
      <c r="U194" s="118"/>
      <c r="V194" s="118"/>
      <c r="W194" s="117"/>
      <c r="X194" s="117"/>
      <c r="Y194" s="118"/>
      <c r="Z194" s="118"/>
      <c r="AA194" s="117"/>
      <c r="AB194" s="117"/>
      <c r="AC194" s="118"/>
      <c r="AD194" s="118"/>
      <c r="AE194" s="26"/>
      <c r="AF194" s="27"/>
      <c r="AG194" s="28"/>
      <c r="AH194" s="29"/>
    </row>
    <row r="195" spans="1:34" s="11" customFormat="1" x14ac:dyDescent="0.2">
      <c r="A195" s="20" t="str">
        <f t="shared" si="2"/>
        <v/>
      </c>
      <c r="B195" s="25"/>
      <c r="C195" s="116"/>
      <c r="D195" s="116"/>
      <c r="E195" s="31"/>
      <c r="F195" s="133"/>
      <c r="G195" s="117"/>
      <c r="H195" s="117"/>
      <c r="I195" s="118"/>
      <c r="J195" s="118"/>
      <c r="K195" s="117"/>
      <c r="L195" s="117"/>
      <c r="M195" s="118"/>
      <c r="N195" s="118"/>
      <c r="O195" s="117"/>
      <c r="P195" s="117"/>
      <c r="Q195" s="118"/>
      <c r="R195" s="118"/>
      <c r="S195" s="117"/>
      <c r="T195" s="117"/>
      <c r="U195" s="118"/>
      <c r="V195" s="118"/>
      <c r="W195" s="117"/>
      <c r="X195" s="117"/>
      <c r="Y195" s="118"/>
      <c r="Z195" s="118"/>
      <c r="AA195" s="117"/>
      <c r="AB195" s="117"/>
      <c r="AC195" s="118"/>
      <c r="AD195" s="118"/>
      <c r="AE195" s="26"/>
      <c r="AF195" s="27"/>
      <c r="AG195" s="28"/>
      <c r="AH195" s="29"/>
    </row>
    <row r="196" spans="1:34" s="11" customFormat="1" x14ac:dyDescent="0.2">
      <c r="A196" s="20" t="str">
        <f t="shared" si="2"/>
        <v/>
      </c>
      <c r="B196" s="25"/>
      <c r="C196" s="116"/>
      <c r="D196" s="116"/>
      <c r="E196" s="31"/>
      <c r="F196" s="133"/>
      <c r="G196" s="117"/>
      <c r="H196" s="117"/>
      <c r="I196" s="118"/>
      <c r="J196" s="118"/>
      <c r="K196" s="117"/>
      <c r="L196" s="117"/>
      <c r="M196" s="118"/>
      <c r="N196" s="118"/>
      <c r="O196" s="117"/>
      <c r="P196" s="117"/>
      <c r="Q196" s="118"/>
      <c r="R196" s="118"/>
      <c r="S196" s="117"/>
      <c r="T196" s="117"/>
      <c r="U196" s="118"/>
      <c r="V196" s="118"/>
      <c r="W196" s="117"/>
      <c r="X196" s="117"/>
      <c r="Y196" s="118"/>
      <c r="Z196" s="118"/>
      <c r="AA196" s="117"/>
      <c r="AB196" s="117"/>
      <c r="AC196" s="118"/>
      <c r="AD196" s="118"/>
      <c r="AE196" s="26"/>
      <c r="AF196" s="27"/>
      <c r="AG196" s="28"/>
      <c r="AH196" s="29"/>
    </row>
    <row r="197" spans="1:34" s="11" customFormat="1" x14ac:dyDescent="0.2">
      <c r="A197" s="20" t="str">
        <f t="shared" ref="A197:A260" si="3">IF(COUNTA(G197:AD197)/2=0,"",COUNTA(G197:AD197)/2)</f>
        <v/>
      </c>
      <c r="B197" s="25"/>
      <c r="C197" s="116"/>
      <c r="D197" s="116"/>
      <c r="E197" s="31"/>
      <c r="F197" s="133"/>
      <c r="G197" s="117"/>
      <c r="H197" s="117"/>
      <c r="I197" s="118"/>
      <c r="J197" s="118"/>
      <c r="K197" s="117"/>
      <c r="L197" s="117"/>
      <c r="M197" s="118"/>
      <c r="N197" s="118"/>
      <c r="O197" s="117"/>
      <c r="P197" s="117"/>
      <c r="Q197" s="118"/>
      <c r="R197" s="118"/>
      <c r="S197" s="117"/>
      <c r="T197" s="117"/>
      <c r="U197" s="118"/>
      <c r="V197" s="118"/>
      <c r="W197" s="117"/>
      <c r="X197" s="117"/>
      <c r="Y197" s="118"/>
      <c r="Z197" s="118"/>
      <c r="AA197" s="117"/>
      <c r="AB197" s="117"/>
      <c r="AC197" s="118"/>
      <c r="AD197" s="118"/>
      <c r="AE197" s="26"/>
      <c r="AF197" s="27"/>
      <c r="AG197" s="28"/>
      <c r="AH197" s="29"/>
    </row>
    <row r="198" spans="1:34" s="11" customFormat="1" x14ac:dyDescent="0.2">
      <c r="A198" s="20" t="str">
        <f t="shared" si="3"/>
        <v/>
      </c>
      <c r="B198" s="25"/>
      <c r="C198" s="116"/>
      <c r="D198" s="116"/>
      <c r="E198" s="31"/>
      <c r="F198" s="133"/>
      <c r="G198" s="117"/>
      <c r="H198" s="117"/>
      <c r="I198" s="118"/>
      <c r="J198" s="118"/>
      <c r="K198" s="117"/>
      <c r="L198" s="117"/>
      <c r="M198" s="118"/>
      <c r="N198" s="118"/>
      <c r="O198" s="117"/>
      <c r="P198" s="117"/>
      <c r="Q198" s="118"/>
      <c r="R198" s="118"/>
      <c r="S198" s="117"/>
      <c r="T198" s="117"/>
      <c r="U198" s="118"/>
      <c r="V198" s="118"/>
      <c r="W198" s="117"/>
      <c r="X198" s="117"/>
      <c r="Y198" s="118"/>
      <c r="Z198" s="118"/>
      <c r="AA198" s="117"/>
      <c r="AB198" s="117"/>
      <c r="AC198" s="118"/>
      <c r="AD198" s="118"/>
      <c r="AE198" s="26"/>
      <c r="AF198" s="27"/>
      <c r="AG198" s="28"/>
      <c r="AH198" s="29"/>
    </row>
    <row r="199" spans="1:34" s="11" customFormat="1" x14ac:dyDescent="0.2">
      <c r="A199" s="20" t="str">
        <f t="shared" si="3"/>
        <v/>
      </c>
      <c r="B199" s="25"/>
      <c r="C199" s="116"/>
      <c r="D199" s="116"/>
      <c r="E199" s="31"/>
      <c r="F199" s="133"/>
      <c r="G199" s="117"/>
      <c r="H199" s="117"/>
      <c r="I199" s="118"/>
      <c r="J199" s="118"/>
      <c r="K199" s="117"/>
      <c r="L199" s="117"/>
      <c r="M199" s="118"/>
      <c r="N199" s="118"/>
      <c r="O199" s="117"/>
      <c r="P199" s="117"/>
      <c r="Q199" s="118"/>
      <c r="R199" s="118"/>
      <c r="S199" s="117"/>
      <c r="T199" s="117"/>
      <c r="U199" s="118"/>
      <c r="V199" s="118"/>
      <c r="W199" s="117"/>
      <c r="X199" s="117"/>
      <c r="Y199" s="118"/>
      <c r="Z199" s="118"/>
      <c r="AA199" s="117"/>
      <c r="AB199" s="117"/>
      <c r="AC199" s="118"/>
      <c r="AD199" s="118"/>
      <c r="AE199" s="26"/>
      <c r="AF199" s="27"/>
      <c r="AG199" s="28"/>
      <c r="AH199" s="29"/>
    </row>
    <row r="200" spans="1:34" s="11" customFormat="1" x14ac:dyDescent="0.2">
      <c r="A200" s="20" t="str">
        <f t="shared" si="3"/>
        <v/>
      </c>
      <c r="B200" s="25"/>
      <c r="C200" s="116"/>
      <c r="D200" s="116"/>
      <c r="E200" s="31"/>
      <c r="F200" s="133"/>
      <c r="G200" s="117"/>
      <c r="H200" s="117"/>
      <c r="I200" s="118"/>
      <c r="J200" s="118"/>
      <c r="K200" s="117"/>
      <c r="L200" s="117"/>
      <c r="M200" s="118"/>
      <c r="N200" s="118"/>
      <c r="O200" s="117"/>
      <c r="P200" s="117"/>
      <c r="Q200" s="118"/>
      <c r="R200" s="118"/>
      <c r="S200" s="117"/>
      <c r="T200" s="117"/>
      <c r="U200" s="118"/>
      <c r="V200" s="118"/>
      <c r="W200" s="117"/>
      <c r="X200" s="117"/>
      <c r="Y200" s="118"/>
      <c r="Z200" s="118"/>
      <c r="AA200" s="117"/>
      <c r="AB200" s="117"/>
      <c r="AC200" s="118"/>
      <c r="AD200" s="118"/>
      <c r="AE200" s="26"/>
      <c r="AF200" s="27"/>
      <c r="AG200" s="28"/>
      <c r="AH200" s="29"/>
    </row>
    <row r="201" spans="1:34" s="11" customFormat="1" x14ac:dyDescent="0.2">
      <c r="A201" s="20" t="str">
        <f t="shared" si="3"/>
        <v/>
      </c>
      <c r="B201" s="25"/>
      <c r="C201" s="116"/>
      <c r="D201" s="116"/>
      <c r="E201" s="31"/>
      <c r="F201" s="133"/>
      <c r="G201" s="117"/>
      <c r="H201" s="117"/>
      <c r="I201" s="118"/>
      <c r="J201" s="118"/>
      <c r="K201" s="117"/>
      <c r="L201" s="117"/>
      <c r="M201" s="118"/>
      <c r="N201" s="118"/>
      <c r="O201" s="117"/>
      <c r="P201" s="117"/>
      <c r="Q201" s="118"/>
      <c r="R201" s="118"/>
      <c r="S201" s="117"/>
      <c r="T201" s="117"/>
      <c r="U201" s="118"/>
      <c r="V201" s="118"/>
      <c r="W201" s="117"/>
      <c r="X201" s="117"/>
      <c r="Y201" s="118"/>
      <c r="Z201" s="118"/>
      <c r="AA201" s="117"/>
      <c r="AB201" s="117"/>
      <c r="AC201" s="118"/>
      <c r="AD201" s="118"/>
      <c r="AE201" s="26"/>
      <c r="AF201" s="27"/>
      <c r="AG201" s="28"/>
      <c r="AH201" s="29"/>
    </row>
    <row r="202" spans="1:34" s="11" customFormat="1" x14ac:dyDescent="0.2">
      <c r="A202" s="20" t="str">
        <f t="shared" si="3"/>
        <v/>
      </c>
      <c r="B202" s="25"/>
      <c r="C202" s="116"/>
      <c r="D202" s="116"/>
      <c r="E202" s="31"/>
      <c r="F202" s="133"/>
      <c r="G202" s="117"/>
      <c r="H202" s="117"/>
      <c r="I202" s="118"/>
      <c r="J202" s="118"/>
      <c r="K202" s="117"/>
      <c r="L202" s="117"/>
      <c r="M202" s="118"/>
      <c r="N202" s="118"/>
      <c r="O202" s="117"/>
      <c r="P202" s="117"/>
      <c r="Q202" s="118"/>
      <c r="R202" s="118"/>
      <c r="S202" s="117"/>
      <c r="T202" s="117"/>
      <c r="U202" s="118"/>
      <c r="V202" s="118"/>
      <c r="W202" s="117"/>
      <c r="X202" s="117"/>
      <c r="Y202" s="118"/>
      <c r="Z202" s="118"/>
      <c r="AA202" s="117"/>
      <c r="AB202" s="117"/>
      <c r="AC202" s="118"/>
      <c r="AD202" s="118"/>
      <c r="AE202" s="26"/>
      <c r="AF202" s="27"/>
      <c r="AG202" s="28"/>
      <c r="AH202" s="29"/>
    </row>
    <row r="203" spans="1:34" s="11" customFormat="1" x14ac:dyDescent="0.2">
      <c r="A203" s="20" t="str">
        <f t="shared" si="3"/>
        <v/>
      </c>
      <c r="B203" s="25"/>
      <c r="C203" s="116"/>
      <c r="D203" s="116"/>
      <c r="E203" s="31"/>
      <c r="F203" s="133"/>
      <c r="G203" s="117"/>
      <c r="H203" s="117"/>
      <c r="I203" s="118"/>
      <c r="J203" s="118"/>
      <c r="K203" s="117"/>
      <c r="L203" s="117"/>
      <c r="M203" s="118"/>
      <c r="N203" s="118"/>
      <c r="O203" s="117"/>
      <c r="P203" s="117"/>
      <c r="Q203" s="118"/>
      <c r="R203" s="118"/>
      <c r="S203" s="117"/>
      <c r="T203" s="117"/>
      <c r="U203" s="118"/>
      <c r="V203" s="118"/>
      <c r="W203" s="117"/>
      <c r="X203" s="117"/>
      <c r="Y203" s="118"/>
      <c r="Z203" s="118"/>
      <c r="AA203" s="117"/>
      <c r="AB203" s="117"/>
      <c r="AC203" s="118"/>
      <c r="AD203" s="118"/>
      <c r="AE203" s="26"/>
      <c r="AF203" s="27"/>
      <c r="AG203" s="28"/>
      <c r="AH203" s="29"/>
    </row>
    <row r="204" spans="1:34" s="11" customFormat="1" x14ac:dyDescent="0.2">
      <c r="A204" s="20" t="str">
        <f t="shared" si="3"/>
        <v/>
      </c>
      <c r="B204" s="25"/>
      <c r="C204" s="116"/>
      <c r="D204" s="116"/>
      <c r="E204" s="31"/>
      <c r="F204" s="133"/>
      <c r="G204" s="117"/>
      <c r="H204" s="117"/>
      <c r="I204" s="118"/>
      <c r="J204" s="118"/>
      <c r="K204" s="117"/>
      <c r="L204" s="117"/>
      <c r="M204" s="118"/>
      <c r="N204" s="118"/>
      <c r="O204" s="117"/>
      <c r="P204" s="117"/>
      <c r="Q204" s="118"/>
      <c r="R204" s="118"/>
      <c r="S204" s="117"/>
      <c r="T204" s="117"/>
      <c r="U204" s="118"/>
      <c r="V204" s="118"/>
      <c r="W204" s="117"/>
      <c r="X204" s="117"/>
      <c r="Y204" s="118"/>
      <c r="Z204" s="118"/>
      <c r="AA204" s="117"/>
      <c r="AB204" s="117"/>
      <c r="AC204" s="118"/>
      <c r="AD204" s="118"/>
      <c r="AE204" s="26"/>
      <c r="AF204" s="27"/>
      <c r="AG204" s="28"/>
      <c r="AH204" s="29"/>
    </row>
    <row r="205" spans="1:34" s="11" customFormat="1" x14ac:dyDescent="0.2">
      <c r="A205" s="20" t="str">
        <f t="shared" si="3"/>
        <v/>
      </c>
      <c r="B205" s="25"/>
      <c r="C205" s="116"/>
      <c r="D205" s="116"/>
      <c r="E205" s="31"/>
      <c r="F205" s="133"/>
      <c r="G205" s="117"/>
      <c r="H205" s="117"/>
      <c r="I205" s="118"/>
      <c r="J205" s="118"/>
      <c r="K205" s="117"/>
      <c r="L205" s="117"/>
      <c r="M205" s="118"/>
      <c r="N205" s="118"/>
      <c r="O205" s="117"/>
      <c r="P205" s="117"/>
      <c r="Q205" s="118"/>
      <c r="R205" s="118"/>
      <c r="S205" s="117"/>
      <c r="T205" s="117"/>
      <c r="U205" s="118"/>
      <c r="V205" s="118"/>
      <c r="W205" s="117"/>
      <c r="X205" s="117"/>
      <c r="Y205" s="118"/>
      <c r="Z205" s="118"/>
      <c r="AA205" s="117"/>
      <c r="AB205" s="117"/>
      <c r="AC205" s="118"/>
      <c r="AD205" s="118"/>
      <c r="AE205" s="26"/>
      <c r="AF205" s="27"/>
      <c r="AG205" s="28"/>
      <c r="AH205" s="29"/>
    </row>
    <row r="206" spans="1:34" s="11" customFormat="1" x14ac:dyDescent="0.2">
      <c r="A206" s="20" t="str">
        <f t="shared" si="3"/>
        <v/>
      </c>
      <c r="B206" s="25"/>
      <c r="C206" s="116"/>
      <c r="D206" s="116"/>
      <c r="E206" s="31"/>
      <c r="F206" s="133"/>
      <c r="G206" s="117"/>
      <c r="H206" s="117"/>
      <c r="I206" s="118"/>
      <c r="J206" s="118"/>
      <c r="K206" s="117"/>
      <c r="L206" s="117"/>
      <c r="M206" s="118"/>
      <c r="N206" s="118"/>
      <c r="O206" s="117"/>
      <c r="P206" s="117"/>
      <c r="Q206" s="118"/>
      <c r="R206" s="118"/>
      <c r="S206" s="117"/>
      <c r="T206" s="117"/>
      <c r="U206" s="118"/>
      <c r="V206" s="118"/>
      <c r="W206" s="117"/>
      <c r="X206" s="117"/>
      <c r="Y206" s="118"/>
      <c r="Z206" s="118"/>
      <c r="AA206" s="117"/>
      <c r="AB206" s="117"/>
      <c r="AC206" s="118"/>
      <c r="AD206" s="118"/>
      <c r="AE206" s="26"/>
      <c r="AF206" s="27"/>
      <c r="AG206" s="28"/>
      <c r="AH206" s="29"/>
    </row>
    <row r="207" spans="1:34" s="11" customFormat="1" x14ac:dyDescent="0.2">
      <c r="A207" s="20" t="str">
        <f t="shared" si="3"/>
        <v/>
      </c>
      <c r="B207" s="25"/>
      <c r="C207" s="116"/>
      <c r="D207" s="116"/>
      <c r="E207" s="31"/>
      <c r="F207" s="133"/>
      <c r="G207" s="117"/>
      <c r="H207" s="117"/>
      <c r="I207" s="118"/>
      <c r="J207" s="118"/>
      <c r="K207" s="117"/>
      <c r="L207" s="117"/>
      <c r="M207" s="118"/>
      <c r="N207" s="118"/>
      <c r="O207" s="117"/>
      <c r="P207" s="117"/>
      <c r="Q207" s="118"/>
      <c r="R207" s="118"/>
      <c r="S207" s="117"/>
      <c r="T207" s="117"/>
      <c r="U207" s="118"/>
      <c r="V207" s="118"/>
      <c r="W207" s="117"/>
      <c r="X207" s="117"/>
      <c r="Y207" s="118"/>
      <c r="Z207" s="118"/>
      <c r="AA207" s="117"/>
      <c r="AB207" s="117"/>
      <c r="AC207" s="118"/>
      <c r="AD207" s="118"/>
      <c r="AE207" s="26"/>
      <c r="AF207" s="27"/>
      <c r="AG207" s="28"/>
      <c r="AH207" s="29"/>
    </row>
    <row r="208" spans="1:34" s="11" customFormat="1" x14ac:dyDescent="0.2">
      <c r="A208" s="20" t="str">
        <f t="shared" si="3"/>
        <v/>
      </c>
      <c r="B208" s="25"/>
      <c r="C208" s="116"/>
      <c r="D208" s="116"/>
      <c r="E208" s="31"/>
      <c r="F208" s="133"/>
      <c r="G208" s="117"/>
      <c r="H208" s="117"/>
      <c r="I208" s="118"/>
      <c r="J208" s="118"/>
      <c r="K208" s="117"/>
      <c r="L208" s="117"/>
      <c r="M208" s="118"/>
      <c r="N208" s="118"/>
      <c r="O208" s="117"/>
      <c r="P208" s="117"/>
      <c r="Q208" s="118"/>
      <c r="R208" s="118"/>
      <c r="S208" s="117"/>
      <c r="T208" s="117"/>
      <c r="U208" s="118"/>
      <c r="V208" s="118"/>
      <c r="W208" s="117"/>
      <c r="X208" s="117"/>
      <c r="Y208" s="118"/>
      <c r="Z208" s="118"/>
      <c r="AA208" s="117"/>
      <c r="AB208" s="117"/>
      <c r="AC208" s="118"/>
      <c r="AD208" s="118"/>
      <c r="AE208" s="26"/>
      <c r="AF208" s="27"/>
      <c r="AG208" s="28"/>
      <c r="AH208" s="29"/>
    </row>
    <row r="209" spans="1:34" s="11" customFormat="1" x14ac:dyDescent="0.2">
      <c r="A209" s="20" t="str">
        <f t="shared" si="3"/>
        <v/>
      </c>
      <c r="B209" s="25"/>
      <c r="C209" s="116"/>
      <c r="D209" s="116"/>
      <c r="E209" s="31"/>
      <c r="F209" s="133"/>
      <c r="G209" s="117"/>
      <c r="H209" s="117"/>
      <c r="I209" s="118"/>
      <c r="J209" s="118"/>
      <c r="K209" s="117"/>
      <c r="L209" s="117"/>
      <c r="M209" s="118"/>
      <c r="N209" s="118"/>
      <c r="O209" s="117"/>
      <c r="P209" s="117"/>
      <c r="Q209" s="118"/>
      <c r="R209" s="118"/>
      <c r="S209" s="117"/>
      <c r="T209" s="117"/>
      <c r="U209" s="118"/>
      <c r="V209" s="118"/>
      <c r="W209" s="117"/>
      <c r="X209" s="117"/>
      <c r="Y209" s="118"/>
      <c r="Z209" s="118"/>
      <c r="AA209" s="117"/>
      <c r="AB209" s="117"/>
      <c r="AC209" s="118"/>
      <c r="AD209" s="118"/>
      <c r="AE209" s="26"/>
      <c r="AF209" s="27"/>
      <c r="AG209" s="28"/>
      <c r="AH209" s="29"/>
    </row>
    <row r="210" spans="1:34" s="11" customFormat="1" x14ac:dyDescent="0.2">
      <c r="A210" s="20" t="str">
        <f t="shared" si="3"/>
        <v/>
      </c>
      <c r="B210" s="25"/>
      <c r="C210" s="116"/>
      <c r="D210" s="116"/>
      <c r="E210" s="31"/>
      <c r="F210" s="133"/>
      <c r="G210" s="117"/>
      <c r="H210" s="117"/>
      <c r="I210" s="118"/>
      <c r="J210" s="118"/>
      <c r="K210" s="117"/>
      <c r="L210" s="117"/>
      <c r="M210" s="118"/>
      <c r="N210" s="118"/>
      <c r="O210" s="117"/>
      <c r="P210" s="117"/>
      <c r="Q210" s="118"/>
      <c r="R210" s="118"/>
      <c r="S210" s="117"/>
      <c r="T210" s="117"/>
      <c r="U210" s="118"/>
      <c r="V210" s="118"/>
      <c r="W210" s="117"/>
      <c r="X210" s="117"/>
      <c r="Y210" s="118"/>
      <c r="Z210" s="118"/>
      <c r="AA210" s="117"/>
      <c r="AB210" s="117"/>
      <c r="AC210" s="118"/>
      <c r="AD210" s="118"/>
      <c r="AE210" s="26"/>
      <c r="AF210" s="27"/>
      <c r="AG210" s="28"/>
      <c r="AH210" s="29"/>
    </row>
    <row r="211" spans="1:34" s="11" customFormat="1" x14ac:dyDescent="0.2">
      <c r="A211" s="20" t="str">
        <f t="shared" si="3"/>
        <v/>
      </c>
      <c r="B211" s="25"/>
      <c r="C211" s="116"/>
      <c r="D211" s="116"/>
      <c r="E211" s="31"/>
      <c r="F211" s="133"/>
      <c r="G211" s="117"/>
      <c r="H211" s="117"/>
      <c r="I211" s="118"/>
      <c r="J211" s="118"/>
      <c r="K211" s="117"/>
      <c r="L211" s="117"/>
      <c r="M211" s="118"/>
      <c r="N211" s="118"/>
      <c r="O211" s="117"/>
      <c r="P211" s="117"/>
      <c r="Q211" s="118"/>
      <c r="R211" s="118"/>
      <c r="S211" s="117"/>
      <c r="T211" s="117"/>
      <c r="U211" s="118"/>
      <c r="V211" s="118"/>
      <c r="W211" s="117"/>
      <c r="X211" s="117"/>
      <c r="Y211" s="118"/>
      <c r="Z211" s="118"/>
      <c r="AA211" s="117"/>
      <c r="AB211" s="117"/>
      <c r="AC211" s="118"/>
      <c r="AD211" s="118"/>
      <c r="AE211" s="26"/>
      <c r="AF211" s="27"/>
      <c r="AG211" s="28"/>
      <c r="AH211" s="29"/>
    </row>
    <row r="212" spans="1:34" s="11" customFormat="1" x14ac:dyDescent="0.2">
      <c r="A212" s="20" t="str">
        <f t="shared" si="3"/>
        <v/>
      </c>
      <c r="B212" s="25"/>
      <c r="C212" s="116"/>
      <c r="D212" s="116"/>
      <c r="E212" s="31"/>
      <c r="F212" s="133"/>
      <c r="G212" s="117"/>
      <c r="H212" s="117"/>
      <c r="I212" s="118"/>
      <c r="J212" s="118"/>
      <c r="K212" s="117"/>
      <c r="L212" s="117"/>
      <c r="M212" s="118"/>
      <c r="N212" s="118"/>
      <c r="O212" s="117"/>
      <c r="P212" s="117"/>
      <c r="Q212" s="118"/>
      <c r="R212" s="118"/>
      <c r="S212" s="117"/>
      <c r="T212" s="117"/>
      <c r="U212" s="118"/>
      <c r="V212" s="118"/>
      <c r="W212" s="117"/>
      <c r="X212" s="117"/>
      <c r="Y212" s="118"/>
      <c r="Z212" s="118"/>
      <c r="AA212" s="117"/>
      <c r="AB212" s="117"/>
      <c r="AC212" s="118"/>
      <c r="AD212" s="118"/>
      <c r="AE212" s="26"/>
      <c r="AF212" s="27"/>
      <c r="AG212" s="28"/>
      <c r="AH212" s="29"/>
    </row>
    <row r="213" spans="1:34" s="11" customFormat="1" x14ac:dyDescent="0.2">
      <c r="A213" s="20" t="str">
        <f t="shared" si="3"/>
        <v/>
      </c>
      <c r="B213" s="25"/>
      <c r="C213" s="116"/>
      <c r="D213" s="116"/>
      <c r="E213" s="31"/>
      <c r="F213" s="133"/>
      <c r="G213" s="117"/>
      <c r="H213" s="117"/>
      <c r="I213" s="118"/>
      <c r="J213" s="118"/>
      <c r="K213" s="117"/>
      <c r="L213" s="117"/>
      <c r="M213" s="118"/>
      <c r="N213" s="118"/>
      <c r="O213" s="117"/>
      <c r="P213" s="117"/>
      <c r="Q213" s="118"/>
      <c r="R213" s="118"/>
      <c r="S213" s="117"/>
      <c r="T213" s="117"/>
      <c r="U213" s="118"/>
      <c r="V213" s="118"/>
      <c r="W213" s="117"/>
      <c r="X213" s="117"/>
      <c r="Y213" s="118"/>
      <c r="Z213" s="118"/>
      <c r="AA213" s="117"/>
      <c r="AB213" s="117"/>
      <c r="AC213" s="118"/>
      <c r="AD213" s="118"/>
      <c r="AE213" s="26"/>
      <c r="AF213" s="27"/>
      <c r="AG213" s="28"/>
      <c r="AH213" s="29"/>
    </row>
    <row r="214" spans="1:34" s="11" customFormat="1" x14ac:dyDescent="0.2">
      <c r="A214" s="20" t="str">
        <f t="shared" si="3"/>
        <v/>
      </c>
      <c r="B214" s="25"/>
      <c r="C214" s="116"/>
      <c r="D214" s="116"/>
      <c r="E214" s="31"/>
      <c r="F214" s="133"/>
      <c r="G214" s="117"/>
      <c r="H214" s="117"/>
      <c r="I214" s="118"/>
      <c r="J214" s="118"/>
      <c r="K214" s="117"/>
      <c r="L214" s="117"/>
      <c r="M214" s="118"/>
      <c r="N214" s="118"/>
      <c r="O214" s="117"/>
      <c r="P214" s="117"/>
      <c r="Q214" s="118"/>
      <c r="R214" s="118"/>
      <c r="S214" s="117"/>
      <c r="T214" s="117"/>
      <c r="U214" s="118"/>
      <c r="V214" s="118"/>
      <c r="W214" s="117"/>
      <c r="X214" s="117"/>
      <c r="Y214" s="118"/>
      <c r="Z214" s="118"/>
      <c r="AA214" s="117"/>
      <c r="AB214" s="117"/>
      <c r="AC214" s="118"/>
      <c r="AD214" s="118"/>
      <c r="AE214" s="26"/>
      <c r="AF214" s="27"/>
      <c r="AG214" s="28"/>
      <c r="AH214" s="29"/>
    </row>
    <row r="215" spans="1:34" s="11" customFormat="1" x14ac:dyDescent="0.2">
      <c r="A215" s="20" t="str">
        <f t="shared" si="3"/>
        <v/>
      </c>
      <c r="B215" s="25"/>
      <c r="C215" s="116"/>
      <c r="D215" s="116"/>
      <c r="E215" s="31"/>
      <c r="F215" s="133"/>
      <c r="G215" s="117"/>
      <c r="H215" s="117"/>
      <c r="I215" s="118"/>
      <c r="J215" s="118"/>
      <c r="K215" s="117"/>
      <c r="L215" s="117"/>
      <c r="M215" s="118"/>
      <c r="N215" s="118"/>
      <c r="O215" s="117"/>
      <c r="P215" s="117"/>
      <c r="Q215" s="118"/>
      <c r="R215" s="118"/>
      <c r="S215" s="117"/>
      <c r="T215" s="117"/>
      <c r="U215" s="118"/>
      <c r="V215" s="118"/>
      <c r="W215" s="117"/>
      <c r="X215" s="117"/>
      <c r="Y215" s="118"/>
      <c r="Z215" s="118"/>
      <c r="AA215" s="117"/>
      <c r="AB215" s="117"/>
      <c r="AC215" s="118"/>
      <c r="AD215" s="118"/>
      <c r="AE215" s="26"/>
      <c r="AF215" s="27"/>
      <c r="AG215" s="28"/>
      <c r="AH215" s="29"/>
    </row>
    <row r="216" spans="1:34" s="11" customFormat="1" x14ac:dyDescent="0.2">
      <c r="A216" s="20" t="str">
        <f t="shared" si="3"/>
        <v/>
      </c>
      <c r="B216" s="25"/>
      <c r="C216" s="116"/>
      <c r="D216" s="116"/>
      <c r="E216" s="31"/>
      <c r="F216" s="133"/>
      <c r="G216" s="117"/>
      <c r="H216" s="117"/>
      <c r="I216" s="118"/>
      <c r="J216" s="118"/>
      <c r="K216" s="117"/>
      <c r="L216" s="117"/>
      <c r="M216" s="118"/>
      <c r="N216" s="118"/>
      <c r="O216" s="117"/>
      <c r="P216" s="117"/>
      <c r="Q216" s="118"/>
      <c r="R216" s="118"/>
      <c r="S216" s="117"/>
      <c r="T216" s="117"/>
      <c r="U216" s="118"/>
      <c r="V216" s="118"/>
      <c r="W216" s="117"/>
      <c r="X216" s="117"/>
      <c r="Y216" s="118"/>
      <c r="Z216" s="118"/>
      <c r="AA216" s="117"/>
      <c r="AB216" s="117"/>
      <c r="AC216" s="118"/>
      <c r="AD216" s="118"/>
      <c r="AE216" s="26"/>
      <c r="AF216" s="27"/>
      <c r="AG216" s="28"/>
      <c r="AH216" s="29"/>
    </row>
    <row r="217" spans="1:34" s="11" customFormat="1" x14ac:dyDescent="0.2">
      <c r="A217" s="20" t="str">
        <f t="shared" si="3"/>
        <v/>
      </c>
      <c r="B217" s="25"/>
      <c r="C217" s="116"/>
      <c r="D217" s="116"/>
      <c r="E217" s="31"/>
      <c r="F217" s="133"/>
      <c r="G217" s="117"/>
      <c r="H217" s="117"/>
      <c r="I217" s="118"/>
      <c r="J217" s="118"/>
      <c r="K217" s="117"/>
      <c r="L217" s="117"/>
      <c r="M217" s="118"/>
      <c r="N217" s="118"/>
      <c r="O217" s="117"/>
      <c r="P217" s="117"/>
      <c r="Q217" s="118"/>
      <c r="R217" s="118"/>
      <c r="S217" s="117"/>
      <c r="T217" s="117"/>
      <c r="U217" s="118"/>
      <c r="V217" s="118"/>
      <c r="W217" s="117"/>
      <c r="X217" s="117"/>
      <c r="Y217" s="118"/>
      <c r="Z217" s="118"/>
      <c r="AA217" s="117"/>
      <c r="AB217" s="117"/>
      <c r="AC217" s="118"/>
      <c r="AD217" s="118"/>
      <c r="AE217" s="26"/>
      <c r="AF217" s="27"/>
      <c r="AG217" s="28"/>
      <c r="AH217" s="29"/>
    </row>
    <row r="218" spans="1:34" s="11" customFormat="1" x14ac:dyDescent="0.2">
      <c r="A218" s="20" t="str">
        <f t="shared" si="3"/>
        <v/>
      </c>
      <c r="B218" s="25"/>
      <c r="C218" s="116"/>
      <c r="D218" s="116"/>
      <c r="E218" s="31"/>
      <c r="F218" s="133"/>
      <c r="G218" s="117"/>
      <c r="H218" s="117"/>
      <c r="I218" s="118"/>
      <c r="J218" s="118"/>
      <c r="K218" s="117"/>
      <c r="L218" s="117"/>
      <c r="M218" s="118"/>
      <c r="N218" s="118"/>
      <c r="O218" s="117"/>
      <c r="P218" s="117"/>
      <c r="Q218" s="118"/>
      <c r="R218" s="118"/>
      <c r="S218" s="117"/>
      <c r="T218" s="117"/>
      <c r="U218" s="118"/>
      <c r="V218" s="118"/>
      <c r="W218" s="117"/>
      <c r="X218" s="117"/>
      <c r="Y218" s="118"/>
      <c r="Z218" s="118"/>
      <c r="AA218" s="117"/>
      <c r="AB218" s="117"/>
      <c r="AC218" s="118"/>
      <c r="AD218" s="118"/>
      <c r="AE218" s="26"/>
      <c r="AF218" s="27"/>
      <c r="AG218" s="28"/>
      <c r="AH218" s="29"/>
    </row>
    <row r="219" spans="1:34" s="11" customFormat="1" x14ac:dyDescent="0.2">
      <c r="A219" s="20" t="str">
        <f t="shared" si="3"/>
        <v/>
      </c>
      <c r="B219" s="25"/>
      <c r="C219" s="116"/>
      <c r="D219" s="116"/>
      <c r="E219" s="31"/>
      <c r="F219" s="133"/>
      <c r="G219" s="117"/>
      <c r="H219" s="117"/>
      <c r="I219" s="118"/>
      <c r="J219" s="118"/>
      <c r="K219" s="117"/>
      <c r="L219" s="117"/>
      <c r="M219" s="118"/>
      <c r="N219" s="118"/>
      <c r="O219" s="117"/>
      <c r="P219" s="117"/>
      <c r="Q219" s="118"/>
      <c r="R219" s="118"/>
      <c r="S219" s="117"/>
      <c r="T219" s="117"/>
      <c r="U219" s="118"/>
      <c r="V219" s="118"/>
      <c r="W219" s="117"/>
      <c r="X219" s="117"/>
      <c r="Y219" s="118"/>
      <c r="Z219" s="118"/>
      <c r="AA219" s="117"/>
      <c r="AB219" s="117"/>
      <c r="AC219" s="118"/>
      <c r="AD219" s="118"/>
      <c r="AE219" s="26"/>
      <c r="AF219" s="27"/>
      <c r="AG219" s="28"/>
      <c r="AH219" s="29"/>
    </row>
    <row r="220" spans="1:34" s="11" customFormat="1" x14ac:dyDescent="0.2">
      <c r="A220" s="20" t="str">
        <f t="shared" si="3"/>
        <v/>
      </c>
      <c r="B220" s="25"/>
      <c r="C220" s="116"/>
      <c r="D220" s="116"/>
      <c r="E220" s="31"/>
      <c r="F220" s="133"/>
      <c r="G220" s="117"/>
      <c r="H220" s="117"/>
      <c r="I220" s="118"/>
      <c r="J220" s="118"/>
      <c r="K220" s="117"/>
      <c r="L220" s="117"/>
      <c r="M220" s="118"/>
      <c r="N220" s="118"/>
      <c r="O220" s="117"/>
      <c r="P220" s="117"/>
      <c r="Q220" s="118"/>
      <c r="R220" s="118"/>
      <c r="S220" s="117"/>
      <c r="T220" s="117"/>
      <c r="U220" s="118"/>
      <c r="V220" s="118"/>
      <c r="W220" s="117"/>
      <c r="X220" s="117"/>
      <c r="Y220" s="118"/>
      <c r="Z220" s="118"/>
      <c r="AA220" s="117"/>
      <c r="AB220" s="117"/>
      <c r="AC220" s="118"/>
      <c r="AD220" s="118"/>
      <c r="AE220" s="26"/>
      <c r="AF220" s="27"/>
      <c r="AG220" s="28"/>
      <c r="AH220" s="29"/>
    </row>
    <row r="221" spans="1:34" s="11" customFormat="1" x14ac:dyDescent="0.2">
      <c r="A221" s="20" t="str">
        <f t="shared" si="3"/>
        <v/>
      </c>
      <c r="B221" s="25"/>
      <c r="C221" s="116"/>
      <c r="D221" s="116"/>
      <c r="E221" s="31"/>
      <c r="F221" s="133"/>
      <c r="G221" s="117"/>
      <c r="H221" s="117"/>
      <c r="I221" s="118"/>
      <c r="J221" s="118"/>
      <c r="K221" s="117"/>
      <c r="L221" s="117"/>
      <c r="M221" s="118"/>
      <c r="N221" s="118"/>
      <c r="O221" s="117"/>
      <c r="P221" s="117"/>
      <c r="Q221" s="118"/>
      <c r="R221" s="118"/>
      <c r="S221" s="117"/>
      <c r="T221" s="117"/>
      <c r="U221" s="118"/>
      <c r="V221" s="118"/>
      <c r="W221" s="117"/>
      <c r="X221" s="117"/>
      <c r="Y221" s="118"/>
      <c r="Z221" s="118"/>
      <c r="AA221" s="117"/>
      <c r="AB221" s="117"/>
      <c r="AC221" s="118"/>
      <c r="AD221" s="118"/>
      <c r="AE221" s="26"/>
      <c r="AF221" s="27"/>
      <c r="AG221" s="28"/>
      <c r="AH221" s="29"/>
    </row>
    <row r="222" spans="1:34" s="11" customFormat="1" x14ac:dyDescent="0.2">
      <c r="A222" s="20" t="str">
        <f t="shared" si="3"/>
        <v/>
      </c>
      <c r="B222" s="25"/>
      <c r="C222" s="116"/>
      <c r="D222" s="116"/>
      <c r="E222" s="31"/>
      <c r="F222" s="133"/>
      <c r="G222" s="117"/>
      <c r="H222" s="117"/>
      <c r="I222" s="118"/>
      <c r="J222" s="118"/>
      <c r="K222" s="117"/>
      <c r="L222" s="117"/>
      <c r="M222" s="118"/>
      <c r="N222" s="118"/>
      <c r="O222" s="117"/>
      <c r="P222" s="117"/>
      <c r="Q222" s="118"/>
      <c r="R222" s="118"/>
      <c r="S222" s="117"/>
      <c r="T222" s="117"/>
      <c r="U222" s="118"/>
      <c r="V222" s="118"/>
      <c r="W222" s="117"/>
      <c r="X222" s="117"/>
      <c r="Y222" s="118"/>
      <c r="Z222" s="118"/>
      <c r="AA222" s="117"/>
      <c r="AB222" s="117"/>
      <c r="AC222" s="118"/>
      <c r="AD222" s="118"/>
      <c r="AE222" s="26"/>
      <c r="AF222" s="27"/>
      <c r="AG222" s="28"/>
      <c r="AH222" s="29"/>
    </row>
    <row r="223" spans="1:34" s="11" customFormat="1" x14ac:dyDescent="0.2">
      <c r="A223" s="20" t="str">
        <f t="shared" si="3"/>
        <v/>
      </c>
      <c r="B223" s="25"/>
      <c r="C223" s="116"/>
      <c r="D223" s="116"/>
      <c r="E223" s="31"/>
      <c r="F223" s="133"/>
      <c r="G223" s="117"/>
      <c r="H223" s="117"/>
      <c r="I223" s="118"/>
      <c r="J223" s="118"/>
      <c r="K223" s="117"/>
      <c r="L223" s="117"/>
      <c r="M223" s="118"/>
      <c r="N223" s="118"/>
      <c r="O223" s="117"/>
      <c r="P223" s="117"/>
      <c r="Q223" s="118"/>
      <c r="R223" s="118"/>
      <c r="S223" s="117"/>
      <c r="T223" s="117"/>
      <c r="U223" s="118"/>
      <c r="V223" s="118"/>
      <c r="W223" s="117"/>
      <c r="X223" s="117"/>
      <c r="Y223" s="118"/>
      <c r="Z223" s="118"/>
      <c r="AA223" s="117"/>
      <c r="AB223" s="117"/>
      <c r="AC223" s="118"/>
      <c r="AD223" s="118"/>
      <c r="AE223" s="26"/>
      <c r="AF223" s="27"/>
      <c r="AG223" s="28"/>
      <c r="AH223" s="29"/>
    </row>
    <row r="224" spans="1:34" s="11" customFormat="1" x14ac:dyDescent="0.2">
      <c r="A224" s="20" t="str">
        <f t="shared" si="3"/>
        <v/>
      </c>
      <c r="B224" s="25"/>
      <c r="C224" s="116"/>
      <c r="D224" s="116"/>
      <c r="E224" s="31"/>
      <c r="F224" s="133"/>
      <c r="G224" s="117"/>
      <c r="H224" s="117"/>
      <c r="I224" s="118"/>
      <c r="J224" s="118"/>
      <c r="K224" s="117"/>
      <c r="L224" s="117"/>
      <c r="M224" s="118"/>
      <c r="N224" s="118"/>
      <c r="O224" s="117"/>
      <c r="P224" s="117"/>
      <c r="Q224" s="118"/>
      <c r="R224" s="118"/>
      <c r="S224" s="117"/>
      <c r="T224" s="117"/>
      <c r="U224" s="118"/>
      <c r="V224" s="118"/>
      <c r="W224" s="117"/>
      <c r="X224" s="117"/>
      <c r="Y224" s="118"/>
      <c r="Z224" s="118"/>
      <c r="AA224" s="117"/>
      <c r="AB224" s="117"/>
      <c r="AC224" s="118"/>
      <c r="AD224" s="118"/>
      <c r="AE224" s="26"/>
      <c r="AF224" s="27"/>
      <c r="AG224" s="28"/>
      <c r="AH224" s="29"/>
    </row>
    <row r="225" spans="1:34" s="11" customFormat="1" x14ac:dyDescent="0.2">
      <c r="A225" s="20" t="str">
        <f t="shared" si="3"/>
        <v/>
      </c>
      <c r="B225" s="25"/>
      <c r="C225" s="116"/>
      <c r="D225" s="116"/>
      <c r="E225" s="31"/>
      <c r="F225" s="133"/>
      <c r="G225" s="117"/>
      <c r="H225" s="117"/>
      <c r="I225" s="118"/>
      <c r="J225" s="118"/>
      <c r="K225" s="117"/>
      <c r="L225" s="117"/>
      <c r="M225" s="118"/>
      <c r="N225" s="118"/>
      <c r="O225" s="117"/>
      <c r="P225" s="117"/>
      <c r="Q225" s="118"/>
      <c r="R225" s="118"/>
      <c r="S225" s="117"/>
      <c r="T225" s="117"/>
      <c r="U225" s="118"/>
      <c r="V225" s="118"/>
      <c r="W225" s="117"/>
      <c r="X225" s="117"/>
      <c r="Y225" s="118"/>
      <c r="Z225" s="118"/>
      <c r="AA225" s="117"/>
      <c r="AB225" s="117"/>
      <c r="AC225" s="118"/>
      <c r="AD225" s="118"/>
      <c r="AE225" s="26"/>
      <c r="AF225" s="27"/>
      <c r="AG225" s="28"/>
      <c r="AH225" s="29"/>
    </row>
    <row r="226" spans="1:34" s="11" customFormat="1" x14ac:dyDescent="0.2">
      <c r="A226" s="20" t="str">
        <f t="shared" si="3"/>
        <v/>
      </c>
      <c r="B226" s="25"/>
      <c r="C226" s="116"/>
      <c r="D226" s="116"/>
      <c r="E226" s="31"/>
      <c r="F226" s="133"/>
      <c r="G226" s="117"/>
      <c r="H226" s="117"/>
      <c r="I226" s="118"/>
      <c r="J226" s="118"/>
      <c r="K226" s="117"/>
      <c r="L226" s="117"/>
      <c r="M226" s="118"/>
      <c r="N226" s="118"/>
      <c r="O226" s="117"/>
      <c r="P226" s="117"/>
      <c r="Q226" s="118"/>
      <c r="R226" s="118"/>
      <c r="S226" s="117"/>
      <c r="T226" s="117"/>
      <c r="U226" s="118"/>
      <c r="V226" s="118"/>
      <c r="W226" s="117"/>
      <c r="X226" s="117"/>
      <c r="Y226" s="118"/>
      <c r="Z226" s="118"/>
      <c r="AA226" s="117"/>
      <c r="AB226" s="117"/>
      <c r="AC226" s="118"/>
      <c r="AD226" s="118"/>
      <c r="AE226" s="26"/>
      <c r="AF226" s="27"/>
      <c r="AG226" s="28"/>
      <c r="AH226" s="29"/>
    </row>
    <row r="227" spans="1:34" s="11" customFormat="1" x14ac:dyDescent="0.2">
      <c r="A227" s="20" t="str">
        <f t="shared" si="3"/>
        <v/>
      </c>
      <c r="B227" s="25"/>
      <c r="C227" s="116"/>
      <c r="D227" s="116"/>
      <c r="E227" s="31"/>
      <c r="F227" s="133"/>
      <c r="G227" s="117"/>
      <c r="H227" s="117"/>
      <c r="I227" s="118"/>
      <c r="J227" s="118"/>
      <c r="K227" s="117"/>
      <c r="L227" s="117"/>
      <c r="M227" s="118"/>
      <c r="N227" s="118"/>
      <c r="O227" s="117"/>
      <c r="P227" s="117"/>
      <c r="Q227" s="118"/>
      <c r="R227" s="118"/>
      <c r="S227" s="117"/>
      <c r="T227" s="117"/>
      <c r="U227" s="118"/>
      <c r="V227" s="118"/>
      <c r="W227" s="117"/>
      <c r="X227" s="117"/>
      <c r="Y227" s="118"/>
      <c r="Z227" s="118"/>
      <c r="AA227" s="117"/>
      <c r="AB227" s="117"/>
      <c r="AC227" s="118"/>
      <c r="AD227" s="118"/>
      <c r="AE227" s="26"/>
      <c r="AF227" s="27"/>
      <c r="AG227" s="28"/>
      <c r="AH227" s="29"/>
    </row>
    <row r="228" spans="1:34" s="11" customFormat="1" x14ac:dyDescent="0.2">
      <c r="A228" s="20" t="str">
        <f t="shared" si="3"/>
        <v/>
      </c>
      <c r="B228" s="25"/>
      <c r="C228" s="116"/>
      <c r="D228" s="116"/>
      <c r="E228" s="31"/>
      <c r="F228" s="133"/>
      <c r="G228" s="117"/>
      <c r="H228" s="117"/>
      <c r="I228" s="118"/>
      <c r="J228" s="118"/>
      <c r="K228" s="117"/>
      <c r="L228" s="117"/>
      <c r="M228" s="118"/>
      <c r="N228" s="118"/>
      <c r="O228" s="117"/>
      <c r="P228" s="117"/>
      <c r="Q228" s="118"/>
      <c r="R228" s="118"/>
      <c r="S228" s="117"/>
      <c r="T228" s="117"/>
      <c r="U228" s="118"/>
      <c r="V228" s="118"/>
      <c r="W228" s="117"/>
      <c r="X228" s="117"/>
      <c r="Y228" s="118"/>
      <c r="Z228" s="118"/>
      <c r="AA228" s="117"/>
      <c r="AB228" s="117"/>
      <c r="AC228" s="118"/>
      <c r="AD228" s="118"/>
      <c r="AE228" s="26"/>
      <c r="AF228" s="27"/>
      <c r="AG228" s="28"/>
      <c r="AH228" s="29"/>
    </row>
    <row r="229" spans="1:34" s="11" customFormat="1" x14ac:dyDescent="0.2">
      <c r="A229" s="20" t="str">
        <f t="shared" si="3"/>
        <v/>
      </c>
      <c r="B229" s="25"/>
      <c r="C229" s="116"/>
      <c r="D229" s="116"/>
      <c r="E229" s="31"/>
      <c r="F229" s="133"/>
      <c r="G229" s="117"/>
      <c r="H229" s="117"/>
      <c r="I229" s="118"/>
      <c r="J229" s="118"/>
      <c r="K229" s="117"/>
      <c r="L229" s="117"/>
      <c r="M229" s="118"/>
      <c r="N229" s="118"/>
      <c r="O229" s="117"/>
      <c r="P229" s="117"/>
      <c r="Q229" s="118"/>
      <c r="R229" s="118"/>
      <c r="S229" s="117"/>
      <c r="T229" s="117"/>
      <c r="U229" s="118"/>
      <c r="V229" s="118"/>
      <c r="W229" s="117"/>
      <c r="X229" s="117"/>
      <c r="Y229" s="118"/>
      <c r="Z229" s="118"/>
      <c r="AA229" s="117"/>
      <c r="AB229" s="117"/>
      <c r="AC229" s="118"/>
      <c r="AD229" s="118"/>
      <c r="AE229" s="26"/>
      <c r="AF229" s="27"/>
      <c r="AG229" s="28"/>
      <c r="AH229" s="29"/>
    </row>
    <row r="230" spans="1:34" s="11" customFormat="1" x14ac:dyDescent="0.2">
      <c r="A230" s="20" t="str">
        <f t="shared" si="3"/>
        <v/>
      </c>
      <c r="B230" s="25"/>
      <c r="C230" s="116"/>
      <c r="D230" s="116"/>
      <c r="E230" s="31"/>
      <c r="F230" s="133"/>
      <c r="G230" s="117"/>
      <c r="H230" s="117"/>
      <c r="I230" s="118"/>
      <c r="J230" s="118"/>
      <c r="K230" s="117"/>
      <c r="L230" s="117"/>
      <c r="M230" s="118"/>
      <c r="N230" s="118"/>
      <c r="O230" s="117"/>
      <c r="P230" s="117"/>
      <c r="Q230" s="118"/>
      <c r="R230" s="118"/>
      <c r="S230" s="117"/>
      <c r="T230" s="117"/>
      <c r="U230" s="118"/>
      <c r="V230" s="118"/>
      <c r="W230" s="117"/>
      <c r="X230" s="117"/>
      <c r="Y230" s="118"/>
      <c r="Z230" s="118"/>
      <c r="AA230" s="117"/>
      <c r="AB230" s="117"/>
      <c r="AC230" s="118"/>
      <c r="AD230" s="118"/>
      <c r="AE230" s="26"/>
      <c r="AF230" s="27"/>
      <c r="AG230" s="28"/>
      <c r="AH230" s="29"/>
    </row>
    <row r="231" spans="1:34" s="11" customFormat="1" x14ac:dyDescent="0.2">
      <c r="A231" s="20" t="str">
        <f t="shared" si="3"/>
        <v/>
      </c>
      <c r="B231" s="25"/>
      <c r="C231" s="116"/>
      <c r="D231" s="116"/>
      <c r="E231" s="31"/>
      <c r="F231" s="133"/>
      <c r="G231" s="117"/>
      <c r="H231" s="117"/>
      <c r="I231" s="118"/>
      <c r="J231" s="118"/>
      <c r="K231" s="117"/>
      <c r="L231" s="117"/>
      <c r="M231" s="118"/>
      <c r="N231" s="118"/>
      <c r="O231" s="117"/>
      <c r="P231" s="117"/>
      <c r="Q231" s="118"/>
      <c r="R231" s="118"/>
      <c r="S231" s="117"/>
      <c r="T231" s="117"/>
      <c r="U231" s="118"/>
      <c r="V231" s="118"/>
      <c r="W231" s="117"/>
      <c r="X231" s="117"/>
      <c r="Y231" s="118"/>
      <c r="Z231" s="118"/>
      <c r="AA231" s="117"/>
      <c r="AB231" s="117"/>
      <c r="AC231" s="118"/>
      <c r="AD231" s="118"/>
      <c r="AE231" s="26"/>
      <c r="AF231" s="27"/>
      <c r="AG231" s="28"/>
      <c r="AH231" s="29"/>
    </row>
    <row r="232" spans="1:34" s="11" customFormat="1" x14ac:dyDescent="0.2">
      <c r="A232" s="20" t="str">
        <f t="shared" si="3"/>
        <v/>
      </c>
      <c r="B232" s="25"/>
      <c r="C232" s="116"/>
      <c r="D232" s="116"/>
      <c r="E232" s="31"/>
      <c r="F232" s="133"/>
      <c r="G232" s="117"/>
      <c r="H232" s="117"/>
      <c r="I232" s="118"/>
      <c r="J232" s="118"/>
      <c r="K232" s="117"/>
      <c r="L232" s="117"/>
      <c r="M232" s="118"/>
      <c r="N232" s="118"/>
      <c r="O232" s="117"/>
      <c r="P232" s="117"/>
      <c r="Q232" s="118"/>
      <c r="R232" s="118"/>
      <c r="S232" s="117"/>
      <c r="T232" s="117"/>
      <c r="U232" s="118"/>
      <c r="V232" s="118"/>
      <c r="W232" s="117"/>
      <c r="X232" s="117"/>
      <c r="Y232" s="118"/>
      <c r="Z232" s="118"/>
      <c r="AA232" s="117"/>
      <c r="AB232" s="117"/>
      <c r="AC232" s="118"/>
      <c r="AD232" s="118"/>
      <c r="AE232" s="26"/>
      <c r="AF232" s="27"/>
      <c r="AG232" s="28"/>
      <c r="AH232" s="29"/>
    </row>
    <row r="233" spans="1:34" s="11" customFormat="1" x14ac:dyDescent="0.2">
      <c r="A233" s="20" t="str">
        <f t="shared" si="3"/>
        <v/>
      </c>
      <c r="B233" s="25"/>
      <c r="C233" s="116"/>
      <c r="D233" s="116"/>
      <c r="E233" s="31"/>
      <c r="F233" s="133"/>
      <c r="G233" s="117"/>
      <c r="H233" s="117"/>
      <c r="I233" s="118"/>
      <c r="J233" s="118"/>
      <c r="K233" s="117"/>
      <c r="L233" s="117"/>
      <c r="M233" s="118"/>
      <c r="N233" s="118"/>
      <c r="O233" s="117"/>
      <c r="P233" s="117"/>
      <c r="Q233" s="118"/>
      <c r="R233" s="118"/>
      <c r="S233" s="117"/>
      <c r="T233" s="117"/>
      <c r="U233" s="118"/>
      <c r="V233" s="118"/>
      <c r="W233" s="117"/>
      <c r="X233" s="117"/>
      <c r="Y233" s="118"/>
      <c r="Z233" s="118"/>
      <c r="AA233" s="117"/>
      <c r="AB233" s="117"/>
      <c r="AC233" s="118"/>
      <c r="AD233" s="118"/>
      <c r="AE233" s="26"/>
      <c r="AF233" s="27"/>
      <c r="AG233" s="28"/>
      <c r="AH233" s="29"/>
    </row>
    <row r="234" spans="1:34" s="11" customFormat="1" x14ac:dyDescent="0.2">
      <c r="A234" s="20" t="str">
        <f t="shared" si="3"/>
        <v/>
      </c>
      <c r="B234" s="25"/>
      <c r="C234" s="116"/>
      <c r="D234" s="116"/>
      <c r="E234" s="31"/>
      <c r="F234" s="133"/>
      <c r="G234" s="117"/>
      <c r="H234" s="117"/>
      <c r="I234" s="118"/>
      <c r="J234" s="118"/>
      <c r="K234" s="117"/>
      <c r="L234" s="117"/>
      <c r="M234" s="118"/>
      <c r="N234" s="118"/>
      <c r="O234" s="117"/>
      <c r="P234" s="117"/>
      <c r="Q234" s="118"/>
      <c r="R234" s="118"/>
      <c r="S234" s="117"/>
      <c r="T234" s="117"/>
      <c r="U234" s="118"/>
      <c r="V234" s="118"/>
      <c r="W234" s="117"/>
      <c r="X234" s="117"/>
      <c r="Y234" s="118"/>
      <c r="Z234" s="118"/>
      <c r="AA234" s="117"/>
      <c r="AB234" s="117"/>
      <c r="AC234" s="118"/>
      <c r="AD234" s="118"/>
      <c r="AE234" s="26"/>
      <c r="AF234" s="27"/>
      <c r="AG234" s="28"/>
      <c r="AH234" s="29"/>
    </row>
    <row r="235" spans="1:34" s="11" customFormat="1" x14ac:dyDescent="0.2">
      <c r="A235" s="20" t="str">
        <f t="shared" si="3"/>
        <v/>
      </c>
      <c r="B235" s="25"/>
      <c r="C235" s="116"/>
      <c r="D235" s="116"/>
      <c r="E235" s="31"/>
      <c r="F235" s="133"/>
      <c r="G235" s="117"/>
      <c r="H235" s="117"/>
      <c r="I235" s="118"/>
      <c r="J235" s="118"/>
      <c r="K235" s="117"/>
      <c r="L235" s="117"/>
      <c r="M235" s="118"/>
      <c r="N235" s="118"/>
      <c r="O235" s="117"/>
      <c r="P235" s="117"/>
      <c r="Q235" s="118"/>
      <c r="R235" s="118"/>
      <c r="S235" s="117"/>
      <c r="T235" s="117"/>
      <c r="U235" s="118"/>
      <c r="V235" s="118"/>
      <c r="W235" s="117"/>
      <c r="X235" s="117"/>
      <c r="Y235" s="118"/>
      <c r="Z235" s="118"/>
      <c r="AA235" s="117"/>
      <c r="AB235" s="117"/>
      <c r="AC235" s="118"/>
      <c r="AD235" s="118"/>
      <c r="AE235" s="26"/>
      <c r="AF235" s="27"/>
      <c r="AG235" s="28"/>
      <c r="AH235" s="29"/>
    </row>
    <row r="236" spans="1:34" s="11" customFormat="1" x14ac:dyDescent="0.2">
      <c r="A236" s="20" t="str">
        <f t="shared" si="3"/>
        <v/>
      </c>
      <c r="B236" s="25"/>
      <c r="C236" s="116"/>
      <c r="D236" s="116"/>
      <c r="E236" s="31"/>
      <c r="F236" s="133"/>
      <c r="G236" s="117"/>
      <c r="H236" s="117"/>
      <c r="I236" s="118"/>
      <c r="J236" s="118"/>
      <c r="K236" s="117"/>
      <c r="L236" s="117"/>
      <c r="M236" s="118"/>
      <c r="N236" s="118"/>
      <c r="O236" s="117"/>
      <c r="P236" s="117"/>
      <c r="Q236" s="118"/>
      <c r="R236" s="118"/>
      <c r="S236" s="117"/>
      <c r="T236" s="117"/>
      <c r="U236" s="118"/>
      <c r="V236" s="118"/>
      <c r="W236" s="117"/>
      <c r="X236" s="117"/>
      <c r="Y236" s="118"/>
      <c r="Z236" s="118"/>
      <c r="AA236" s="117"/>
      <c r="AB236" s="117"/>
      <c r="AC236" s="118"/>
      <c r="AD236" s="118"/>
      <c r="AE236" s="26"/>
      <c r="AF236" s="27"/>
      <c r="AG236" s="28"/>
      <c r="AH236" s="29"/>
    </row>
    <row r="237" spans="1:34" s="11" customFormat="1" x14ac:dyDescent="0.2">
      <c r="A237" s="20" t="str">
        <f t="shared" si="3"/>
        <v/>
      </c>
      <c r="B237" s="25"/>
      <c r="C237" s="116"/>
      <c r="D237" s="116"/>
      <c r="E237" s="31"/>
      <c r="F237" s="133"/>
      <c r="G237" s="117"/>
      <c r="H237" s="117"/>
      <c r="I237" s="118"/>
      <c r="J237" s="118"/>
      <c r="K237" s="117"/>
      <c r="L237" s="117"/>
      <c r="M237" s="118"/>
      <c r="N237" s="118"/>
      <c r="O237" s="117"/>
      <c r="P237" s="117"/>
      <c r="Q237" s="118"/>
      <c r="R237" s="118"/>
      <c r="S237" s="117"/>
      <c r="T237" s="117"/>
      <c r="U237" s="118"/>
      <c r="V237" s="118"/>
      <c r="W237" s="117"/>
      <c r="X237" s="117"/>
      <c r="Y237" s="118"/>
      <c r="Z237" s="118"/>
      <c r="AA237" s="117"/>
      <c r="AB237" s="117"/>
      <c r="AC237" s="118"/>
      <c r="AD237" s="118"/>
      <c r="AE237" s="26"/>
      <c r="AF237" s="27"/>
      <c r="AG237" s="28"/>
      <c r="AH237" s="29"/>
    </row>
    <row r="238" spans="1:34" s="11" customFormat="1" x14ac:dyDescent="0.2">
      <c r="A238" s="20" t="str">
        <f t="shared" si="3"/>
        <v/>
      </c>
      <c r="B238" s="25"/>
      <c r="C238" s="116"/>
      <c r="D238" s="116"/>
      <c r="E238" s="31"/>
      <c r="F238" s="133"/>
      <c r="G238" s="117"/>
      <c r="H238" s="117"/>
      <c r="I238" s="118"/>
      <c r="J238" s="118"/>
      <c r="K238" s="117"/>
      <c r="L238" s="117"/>
      <c r="M238" s="118"/>
      <c r="N238" s="118"/>
      <c r="O238" s="117"/>
      <c r="P238" s="117"/>
      <c r="Q238" s="118"/>
      <c r="R238" s="118"/>
      <c r="S238" s="117"/>
      <c r="T238" s="117"/>
      <c r="U238" s="118"/>
      <c r="V238" s="118"/>
      <c r="W238" s="117"/>
      <c r="X238" s="117"/>
      <c r="Y238" s="118"/>
      <c r="Z238" s="118"/>
      <c r="AA238" s="117"/>
      <c r="AB238" s="117"/>
      <c r="AC238" s="118"/>
      <c r="AD238" s="118"/>
      <c r="AE238" s="26"/>
      <c r="AF238" s="27"/>
      <c r="AG238" s="28"/>
      <c r="AH238" s="29"/>
    </row>
    <row r="239" spans="1:34" s="11" customFormat="1" x14ac:dyDescent="0.2">
      <c r="A239" s="20" t="str">
        <f t="shared" si="3"/>
        <v/>
      </c>
      <c r="B239" s="25"/>
      <c r="C239" s="116"/>
      <c r="D239" s="116"/>
      <c r="E239" s="31"/>
      <c r="F239" s="133"/>
      <c r="G239" s="117"/>
      <c r="H239" s="117"/>
      <c r="I239" s="118"/>
      <c r="J239" s="118"/>
      <c r="K239" s="117"/>
      <c r="L239" s="117"/>
      <c r="M239" s="118"/>
      <c r="N239" s="118"/>
      <c r="O239" s="117"/>
      <c r="P239" s="117"/>
      <c r="Q239" s="118"/>
      <c r="R239" s="118"/>
      <c r="S239" s="117"/>
      <c r="T239" s="117"/>
      <c r="U239" s="118"/>
      <c r="V239" s="118"/>
      <c r="W239" s="117"/>
      <c r="X239" s="117"/>
      <c r="Y239" s="118"/>
      <c r="Z239" s="118"/>
      <c r="AA239" s="117"/>
      <c r="AB239" s="117"/>
      <c r="AC239" s="118"/>
      <c r="AD239" s="118"/>
      <c r="AE239" s="26"/>
      <c r="AF239" s="27"/>
      <c r="AG239" s="28"/>
      <c r="AH239" s="29"/>
    </row>
    <row r="240" spans="1:34" s="11" customFormat="1" x14ac:dyDescent="0.2">
      <c r="A240" s="20" t="str">
        <f t="shared" si="3"/>
        <v/>
      </c>
      <c r="B240" s="25"/>
      <c r="C240" s="116"/>
      <c r="D240" s="116"/>
      <c r="E240" s="31"/>
      <c r="F240" s="133"/>
      <c r="G240" s="117"/>
      <c r="H240" s="117"/>
      <c r="I240" s="118"/>
      <c r="J240" s="118"/>
      <c r="K240" s="117"/>
      <c r="L240" s="117"/>
      <c r="M240" s="118"/>
      <c r="N240" s="118"/>
      <c r="O240" s="117"/>
      <c r="P240" s="117"/>
      <c r="Q240" s="118"/>
      <c r="R240" s="118"/>
      <c r="S240" s="117"/>
      <c r="T240" s="117"/>
      <c r="U240" s="118"/>
      <c r="V240" s="118"/>
      <c r="W240" s="117"/>
      <c r="X240" s="117"/>
      <c r="Y240" s="118"/>
      <c r="Z240" s="118"/>
      <c r="AA240" s="117"/>
      <c r="AB240" s="117"/>
      <c r="AC240" s="118"/>
      <c r="AD240" s="118"/>
      <c r="AE240" s="26"/>
      <c r="AF240" s="27"/>
      <c r="AG240" s="28"/>
      <c r="AH240" s="29"/>
    </row>
    <row r="241" spans="1:34" s="11" customFormat="1" x14ac:dyDescent="0.2">
      <c r="A241" s="20" t="str">
        <f t="shared" si="3"/>
        <v/>
      </c>
      <c r="B241" s="25"/>
      <c r="C241" s="116"/>
      <c r="D241" s="116"/>
      <c r="E241" s="31"/>
      <c r="F241" s="133"/>
      <c r="G241" s="117"/>
      <c r="H241" s="117"/>
      <c r="I241" s="118"/>
      <c r="J241" s="118"/>
      <c r="K241" s="117"/>
      <c r="L241" s="117"/>
      <c r="M241" s="118"/>
      <c r="N241" s="118"/>
      <c r="O241" s="117"/>
      <c r="P241" s="117"/>
      <c r="Q241" s="118"/>
      <c r="R241" s="118"/>
      <c r="S241" s="117"/>
      <c r="T241" s="117"/>
      <c r="U241" s="118"/>
      <c r="V241" s="118"/>
      <c r="W241" s="117"/>
      <c r="X241" s="117"/>
      <c r="Y241" s="118"/>
      <c r="Z241" s="118"/>
      <c r="AA241" s="117"/>
      <c r="AB241" s="117"/>
      <c r="AC241" s="118"/>
      <c r="AD241" s="118"/>
      <c r="AE241" s="26"/>
      <c r="AF241" s="27"/>
      <c r="AG241" s="28"/>
      <c r="AH241" s="29"/>
    </row>
    <row r="242" spans="1:34" s="11" customFormat="1" x14ac:dyDescent="0.2">
      <c r="A242" s="20" t="str">
        <f t="shared" si="3"/>
        <v/>
      </c>
      <c r="B242" s="25"/>
      <c r="C242" s="116"/>
      <c r="D242" s="116"/>
      <c r="E242" s="31"/>
      <c r="F242" s="133"/>
      <c r="G242" s="117"/>
      <c r="H242" s="117"/>
      <c r="I242" s="118"/>
      <c r="J242" s="118"/>
      <c r="K242" s="117"/>
      <c r="L242" s="117"/>
      <c r="M242" s="118"/>
      <c r="N242" s="118"/>
      <c r="O242" s="117"/>
      <c r="P242" s="117"/>
      <c r="Q242" s="118"/>
      <c r="R242" s="118"/>
      <c r="S242" s="117"/>
      <c r="T242" s="117"/>
      <c r="U242" s="118"/>
      <c r="V242" s="118"/>
      <c r="W242" s="117"/>
      <c r="X242" s="117"/>
      <c r="Y242" s="118"/>
      <c r="Z242" s="118"/>
      <c r="AA242" s="117"/>
      <c r="AB242" s="117"/>
      <c r="AC242" s="118"/>
      <c r="AD242" s="118"/>
      <c r="AE242" s="26"/>
      <c r="AF242" s="27"/>
      <c r="AG242" s="28"/>
      <c r="AH242" s="29"/>
    </row>
    <row r="243" spans="1:34" s="11" customFormat="1" x14ac:dyDescent="0.2">
      <c r="A243" s="20" t="str">
        <f t="shared" si="3"/>
        <v/>
      </c>
      <c r="B243" s="25"/>
      <c r="C243" s="116"/>
      <c r="D243" s="116"/>
      <c r="E243" s="31"/>
      <c r="F243" s="133"/>
      <c r="G243" s="117"/>
      <c r="H243" s="117"/>
      <c r="I243" s="118"/>
      <c r="J243" s="118"/>
      <c r="K243" s="117"/>
      <c r="L243" s="117"/>
      <c r="M243" s="118"/>
      <c r="N243" s="118"/>
      <c r="O243" s="117"/>
      <c r="P243" s="117"/>
      <c r="Q243" s="118"/>
      <c r="R243" s="118"/>
      <c r="S243" s="117"/>
      <c r="T243" s="117"/>
      <c r="U243" s="118"/>
      <c r="V243" s="118"/>
      <c r="W243" s="117"/>
      <c r="X243" s="117"/>
      <c r="Y243" s="118"/>
      <c r="Z243" s="118"/>
      <c r="AA243" s="117"/>
      <c r="AB243" s="117"/>
      <c r="AC243" s="118"/>
      <c r="AD243" s="118"/>
      <c r="AE243" s="26"/>
      <c r="AF243" s="27"/>
      <c r="AG243" s="28"/>
      <c r="AH243" s="29"/>
    </row>
    <row r="244" spans="1:34" s="11" customFormat="1" x14ac:dyDescent="0.2">
      <c r="A244" s="20" t="str">
        <f t="shared" si="3"/>
        <v/>
      </c>
      <c r="B244" s="25"/>
      <c r="C244" s="116"/>
      <c r="D244" s="116"/>
      <c r="E244" s="31"/>
      <c r="F244" s="133"/>
      <c r="G244" s="117"/>
      <c r="H244" s="117"/>
      <c r="I244" s="118"/>
      <c r="J244" s="118"/>
      <c r="K244" s="117"/>
      <c r="L244" s="117"/>
      <c r="M244" s="118"/>
      <c r="N244" s="118"/>
      <c r="O244" s="117"/>
      <c r="P244" s="117"/>
      <c r="Q244" s="118"/>
      <c r="R244" s="118"/>
      <c r="S244" s="117"/>
      <c r="T244" s="117"/>
      <c r="U244" s="118"/>
      <c r="V244" s="118"/>
      <c r="W244" s="117"/>
      <c r="X244" s="117"/>
      <c r="Y244" s="118"/>
      <c r="Z244" s="118"/>
      <c r="AA244" s="117"/>
      <c r="AB244" s="117"/>
      <c r="AC244" s="118"/>
      <c r="AD244" s="118"/>
      <c r="AE244" s="26"/>
      <c r="AF244" s="27"/>
      <c r="AG244" s="28"/>
      <c r="AH244" s="29"/>
    </row>
    <row r="245" spans="1:34" s="11" customFormat="1" x14ac:dyDescent="0.2">
      <c r="A245" s="20" t="str">
        <f t="shared" si="3"/>
        <v/>
      </c>
      <c r="B245" s="25"/>
      <c r="C245" s="116"/>
      <c r="D245" s="116"/>
      <c r="E245" s="31"/>
      <c r="F245" s="133"/>
      <c r="G245" s="117"/>
      <c r="H245" s="117"/>
      <c r="I245" s="118"/>
      <c r="J245" s="118"/>
      <c r="K245" s="117"/>
      <c r="L245" s="117"/>
      <c r="M245" s="118"/>
      <c r="N245" s="118"/>
      <c r="O245" s="117"/>
      <c r="P245" s="117"/>
      <c r="Q245" s="118"/>
      <c r="R245" s="118"/>
      <c r="S245" s="117"/>
      <c r="T245" s="117"/>
      <c r="U245" s="118"/>
      <c r="V245" s="118"/>
      <c r="W245" s="117"/>
      <c r="X245" s="117"/>
      <c r="Y245" s="118"/>
      <c r="Z245" s="118"/>
      <c r="AA245" s="117"/>
      <c r="AB245" s="117"/>
      <c r="AC245" s="118"/>
      <c r="AD245" s="118"/>
      <c r="AE245" s="26"/>
      <c r="AF245" s="27"/>
      <c r="AG245" s="28"/>
      <c r="AH245" s="29"/>
    </row>
    <row r="246" spans="1:34" s="11" customFormat="1" x14ac:dyDescent="0.2">
      <c r="A246" s="20" t="str">
        <f t="shared" si="3"/>
        <v/>
      </c>
      <c r="B246" s="25"/>
      <c r="C246" s="116"/>
      <c r="D246" s="116"/>
      <c r="E246" s="31"/>
      <c r="F246" s="133"/>
      <c r="G246" s="117"/>
      <c r="H246" s="117"/>
      <c r="I246" s="118"/>
      <c r="J246" s="118"/>
      <c r="K246" s="117"/>
      <c r="L246" s="117"/>
      <c r="M246" s="118"/>
      <c r="N246" s="118"/>
      <c r="O246" s="117"/>
      <c r="P246" s="117"/>
      <c r="Q246" s="118"/>
      <c r="R246" s="118"/>
      <c r="S246" s="117"/>
      <c r="T246" s="117"/>
      <c r="U246" s="118"/>
      <c r="V246" s="118"/>
      <c r="W246" s="117"/>
      <c r="X246" s="117"/>
      <c r="Y246" s="118"/>
      <c r="Z246" s="118"/>
      <c r="AA246" s="117"/>
      <c r="AB246" s="117"/>
      <c r="AC246" s="118"/>
      <c r="AD246" s="118"/>
      <c r="AE246" s="26"/>
      <c r="AF246" s="27"/>
      <c r="AG246" s="28"/>
      <c r="AH246" s="29"/>
    </row>
    <row r="247" spans="1:34" s="11" customFormat="1" x14ac:dyDescent="0.2">
      <c r="A247" s="20" t="str">
        <f t="shared" si="3"/>
        <v/>
      </c>
      <c r="B247" s="25"/>
      <c r="C247" s="116"/>
      <c r="D247" s="116"/>
      <c r="E247" s="31"/>
      <c r="F247" s="133"/>
      <c r="G247" s="117"/>
      <c r="H247" s="117"/>
      <c r="I247" s="118"/>
      <c r="J247" s="118"/>
      <c r="K247" s="117"/>
      <c r="L247" s="117"/>
      <c r="M247" s="118"/>
      <c r="N247" s="118"/>
      <c r="O247" s="117"/>
      <c r="P247" s="117"/>
      <c r="Q247" s="118"/>
      <c r="R247" s="118"/>
      <c r="S247" s="117"/>
      <c r="T247" s="117"/>
      <c r="U247" s="118"/>
      <c r="V247" s="118"/>
      <c r="W247" s="117"/>
      <c r="X247" s="117"/>
      <c r="Y247" s="118"/>
      <c r="Z247" s="118"/>
      <c r="AA247" s="117"/>
      <c r="AB247" s="117"/>
      <c r="AC247" s="118"/>
      <c r="AD247" s="118"/>
      <c r="AE247" s="26"/>
      <c r="AF247" s="27"/>
      <c r="AG247" s="28"/>
      <c r="AH247" s="29"/>
    </row>
    <row r="248" spans="1:34" s="11" customFormat="1" x14ac:dyDescent="0.2">
      <c r="A248" s="20" t="str">
        <f t="shared" si="3"/>
        <v/>
      </c>
      <c r="B248" s="25"/>
      <c r="C248" s="116"/>
      <c r="D248" s="116"/>
      <c r="E248" s="31"/>
      <c r="F248" s="133"/>
      <c r="G248" s="117"/>
      <c r="H248" s="117"/>
      <c r="I248" s="118"/>
      <c r="J248" s="118"/>
      <c r="K248" s="117"/>
      <c r="L248" s="117"/>
      <c r="M248" s="118"/>
      <c r="N248" s="118"/>
      <c r="O248" s="117"/>
      <c r="P248" s="117"/>
      <c r="Q248" s="118"/>
      <c r="R248" s="118"/>
      <c r="S248" s="117"/>
      <c r="T248" s="117"/>
      <c r="U248" s="118"/>
      <c r="V248" s="118"/>
      <c r="W248" s="117"/>
      <c r="X248" s="117"/>
      <c r="Y248" s="118"/>
      <c r="Z248" s="118"/>
      <c r="AA248" s="117"/>
      <c r="AB248" s="117"/>
      <c r="AC248" s="118"/>
      <c r="AD248" s="118"/>
      <c r="AE248" s="26"/>
      <c r="AF248" s="27"/>
      <c r="AG248" s="28"/>
      <c r="AH248" s="29"/>
    </row>
    <row r="249" spans="1:34" s="11" customFormat="1" x14ac:dyDescent="0.2">
      <c r="A249" s="20" t="str">
        <f t="shared" si="3"/>
        <v/>
      </c>
      <c r="B249" s="25"/>
      <c r="C249" s="116"/>
      <c r="D249" s="116"/>
      <c r="E249" s="31"/>
      <c r="F249" s="133"/>
      <c r="G249" s="117"/>
      <c r="H249" s="117"/>
      <c r="I249" s="118"/>
      <c r="J249" s="118"/>
      <c r="K249" s="117"/>
      <c r="L249" s="117"/>
      <c r="M249" s="118"/>
      <c r="N249" s="118"/>
      <c r="O249" s="117"/>
      <c r="P249" s="117"/>
      <c r="Q249" s="118"/>
      <c r="R249" s="118"/>
      <c r="S249" s="117"/>
      <c r="T249" s="117"/>
      <c r="U249" s="118"/>
      <c r="V249" s="118"/>
      <c r="W249" s="117"/>
      <c r="X249" s="117"/>
      <c r="Y249" s="118"/>
      <c r="Z249" s="118"/>
      <c r="AA249" s="117"/>
      <c r="AB249" s="117"/>
      <c r="AC249" s="118"/>
      <c r="AD249" s="118"/>
      <c r="AE249" s="26"/>
      <c r="AF249" s="27"/>
      <c r="AG249" s="28"/>
      <c r="AH249" s="29"/>
    </row>
    <row r="250" spans="1:34" s="11" customFormat="1" x14ac:dyDescent="0.2">
      <c r="A250" s="20" t="str">
        <f t="shared" si="3"/>
        <v/>
      </c>
      <c r="B250" s="25"/>
      <c r="C250" s="116"/>
      <c r="D250" s="116"/>
      <c r="E250" s="31"/>
      <c r="F250" s="133"/>
      <c r="G250" s="117"/>
      <c r="H250" s="117"/>
      <c r="I250" s="118"/>
      <c r="J250" s="118"/>
      <c r="K250" s="117"/>
      <c r="L250" s="117"/>
      <c r="M250" s="118"/>
      <c r="N250" s="118"/>
      <c r="O250" s="117"/>
      <c r="P250" s="117"/>
      <c r="Q250" s="118"/>
      <c r="R250" s="118"/>
      <c r="S250" s="117"/>
      <c r="T250" s="117"/>
      <c r="U250" s="118"/>
      <c r="V250" s="118"/>
      <c r="W250" s="117"/>
      <c r="X250" s="117"/>
      <c r="Y250" s="118"/>
      <c r="Z250" s="118"/>
      <c r="AA250" s="117"/>
      <c r="AB250" s="117"/>
      <c r="AC250" s="118"/>
      <c r="AD250" s="118"/>
      <c r="AE250" s="26"/>
      <c r="AF250" s="27"/>
      <c r="AG250" s="28"/>
      <c r="AH250" s="29"/>
    </row>
    <row r="251" spans="1:34" s="11" customFormat="1" x14ac:dyDescent="0.2">
      <c r="A251" s="20" t="str">
        <f t="shared" si="3"/>
        <v/>
      </c>
      <c r="B251" s="25"/>
      <c r="C251" s="116"/>
      <c r="D251" s="116"/>
      <c r="E251" s="31"/>
      <c r="F251" s="133"/>
      <c r="G251" s="117"/>
      <c r="H251" s="117"/>
      <c r="I251" s="118"/>
      <c r="J251" s="118"/>
      <c r="K251" s="117"/>
      <c r="L251" s="117"/>
      <c r="M251" s="118"/>
      <c r="N251" s="118"/>
      <c r="O251" s="117"/>
      <c r="P251" s="117"/>
      <c r="Q251" s="118"/>
      <c r="R251" s="118"/>
      <c r="S251" s="117"/>
      <c r="T251" s="117"/>
      <c r="U251" s="118"/>
      <c r="V251" s="118"/>
      <c r="W251" s="117"/>
      <c r="X251" s="117"/>
      <c r="Y251" s="118"/>
      <c r="Z251" s="118"/>
      <c r="AA251" s="117"/>
      <c r="AB251" s="117"/>
      <c r="AC251" s="118"/>
      <c r="AD251" s="118"/>
      <c r="AE251" s="26"/>
      <c r="AF251" s="27"/>
      <c r="AG251" s="28"/>
      <c r="AH251" s="29"/>
    </row>
    <row r="252" spans="1:34" s="11" customFormat="1" x14ac:dyDescent="0.2">
      <c r="A252" s="20" t="str">
        <f t="shared" si="3"/>
        <v/>
      </c>
      <c r="B252" s="25"/>
      <c r="C252" s="116"/>
      <c r="D252" s="116"/>
      <c r="E252" s="31"/>
      <c r="F252" s="133"/>
      <c r="G252" s="117"/>
      <c r="H252" s="117"/>
      <c r="I252" s="118"/>
      <c r="J252" s="118"/>
      <c r="K252" s="117"/>
      <c r="L252" s="117"/>
      <c r="M252" s="118"/>
      <c r="N252" s="118"/>
      <c r="O252" s="117"/>
      <c r="P252" s="117"/>
      <c r="Q252" s="118"/>
      <c r="R252" s="118"/>
      <c r="S252" s="117"/>
      <c r="T252" s="117"/>
      <c r="U252" s="118"/>
      <c r="V252" s="118"/>
      <c r="W252" s="117"/>
      <c r="X252" s="117"/>
      <c r="Y252" s="118"/>
      <c r="Z252" s="118"/>
      <c r="AA252" s="117"/>
      <c r="AB252" s="117"/>
      <c r="AC252" s="118"/>
      <c r="AD252" s="118"/>
      <c r="AE252" s="26"/>
      <c r="AF252" s="27"/>
      <c r="AG252" s="28"/>
      <c r="AH252" s="29"/>
    </row>
    <row r="253" spans="1:34" s="11" customFormat="1" x14ac:dyDescent="0.2">
      <c r="A253" s="20" t="str">
        <f t="shared" si="3"/>
        <v/>
      </c>
      <c r="B253" s="25"/>
      <c r="C253" s="116"/>
      <c r="D253" s="116"/>
      <c r="E253" s="31"/>
      <c r="F253" s="133"/>
      <c r="G253" s="117"/>
      <c r="H253" s="117"/>
      <c r="I253" s="118"/>
      <c r="J253" s="118"/>
      <c r="K253" s="117"/>
      <c r="L253" s="117"/>
      <c r="M253" s="118"/>
      <c r="N253" s="118"/>
      <c r="O253" s="117"/>
      <c r="P253" s="117"/>
      <c r="Q253" s="118"/>
      <c r="R253" s="118"/>
      <c r="S253" s="117"/>
      <c r="T253" s="117"/>
      <c r="U253" s="118"/>
      <c r="V253" s="118"/>
      <c r="W253" s="117"/>
      <c r="X253" s="117"/>
      <c r="Y253" s="118"/>
      <c r="Z253" s="118"/>
      <c r="AA253" s="117"/>
      <c r="AB253" s="117"/>
      <c r="AC253" s="118"/>
      <c r="AD253" s="118"/>
      <c r="AE253" s="26"/>
      <c r="AF253" s="27"/>
      <c r="AG253" s="28"/>
      <c r="AH253" s="29"/>
    </row>
    <row r="254" spans="1:34" s="11" customFormat="1" x14ac:dyDescent="0.2">
      <c r="A254" s="20" t="str">
        <f t="shared" si="3"/>
        <v/>
      </c>
      <c r="B254" s="25"/>
      <c r="C254" s="116"/>
      <c r="D254" s="116"/>
      <c r="E254" s="31"/>
      <c r="F254" s="133"/>
      <c r="G254" s="117"/>
      <c r="H254" s="117"/>
      <c r="I254" s="118"/>
      <c r="J254" s="118"/>
      <c r="K254" s="117"/>
      <c r="L254" s="117"/>
      <c r="M254" s="118"/>
      <c r="N254" s="118"/>
      <c r="O254" s="117"/>
      <c r="P254" s="117"/>
      <c r="Q254" s="118"/>
      <c r="R254" s="118"/>
      <c r="S254" s="117"/>
      <c r="T254" s="117"/>
      <c r="U254" s="118"/>
      <c r="V254" s="118"/>
      <c r="W254" s="117"/>
      <c r="X254" s="117"/>
      <c r="Y254" s="118"/>
      <c r="Z254" s="118"/>
      <c r="AA254" s="117"/>
      <c r="AB254" s="117"/>
      <c r="AC254" s="118"/>
      <c r="AD254" s="118"/>
      <c r="AE254" s="26"/>
      <c r="AF254" s="27"/>
      <c r="AG254" s="28"/>
      <c r="AH254" s="29"/>
    </row>
    <row r="255" spans="1:34" s="11" customFormat="1" x14ac:dyDescent="0.2">
      <c r="A255" s="20" t="str">
        <f t="shared" si="3"/>
        <v/>
      </c>
      <c r="B255" s="25"/>
      <c r="C255" s="116"/>
      <c r="D255" s="116"/>
      <c r="E255" s="31"/>
      <c r="F255" s="133"/>
      <c r="G255" s="117"/>
      <c r="H255" s="117"/>
      <c r="I255" s="118"/>
      <c r="J255" s="118"/>
      <c r="K255" s="117"/>
      <c r="L255" s="117"/>
      <c r="M255" s="118"/>
      <c r="N255" s="118"/>
      <c r="O255" s="117"/>
      <c r="P255" s="117"/>
      <c r="Q255" s="118"/>
      <c r="R255" s="118"/>
      <c r="S255" s="117"/>
      <c r="T255" s="117"/>
      <c r="U255" s="118"/>
      <c r="V255" s="118"/>
      <c r="W255" s="117"/>
      <c r="X255" s="117"/>
      <c r="Y255" s="118"/>
      <c r="Z255" s="118"/>
      <c r="AA255" s="117"/>
      <c r="AB255" s="117"/>
      <c r="AC255" s="118"/>
      <c r="AD255" s="118"/>
      <c r="AE255" s="26"/>
      <c r="AF255" s="27"/>
      <c r="AG255" s="28"/>
      <c r="AH255" s="29"/>
    </row>
    <row r="256" spans="1:34" s="11" customFormat="1" x14ac:dyDescent="0.2">
      <c r="A256" s="20" t="str">
        <f t="shared" si="3"/>
        <v/>
      </c>
      <c r="B256" s="25"/>
      <c r="C256" s="116"/>
      <c r="D256" s="116"/>
      <c r="E256" s="31"/>
      <c r="F256" s="133"/>
      <c r="G256" s="117"/>
      <c r="H256" s="117"/>
      <c r="I256" s="118"/>
      <c r="J256" s="118"/>
      <c r="K256" s="117"/>
      <c r="L256" s="117"/>
      <c r="M256" s="118"/>
      <c r="N256" s="118"/>
      <c r="O256" s="117"/>
      <c r="P256" s="117"/>
      <c r="Q256" s="118"/>
      <c r="R256" s="118"/>
      <c r="S256" s="117"/>
      <c r="T256" s="117"/>
      <c r="U256" s="118"/>
      <c r="V256" s="118"/>
      <c r="W256" s="117"/>
      <c r="X256" s="117"/>
      <c r="Y256" s="118"/>
      <c r="Z256" s="118"/>
      <c r="AA256" s="117"/>
      <c r="AB256" s="117"/>
      <c r="AC256" s="118"/>
      <c r="AD256" s="118"/>
      <c r="AE256" s="26"/>
      <c r="AF256" s="27"/>
      <c r="AG256" s="28"/>
      <c r="AH256" s="29"/>
    </row>
    <row r="257" spans="1:34" s="11" customFormat="1" x14ac:dyDescent="0.2">
      <c r="A257" s="20" t="str">
        <f t="shared" si="3"/>
        <v/>
      </c>
      <c r="B257" s="25"/>
      <c r="C257" s="116"/>
      <c r="D257" s="116"/>
      <c r="E257" s="31"/>
      <c r="F257" s="133"/>
      <c r="G257" s="117"/>
      <c r="H257" s="117"/>
      <c r="I257" s="118"/>
      <c r="J257" s="118"/>
      <c r="K257" s="117"/>
      <c r="L257" s="117"/>
      <c r="M257" s="118"/>
      <c r="N257" s="118"/>
      <c r="O257" s="117"/>
      <c r="P257" s="117"/>
      <c r="Q257" s="118"/>
      <c r="R257" s="118"/>
      <c r="S257" s="117"/>
      <c r="T257" s="117"/>
      <c r="U257" s="118"/>
      <c r="V257" s="118"/>
      <c r="W257" s="117"/>
      <c r="X257" s="117"/>
      <c r="Y257" s="118"/>
      <c r="Z257" s="118"/>
      <c r="AA257" s="117"/>
      <c r="AB257" s="117"/>
      <c r="AC257" s="118"/>
      <c r="AD257" s="118"/>
      <c r="AE257" s="26"/>
      <c r="AF257" s="27"/>
      <c r="AG257" s="28"/>
      <c r="AH257" s="29"/>
    </row>
    <row r="258" spans="1:34" s="11" customFormat="1" x14ac:dyDescent="0.2">
      <c r="A258" s="20" t="str">
        <f t="shared" si="3"/>
        <v/>
      </c>
      <c r="B258" s="25"/>
      <c r="C258" s="116"/>
      <c r="D258" s="116"/>
      <c r="E258" s="31"/>
      <c r="F258" s="133"/>
      <c r="G258" s="117"/>
      <c r="H258" s="117"/>
      <c r="I258" s="118"/>
      <c r="J258" s="118"/>
      <c r="K258" s="117"/>
      <c r="L258" s="117"/>
      <c r="M258" s="118"/>
      <c r="N258" s="118"/>
      <c r="O258" s="117"/>
      <c r="P258" s="117"/>
      <c r="Q258" s="118"/>
      <c r="R258" s="118"/>
      <c r="S258" s="117"/>
      <c r="T258" s="117"/>
      <c r="U258" s="118"/>
      <c r="V258" s="118"/>
      <c r="W258" s="117"/>
      <c r="X258" s="117"/>
      <c r="Y258" s="118"/>
      <c r="Z258" s="118"/>
      <c r="AA258" s="117"/>
      <c r="AB258" s="117"/>
      <c r="AC258" s="118"/>
      <c r="AD258" s="118"/>
      <c r="AE258" s="26"/>
      <c r="AF258" s="27"/>
      <c r="AG258" s="28"/>
      <c r="AH258" s="29"/>
    </row>
    <row r="259" spans="1:34" s="11" customFormat="1" x14ac:dyDescent="0.2">
      <c r="A259" s="20" t="str">
        <f t="shared" si="3"/>
        <v/>
      </c>
      <c r="B259" s="25"/>
      <c r="C259" s="116"/>
      <c r="D259" s="116"/>
      <c r="E259" s="31"/>
      <c r="F259" s="133"/>
      <c r="G259" s="117"/>
      <c r="H259" s="117"/>
      <c r="I259" s="118"/>
      <c r="J259" s="118"/>
      <c r="K259" s="117"/>
      <c r="L259" s="117"/>
      <c r="M259" s="118"/>
      <c r="N259" s="118"/>
      <c r="O259" s="117"/>
      <c r="P259" s="117"/>
      <c r="Q259" s="118"/>
      <c r="R259" s="118"/>
      <c r="S259" s="117"/>
      <c r="T259" s="117"/>
      <c r="U259" s="118"/>
      <c r="V259" s="118"/>
      <c r="W259" s="117"/>
      <c r="X259" s="117"/>
      <c r="Y259" s="118"/>
      <c r="Z259" s="118"/>
      <c r="AA259" s="117"/>
      <c r="AB259" s="117"/>
      <c r="AC259" s="118"/>
      <c r="AD259" s="118"/>
      <c r="AE259" s="26"/>
      <c r="AF259" s="27"/>
      <c r="AG259" s="28"/>
      <c r="AH259" s="29"/>
    </row>
    <row r="260" spans="1:34" s="11" customFormat="1" x14ac:dyDescent="0.2">
      <c r="A260" s="20" t="str">
        <f t="shared" si="3"/>
        <v/>
      </c>
      <c r="B260" s="25"/>
      <c r="C260" s="116"/>
      <c r="D260" s="116"/>
      <c r="E260" s="31"/>
      <c r="F260" s="133"/>
      <c r="G260" s="117"/>
      <c r="H260" s="117"/>
      <c r="I260" s="118"/>
      <c r="J260" s="118"/>
      <c r="K260" s="117"/>
      <c r="L260" s="117"/>
      <c r="M260" s="118"/>
      <c r="N260" s="118"/>
      <c r="O260" s="117"/>
      <c r="P260" s="117"/>
      <c r="Q260" s="118"/>
      <c r="R260" s="118"/>
      <c r="S260" s="117"/>
      <c r="T260" s="117"/>
      <c r="U260" s="118"/>
      <c r="V260" s="118"/>
      <c r="W260" s="117"/>
      <c r="X260" s="117"/>
      <c r="Y260" s="118"/>
      <c r="Z260" s="118"/>
      <c r="AA260" s="117"/>
      <c r="AB260" s="117"/>
      <c r="AC260" s="118"/>
      <c r="AD260" s="118"/>
      <c r="AE260" s="26"/>
      <c r="AF260" s="27"/>
      <c r="AG260" s="28"/>
      <c r="AH260" s="29"/>
    </row>
    <row r="261" spans="1:34" s="11" customFormat="1" x14ac:dyDescent="0.2">
      <c r="A261" s="20" t="str">
        <f t="shared" ref="A261:A324" si="4">IF(COUNTA(G261:AD261)/2=0,"",COUNTA(G261:AD261)/2)</f>
        <v/>
      </c>
      <c r="B261" s="25"/>
      <c r="C261" s="116"/>
      <c r="D261" s="116"/>
      <c r="E261" s="31"/>
      <c r="F261" s="133"/>
      <c r="G261" s="117"/>
      <c r="H261" s="117"/>
      <c r="I261" s="118"/>
      <c r="J261" s="118"/>
      <c r="K261" s="117"/>
      <c r="L261" s="117"/>
      <c r="M261" s="118"/>
      <c r="N261" s="118"/>
      <c r="O261" s="117"/>
      <c r="P261" s="117"/>
      <c r="Q261" s="118"/>
      <c r="R261" s="118"/>
      <c r="S261" s="117"/>
      <c r="T261" s="117"/>
      <c r="U261" s="118"/>
      <c r="V261" s="118"/>
      <c r="W261" s="117"/>
      <c r="X261" s="117"/>
      <c r="Y261" s="118"/>
      <c r="Z261" s="118"/>
      <c r="AA261" s="117"/>
      <c r="AB261" s="117"/>
      <c r="AC261" s="118"/>
      <c r="AD261" s="118"/>
      <c r="AE261" s="26"/>
      <c r="AF261" s="27"/>
      <c r="AG261" s="28"/>
      <c r="AH261" s="29"/>
    </row>
    <row r="262" spans="1:34" s="11" customFormat="1" x14ac:dyDescent="0.2">
      <c r="A262" s="20" t="str">
        <f t="shared" si="4"/>
        <v/>
      </c>
      <c r="B262" s="25"/>
      <c r="C262" s="116"/>
      <c r="D262" s="116"/>
      <c r="E262" s="31"/>
      <c r="F262" s="133"/>
      <c r="G262" s="117"/>
      <c r="H262" s="117"/>
      <c r="I262" s="118"/>
      <c r="J262" s="118"/>
      <c r="K262" s="117"/>
      <c r="L262" s="117"/>
      <c r="M262" s="118"/>
      <c r="N262" s="118"/>
      <c r="O262" s="117"/>
      <c r="P262" s="117"/>
      <c r="Q262" s="118"/>
      <c r="R262" s="118"/>
      <c r="S262" s="117"/>
      <c r="T262" s="117"/>
      <c r="U262" s="118"/>
      <c r="V262" s="118"/>
      <c r="W262" s="117"/>
      <c r="X262" s="117"/>
      <c r="Y262" s="118"/>
      <c r="Z262" s="118"/>
      <c r="AA262" s="117"/>
      <c r="AB262" s="117"/>
      <c r="AC262" s="118"/>
      <c r="AD262" s="118"/>
      <c r="AE262" s="26"/>
      <c r="AF262" s="27"/>
      <c r="AG262" s="28"/>
      <c r="AH262" s="29"/>
    </row>
    <row r="263" spans="1:34" s="11" customFormat="1" x14ac:dyDescent="0.2">
      <c r="A263" s="20" t="str">
        <f t="shared" si="4"/>
        <v/>
      </c>
      <c r="B263" s="25"/>
      <c r="C263" s="116"/>
      <c r="D263" s="116"/>
      <c r="E263" s="31"/>
      <c r="F263" s="133"/>
      <c r="G263" s="117"/>
      <c r="H263" s="117"/>
      <c r="I263" s="118"/>
      <c r="J263" s="118"/>
      <c r="K263" s="117"/>
      <c r="L263" s="117"/>
      <c r="M263" s="118"/>
      <c r="N263" s="118"/>
      <c r="O263" s="117"/>
      <c r="P263" s="117"/>
      <c r="Q263" s="118"/>
      <c r="R263" s="118"/>
      <c r="S263" s="117"/>
      <c r="T263" s="117"/>
      <c r="U263" s="118"/>
      <c r="V263" s="118"/>
      <c r="W263" s="117"/>
      <c r="X263" s="117"/>
      <c r="Y263" s="118"/>
      <c r="Z263" s="118"/>
      <c r="AA263" s="117"/>
      <c r="AB263" s="117"/>
      <c r="AC263" s="118"/>
      <c r="AD263" s="118"/>
      <c r="AE263" s="26"/>
      <c r="AF263" s="27"/>
      <c r="AG263" s="28"/>
      <c r="AH263" s="29"/>
    </row>
    <row r="264" spans="1:34" s="11" customFormat="1" x14ac:dyDescent="0.2">
      <c r="A264" s="20" t="str">
        <f t="shared" si="4"/>
        <v/>
      </c>
      <c r="B264" s="25"/>
      <c r="C264" s="116"/>
      <c r="D264" s="116"/>
      <c r="E264" s="31"/>
      <c r="F264" s="133"/>
      <c r="G264" s="117"/>
      <c r="H264" s="117"/>
      <c r="I264" s="118"/>
      <c r="J264" s="118"/>
      <c r="K264" s="117"/>
      <c r="L264" s="117"/>
      <c r="M264" s="118"/>
      <c r="N264" s="118"/>
      <c r="O264" s="117"/>
      <c r="P264" s="117"/>
      <c r="Q264" s="118"/>
      <c r="R264" s="118"/>
      <c r="S264" s="117"/>
      <c r="T264" s="117"/>
      <c r="U264" s="118"/>
      <c r="V264" s="118"/>
      <c r="W264" s="117"/>
      <c r="X264" s="117"/>
      <c r="Y264" s="118"/>
      <c r="Z264" s="118"/>
      <c r="AA264" s="117"/>
      <c r="AB264" s="117"/>
      <c r="AC264" s="118"/>
      <c r="AD264" s="118"/>
      <c r="AE264" s="26"/>
      <c r="AF264" s="27"/>
      <c r="AG264" s="28"/>
      <c r="AH264" s="29"/>
    </row>
    <row r="265" spans="1:34" s="11" customFormat="1" x14ac:dyDescent="0.2">
      <c r="A265" s="20" t="str">
        <f t="shared" si="4"/>
        <v/>
      </c>
      <c r="B265" s="25"/>
      <c r="C265" s="116"/>
      <c r="D265" s="116"/>
      <c r="E265" s="31"/>
      <c r="F265" s="133"/>
      <c r="G265" s="117"/>
      <c r="H265" s="117"/>
      <c r="I265" s="118"/>
      <c r="J265" s="118"/>
      <c r="K265" s="117"/>
      <c r="L265" s="117"/>
      <c r="M265" s="118"/>
      <c r="N265" s="118"/>
      <c r="O265" s="117"/>
      <c r="P265" s="117"/>
      <c r="Q265" s="118"/>
      <c r="R265" s="118"/>
      <c r="S265" s="117"/>
      <c r="T265" s="117"/>
      <c r="U265" s="118"/>
      <c r="V265" s="118"/>
      <c r="W265" s="117"/>
      <c r="X265" s="117"/>
      <c r="Y265" s="118"/>
      <c r="Z265" s="118"/>
      <c r="AA265" s="117"/>
      <c r="AB265" s="117"/>
      <c r="AC265" s="118"/>
      <c r="AD265" s="118"/>
      <c r="AE265" s="26"/>
      <c r="AF265" s="27"/>
      <c r="AG265" s="28"/>
      <c r="AH265" s="29"/>
    </row>
    <row r="266" spans="1:34" s="11" customFormat="1" x14ac:dyDescent="0.2">
      <c r="A266" s="20" t="str">
        <f t="shared" si="4"/>
        <v/>
      </c>
      <c r="B266" s="25"/>
      <c r="C266" s="116"/>
      <c r="D266" s="116"/>
      <c r="E266" s="31"/>
      <c r="F266" s="133"/>
      <c r="G266" s="117"/>
      <c r="H266" s="117"/>
      <c r="I266" s="118"/>
      <c r="J266" s="118"/>
      <c r="K266" s="117"/>
      <c r="L266" s="117"/>
      <c r="M266" s="118"/>
      <c r="N266" s="118"/>
      <c r="O266" s="117"/>
      <c r="P266" s="117"/>
      <c r="Q266" s="118"/>
      <c r="R266" s="118"/>
      <c r="S266" s="117"/>
      <c r="T266" s="117"/>
      <c r="U266" s="118"/>
      <c r="V266" s="118"/>
      <c r="W266" s="117"/>
      <c r="X266" s="117"/>
      <c r="Y266" s="118"/>
      <c r="Z266" s="118"/>
      <c r="AA266" s="117"/>
      <c r="AB266" s="117"/>
      <c r="AC266" s="118"/>
      <c r="AD266" s="118"/>
      <c r="AE266" s="26"/>
      <c r="AF266" s="27"/>
      <c r="AG266" s="28"/>
      <c r="AH266" s="29"/>
    </row>
    <row r="267" spans="1:34" s="11" customFormat="1" x14ac:dyDescent="0.2">
      <c r="A267" s="20" t="str">
        <f t="shared" si="4"/>
        <v/>
      </c>
      <c r="B267" s="25"/>
      <c r="C267" s="116"/>
      <c r="D267" s="116"/>
      <c r="E267" s="31"/>
      <c r="F267" s="133"/>
      <c r="G267" s="117"/>
      <c r="H267" s="117"/>
      <c r="I267" s="118"/>
      <c r="J267" s="118"/>
      <c r="K267" s="117"/>
      <c r="L267" s="117"/>
      <c r="M267" s="118"/>
      <c r="N267" s="118"/>
      <c r="O267" s="117"/>
      <c r="P267" s="117"/>
      <c r="Q267" s="118"/>
      <c r="R267" s="118"/>
      <c r="S267" s="117"/>
      <c r="T267" s="117"/>
      <c r="U267" s="118"/>
      <c r="V267" s="118"/>
      <c r="W267" s="117"/>
      <c r="X267" s="117"/>
      <c r="Y267" s="118"/>
      <c r="Z267" s="118"/>
      <c r="AA267" s="117"/>
      <c r="AB267" s="117"/>
      <c r="AC267" s="118"/>
      <c r="AD267" s="118"/>
      <c r="AE267" s="26"/>
      <c r="AF267" s="27"/>
      <c r="AG267" s="28"/>
      <c r="AH267" s="29"/>
    </row>
    <row r="268" spans="1:34" s="11" customFormat="1" x14ac:dyDescent="0.2">
      <c r="A268" s="20" t="str">
        <f t="shared" si="4"/>
        <v/>
      </c>
      <c r="B268" s="25"/>
      <c r="C268" s="116"/>
      <c r="D268" s="116"/>
      <c r="E268" s="31"/>
      <c r="F268" s="133"/>
      <c r="G268" s="117"/>
      <c r="H268" s="117"/>
      <c r="I268" s="118"/>
      <c r="J268" s="118"/>
      <c r="K268" s="117"/>
      <c r="L268" s="117"/>
      <c r="M268" s="118"/>
      <c r="N268" s="118"/>
      <c r="O268" s="117"/>
      <c r="P268" s="117"/>
      <c r="Q268" s="118"/>
      <c r="R268" s="118"/>
      <c r="S268" s="117"/>
      <c r="T268" s="117"/>
      <c r="U268" s="118"/>
      <c r="V268" s="118"/>
      <c r="W268" s="117"/>
      <c r="X268" s="117"/>
      <c r="Y268" s="118"/>
      <c r="Z268" s="118"/>
      <c r="AA268" s="117"/>
      <c r="AB268" s="117"/>
      <c r="AC268" s="118"/>
      <c r="AD268" s="118"/>
      <c r="AE268" s="26"/>
      <c r="AF268" s="27"/>
      <c r="AG268" s="28"/>
      <c r="AH268" s="29"/>
    </row>
    <row r="269" spans="1:34" s="11" customFormat="1" x14ac:dyDescent="0.2">
      <c r="A269" s="20" t="str">
        <f t="shared" si="4"/>
        <v/>
      </c>
      <c r="B269" s="25"/>
      <c r="C269" s="116"/>
      <c r="D269" s="116"/>
      <c r="E269" s="31"/>
      <c r="F269" s="133"/>
      <c r="G269" s="117"/>
      <c r="H269" s="117"/>
      <c r="I269" s="118"/>
      <c r="J269" s="118"/>
      <c r="K269" s="117"/>
      <c r="L269" s="117"/>
      <c r="M269" s="118"/>
      <c r="N269" s="118"/>
      <c r="O269" s="117"/>
      <c r="P269" s="117"/>
      <c r="Q269" s="118"/>
      <c r="R269" s="118"/>
      <c r="S269" s="117"/>
      <c r="T269" s="117"/>
      <c r="U269" s="118"/>
      <c r="V269" s="118"/>
      <c r="W269" s="117"/>
      <c r="X269" s="117"/>
      <c r="Y269" s="118"/>
      <c r="Z269" s="118"/>
      <c r="AA269" s="117"/>
      <c r="AB269" s="117"/>
      <c r="AC269" s="118"/>
      <c r="AD269" s="118"/>
      <c r="AE269" s="26"/>
      <c r="AF269" s="27"/>
      <c r="AG269" s="28"/>
      <c r="AH269" s="29"/>
    </row>
    <row r="270" spans="1:34" s="11" customFormat="1" x14ac:dyDescent="0.2">
      <c r="A270" s="20" t="str">
        <f t="shared" si="4"/>
        <v/>
      </c>
      <c r="B270" s="25"/>
      <c r="C270" s="116"/>
      <c r="D270" s="116"/>
      <c r="E270" s="31"/>
      <c r="F270" s="133"/>
      <c r="G270" s="117"/>
      <c r="H270" s="117"/>
      <c r="I270" s="118"/>
      <c r="J270" s="118"/>
      <c r="K270" s="117"/>
      <c r="L270" s="117"/>
      <c r="M270" s="118"/>
      <c r="N270" s="118"/>
      <c r="O270" s="117"/>
      <c r="P270" s="117"/>
      <c r="Q270" s="118"/>
      <c r="R270" s="118"/>
      <c r="S270" s="117"/>
      <c r="T270" s="117"/>
      <c r="U270" s="118"/>
      <c r="V270" s="118"/>
      <c r="W270" s="117"/>
      <c r="X270" s="117"/>
      <c r="Y270" s="118"/>
      <c r="Z270" s="118"/>
      <c r="AA270" s="117"/>
      <c r="AB270" s="117"/>
      <c r="AC270" s="118"/>
      <c r="AD270" s="118"/>
      <c r="AE270" s="26"/>
      <c r="AF270" s="27"/>
      <c r="AG270" s="28"/>
      <c r="AH270" s="29"/>
    </row>
    <row r="271" spans="1:34" s="11" customFormat="1" x14ac:dyDescent="0.2">
      <c r="A271" s="20" t="str">
        <f t="shared" si="4"/>
        <v/>
      </c>
      <c r="B271" s="25"/>
      <c r="C271" s="116"/>
      <c r="D271" s="116"/>
      <c r="E271" s="31"/>
      <c r="F271" s="133"/>
      <c r="G271" s="117"/>
      <c r="H271" s="117"/>
      <c r="I271" s="118"/>
      <c r="J271" s="118"/>
      <c r="K271" s="117"/>
      <c r="L271" s="117"/>
      <c r="M271" s="118"/>
      <c r="N271" s="118"/>
      <c r="O271" s="117"/>
      <c r="P271" s="117"/>
      <c r="Q271" s="118"/>
      <c r="R271" s="118"/>
      <c r="S271" s="117"/>
      <c r="T271" s="117"/>
      <c r="U271" s="118"/>
      <c r="V271" s="118"/>
      <c r="W271" s="117"/>
      <c r="X271" s="117"/>
      <c r="Y271" s="118"/>
      <c r="Z271" s="118"/>
      <c r="AA271" s="117"/>
      <c r="AB271" s="117"/>
      <c r="AC271" s="118"/>
      <c r="AD271" s="118"/>
      <c r="AE271" s="26"/>
      <c r="AF271" s="27"/>
      <c r="AG271" s="28"/>
      <c r="AH271" s="29"/>
    </row>
    <row r="272" spans="1:34" s="11" customFormat="1" x14ac:dyDescent="0.2">
      <c r="A272" s="20" t="str">
        <f t="shared" si="4"/>
        <v/>
      </c>
      <c r="B272" s="25"/>
      <c r="C272" s="116"/>
      <c r="D272" s="116"/>
      <c r="E272" s="31"/>
      <c r="F272" s="133"/>
      <c r="G272" s="117"/>
      <c r="H272" s="117"/>
      <c r="I272" s="118"/>
      <c r="J272" s="118"/>
      <c r="K272" s="117"/>
      <c r="L272" s="117"/>
      <c r="M272" s="118"/>
      <c r="N272" s="118"/>
      <c r="O272" s="117"/>
      <c r="P272" s="117"/>
      <c r="Q272" s="118"/>
      <c r="R272" s="118"/>
      <c r="S272" s="117"/>
      <c r="T272" s="117"/>
      <c r="U272" s="118"/>
      <c r="V272" s="118"/>
      <c r="W272" s="117"/>
      <c r="X272" s="117"/>
      <c r="Y272" s="118"/>
      <c r="Z272" s="118"/>
      <c r="AA272" s="117"/>
      <c r="AB272" s="117"/>
      <c r="AC272" s="118"/>
      <c r="AD272" s="118"/>
      <c r="AE272" s="26"/>
      <c r="AF272" s="27"/>
      <c r="AG272" s="28"/>
      <c r="AH272" s="29"/>
    </row>
    <row r="273" spans="1:34" s="11" customFormat="1" x14ac:dyDescent="0.2">
      <c r="A273" s="20" t="str">
        <f t="shared" si="4"/>
        <v/>
      </c>
      <c r="B273" s="25"/>
      <c r="C273" s="116"/>
      <c r="D273" s="116"/>
      <c r="E273" s="31"/>
      <c r="F273" s="133"/>
      <c r="G273" s="117"/>
      <c r="H273" s="117"/>
      <c r="I273" s="118"/>
      <c r="J273" s="118"/>
      <c r="K273" s="117"/>
      <c r="L273" s="117"/>
      <c r="M273" s="118"/>
      <c r="N273" s="118"/>
      <c r="O273" s="117"/>
      <c r="P273" s="117"/>
      <c r="Q273" s="118"/>
      <c r="R273" s="118"/>
      <c r="S273" s="117"/>
      <c r="T273" s="117"/>
      <c r="U273" s="118"/>
      <c r="V273" s="118"/>
      <c r="W273" s="117"/>
      <c r="X273" s="117"/>
      <c r="Y273" s="118"/>
      <c r="Z273" s="118"/>
      <c r="AA273" s="117"/>
      <c r="AB273" s="117"/>
      <c r="AC273" s="118"/>
      <c r="AD273" s="118"/>
      <c r="AE273" s="26"/>
      <c r="AF273" s="27"/>
      <c r="AG273" s="28"/>
      <c r="AH273" s="29"/>
    </row>
    <row r="274" spans="1:34" s="11" customFormat="1" x14ac:dyDescent="0.2">
      <c r="A274" s="20" t="str">
        <f t="shared" si="4"/>
        <v/>
      </c>
      <c r="B274" s="25"/>
      <c r="C274" s="116"/>
      <c r="D274" s="116"/>
      <c r="E274" s="31"/>
      <c r="F274" s="133"/>
      <c r="G274" s="117"/>
      <c r="H274" s="117"/>
      <c r="I274" s="118"/>
      <c r="J274" s="118"/>
      <c r="K274" s="117"/>
      <c r="L274" s="117"/>
      <c r="M274" s="118"/>
      <c r="N274" s="118"/>
      <c r="O274" s="117"/>
      <c r="P274" s="117"/>
      <c r="Q274" s="118"/>
      <c r="R274" s="118"/>
      <c r="S274" s="117"/>
      <c r="T274" s="117"/>
      <c r="U274" s="118"/>
      <c r="V274" s="118"/>
      <c r="W274" s="117"/>
      <c r="X274" s="117"/>
      <c r="Y274" s="118"/>
      <c r="Z274" s="118"/>
      <c r="AA274" s="117"/>
      <c r="AB274" s="117"/>
      <c r="AC274" s="118"/>
      <c r="AD274" s="118"/>
      <c r="AE274" s="26"/>
      <c r="AF274" s="27"/>
      <c r="AG274" s="28"/>
      <c r="AH274" s="29"/>
    </row>
    <row r="275" spans="1:34" s="11" customFormat="1" x14ac:dyDescent="0.2">
      <c r="A275" s="20" t="str">
        <f t="shared" si="4"/>
        <v/>
      </c>
      <c r="B275" s="25"/>
      <c r="C275" s="116"/>
      <c r="D275" s="116"/>
      <c r="E275" s="31"/>
      <c r="F275" s="133"/>
      <c r="G275" s="117"/>
      <c r="H275" s="117"/>
      <c r="I275" s="118"/>
      <c r="J275" s="118"/>
      <c r="K275" s="117"/>
      <c r="L275" s="117"/>
      <c r="M275" s="118"/>
      <c r="N275" s="118"/>
      <c r="O275" s="117"/>
      <c r="P275" s="117"/>
      <c r="Q275" s="118"/>
      <c r="R275" s="118"/>
      <c r="S275" s="117"/>
      <c r="T275" s="117"/>
      <c r="U275" s="118"/>
      <c r="V275" s="118"/>
      <c r="W275" s="117"/>
      <c r="X275" s="117"/>
      <c r="Y275" s="118"/>
      <c r="Z275" s="118"/>
      <c r="AA275" s="117"/>
      <c r="AB275" s="117"/>
      <c r="AC275" s="118"/>
      <c r="AD275" s="118"/>
      <c r="AE275" s="26"/>
      <c r="AF275" s="27"/>
      <c r="AG275" s="28"/>
      <c r="AH275" s="29"/>
    </row>
    <row r="276" spans="1:34" s="11" customFormat="1" x14ac:dyDescent="0.2">
      <c r="A276" s="20" t="str">
        <f t="shared" si="4"/>
        <v/>
      </c>
      <c r="B276" s="25"/>
      <c r="C276" s="116"/>
      <c r="D276" s="116"/>
      <c r="E276" s="31"/>
      <c r="F276" s="133"/>
      <c r="G276" s="117"/>
      <c r="H276" s="117"/>
      <c r="I276" s="118"/>
      <c r="J276" s="118"/>
      <c r="K276" s="117"/>
      <c r="L276" s="117"/>
      <c r="M276" s="118"/>
      <c r="N276" s="118"/>
      <c r="O276" s="117"/>
      <c r="P276" s="117"/>
      <c r="Q276" s="118"/>
      <c r="R276" s="118"/>
      <c r="S276" s="117"/>
      <c r="T276" s="117"/>
      <c r="U276" s="118"/>
      <c r="V276" s="118"/>
      <c r="W276" s="117"/>
      <c r="X276" s="117"/>
      <c r="Y276" s="118"/>
      <c r="Z276" s="118"/>
      <c r="AA276" s="117"/>
      <c r="AB276" s="117"/>
      <c r="AC276" s="118"/>
      <c r="AD276" s="118"/>
      <c r="AE276" s="26"/>
      <c r="AF276" s="27"/>
      <c r="AG276" s="28"/>
      <c r="AH276" s="29"/>
    </row>
    <row r="277" spans="1:34" s="11" customFormat="1" x14ac:dyDescent="0.2">
      <c r="A277" s="20" t="str">
        <f t="shared" si="4"/>
        <v/>
      </c>
      <c r="B277" s="25"/>
      <c r="C277" s="116"/>
      <c r="D277" s="116"/>
      <c r="E277" s="31"/>
      <c r="F277" s="133"/>
      <c r="G277" s="117"/>
      <c r="H277" s="117"/>
      <c r="I277" s="118"/>
      <c r="J277" s="118"/>
      <c r="K277" s="117"/>
      <c r="L277" s="117"/>
      <c r="M277" s="118"/>
      <c r="N277" s="118"/>
      <c r="O277" s="117"/>
      <c r="P277" s="117"/>
      <c r="Q277" s="118"/>
      <c r="R277" s="118"/>
      <c r="S277" s="117"/>
      <c r="T277" s="117"/>
      <c r="U277" s="118"/>
      <c r="V277" s="118"/>
      <c r="W277" s="117"/>
      <c r="X277" s="117"/>
      <c r="Y277" s="118"/>
      <c r="Z277" s="118"/>
      <c r="AA277" s="117"/>
      <c r="AB277" s="117"/>
      <c r="AC277" s="118"/>
      <c r="AD277" s="118"/>
      <c r="AE277" s="26"/>
      <c r="AF277" s="27"/>
      <c r="AG277" s="28"/>
      <c r="AH277" s="29"/>
    </row>
    <row r="278" spans="1:34" s="11" customFormat="1" x14ac:dyDescent="0.2">
      <c r="A278" s="20" t="str">
        <f t="shared" si="4"/>
        <v/>
      </c>
      <c r="B278" s="25"/>
      <c r="C278" s="116"/>
      <c r="D278" s="116"/>
      <c r="E278" s="31"/>
      <c r="F278" s="133"/>
      <c r="G278" s="117"/>
      <c r="H278" s="117"/>
      <c r="I278" s="118"/>
      <c r="J278" s="118"/>
      <c r="K278" s="117"/>
      <c r="L278" s="117"/>
      <c r="M278" s="118"/>
      <c r="N278" s="118"/>
      <c r="O278" s="117"/>
      <c r="P278" s="117"/>
      <c r="Q278" s="118"/>
      <c r="R278" s="118"/>
      <c r="S278" s="117"/>
      <c r="T278" s="117"/>
      <c r="U278" s="118"/>
      <c r="V278" s="118"/>
      <c r="W278" s="117"/>
      <c r="X278" s="117"/>
      <c r="Y278" s="118"/>
      <c r="Z278" s="118"/>
      <c r="AA278" s="117"/>
      <c r="AB278" s="117"/>
      <c r="AC278" s="118"/>
      <c r="AD278" s="118"/>
      <c r="AE278" s="26"/>
      <c r="AF278" s="27"/>
      <c r="AG278" s="28"/>
      <c r="AH278" s="29"/>
    </row>
    <row r="279" spans="1:34" s="11" customFormat="1" x14ac:dyDescent="0.2">
      <c r="A279" s="20" t="str">
        <f t="shared" si="4"/>
        <v/>
      </c>
      <c r="B279" s="25"/>
      <c r="C279" s="116"/>
      <c r="D279" s="116"/>
      <c r="E279" s="31"/>
      <c r="F279" s="133"/>
      <c r="G279" s="117"/>
      <c r="H279" s="117"/>
      <c r="I279" s="118"/>
      <c r="J279" s="118"/>
      <c r="K279" s="117"/>
      <c r="L279" s="117"/>
      <c r="M279" s="118"/>
      <c r="N279" s="118"/>
      <c r="O279" s="117"/>
      <c r="P279" s="117"/>
      <c r="Q279" s="118"/>
      <c r="R279" s="118"/>
      <c r="S279" s="117"/>
      <c r="T279" s="117"/>
      <c r="U279" s="118"/>
      <c r="V279" s="118"/>
      <c r="W279" s="117"/>
      <c r="X279" s="117"/>
      <c r="Y279" s="118"/>
      <c r="Z279" s="118"/>
      <c r="AA279" s="117"/>
      <c r="AB279" s="117"/>
      <c r="AC279" s="118"/>
      <c r="AD279" s="118"/>
      <c r="AE279" s="26"/>
      <c r="AF279" s="27"/>
      <c r="AG279" s="28"/>
      <c r="AH279" s="29"/>
    </row>
    <row r="280" spans="1:34" s="11" customFormat="1" x14ac:dyDescent="0.2">
      <c r="A280" s="20" t="str">
        <f t="shared" si="4"/>
        <v/>
      </c>
      <c r="B280" s="25"/>
      <c r="C280" s="116"/>
      <c r="D280" s="116"/>
      <c r="E280" s="31"/>
      <c r="F280" s="133"/>
      <c r="G280" s="117"/>
      <c r="H280" s="117"/>
      <c r="I280" s="118"/>
      <c r="J280" s="118"/>
      <c r="K280" s="117"/>
      <c r="L280" s="117"/>
      <c r="M280" s="118"/>
      <c r="N280" s="118"/>
      <c r="O280" s="117"/>
      <c r="P280" s="117"/>
      <c r="Q280" s="118"/>
      <c r="R280" s="118"/>
      <c r="S280" s="117"/>
      <c r="T280" s="117"/>
      <c r="U280" s="118"/>
      <c r="V280" s="118"/>
      <c r="W280" s="117"/>
      <c r="X280" s="117"/>
      <c r="Y280" s="118"/>
      <c r="Z280" s="118"/>
      <c r="AA280" s="117"/>
      <c r="AB280" s="117"/>
      <c r="AC280" s="118"/>
      <c r="AD280" s="118"/>
      <c r="AE280" s="26"/>
      <c r="AF280" s="27"/>
      <c r="AG280" s="28"/>
      <c r="AH280" s="29"/>
    </row>
    <row r="281" spans="1:34" s="11" customFormat="1" x14ac:dyDescent="0.2">
      <c r="A281" s="20" t="str">
        <f t="shared" si="4"/>
        <v/>
      </c>
      <c r="B281" s="25"/>
      <c r="C281" s="116"/>
      <c r="D281" s="116"/>
      <c r="E281" s="31"/>
      <c r="F281" s="133"/>
      <c r="G281" s="117"/>
      <c r="H281" s="117"/>
      <c r="I281" s="118"/>
      <c r="J281" s="118"/>
      <c r="K281" s="117"/>
      <c r="L281" s="117"/>
      <c r="M281" s="118"/>
      <c r="N281" s="118"/>
      <c r="O281" s="117"/>
      <c r="P281" s="117"/>
      <c r="Q281" s="118"/>
      <c r="R281" s="118"/>
      <c r="S281" s="117"/>
      <c r="T281" s="117"/>
      <c r="U281" s="118"/>
      <c r="V281" s="118"/>
      <c r="W281" s="117"/>
      <c r="X281" s="117"/>
      <c r="Y281" s="118"/>
      <c r="Z281" s="118"/>
      <c r="AA281" s="117"/>
      <c r="AB281" s="117"/>
      <c r="AC281" s="118"/>
      <c r="AD281" s="118"/>
      <c r="AE281" s="26"/>
      <c r="AF281" s="27"/>
      <c r="AG281" s="28"/>
      <c r="AH281" s="29"/>
    </row>
    <row r="282" spans="1:34" s="11" customFormat="1" x14ac:dyDescent="0.2">
      <c r="A282" s="20" t="str">
        <f t="shared" si="4"/>
        <v/>
      </c>
      <c r="B282" s="25"/>
      <c r="C282" s="116"/>
      <c r="D282" s="116"/>
      <c r="E282" s="31"/>
      <c r="F282" s="133"/>
      <c r="G282" s="117"/>
      <c r="H282" s="117"/>
      <c r="I282" s="118"/>
      <c r="J282" s="118"/>
      <c r="K282" s="117"/>
      <c r="L282" s="117"/>
      <c r="M282" s="118"/>
      <c r="N282" s="118"/>
      <c r="O282" s="117"/>
      <c r="P282" s="117"/>
      <c r="Q282" s="118"/>
      <c r="R282" s="118"/>
      <c r="S282" s="117"/>
      <c r="T282" s="117"/>
      <c r="U282" s="118"/>
      <c r="V282" s="118"/>
      <c r="W282" s="117"/>
      <c r="X282" s="117"/>
      <c r="Y282" s="118"/>
      <c r="Z282" s="118"/>
      <c r="AA282" s="117"/>
      <c r="AB282" s="117"/>
      <c r="AC282" s="118"/>
      <c r="AD282" s="118"/>
      <c r="AE282" s="26"/>
      <c r="AF282" s="27"/>
      <c r="AG282" s="28"/>
      <c r="AH282" s="29"/>
    </row>
    <row r="283" spans="1:34" s="11" customFormat="1" x14ac:dyDescent="0.2">
      <c r="A283" s="20" t="str">
        <f t="shared" si="4"/>
        <v/>
      </c>
      <c r="B283" s="25"/>
      <c r="C283" s="116"/>
      <c r="D283" s="116"/>
      <c r="E283" s="31"/>
      <c r="F283" s="133"/>
      <c r="G283" s="117"/>
      <c r="H283" s="117"/>
      <c r="I283" s="118"/>
      <c r="J283" s="118"/>
      <c r="K283" s="117"/>
      <c r="L283" s="117"/>
      <c r="M283" s="118"/>
      <c r="N283" s="118"/>
      <c r="O283" s="117"/>
      <c r="P283" s="117"/>
      <c r="Q283" s="118"/>
      <c r="R283" s="118"/>
      <c r="S283" s="117"/>
      <c r="T283" s="117"/>
      <c r="U283" s="118"/>
      <c r="V283" s="118"/>
      <c r="W283" s="117"/>
      <c r="X283" s="117"/>
      <c r="Y283" s="118"/>
      <c r="Z283" s="118"/>
      <c r="AA283" s="117"/>
      <c r="AB283" s="117"/>
      <c r="AC283" s="118"/>
      <c r="AD283" s="118"/>
      <c r="AE283" s="26"/>
      <c r="AF283" s="27"/>
      <c r="AG283" s="28"/>
      <c r="AH283" s="29"/>
    </row>
    <row r="284" spans="1:34" s="11" customFormat="1" x14ac:dyDescent="0.2">
      <c r="A284" s="20" t="str">
        <f t="shared" si="4"/>
        <v/>
      </c>
      <c r="B284" s="25"/>
      <c r="C284" s="116"/>
      <c r="D284" s="116"/>
      <c r="E284" s="31"/>
      <c r="F284" s="133"/>
      <c r="G284" s="117"/>
      <c r="H284" s="117"/>
      <c r="I284" s="118"/>
      <c r="J284" s="118"/>
      <c r="K284" s="117"/>
      <c r="L284" s="117"/>
      <c r="M284" s="118"/>
      <c r="N284" s="118"/>
      <c r="O284" s="117"/>
      <c r="P284" s="117"/>
      <c r="Q284" s="118"/>
      <c r="R284" s="118"/>
      <c r="S284" s="117"/>
      <c r="T284" s="117"/>
      <c r="U284" s="118"/>
      <c r="V284" s="118"/>
      <c r="W284" s="117"/>
      <c r="X284" s="117"/>
      <c r="Y284" s="118"/>
      <c r="Z284" s="118"/>
      <c r="AA284" s="117"/>
      <c r="AB284" s="117"/>
      <c r="AC284" s="118"/>
      <c r="AD284" s="118"/>
      <c r="AE284" s="26"/>
      <c r="AF284" s="27"/>
      <c r="AG284" s="28"/>
      <c r="AH284" s="29"/>
    </row>
    <row r="285" spans="1:34" s="11" customFormat="1" x14ac:dyDescent="0.2">
      <c r="A285" s="20" t="str">
        <f t="shared" si="4"/>
        <v/>
      </c>
      <c r="B285" s="25"/>
      <c r="C285" s="116"/>
      <c r="D285" s="116"/>
      <c r="E285" s="31"/>
      <c r="F285" s="133"/>
      <c r="G285" s="117"/>
      <c r="H285" s="117"/>
      <c r="I285" s="118"/>
      <c r="J285" s="118"/>
      <c r="K285" s="117"/>
      <c r="L285" s="117"/>
      <c r="M285" s="118"/>
      <c r="N285" s="118"/>
      <c r="O285" s="117"/>
      <c r="P285" s="117"/>
      <c r="Q285" s="118"/>
      <c r="R285" s="118"/>
      <c r="S285" s="117"/>
      <c r="T285" s="117"/>
      <c r="U285" s="118"/>
      <c r="V285" s="118"/>
      <c r="W285" s="117"/>
      <c r="X285" s="117"/>
      <c r="Y285" s="118"/>
      <c r="Z285" s="118"/>
      <c r="AA285" s="117"/>
      <c r="AB285" s="117"/>
      <c r="AC285" s="118"/>
      <c r="AD285" s="118"/>
      <c r="AE285" s="26"/>
      <c r="AF285" s="27"/>
      <c r="AG285" s="28"/>
      <c r="AH285" s="29"/>
    </row>
    <row r="286" spans="1:34" s="11" customFormat="1" x14ac:dyDescent="0.2">
      <c r="A286" s="20" t="str">
        <f t="shared" si="4"/>
        <v/>
      </c>
      <c r="B286" s="25"/>
      <c r="C286" s="116"/>
      <c r="D286" s="116"/>
      <c r="E286" s="31"/>
      <c r="F286" s="133"/>
      <c r="G286" s="117"/>
      <c r="H286" s="117"/>
      <c r="I286" s="118"/>
      <c r="J286" s="118"/>
      <c r="K286" s="117"/>
      <c r="L286" s="117"/>
      <c r="M286" s="118"/>
      <c r="N286" s="118"/>
      <c r="O286" s="117"/>
      <c r="P286" s="117"/>
      <c r="Q286" s="118"/>
      <c r="R286" s="118"/>
      <c r="S286" s="117"/>
      <c r="T286" s="117"/>
      <c r="U286" s="118"/>
      <c r="V286" s="118"/>
      <c r="W286" s="117"/>
      <c r="X286" s="117"/>
      <c r="Y286" s="118"/>
      <c r="Z286" s="118"/>
      <c r="AA286" s="117"/>
      <c r="AB286" s="117"/>
      <c r="AC286" s="118"/>
      <c r="AD286" s="118"/>
      <c r="AE286" s="26"/>
      <c r="AF286" s="27"/>
      <c r="AG286" s="28"/>
      <c r="AH286" s="29"/>
    </row>
    <row r="287" spans="1:34" s="11" customFormat="1" x14ac:dyDescent="0.2">
      <c r="A287" s="20" t="str">
        <f t="shared" si="4"/>
        <v/>
      </c>
      <c r="B287" s="25"/>
      <c r="C287" s="116"/>
      <c r="D287" s="116"/>
      <c r="E287" s="31"/>
      <c r="F287" s="133"/>
      <c r="G287" s="117"/>
      <c r="H287" s="117"/>
      <c r="I287" s="118"/>
      <c r="J287" s="118"/>
      <c r="K287" s="117"/>
      <c r="L287" s="117"/>
      <c r="M287" s="118"/>
      <c r="N287" s="118"/>
      <c r="O287" s="117"/>
      <c r="P287" s="117"/>
      <c r="Q287" s="118"/>
      <c r="R287" s="118"/>
      <c r="S287" s="117"/>
      <c r="T287" s="117"/>
      <c r="U287" s="118"/>
      <c r="V287" s="118"/>
      <c r="W287" s="117"/>
      <c r="X287" s="117"/>
      <c r="Y287" s="118"/>
      <c r="Z287" s="118"/>
      <c r="AA287" s="117"/>
      <c r="AB287" s="117"/>
      <c r="AC287" s="118"/>
      <c r="AD287" s="118"/>
      <c r="AE287" s="26"/>
      <c r="AF287" s="27"/>
      <c r="AG287" s="28"/>
      <c r="AH287" s="29"/>
    </row>
    <row r="288" spans="1:34" s="11" customFormat="1" x14ac:dyDescent="0.2">
      <c r="A288" s="20" t="str">
        <f t="shared" si="4"/>
        <v/>
      </c>
      <c r="B288" s="25"/>
      <c r="C288" s="116"/>
      <c r="D288" s="116"/>
      <c r="E288" s="31"/>
      <c r="F288" s="133"/>
      <c r="G288" s="117"/>
      <c r="H288" s="117"/>
      <c r="I288" s="118"/>
      <c r="J288" s="118"/>
      <c r="K288" s="117"/>
      <c r="L288" s="117"/>
      <c r="M288" s="118"/>
      <c r="N288" s="118"/>
      <c r="O288" s="117"/>
      <c r="P288" s="117"/>
      <c r="Q288" s="118"/>
      <c r="R288" s="118"/>
      <c r="S288" s="117"/>
      <c r="T288" s="117"/>
      <c r="U288" s="118"/>
      <c r="V288" s="118"/>
      <c r="W288" s="117"/>
      <c r="X288" s="117"/>
      <c r="Y288" s="118"/>
      <c r="Z288" s="118"/>
      <c r="AA288" s="117"/>
      <c r="AB288" s="117"/>
      <c r="AC288" s="118"/>
      <c r="AD288" s="118"/>
      <c r="AE288" s="26"/>
      <c r="AF288" s="27"/>
      <c r="AG288" s="28"/>
      <c r="AH288" s="29"/>
    </row>
    <row r="289" spans="1:34" s="11" customFormat="1" x14ac:dyDescent="0.2">
      <c r="A289" s="20" t="str">
        <f t="shared" si="4"/>
        <v/>
      </c>
      <c r="B289" s="25"/>
      <c r="C289" s="116"/>
      <c r="D289" s="116"/>
      <c r="E289" s="31"/>
      <c r="F289" s="133"/>
      <c r="G289" s="117"/>
      <c r="H289" s="117"/>
      <c r="I289" s="118"/>
      <c r="J289" s="118"/>
      <c r="K289" s="117"/>
      <c r="L289" s="117"/>
      <c r="M289" s="118"/>
      <c r="N289" s="118"/>
      <c r="O289" s="117"/>
      <c r="P289" s="117"/>
      <c r="Q289" s="118"/>
      <c r="R289" s="118"/>
      <c r="S289" s="117"/>
      <c r="T289" s="117"/>
      <c r="U289" s="118"/>
      <c r="V289" s="118"/>
      <c r="W289" s="117"/>
      <c r="X289" s="117"/>
      <c r="Y289" s="118"/>
      <c r="Z289" s="118"/>
      <c r="AA289" s="117"/>
      <c r="AB289" s="117"/>
      <c r="AC289" s="118"/>
      <c r="AD289" s="118"/>
      <c r="AE289" s="26"/>
      <c r="AF289" s="27"/>
      <c r="AG289" s="28"/>
      <c r="AH289" s="29"/>
    </row>
    <row r="290" spans="1:34" s="11" customFormat="1" x14ac:dyDescent="0.2">
      <c r="A290" s="20" t="str">
        <f t="shared" si="4"/>
        <v/>
      </c>
      <c r="B290" s="25"/>
      <c r="C290" s="116"/>
      <c r="D290" s="116"/>
      <c r="E290" s="31"/>
      <c r="F290" s="133"/>
      <c r="G290" s="117"/>
      <c r="H290" s="117"/>
      <c r="I290" s="118"/>
      <c r="J290" s="118"/>
      <c r="K290" s="117"/>
      <c r="L290" s="117"/>
      <c r="M290" s="118"/>
      <c r="N290" s="118"/>
      <c r="O290" s="117"/>
      <c r="P290" s="117"/>
      <c r="Q290" s="118"/>
      <c r="R290" s="118"/>
      <c r="S290" s="117"/>
      <c r="T290" s="117"/>
      <c r="U290" s="118"/>
      <c r="V290" s="118"/>
      <c r="W290" s="117"/>
      <c r="X290" s="117"/>
      <c r="Y290" s="118"/>
      <c r="Z290" s="118"/>
      <c r="AA290" s="117"/>
      <c r="AB290" s="117"/>
      <c r="AC290" s="118"/>
      <c r="AD290" s="118"/>
      <c r="AE290" s="26"/>
      <c r="AF290" s="27"/>
      <c r="AG290" s="28"/>
      <c r="AH290" s="29"/>
    </row>
    <row r="291" spans="1:34" s="11" customFormat="1" x14ac:dyDescent="0.2">
      <c r="A291" s="20" t="str">
        <f t="shared" si="4"/>
        <v/>
      </c>
      <c r="B291" s="25"/>
      <c r="C291" s="116"/>
      <c r="D291" s="116"/>
      <c r="E291" s="31"/>
      <c r="F291" s="133"/>
      <c r="G291" s="117"/>
      <c r="H291" s="117"/>
      <c r="I291" s="118"/>
      <c r="J291" s="118"/>
      <c r="K291" s="117"/>
      <c r="L291" s="117"/>
      <c r="M291" s="118"/>
      <c r="N291" s="118"/>
      <c r="O291" s="117"/>
      <c r="P291" s="117"/>
      <c r="Q291" s="118"/>
      <c r="R291" s="118"/>
      <c r="S291" s="117"/>
      <c r="T291" s="117"/>
      <c r="U291" s="118"/>
      <c r="V291" s="118"/>
      <c r="W291" s="117"/>
      <c r="X291" s="117"/>
      <c r="Y291" s="118"/>
      <c r="Z291" s="118"/>
      <c r="AA291" s="117"/>
      <c r="AB291" s="117"/>
      <c r="AC291" s="118"/>
      <c r="AD291" s="118"/>
      <c r="AE291" s="26"/>
      <c r="AF291" s="27"/>
      <c r="AG291" s="28"/>
      <c r="AH291" s="29"/>
    </row>
    <row r="292" spans="1:34" s="11" customFormat="1" x14ac:dyDescent="0.2">
      <c r="A292" s="20" t="str">
        <f t="shared" si="4"/>
        <v/>
      </c>
      <c r="B292" s="25"/>
      <c r="C292" s="116"/>
      <c r="D292" s="116"/>
      <c r="E292" s="31"/>
      <c r="F292" s="133"/>
      <c r="G292" s="117"/>
      <c r="H292" s="117"/>
      <c r="I292" s="118"/>
      <c r="J292" s="118"/>
      <c r="K292" s="117"/>
      <c r="L292" s="117"/>
      <c r="M292" s="118"/>
      <c r="N292" s="118"/>
      <c r="O292" s="117"/>
      <c r="P292" s="117"/>
      <c r="Q292" s="118"/>
      <c r="R292" s="118"/>
      <c r="S292" s="117"/>
      <c r="T292" s="117"/>
      <c r="U292" s="118"/>
      <c r="V292" s="118"/>
      <c r="W292" s="117"/>
      <c r="X292" s="117"/>
      <c r="Y292" s="118"/>
      <c r="Z292" s="118"/>
      <c r="AA292" s="117"/>
      <c r="AB292" s="117"/>
      <c r="AC292" s="118"/>
      <c r="AD292" s="118"/>
      <c r="AE292" s="26"/>
      <c r="AF292" s="27"/>
      <c r="AG292" s="28"/>
      <c r="AH292" s="29"/>
    </row>
    <row r="293" spans="1:34" s="11" customFormat="1" x14ac:dyDescent="0.2">
      <c r="A293" s="20" t="str">
        <f t="shared" si="4"/>
        <v/>
      </c>
      <c r="B293" s="25"/>
      <c r="C293" s="116"/>
      <c r="D293" s="116"/>
      <c r="E293" s="31"/>
      <c r="F293" s="133"/>
      <c r="G293" s="117"/>
      <c r="H293" s="117"/>
      <c r="I293" s="118"/>
      <c r="J293" s="118"/>
      <c r="K293" s="117"/>
      <c r="L293" s="117"/>
      <c r="M293" s="118"/>
      <c r="N293" s="118"/>
      <c r="O293" s="117"/>
      <c r="P293" s="117"/>
      <c r="Q293" s="118"/>
      <c r="R293" s="118"/>
      <c r="S293" s="117"/>
      <c r="T293" s="117"/>
      <c r="U293" s="118"/>
      <c r="V293" s="118"/>
      <c r="W293" s="117"/>
      <c r="X293" s="117"/>
      <c r="Y293" s="118"/>
      <c r="Z293" s="118"/>
      <c r="AA293" s="117"/>
      <c r="AB293" s="117"/>
      <c r="AC293" s="118"/>
      <c r="AD293" s="118"/>
      <c r="AE293" s="26"/>
      <c r="AF293" s="27"/>
      <c r="AG293" s="28"/>
      <c r="AH293" s="29"/>
    </row>
    <row r="294" spans="1:34" s="11" customFormat="1" x14ac:dyDescent="0.2">
      <c r="A294" s="20" t="str">
        <f t="shared" si="4"/>
        <v/>
      </c>
      <c r="B294" s="25"/>
      <c r="C294" s="116"/>
      <c r="D294" s="116"/>
      <c r="E294" s="31"/>
      <c r="F294" s="133"/>
      <c r="G294" s="117"/>
      <c r="H294" s="117"/>
      <c r="I294" s="118"/>
      <c r="J294" s="118"/>
      <c r="K294" s="117"/>
      <c r="L294" s="117"/>
      <c r="M294" s="118"/>
      <c r="N294" s="118"/>
      <c r="O294" s="117"/>
      <c r="P294" s="117"/>
      <c r="Q294" s="118"/>
      <c r="R294" s="118"/>
      <c r="S294" s="117"/>
      <c r="T294" s="117"/>
      <c r="U294" s="118"/>
      <c r="V294" s="118"/>
      <c r="W294" s="117"/>
      <c r="X294" s="117"/>
      <c r="Y294" s="118"/>
      <c r="Z294" s="118"/>
      <c r="AA294" s="117"/>
      <c r="AB294" s="117"/>
      <c r="AC294" s="118"/>
      <c r="AD294" s="118"/>
      <c r="AE294" s="26"/>
      <c r="AF294" s="27"/>
      <c r="AG294" s="28"/>
      <c r="AH294" s="29"/>
    </row>
    <row r="295" spans="1:34" s="11" customFormat="1" x14ac:dyDescent="0.2">
      <c r="A295" s="20" t="str">
        <f t="shared" si="4"/>
        <v/>
      </c>
      <c r="B295" s="25"/>
      <c r="C295" s="116"/>
      <c r="D295" s="116"/>
      <c r="E295" s="31"/>
      <c r="F295" s="133"/>
      <c r="G295" s="117"/>
      <c r="H295" s="117"/>
      <c r="I295" s="118"/>
      <c r="J295" s="118"/>
      <c r="K295" s="117"/>
      <c r="L295" s="117"/>
      <c r="M295" s="118"/>
      <c r="N295" s="118"/>
      <c r="O295" s="117"/>
      <c r="P295" s="117"/>
      <c r="Q295" s="118"/>
      <c r="R295" s="118"/>
      <c r="S295" s="117"/>
      <c r="T295" s="117"/>
      <c r="U295" s="118"/>
      <c r="V295" s="118"/>
      <c r="W295" s="117"/>
      <c r="X295" s="117"/>
      <c r="Y295" s="118"/>
      <c r="Z295" s="118"/>
      <c r="AA295" s="117"/>
      <c r="AB295" s="117"/>
      <c r="AC295" s="118"/>
      <c r="AD295" s="118"/>
      <c r="AE295" s="26"/>
      <c r="AF295" s="27"/>
      <c r="AG295" s="28"/>
      <c r="AH295" s="29"/>
    </row>
    <row r="296" spans="1:34" s="11" customFormat="1" x14ac:dyDescent="0.2">
      <c r="A296" s="20" t="str">
        <f t="shared" si="4"/>
        <v/>
      </c>
      <c r="B296" s="25"/>
      <c r="C296" s="116"/>
      <c r="D296" s="116"/>
      <c r="E296" s="31"/>
      <c r="F296" s="133"/>
      <c r="G296" s="117"/>
      <c r="H296" s="117"/>
      <c r="I296" s="118"/>
      <c r="J296" s="118"/>
      <c r="K296" s="117"/>
      <c r="L296" s="117"/>
      <c r="M296" s="118"/>
      <c r="N296" s="118"/>
      <c r="O296" s="117"/>
      <c r="P296" s="117"/>
      <c r="Q296" s="118"/>
      <c r="R296" s="118"/>
      <c r="S296" s="117"/>
      <c r="T296" s="117"/>
      <c r="U296" s="118"/>
      <c r="V296" s="118"/>
      <c r="W296" s="117"/>
      <c r="X296" s="117"/>
      <c r="Y296" s="118"/>
      <c r="Z296" s="118"/>
      <c r="AA296" s="117"/>
      <c r="AB296" s="117"/>
      <c r="AC296" s="118"/>
      <c r="AD296" s="118"/>
      <c r="AE296" s="26"/>
      <c r="AF296" s="27"/>
      <c r="AG296" s="28"/>
      <c r="AH296" s="29"/>
    </row>
    <row r="297" spans="1:34" s="11" customFormat="1" x14ac:dyDescent="0.2">
      <c r="A297" s="20" t="str">
        <f t="shared" si="4"/>
        <v/>
      </c>
      <c r="B297" s="25"/>
      <c r="C297" s="116"/>
      <c r="D297" s="116"/>
      <c r="E297" s="31"/>
      <c r="F297" s="133"/>
      <c r="G297" s="117"/>
      <c r="H297" s="117"/>
      <c r="I297" s="118"/>
      <c r="J297" s="118"/>
      <c r="K297" s="117"/>
      <c r="L297" s="117"/>
      <c r="M297" s="118"/>
      <c r="N297" s="118"/>
      <c r="O297" s="117"/>
      <c r="P297" s="117"/>
      <c r="Q297" s="118"/>
      <c r="R297" s="118"/>
      <c r="S297" s="117"/>
      <c r="T297" s="117"/>
      <c r="U297" s="118"/>
      <c r="V297" s="118"/>
      <c r="W297" s="117"/>
      <c r="X297" s="117"/>
      <c r="Y297" s="118"/>
      <c r="Z297" s="118"/>
      <c r="AA297" s="117"/>
      <c r="AB297" s="117"/>
      <c r="AC297" s="118"/>
      <c r="AD297" s="118"/>
      <c r="AE297" s="26"/>
      <c r="AF297" s="27"/>
      <c r="AG297" s="28"/>
      <c r="AH297" s="29"/>
    </row>
    <row r="298" spans="1:34" s="11" customFormat="1" x14ac:dyDescent="0.2">
      <c r="A298" s="20" t="str">
        <f t="shared" si="4"/>
        <v/>
      </c>
      <c r="B298" s="25"/>
      <c r="C298" s="116"/>
      <c r="D298" s="116"/>
      <c r="E298" s="31"/>
      <c r="F298" s="133"/>
      <c r="G298" s="117"/>
      <c r="H298" s="117"/>
      <c r="I298" s="118"/>
      <c r="J298" s="118"/>
      <c r="K298" s="117"/>
      <c r="L298" s="117"/>
      <c r="M298" s="118"/>
      <c r="N298" s="118"/>
      <c r="O298" s="117"/>
      <c r="P298" s="117"/>
      <c r="Q298" s="118"/>
      <c r="R298" s="118"/>
      <c r="S298" s="117"/>
      <c r="T298" s="117"/>
      <c r="U298" s="118"/>
      <c r="V298" s="118"/>
      <c r="W298" s="117"/>
      <c r="X298" s="117"/>
      <c r="Y298" s="118"/>
      <c r="Z298" s="118"/>
      <c r="AA298" s="117"/>
      <c r="AB298" s="117"/>
      <c r="AC298" s="118"/>
      <c r="AD298" s="118"/>
      <c r="AE298" s="26"/>
      <c r="AF298" s="27"/>
      <c r="AG298" s="28"/>
      <c r="AH298" s="29"/>
    </row>
    <row r="299" spans="1:34" s="11" customFormat="1" x14ac:dyDescent="0.2">
      <c r="A299" s="20" t="str">
        <f t="shared" si="4"/>
        <v/>
      </c>
      <c r="B299" s="25"/>
      <c r="C299" s="116"/>
      <c r="D299" s="116"/>
      <c r="E299" s="31"/>
      <c r="F299" s="133"/>
      <c r="G299" s="117"/>
      <c r="H299" s="117"/>
      <c r="I299" s="118"/>
      <c r="J299" s="118"/>
      <c r="K299" s="117"/>
      <c r="L299" s="117"/>
      <c r="M299" s="118"/>
      <c r="N299" s="118"/>
      <c r="O299" s="117"/>
      <c r="P299" s="117"/>
      <c r="Q299" s="118"/>
      <c r="R299" s="118"/>
      <c r="S299" s="117"/>
      <c r="T299" s="117"/>
      <c r="U299" s="118"/>
      <c r="V299" s="118"/>
      <c r="W299" s="117"/>
      <c r="X299" s="117"/>
      <c r="Y299" s="118"/>
      <c r="Z299" s="118"/>
      <c r="AA299" s="117"/>
      <c r="AB299" s="117"/>
      <c r="AC299" s="118"/>
      <c r="AD299" s="118"/>
      <c r="AE299" s="26"/>
      <c r="AF299" s="27"/>
      <c r="AG299" s="28"/>
      <c r="AH299" s="29"/>
    </row>
    <row r="300" spans="1:34" s="11" customFormat="1" x14ac:dyDescent="0.2">
      <c r="A300" s="20" t="str">
        <f t="shared" si="4"/>
        <v/>
      </c>
      <c r="B300" s="25"/>
      <c r="C300" s="116"/>
      <c r="D300" s="116"/>
      <c r="E300" s="31"/>
      <c r="F300" s="133"/>
      <c r="G300" s="117"/>
      <c r="H300" s="117"/>
      <c r="I300" s="118"/>
      <c r="J300" s="118"/>
      <c r="K300" s="117"/>
      <c r="L300" s="117"/>
      <c r="M300" s="118"/>
      <c r="N300" s="118"/>
      <c r="O300" s="117"/>
      <c r="P300" s="117"/>
      <c r="Q300" s="118"/>
      <c r="R300" s="118"/>
      <c r="S300" s="117"/>
      <c r="T300" s="117"/>
      <c r="U300" s="118"/>
      <c r="V300" s="118"/>
      <c r="W300" s="117"/>
      <c r="X300" s="117"/>
      <c r="Y300" s="118"/>
      <c r="Z300" s="118"/>
      <c r="AA300" s="117"/>
      <c r="AB300" s="117"/>
      <c r="AC300" s="118"/>
      <c r="AD300" s="118"/>
      <c r="AE300" s="26"/>
      <c r="AF300" s="27"/>
      <c r="AG300" s="28"/>
      <c r="AH300" s="29"/>
    </row>
    <row r="301" spans="1:34" s="11" customFormat="1" x14ac:dyDescent="0.2">
      <c r="A301" s="20" t="str">
        <f t="shared" si="4"/>
        <v/>
      </c>
      <c r="B301" s="25"/>
      <c r="C301" s="116"/>
      <c r="D301" s="116"/>
      <c r="E301" s="31"/>
      <c r="F301" s="133"/>
      <c r="G301" s="117"/>
      <c r="H301" s="117"/>
      <c r="I301" s="118"/>
      <c r="J301" s="118"/>
      <c r="K301" s="117"/>
      <c r="L301" s="117"/>
      <c r="M301" s="118"/>
      <c r="N301" s="118"/>
      <c r="O301" s="117"/>
      <c r="P301" s="117"/>
      <c r="Q301" s="118"/>
      <c r="R301" s="118"/>
      <c r="S301" s="117"/>
      <c r="T301" s="117"/>
      <c r="U301" s="118"/>
      <c r="V301" s="118"/>
      <c r="W301" s="117"/>
      <c r="X301" s="117"/>
      <c r="Y301" s="118"/>
      <c r="Z301" s="118"/>
      <c r="AA301" s="117"/>
      <c r="AB301" s="117"/>
      <c r="AC301" s="118"/>
      <c r="AD301" s="118"/>
      <c r="AE301" s="26"/>
      <c r="AF301" s="27"/>
      <c r="AG301" s="28"/>
      <c r="AH301" s="29"/>
    </row>
    <row r="302" spans="1:34" s="11" customFormat="1" x14ac:dyDescent="0.2">
      <c r="A302" s="20" t="str">
        <f t="shared" si="4"/>
        <v/>
      </c>
      <c r="B302" s="25"/>
      <c r="C302" s="116"/>
      <c r="D302" s="116"/>
      <c r="E302" s="31"/>
      <c r="F302" s="133"/>
      <c r="G302" s="117"/>
      <c r="H302" s="117"/>
      <c r="I302" s="118"/>
      <c r="J302" s="118"/>
      <c r="K302" s="117"/>
      <c r="L302" s="117"/>
      <c r="M302" s="118"/>
      <c r="N302" s="118"/>
      <c r="O302" s="117"/>
      <c r="P302" s="117"/>
      <c r="Q302" s="118"/>
      <c r="R302" s="118"/>
      <c r="S302" s="117"/>
      <c r="T302" s="117"/>
      <c r="U302" s="118"/>
      <c r="V302" s="118"/>
      <c r="W302" s="117"/>
      <c r="X302" s="117"/>
      <c r="Y302" s="118"/>
      <c r="Z302" s="118"/>
      <c r="AA302" s="117"/>
      <c r="AB302" s="117"/>
      <c r="AC302" s="118"/>
      <c r="AD302" s="118"/>
      <c r="AE302" s="26"/>
      <c r="AF302" s="27"/>
      <c r="AG302" s="28"/>
      <c r="AH302" s="29"/>
    </row>
    <row r="303" spans="1:34" s="11" customFormat="1" x14ac:dyDescent="0.2">
      <c r="A303" s="20" t="str">
        <f t="shared" si="4"/>
        <v/>
      </c>
      <c r="B303" s="25"/>
      <c r="C303" s="116"/>
      <c r="D303" s="116"/>
      <c r="E303" s="31"/>
      <c r="F303" s="133"/>
      <c r="G303" s="117"/>
      <c r="H303" s="117"/>
      <c r="I303" s="118"/>
      <c r="J303" s="118"/>
      <c r="K303" s="117"/>
      <c r="L303" s="117"/>
      <c r="M303" s="118"/>
      <c r="N303" s="118"/>
      <c r="O303" s="117"/>
      <c r="P303" s="117"/>
      <c r="Q303" s="118"/>
      <c r="R303" s="118"/>
      <c r="S303" s="117"/>
      <c r="T303" s="117"/>
      <c r="U303" s="118"/>
      <c r="V303" s="118"/>
      <c r="W303" s="117"/>
      <c r="X303" s="117"/>
      <c r="Y303" s="118"/>
      <c r="Z303" s="118"/>
      <c r="AA303" s="117"/>
      <c r="AB303" s="117"/>
      <c r="AC303" s="118"/>
      <c r="AD303" s="118"/>
      <c r="AE303" s="26"/>
      <c r="AF303" s="27"/>
      <c r="AG303" s="28"/>
      <c r="AH303" s="29"/>
    </row>
    <row r="304" spans="1:34" s="11" customFormat="1" x14ac:dyDescent="0.2">
      <c r="A304" s="20" t="str">
        <f t="shared" si="4"/>
        <v/>
      </c>
      <c r="B304" s="25"/>
      <c r="C304" s="116"/>
      <c r="D304" s="116"/>
      <c r="E304" s="31"/>
      <c r="F304" s="133"/>
      <c r="G304" s="117"/>
      <c r="H304" s="117"/>
      <c r="I304" s="118"/>
      <c r="J304" s="118"/>
      <c r="K304" s="117"/>
      <c r="L304" s="117"/>
      <c r="M304" s="118"/>
      <c r="N304" s="118"/>
      <c r="O304" s="117"/>
      <c r="P304" s="117"/>
      <c r="Q304" s="118"/>
      <c r="R304" s="118"/>
      <c r="S304" s="117"/>
      <c r="T304" s="117"/>
      <c r="U304" s="118"/>
      <c r="V304" s="118"/>
      <c r="W304" s="117"/>
      <c r="X304" s="117"/>
      <c r="Y304" s="118"/>
      <c r="Z304" s="118"/>
      <c r="AA304" s="117"/>
      <c r="AB304" s="117"/>
      <c r="AC304" s="118"/>
      <c r="AD304" s="118"/>
      <c r="AE304" s="26"/>
      <c r="AF304" s="27"/>
      <c r="AG304" s="28"/>
      <c r="AH304" s="29"/>
    </row>
    <row r="305" spans="1:34" s="11" customFormat="1" x14ac:dyDescent="0.2">
      <c r="A305" s="20" t="str">
        <f t="shared" si="4"/>
        <v/>
      </c>
      <c r="B305" s="25"/>
      <c r="C305" s="116"/>
      <c r="D305" s="116"/>
      <c r="E305" s="31"/>
      <c r="F305" s="133"/>
      <c r="G305" s="117"/>
      <c r="H305" s="117"/>
      <c r="I305" s="118"/>
      <c r="J305" s="118"/>
      <c r="K305" s="117"/>
      <c r="L305" s="117"/>
      <c r="M305" s="118"/>
      <c r="N305" s="118"/>
      <c r="O305" s="117"/>
      <c r="P305" s="117"/>
      <c r="Q305" s="118"/>
      <c r="R305" s="118"/>
      <c r="S305" s="117"/>
      <c r="T305" s="117"/>
      <c r="U305" s="118"/>
      <c r="V305" s="118"/>
      <c r="W305" s="117"/>
      <c r="X305" s="117"/>
      <c r="Y305" s="118"/>
      <c r="Z305" s="118"/>
      <c r="AA305" s="117"/>
      <c r="AB305" s="117"/>
      <c r="AC305" s="118"/>
      <c r="AD305" s="118"/>
      <c r="AE305" s="26"/>
      <c r="AF305" s="27"/>
      <c r="AG305" s="28"/>
      <c r="AH305" s="29"/>
    </row>
    <row r="306" spans="1:34" s="11" customFormat="1" x14ac:dyDescent="0.2">
      <c r="A306" s="20" t="str">
        <f t="shared" si="4"/>
        <v/>
      </c>
      <c r="B306" s="25"/>
      <c r="C306" s="116"/>
      <c r="D306" s="116"/>
      <c r="E306" s="31"/>
      <c r="F306" s="133"/>
      <c r="G306" s="117"/>
      <c r="H306" s="117"/>
      <c r="I306" s="118"/>
      <c r="J306" s="118"/>
      <c r="K306" s="117"/>
      <c r="L306" s="117"/>
      <c r="M306" s="118"/>
      <c r="N306" s="118"/>
      <c r="O306" s="117"/>
      <c r="P306" s="117"/>
      <c r="Q306" s="118"/>
      <c r="R306" s="118"/>
      <c r="S306" s="117"/>
      <c r="T306" s="117"/>
      <c r="U306" s="118"/>
      <c r="V306" s="118"/>
      <c r="W306" s="117"/>
      <c r="X306" s="117"/>
      <c r="Y306" s="118"/>
      <c r="Z306" s="118"/>
      <c r="AA306" s="117"/>
      <c r="AB306" s="117"/>
      <c r="AC306" s="118"/>
      <c r="AD306" s="118"/>
      <c r="AE306" s="26"/>
      <c r="AF306" s="27"/>
      <c r="AG306" s="28"/>
      <c r="AH306" s="29"/>
    </row>
    <row r="307" spans="1:34" s="11" customFormat="1" x14ac:dyDescent="0.2">
      <c r="A307" s="20" t="str">
        <f t="shared" si="4"/>
        <v/>
      </c>
      <c r="B307" s="25"/>
      <c r="C307" s="116"/>
      <c r="D307" s="116"/>
      <c r="E307" s="31"/>
      <c r="F307" s="133"/>
      <c r="G307" s="117"/>
      <c r="H307" s="117"/>
      <c r="I307" s="118"/>
      <c r="J307" s="118"/>
      <c r="K307" s="117"/>
      <c r="L307" s="117"/>
      <c r="M307" s="118"/>
      <c r="N307" s="118"/>
      <c r="O307" s="117"/>
      <c r="P307" s="117"/>
      <c r="Q307" s="118"/>
      <c r="R307" s="118"/>
      <c r="S307" s="117"/>
      <c r="T307" s="117"/>
      <c r="U307" s="118"/>
      <c r="V307" s="118"/>
      <c r="W307" s="117"/>
      <c r="X307" s="117"/>
      <c r="Y307" s="118"/>
      <c r="Z307" s="118"/>
      <c r="AA307" s="117"/>
      <c r="AB307" s="117"/>
      <c r="AC307" s="118"/>
      <c r="AD307" s="118"/>
      <c r="AE307" s="26"/>
      <c r="AF307" s="27"/>
      <c r="AG307" s="28"/>
      <c r="AH307" s="29"/>
    </row>
    <row r="308" spans="1:34" s="11" customFormat="1" x14ac:dyDescent="0.2">
      <c r="A308" s="20" t="str">
        <f t="shared" si="4"/>
        <v/>
      </c>
      <c r="B308" s="25"/>
      <c r="C308" s="116"/>
      <c r="D308" s="116"/>
      <c r="E308" s="31"/>
      <c r="F308" s="133"/>
      <c r="G308" s="117"/>
      <c r="H308" s="117"/>
      <c r="I308" s="118"/>
      <c r="J308" s="118"/>
      <c r="K308" s="117"/>
      <c r="L308" s="117"/>
      <c r="M308" s="118"/>
      <c r="N308" s="118"/>
      <c r="O308" s="117"/>
      <c r="P308" s="117"/>
      <c r="Q308" s="118"/>
      <c r="R308" s="118"/>
      <c r="S308" s="117"/>
      <c r="T308" s="117"/>
      <c r="U308" s="118"/>
      <c r="V308" s="118"/>
      <c r="W308" s="117"/>
      <c r="X308" s="117"/>
      <c r="Y308" s="118"/>
      <c r="Z308" s="118"/>
      <c r="AA308" s="117"/>
      <c r="AB308" s="117"/>
      <c r="AC308" s="118"/>
      <c r="AD308" s="118"/>
      <c r="AE308" s="26"/>
      <c r="AF308" s="27"/>
      <c r="AG308" s="28"/>
      <c r="AH308" s="29"/>
    </row>
    <row r="309" spans="1:34" s="11" customFormat="1" x14ac:dyDescent="0.2">
      <c r="A309" s="20" t="str">
        <f t="shared" si="4"/>
        <v/>
      </c>
      <c r="B309" s="25"/>
      <c r="C309" s="116"/>
      <c r="D309" s="116"/>
      <c r="E309" s="31"/>
      <c r="F309" s="133"/>
      <c r="G309" s="117"/>
      <c r="H309" s="117"/>
      <c r="I309" s="118"/>
      <c r="J309" s="118"/>
      <c r="K309" s="117"/>
      <c r="L309" s="117"/>
      <c r="M309" s="118"/>
      <c r="N309" s="118"/>
      <c r="O309" s="117"/>
      <c r="P309" s="117"/>
      <c r="Q309" s="118"/>
      <c r="R309" s="118"/>
      <c r="S309" s="117"/>
      <c r="T309" s="117"/>
      <c r="U309" s="118"/>
      <c r="V309" s="118"/>
      <c r="W309" s="117"/>
      <c r="X309" s="117"/>
      <c r="Y309" s="118"/>
      <c r="Z309" s="118"/>
      <c r="AA309" s="117"/>
      <c r="AB309" s="117"/>
      <c r="AC309" s="118"/>
      <c r="AD309" s="118"/>
      <c r="AE309" s="26"/>
      <c r="AF309" s="27"/>
      <c r="AG309" s="28"/>
      <c r="AH309" s="29"/>
    </row>
    <row r="310" spans="1:34" s="11" customFormat="1" x14ac:dyDescent="0.2">
      <c r="A310" s="20" t="str">
        <f t="shared" si="4"/>
        <v/>
      </c>
      <c r="B310" s="25"/>
      <c r="C310" s="116"/>
      <c r="D310" s="116"/>
      <c r="E310" s="31"/>
      <c r="F310" s="133"/>
      <c r="G310" s="117"/>
      <c r="H310" s="117"/>
      <c r="I310" s="118"/>
      <c r="J310" s="118"/>
      <c r="K310" s="117"/>
      <c r="L310" s="117"/>
      <c r="M310" s="118"/>
      <c r="N310" s="118"/>
      <c r="O310" s="117"/>
      <c r="P310" s="117"/>
      <c r="Q310" s="118"/>
      <c r="R310" s="118"/>
      <c r="S310" s="117"/>
      <c r="T310" s="117"/>
      <c r="U310" s="118"/>
      <c r="V310" s="118"/>
      <c r="W310" s="117"/>
      <c r="X310" s="117"/>
      <c r="Y310" s="118"/>
      <c r="Z310" s="118"/>
      <c r="AA310" s="117"/>
      <c r="AB310" s="117"/>
      <c r="AC310" s="118"/>
      <c r="AD310" s="118"/>
      <c r="AE310" s="26"/>
      <c r="AF310" s="27"/>
      <c r="AG310" s="28"/>
      <c r="AH310" s="29"/>
    </row>
    <row r="311" spans="1:34" s="11" customFormat="1" x14ac:dyDescent="0.2">
      <c r="A311" s="20" t="str">
        <f t="shared" si="4"/>
        <v/>
      </c>
      <c r="B311" s="25"/>
      <c r="C311" s="116"/>
      <c r="D311" s="116"/>
      <c r="E311" s="31"/>
      <c r="F311" s="133"/>
      <c r="G311" s="117"/>
      <c r="H311" s="117"/>
      <c r="I311" s="118"/>
      <c r="J311" s="118"/>
      <c r="K311" s="117"/>
      <c r="L311" s="117"/>
      <c r="M311" s="118"/>
      <c r="N311" s="118"/>
      <c r="O311" s="117"/>
      <c r="P311" s="117"/>
      <c r="Q311" s="118"/>
      <c r="R311" s="118"/>
      <c r="S311" s="117"/>
      <c r="T311" s="117"/>
      <c r="U311" s="118"/>
      <c r="V311" s="118"/>
      <c r="W311" s="117"/>
      <c r="X311" s="117"/>
      <c r="Y311" s="118"/>
      <c r="Z311" s="118"/>
      <c r="AA311" s="117"/>
      <c r="AB311" s="117"/>
      <c r="AC311" s="118"/>
      <c r="AD311" s="118"/>
      <c r="AE311" s="26"/>
      <c r="AF311" s="27"/>
      <c r="AG311" s="28"/>
      <c r="AH311" s="29"/>
    </row>
    <row r="312" spans="1:34" s="11" customFormat="1" x14ac:dyDescent="0.2">
      <c r="A312" s="20" t="str">
        <f t="shared" si="4"/>
        <v/>
      </c>
      <c r="B312" s="25"/>
      <c r="C312" s="116"/>
      <c r="D312" s="116"/>
      <c r="E312" s="31"/>
      <c r="F312" s="133"/>
      <c r="G312" s="117"/>
      <c r="H312" s="117"/>
      <c r="I312" s="118"/>
      <c r="J312" s="118"/>
      <c r="K312" s="117"/>
      <c r="L312" s="117"/>
      <c r="M312" s="118"/>
      <c r="N312" s="118"/>
      <c r="O312" s="117"/>
      <c r="P312" s="117"/>
      <c r="Q312" s="118"/>
      <c r="R312" s="118"/>
      <c r="S312" s="117"/>
      <c r="T312" s="117"/>
      <c r="U312" s="118"/>
      <c r="V312" s="118"/>
      <c r="W312" s="117"/>
      <c r="X312" s="117"/>
      <c r="Y312" s="118"/>
      <c r="Z312" s="118"/>
      <c r="AA312" s="117"/>
      <c r="AB312" s="117"/>
      <c r="AC312" s="118"/>
      <c r="AD312" s="118"/>
      <c r="AE312" s="26"/>
      <c r="AF312" s="27"/>
      <c r="AG312" s="28"/>
      <c r="AH312" s="29"/>
    </row>
    <row r="313" spans="1:34" s="11" customFormat="1" x14ac:dyDescent="0.2">
      <c r="A313" s="20" t="str">
        <f t="shared" si="4"/>
        <v/>
      </c>
      <c r="B313" s="25"/>
      <c r="C313" s="116"/>
      <c r="D313" s="116"/>
      <c r="E313" s="31"/>
      <c r="F313" s="133"/>
      <c r="G313" s="117"/>
      <c r="H313" s="117"/>
      <c r="I313" s="118"/>
      <c r="J313" s="118"/>
      <c r="K313" s="117"/>
      <c r="L313" s="117"/>
      <c r="M313" s="118"/>
      <c r="N313" s="118"/>
      <c r="O313" s="117"/>
      <c r="P313" s="117"/>
      <c r="Q313" s="118"/>
      <c r="R313" s="118"/>
      <c r="S313" s="117"/>
      <c r="T313" s="117"/>
      <c r="U313" s="118"/>
      <c r="V313" s="118"/>
      <c r="W313" s="117"/>
      <c r="X313" s="117"/>
      <c r="Y313" s="118"/>
      <c r="Z313" s="118"/>
      <c r="AA313" s="117"/>
      <c r="AB313" s="117"/>
      <c r="AC313" s="118"/>
      <c r="AD313" s="118"/>
      <c r="AE313" s="26"/>
      <c r="AF313" s="27"/>
      <c r="AG313" s="28"/>
      <c r="AH313" s="29"/>
    </row>
    <row r="314" spans="1:34" s="11" customFormat="1" x14ac:dyDescent="0.2">
      <c r="A314" s="20" t="str">
        <f t="shared" si="4"/>
        <v/>
      </c>
      <c r="B314" s="25"/>
      <c r="C314" s="116"/>
      <c r="D314" s="116"/>
      <c r="E314" s="31"/>
      <c r="F314" s="133"/>
      <c r="G314" s="117"/>
      <c r="H314" s="117"/>
      <c r="I314" s="118"/>
      <c r="J314" s="118"/>
      <c r="K314" s="117"/>
      <c r="L314" s="117"/>
      <c r="M314" s="118"/>
      <c r="N314" s="118"/>
      <c r="O314" s="117"/>
      <c r="P314" s="117"/>
      <c r="Q314" s="118"/>
      <c r="R314" s="118"/>
      <c r="S314" s="117"/>
      <c r="T314" s="117"/>
      <c r="U314" s="118"/>
      <c r="V314" s="118"/>
      <c r="W314" s="117"/>
      <c r="X314" s="117"/>
      <c r="Y314" s="118"/>
      <c r="Z314" s="118"/>
      <c r="AA314" s="117"/>
      <c r="AB314" s="117"/>
      <c r="AC314" s="118"/>
      <c r="AD314" s="118"/>
      <c r="AE314" s="26"/>
      <c r="AF314" s="27"/>
      <c r="AG314" s="28"/>
      <c r="AH314" s="29"/>
    </row>
    <row r="315" spans="1:34" s="11" customFormat="1" x14ac:dyDescent="0.2">
      <c r="A315" s="20" t="str">
        <f t="shared" si="4"/>
        <v/>
      </c>
      <c r="B315" s="25"/>
      <c r="C315" s="116"/>
      <c r="D315" s="116"/>
      <c r="E315" s="31"/>
      <c r="F315" s="133"/>
      <c r="G315" s="117"/>
      <c r="H315" s="117"/>
      <c r="I315" s="118"/>
      <c r="J315" s="118"/>
      <c r="K315" s="117"/>
      <c r="L315" s="117"/>
      <c r="M315" s="118"/>
      <c r="N315" s="118"/>
      <c r="O315" s="117"/>
      <c r="P315" s="117"/>
      <c r="Q315" s="118"/>
      <c r="R315" s="118"/>
      <c r="S315" s="117"/>
      <c r="T315" s="117"/>
      <c r="U315" s="118"/>
      <c r="V315" s="118"/>
      <c r="W315" s="117"/>
      <c r="X315" s="117"/>
      <c r="Y315" s="118"/>
      <c r="Z315" s="118"/>
      <c r="AA315" s="117"/>
      <c r="AB315" s="117"/>
      <c r="AC315" s="118"/>
      <c r="AD315" s="118"/>
      <c r="AE315" s="26"/>
      <c r="AF315" s="27"/>
      <c r="AG315" s="28"/>
      <c r="AH315" s="29"/>
    </row>
    <row r="316" spans="1:34" s="11" customFormat="1" x14ac:dyDescent="0.2">
      <c r="A316" s="20" t="str">
        <f t="shared" si="4"/>
        <v/>
      </c>
      <c r="B316" s="25"/>
      <c r="C316" s="116"/>
      <c r="D316" s="116"/>
      <c r="E316" s="31"/>
      <c r="F316" s="133"/>
      <c r="G316" s="117"/>
      <c r="H316" s="117"/>
      <c r="I316" s="118"/>
      <c r="J316" s="118"/>
      <c r="K316" s="117"/>
      <c r="L316" s="117"/>
      <c r="M316" s="118"/>
      <c r="N316" s="118"/>
      <c r="O316" s="117"/>
      <c r="P316" s="117"/>
      <c r="Q316" s="118"/>
      <c r="R316" s="118"/>
      <c r="S316" s="117"/>
      <c r="T316" s="117"/>
      <c r="U316" s="118"/>
      <c r="V316" s="118"/>
      <c r="W316" s="117"/>
      <c r="X316" s="117"/>
      <c r="Y316" s="118"/>
      <c r="Z316" s="118"/>
      <c r="AA316" s="117"/>
      <c r="AB316" s="117"/>
      <c r="AC316" s="118"/>
      <c r="AD316" s="118"/>
      <c r="AE316" s="26"/>
      <c r="AF316" s="27"/>
      <c r="AG316" s="28"/>
      <c r="AH316" s="29"/>
    </row>
    <row r="317" spans="1:34" s="11" customFormat="1" x14ac:dyDescent="0.2">
      <c r="A317" s="20" t="str">
        <f t="shared" si="4"/>
        <v/>
      </c>
      <c r="B317" s="25"/>
      <c r="C317" s="116"/>
      <c r="D317" s="116"/>
      <c r="E317" s="31"/>
      <c r="F317" s="133"/>
      <c r="G317" s="117"/>
      <c r="H317" s="117"/>
      <c r="I317" s="118"/>
      <c r="J317" s="118"/>
      <c r="K317" s="117"/>
      <c r="L317" s="117"/>
      <c r="M317" s="118"/>
      <c r="N317" s="118"/>
      <c r="O317" s="117"/>
      <c r="P317" s="117"/>
      <c r="Q317" s="118"/>
      <c r="R317" s="118"/>
      <c r="S317" s="117"/>
      <c r="T317" s="117"/>
      <c r="U317" s="118"/>
      <c r="V317" s="118"/>
      <c r="W317" s="117"/>
      <c r="X317" s="117"/>
      <c r="Y317" s="118"/>
      <c r="Z317" s="118"/>
      <c r="AA317" s="117"/>
      <c r="AB317" s="117"/>
      <c r="AC317" s="118"/>
      <c r="AD317" s="118"/>
      <c r="AE317" s="26"/>
      <c r="AF317" s="27"/>
      <c r="AG317" s="28"/>
      <c r="AH317" s="29"/>
    </row>
    <row r="318" spans="1:34" s="11" customFormat="1" x14ac:dyDescent="0.2">
      <c r="A318" s="20" t="str">
        <f t="shared" si="4"/>
        <v/>
      </c>
      <c r="B318" s="25"/>
      <c r="C318" s="116"/>
      <c r="D318" s="116"/>
      <c r="E318" s="31"/>
      <c r="F318" s="133"/>
      <c r="G318" s="117"/>
      <c r="H318" s="117"/>
      <c r="I318" s="118"/>
      <c r="J318" s="118"/>
      <c r="K318" s="117"/>
      <c r="L318" s="117"/>
      <c r="M318" s="118"/>
      <c r="N318" s="118"/>
      <c r="O318" s="117"/>
      <c r="P318" s="117"/>
      <c r="Q318" s="118"/>
      <c r="R318" s="118"/>
      <c r="S318" s="117"/>
      <c r="T318" s="117"/>
      <c r="U318" s="118"/>
      <c r="V318" s="118"/>
      <c r="W318" s="117"/>
      <c r="X318" s="117"/>
      <c r="Y318" s="118"/>
      <c r="Z318" s="118"/>
      <c r="AA318" s="117"/>
      <c r="AB318" s="117"/>
      <c r="AC318" s="118"/>
      <c r="AD318" s="118"/>
      <c r="AE318" s="26"/>
      <c r="AF318" s="27"/>
      <c r="AG318" s="28"/>
      <c r="AH318" s="29"/>
    </row>
    <row r="319" spans="1:34" s="11" customFormat="1" x14ac:dyDescent="0.2">
      <c r="A319" s="20" t="str">
        <f t="shared" si="4"/>
        <v/>
      </c>
      <c r="B319" s="25"/>
      <c r="C319" s="116"/>
      <c r="D319" s="116"/>
      <c r="E319" s="31"/>
      <c r="F319" s="133"/>
      <c r="G319" s="117"/>
      <c r="H319" s="117"/>
      <c r="I319" s="118"/>
      <c r="J319" s="118"/>
      <c r="K319" s="117"/>
      <c r="L319" s="117"/>
      <c r="M319" s="118"/>
      <c r="N319" s="118"/>
      <c r="O319" s="117"/>
      <c r="P319" s="117"/>
      <c r="Q319" s="118"/>
      <c r="R319" s="118"/>
      <c r="S319" s="117"/>
      <c r="T319" s="117"/>
      <c r="U319" s="118"/>
      <c r="V319" s="118"/>
      <c r="W319" s="117"/>
      <c r="X319" s="117"/>
      <c r="Y319" s="118"/>
      <c r="Z319" s="118"/>
      <c r="AA319" s="117"/>
      <c r="AB319" s="117"/>
      <c r="AC319" s="118"/>
      <c r="AD319" s="118"/>
      <c r="AE319" s="26"/>
      <c r="AF319" s="27"/>
      <c r="AG319" s="28"/>
      <c r="AH319" s="29"/>
    </row>
    <row r="320" spans="1:34" s="11" customFormat="1" x14ac:dyDescent="0.2">
      <c r="A320" s="20" t="str">
        <f t="shared" si="4"/>
        <v/>
      </c>
      <c r="B320" s="25"/>
      <c r="C320" s="116"/>
      <c r="D320" s="116"/>
      <c r="E320" s="31"/>
      <c r="F320" s="133"/>
      <c r="G320" s="117"/>
      <c r="H320" s="117"/>
      <c r="I320" s="118"/>
      <c r="J320" s="118"/>
      <c r="K320" s="117"/>
      <c r="L320" s="117"/>
      <c r="M320" s="118"/>
      <c r="N320" s="118"/>
      <c r="O320" s="117"/>
      <c r="P320" s="117"/>
      <c r="Q320" s="118"/>
      <c r="R320" s="118"/>
      <c r="S320" s="117"/>
      <c r="T320" s="117"/>
      <c r="U320" s="118"/>
      <c r="V320" s="118"/>
      <c r="W320" s="117"/>
      <c r="X320" s="117"/>
      <c r="Y320" s="118"/>
      <c r="Z320" s="118"/>
      <c r="AA320" s="117"/>
      <c r="AB320" s="117"/>
      <c r="AC320" s="118"/>
      <c r="AD320" s="118"/>
      <c r="AE320" s="26"/>
      <c r="AF320" s="27"/>
      <c r="AG320" s="28"/>
      <c r="AH320" s="29"/>
    </row>
    <row r="321" spans="1:34" s="11" customFormat="1" x14ac:dyDescent="0.2">
      <c r="A321" s="20" t="str">
        <f t="shared" si="4"/>
        <v/>
      </c>
      <c r="B321" s="25"/>
      <c r="C321" s="116"/>
      <c r="D321" s="116"/>
      <c r="E321" s="31"/>
      <c r="F321" s="133"/>
      <c r="G321" s="117"/>
      <c r="H321" s="117"/>
      <c r="I321" s="118"/>
      <c r="J321" s="118"/>
      <c r="K321" s="117"/>
      <c r="L321" s="117"/>
      <c r="M321" s="118"/>
      <c r="N321" s="118"/>
      <c r="O321" s="117"/>
      <c r="P321" s="117"/>
      <c r="Q321" s="118"/>
      <c r="R321" s="118"/>
      <c r="S321" s="117"/>
      <c r="T321" s="117"/>
      <c r="U321" s="118"/>
      <c r="V321" s="118"/>
      <c r="W321" s="117"/>
      <c r="X321" s="117"/>
      <c r="Y321" s="118"/>
      <c r="Z321" s="118"/>
      <c r="AA321" s="117"/>
      <c r="AB321" s="117"/>
      <c r="AC321" s="118"/>
      <c r="AD321" s="118"/>
      <c r="AE321" s="26"/>
      <c r="AF321" s="27"/>
      <c r="AG321" s="28"/>
      <c r="AH321" s="29"/>
    </row>
    <row r="322" spans="1:34" s="11" customFormat="1" x14ac:dyDescent="0.2">
      <c r="A322" s="20" t="str">
        <f t="shared" si="4"/>
        <v/>
      </c>
      <c r="B322" s="25"/>
      <c r="C322" s="116"/>
      <c r="D322" s="116"/>
      <c r="E322" s="31"/>
      <c r="F322" s="133"/>
      <c r="G322" s="117"/>
      <c r="H322" s="117"/>
      <c r="I322" s="118"/>
      <c r="J322" s="118"/>
      <c r="K322" s="117"/>
      <c r="L322" s="117"/>
      <c r="M322" s="118"/>
      <c r="N322" s="118"/>
      <c r="O322" s="117"/>
      <c r="P322" s="117"/>
      <c r="Q322" s="118"/>
      <c r="R322" s="118"/>
      <c r="S322" s="117"/>
      <c r="T322" s="117"/>
      <c r="U322" s="118"/>
      <c r="V322" s="118"/>
      <c r="W322" s="117"/>
      <c r="X322" s="117"/>
      <c r="Y322" s="118"/>
      <c r="Z322" s="118"/>
      <c r="AA322" s="117"/>
      <c r="AB322" s="117"/>
      <c r="AC322" s="118"/>
      <c r="AD322" s="118"/>
      <c r="AE322" s="26"/>
      <c r="AF322" s="27"/>
      <c r="AG322" s="28"/>
      <c r="AH322" s="29"/>
    </row>
    <row r="323" spans="1:34" s="11" customFormat="1" x14ac:dyDescent="0.2">
      <c r="A323" s="20" t="str">
        <f t="shared" si="4"/>
        <v/>
      </c>
      <c r="B323" s="25"/>
      <c r="C323" s="116"/>
      <c r="D323" s="116"/>
      <c r="E323" s="31"/>
      <c r="F323" s="133"/>
      <c r="G323" s="117"/>
      <c r="H323" s="117"/>
      <c r="I323" s="118"/>
      <c r="J323" s="118"/>
      <c r="K323" s="117"/>
      <c r="L323" s="117"/>
      <c r="M323" s="118"/>
      <c r="N323" s="118"/>
      <c r="O323" s="117"/>
      <c r="P323" s="117"/>
      <c r="Q323" s="118"/>
      <c r="R323" s="118"/>
      <c r="S323" s="117"/>
      <c r="T323" s="117"/>
      <c r="U323" s="118"/>
      <c r="V323" s="118"/>
      <c r="W323" s="117"/>
      <c r="X323" s="117"/>
      <c r="Y323" s="118"/>
      <c r="Z323" s="118"/>
      <c r="AA323" s="117"/>
      <c r="AB323" s="117"/>
      <c r="AC323" s="118"/>
      <c r="AD323" s="118"/>
      <c r="AE323" s="26"/>
      <c r="AF323" s="27"/>
      <c r="AG323" s="28"/>
      <c r="AH323" s="29"/>
    </row>
    <row r="324" spans="1:34" s="11" customFormat="1" x14ac:dyDescent="0.2">
      <c r="A324" s="20" t="str">
        <f t="shared" si="4"/>
        <v/>
      </c>
      <c r="B324" s="25"/>
      <c r="C324" s="116"/>
      <c r="D324" s="116"/>
      <c r="E324" s="31"/>
      <c r="F324" s="133"/>
      <c r="G324" s="117"/>
      <c r="H324" s="117"/>
      <c r="I324" s="118"/>
      <c r="J324" s="118"/>
      <c r="K324" s="117"/>
      <c r="L324" s="117"/>
      <c r="M324" s="118"/>
      <c r="N324" s="118"/>
      <c r="O324" s="117"/>
      <c r="P324" s="117"/>
      <c r="Q324" s="118"/>
      <c r="R324" s="118"/>
      <c r="S324" s="117"/>
      <c r="T324" s="117"/>
      <c r="U324" s="118"/>
      <c r="V324" s="118"/>
      <c r="W324" s="117"/>
      <c r="X324" s="117"/>
      <c r="Y324" s="118"/>
      <c r="Z324" s="118"/>
      <c r="AA324" s="117"/>
      <c r="AB324" s="117"/>
      <c r="AC324" s="118"/>
      <c r="AD324" s="118"/>
      <c r="AE324" s="26"/>
      <c r="AF324" s="27"/>
      <c r="AG324" s="28"/>
      <c r="AH324" s="29"/>
    </row>
    <row r="325" spans="1:34" s="11" customFormat="1" x14ac:dyDescent="0.2">
      <c r="A325" s="20" t="str">
        <f t="shared" ref="A325:A388" si="5">IF(COUNTA(G325:AD325)/2=0,"",COUNTA(G325:AD325)/2)</f>
        <v/>
      </c>
      <c r="B325" s="25"/>
      <c r="C325" s="116"/>
      <c r="D325" s="116"/>
      <c r="E325" s="31"/>
      <c r="F325" s="133"/>
      <c r="G325" s="117"/>
      <c r="H325" s="117"/>
      <c r="I325" s="118"/>
      <c r="J325" s="118"/>
      <c r="K325" s="117"/>
      <c r="L325" s="117"/>
      <c r="M325" s="118"/>
      <c r="N325" s="118"/>
      <c r="O325" s="117"/>
      <c r="P325" s="117"/>
      <c r="Q325" s="118"/>
      <c r="R325" s="118"/>
      <c r="S325" s="117"/>
      <c r="T325" s="117"/>
      <c r="U325" s="118"/>
      <c r="V325" s="118"/>
      <c r="W325" s="117"/>
      <c r="X325" s="117"/>
      <c r="Y325" s="118"/>
      <c r="Z325" s="118"/>
      <c r="AA325" s="117"/>
      <c r="AB325" s="117"/>
      <c r="AC325" s="118"/>
      <c r="AD325" s="118"/>
      <c r="AE325" s="26"/>
      <c r="AF325" s="27"/>
      <c r="AG325" s="28"/>
      <c r="AH325" s="29"/>
    </row>
    <row r="326" spans="1:34" s="11" customFormat="1" x14ac:dyDescent="0.2">
      <c r="A326" s="20" t="str">
        <f t="shared" si="5"/>
        <v/>
      </c>
      <c r="B326" s="25"/>
      <c r="C326" s="116"/>
      <c r="D326" s="116"/>
      <c r="E326" s="31"/>
      <c r="F326" s="133"/>
      <c r="G326" s="117"/>
      <c r="H326" s="117"/>
      <c r="I326" s="118"/>
      <c r="J326" s="118"/>
      <c r="K326" s="117"/>
      <c r="L326" s="117"/>
      <c r="M326" s="118"/>
      <c r="N326" s="118"/>
      <c r="O326" s="117"/>
      <c r="P326" s="117"/>
      <c r="Q326" s="118"/>
      <c r="R326" s="118"/>
      <c r="S326" s="117"/>
      <c r="T326" s="117"/>
      <c r="U326" s="118"/>
      <c r="V326" s="118"/>
      <c r="W326" s="117"/>
      <c r="X326" s="117"/>
      <c r="Y326" s="118"/>
      <c r="Z326" s="118"/>
      <c r="AA326" s="117"/>
      <c r="AB326" s="117"/>
      <c r="AC326" s="118"/>
      <c r="AD326" s="118"/>
      <c r="AE326" s="26"/>
      <c r="AF326" s="27"/>
      <c r="AG326" s="28"/>
      <c r="AH326" s="29"/>
    </row>
    <row r="327" spans="1:34" s="11" customFormat="1" x14ac:dyDescent="0.2">
      <c r="A327" s="20" t="str">
        <f t="shared" si="5"/>
        <v/>
      </c>
      <c r="B327" s="25"/>
      <c r="C327" s="116"/>
      <c r="D327" s="116"/>
      <c r="E327" s="31"/>
      <c r="F327" s="133"/>
      <c r="G327" s="117"/>
      <c r="H327" s="117"/>
      <c r="I327" s="118"/>
      <c r="J327" s="118"/>
      <c r="K327" s="117"/>
      <c r="L327" s="117"/>
      <c r="M327" s="118"/>
      <c r="N327" s="118"/>
      <c r="O327" s="117"/>
      <c r="P327" s="117"/>
      <c r="Q327" s="118"/>
      <c r="R327" s="118"/>
      <c r="S327" s="117"/>
      <c r="T327" s="117"/>
      <c r="U327" s="118"/>
      <c r="V327" s="118"/>
      <c r="W327" s="117"/>
      <c r="X327" s="117"/>
      <c r="Y327" s="118"/>
      <c r="Z327" s="118"/>
      <c r="AA327" s="117"/>
      <c r="AB327" s="117"/>
      <c r="AC327" s="118"/>
      <c r="AD327" s="118"/>
      <c r="AE327" s="26"/>
      <c r="AF327" s="27"/>
      <c r="AG327" s="28"/>
      <c r="AH327" s="29"/>
    </row>
    <row r="328" spans="1:34" s="11" customFormat="1" x14ac:dyDescent="0.2">
      <c r="A328" s="20" t="str">
        <f t="shared" si="5"/>
        <v/>
      </c>
      <c r="B328" s="25"/>
      <c r="C328" s="116"/>
      <c r="D328" s="116"/>
      <c r="E328" s="31"/>
      <c r="F328" s="133"/>
      <c r="G328" s="117"/>
      <c r="H328" s="117"/>
      <c r="I328" s="118"/>
      <c r="J328" s="118"/>
      <c r="K328" s="117"/>
      <c r="L328" s="117"/>
      <c r="M328" s="118"/>
      <c r="N328" s="118"/>
      <c r="O328" s="117"/>
      <c r="P328" s="117"/>
      <c r="Q328" s="118"/>
      <c r="R328" s="118"/>
      <c r="S328" s="117"/>
      <c r="T328" s="117"/>
      <c r="U328" s="118"/>
      <c r="V328" s="118"/>
      <c r="W328" s="117"/>
      <c r="X328" s="117"/>
      <c r="Y328" s="118"/>
      <c r="Z328" s="118"/>
      <c r="AA328" s="117"/>
      <c r="AB328" s="117"/>
      <c r="AC328" s="118"/>
      <c r="AD328" s="118"/>
      <c r="AE328" s="26"/>
      <c r="AF328" s="27"/>
      <c r="AG328" s="28"/>
      <c r="AH328" s="29"/>
    </row>
    <row r="329" spans="1:34" s="11" customFormat="1" x14ac:dyDescent="0.2">
      <c r="A329" s="20" t="str">
        <f t="shared" si="5"/>
        <v/>
      </c>
      <c r="B329" s="25"/>
      <c r="C329" s="116"/>
      <c r="D329" s="116"/>
      <c r="E329" s="31"/>
      <c r="F329" s="133"/>
      <c r="G329" s="117"/>
      <c r="H329" s="117"/>
      <c r="I329" s="118"/>
      <c r="J329" s="118"/>
      <c r="K329" s="117"/>
      <c r="L329" s="117"/>
      <c r="M329" s="118"/>
      <c r="N329" s="118"/>
      <c r="O329" s="117"/>
      <c r="P329" s="117"/>
      <c r="Q329" s="118"/>
      <c r="R329" s="118"/>
      <c r="S329" s="117"/>
      <c r="T329" s="117"/>
      <c r="U329" s="118"/>
      <c r="V329" s="118"/>
      <c r="W329" s="117"/>
      <c r="X329" s="117"/>
      <c r="Y329" s="118"/>
      <c r="Z329" s="118"/>
      <c r="AA329" s="117"/>
      <c r="AB329" s="117"/>
      <c r="AC329" s="118"/>
      <c r="AD329" s="118"/>
      <c r="AE329" s="26"/>
      <c r="AF329" s="27"/>
      <c r="AG329" s="28"/>
      <c r="AH329" s="29"/>
    </row>
    <row r="330" spans="1:34" s="11" customFormat="1" x14ac:dyDescent="0.2">
      <c r="A330" s="20" t="str">
        <f t="shared" si="5"/>
        <v/>
      </c>
      <c r="B330" s="25"/>
      <c r="C330" s="116"/>
      <c r="D330" s="116"/>
      <c r="E330" s="31"/>
      <c r="F330" s="133"/>
      <c r="G330" s="117"/>
      <c r="H330" s="117"/>
      <c r="I330" s="118"/>
      <c r="J330" s="118"/>
      <c r="K330" s="117"/>
      <c r="L330" s="117"/>
      <c r="M330" s="118"/>
      <c r="N330" s="118"/>
      <c r="O330" s="117"/>
      <c r="P330" s="117"/>
      <c r="Q330" s="118"/>
      <c r="R330" s="118"/>
      <c r="S330" s="117"/>
      <c r="T330" s="117"/>
      <c r="U330" s="118"/>
      <c r="V330" s="118"/>
      <c r="W330" s="117"/>
      <c r="X330" s="117"/>
      <c r="Y330" s="118"/>
      <c r="Z330" s="118"/>
      <c r="AA330" s="117"/>
      <c r="AB330" s="117"/>
      <c r="AC330" s="118"/>
      <c r="AD330" s="118"/>
      <c r="AE330" s="26"/>
      <c r="AF330" s="27"/>
      <c r="AG330" s="28"/>
      <c r="AH330" s="29"/>
    </row>
    <row r="331" spans="1:34" s="11" customFormat="1" x14ac:dyDescent="0.2">
      <c r="A331" s="20" t="str">
        <f t="shared" si="5"/>
        <v/>
      </c>
      <c r="B331" s="25"/>
      <c r="C331" s="116"/>
      <c r="D331" s="116"/>
      <c r="E331" s="31"/>
      <c r="F331" s="133"/>
      <c r="G331" s="117"/>
      <c r="H331" s="117"/>
      <c r="I331" s="118"/>
      <c r="J331" s="118"/>
      <c r="K331" s="117"/>
      <c r="L331" s="117"/>
      <c r="M331" s="118"/>
      <c r="N331" s="118"/>
      <c r="O331" s="117"/>
      <c r="P331" s="117"/>
      <c r="Q331" s="118"/>
      <c r="R331" s="118"/>
      <c r="S331" s="117"/>
      <c r="T331" s="117"/>
      <c r="U331" s="118"/>
      <c r="V331" s="118"/>
      <c r="W331" s="117"/>
      <c r="X331" s="117"/>
      <c r="Y331" s="118"/>
      <c r="Z331" s="118"/>
      <c r="AA331" s="117"/>
      <c r="AB331" s="117"/>
      <c r="AC331" s="118"/>
      <c r="AD331" s="118"/>
      <c r="AE331" s="26"/>
      <c r="AF331" s="27"/>
      <c r="AG331" s="28"/>
      <c r="AH331" s="29"/>
    </row>
    <row r="332" spans="1:34" s="11" customFormat="1" x14ac:dyDescent="0.2">
      <c r="A332" s="20" t="str">
        <f t="shared" si="5"/>
        <v/>
      </c>
      <c r="B332" s="25"/>
      <c r="C332" s="116"/>
      <c r="D332" s="116"/>
      <c r="E332" s="31"/>
      <c r="F332" s="133"/>
      <c r="G332" s="117"/>
      <c r="H332" s="117"/>
      <c r="I332" s="118"/>
      <c r="J332" s="118"/>
      <c r="K332" s="117"/>
      <c r="L332" s="117"/>
      <c r="M332" s="118"/>
      <c r="N332" s="118"/>
      <c r="O332" s="117"/>
      <c r="P332" s="117"/>
      <c r="Q332" s="118"/>
      <c r="R332" s="118"/>
      <c r="S332" s="117"/>
      <c r="T332" s="117"/>
      <c r="U332" s="118"/>
      <c r="V332" s="118"/>
      <c r="W332" s="117"/>
      <c r="X332" s="117"/>
      <c r="Y332" s="118"/>
      <c r="Z332" s="118"/>
      <c r="AA332" s="117"/>
      <c r="AB332" s="117"/>
      <c r="AC332" s="118"/>
      <c r="AD332" s="118"/>
      <c r="AE332" s="26"/>
      <c r="AF332" s="27"/>
      <c r="AG332" s="28"/>
      <c r="AH332" s="29"/>
    </row>
    <row r="333" spans="1:34" s="11" customFormat="1" x14ac:dyDescent="0.2">
      <c r="A333" s="20" t="str">
        <f t="shared" si="5"/>
        <v/>
      </c>
      <c r="B333" s="25"/>
      <c r="C333" s="116"/>
      <c r="D333" s="116"/>
      <c r="E333" s="31"/>
      <c r="F333" s="133"/>
      <c r="G333" s="117"/>
      <c r="H333" s="117"/>
      <c r="I333" s="118"/>
      <c r="J333" s="118"/>
      <c r="K333" s="117"/>
      <c r="L333" s="117"/>
      <c r="M333" s="118"/>
      <c r="N333" s="118"/>
      <c r="O333" s="117"/>
      <c r="P333" s="117"/>
      <c r="Q333" s="118"/>
      <c r="R333" s="118"/>
      <c r="S333" s="117"/>
      <c r="T333" s="117"/>
      <c r="U333" s="118"/>
      <c r="V333" s="118"/>
      <c r="W333" s="117"/>
      <c r="X333" s="117"/>
      <c r="Y333" s="118"/>
      <c r="Z333" s="118"/>
      <c r="AA333" s="117"/>
      <c r="AB333" s="117"/>
      <c r="AC333" s="118"/>
      <c r="AD333" s="118"/>
      <c r="AE333" s="26"/>
      <c r="AF333" s="27"/>
      <c r="AG333" s="28"/>
      <c r="AH333" s="29"/>
    </row>
    <row r="334" spans="1:34" s="11" customFormat="1" x14ac:dyDescent="0.2">
      <c r="A334" s="20" t="str">
        <f t="shared" si="5"/>
        <v/>
      </c>
      <c r="B334" s="25"/>
      <c r="C334" s="116"/>
      <c r="D334" s="116"/>
      <c r="E334" s="31"/>
      <c r="F334" s="133"/>
      <c r="G334" s="117"/>
      <c r="H334" s="117"/>
      <c r="I334" s="118"/>
      <c r="J334" s="118"/>
      <c r="K334" s="117"/>
      <c r="L334" s="117"/>
      <c r="M334" s="118"/>
      <c r="N334" s="118"/>
      <c r="O334" s="117"/>
      <c r="P334" s="117"/>
      <c r="Q334" s="118"/>
      <c r="R334" s="118"/>
      <c r="S334" s="117"/>
      <c r="T334" s="117"/>
      <c r="U334" s="118"/>
      <c r="V334" s="118"/>
      <c r="W334" s="117"/>
      <c r="X334" s="117"/>
      <c r="Y334" s="118"/>
      <c r="Z334" s="118"/>
      <c r="AA334" s="117"/>
      <c r="AB334" s="117"/>
      <c r="AC334" s="118"/>
      <c r="AD334" s="118"/>
      <c r="AE334" s="26"/>
      <c r="AF334" s="27"/>
      <c r="AG334" s="28"/>
      <c r="AH334" s="29"/>
    </row>
    <row r="335" spans="1:34" s="11" customFormat="1" x14ac:dyDescent="0.2">
      <c r="A335" s="20" t="str">
        <f t="shared" si="5"/>
        <v/>
      </c>
      <c r="B335" s="25"/>
      <c r="C335" s="116"/>
      <c r="D335" s="116"/>
      <c r="E335" s="31"/>
      <c r="F335" s="133"/>
      <c r="G335" s="117"/>
      <c r="H335" s="117"/>
      <c r="I335" s="118"/>
      <c r="J335" s="118"/>
      <c r="K335" s="117"/>
      <c r="L335" s="117"/>
      <c r="M335" s="118"/>
      <c r="N335" s="118"/>
      <c r="O335" s="117"/>
      <c r="P335" s="117"/>
      <c r="Q335" s="118"/>
      <c r="R335" s="118"/>
      <c r="S335" s="117"/>
      <c r="T335" s="117"/>
      <c r="U335" s="118"/>
      <c r="V335" s="118"/>
      <c r="W335" s="117"/>
      <c r="X335" s="117"/>
      <c r="Y335" s="118"/>
      <c r="Z335" s="118"/>
      <c r="AA335" s="117"/>
      <c r="AB335" s="117"/>
      <c r="AC335" s="118"/>
      <c r="AD335" s="118"/>
      <c r="AE335" s="26"/>
      <c r="AF335" s="27"/>
      <c r="AG335" s="28"/>
      <c r="AH335" s="29"/>
    </row>
    <row r="336" spans="1:34" s="11" customFormat="1" x14ac:dyDescent="0.2">
      <c r="A336" s="20" t="str">
        <f t="shared" si="5"/>
        <v/>
      </c>
      <c r="B336" s="25"/>
      <c r="C336" s="116"/>
      <c r="D336" s="116"/>
      <c r="E336" s="31"/>
      <c r="F336" s="133"/>
      <c r="G336" s="117"/>
      <c r="H336" s="117"/>
      <c r="I336" s="118"/>
      <c r="J336" s="118"/>
      <c r="K336" s="117"/>
      <c r="L336" s="117"/>
      <c r="M336" s="118"/>
      <c r="N336" s="118"/>
      <c r="O336" s="117"/>
      <c r="P336" s="117"/>
      <c r="Q336" s="118"/>
      <c r="R336" s="118"/>
      <c r="S336" s="117"/>
      <c r="T336" s="117"/>
      <c r="U336" s="118"/>
      <c r="V336" s="118"/>
      <c r="W336" s="117"/>
      <c r="X336" s="117"/>
      <c r="Y336" s="118"/>
      <c r="Z336" s="118"/>
      <c r="AA336" s="117"/>
      <c r="AB336" s="117"/>
      <c r="AC336" s="118"/>
      <c r="AD336" s="118"/>
      <c r="AE336" s="26"/>
      <c r="AF336" s="27"/>
      <c r="AG336" s="28"/>
      <c r="AH336" s="29"/>
    </row>
    <row r="337" spans="1:34" s="11" customFormat="1" x14ac:dyDescent="0.2">
      <c r="A337" s="20" t="str">
        <f t="shared" si="5"/>
        <v/>
      </c>
      <c r="B337" s="25"/>
      <c r="C337" s="116"/>
      <c r="D337" s="116"/>
      <c r="E337" s="31"/>
      <c r="F337" s="133"/>
      <c r="G337" s="117"/>
      <c r="H337" s="117"/>
      <c r="I337" s="118"/>
      <c r="J337" s="118"/>
      <c r="K337" s="117"/>
      <c r="L337" s="117"/>
      <c r="M337" s="118"/>
      <c r="N337" s="118"/>
      <c r="O337" s="117"/>
      <c r="P337" s="117"/>
      <c r="Q337" s="118"/>
      <c r="R337" s="118"/>
      <c r="S337" s="117"/>
      <c r="T337" s="117"/>
      <c r="U337" s="118"/>
      <c r="V337" s="118"/>
      <c r="W337" s="117"/>
      <c r="X337" s="117"/>
      <c r="Y337" s="118"/>
      <c r="Z337" s="118"/>
      <c r="AA337" s="117"/>
      <c r="AB337" s="117"/>
      <c r="AC337" s="118"/>
      <c r="AD337" s="118"/>
      <c r="AE337" s="26"/>
      <c r="AF337" s="27"/>
      <c r="AG337" s="28"/>
      <c r="AH337" s="29"/>
    </row>
    <row r="338" spans="1:34" s="11" customFormat="1" x14ac:dyDescent="0.2">
      <c r="A338" s="20" t="str">
        <f t="shared" si="5"/>
        <v/>
      </c>
      <c r="B338" s="25"/>
      <c r="C338" s="116"/>
      <c r="D338" s="116"/>
      <c r="E338" s="31"/>
      <c r="F338" s="133"/>
      <c r="G338" s="117"/>
      <c r="H338" s="117"/>
      <c r="I338" s="118"/>
      <c r="J338" s="118"/>
      <c r="K338" s="117"/>
      <c r="L338" s="117"/>
      <c r="M338" s="118"/>
      <c r="N338" s="118"/>
      <c r="O338" s="117"/>
      <c r="P338" s="117"/>
      <c r="Q338" s="118"/>
      <c r="R338" s="118"/>
      <c r="S338" s="117"/>
      <c r="T338" s="117"/>
      <c r="U338" s="118"/>
      <c r="V338" s="118"/>
      <c r="W338" s="117"/>
      <c r="X338" s="117"/>
      <c r="Y338" s="118"/>
      <c r="Z338" s="118"/>
      <c r="AA338" s="117"/>
      <c r="AB338" s="117"/>
      <c r="AC338" s="118"/>
      <c r="AD338" s="118"/>
      <c r="AE338" s="26"/>
      <c r="AF338" s="27"/>
      <c r="AG338" s="28"/>
      <c r="AH338" s="29"/>
    </row>
    <row r="339" spans="1:34" s="11" customFormat="1" x14ac:dyDescent="0.2">
      <c r="A339" s="20" t="str">
        <f t="shared" si="5"/>
        <v/>
      </c>
      <c r="B339" s="25"/>
      <c r="C339" s="116"/>
      <c r="D339" s="116"/>
      <c r="E339" s="31"/>
      <c r="F339" s="133"/>
      <c r="G339" s="117"/>
      <c r="H339" s="117"/>
      <c r="I339" s="118"/>
      <c r="J339" s="118"/>
      <c r="K339" s="117"/>
      <c r="L339" s="117"/>
      <c r="M339" s="118"/>
      <c r="N339" s="118"/>
      <c r="O339" s="117"/>
      <c r="P339" s="117"/>
      <c r="Q339" s="118"/>
      <c r="R339" s="118"/>
      <c r="S339" s="117"/>
      <c r="T339" s="117"/>
      <c r="U339" s="118"/>
      <c r="V339" s="118"/>
      <c r="W339" s="117"/>
      <c r="X339" s="117"/>
      <c r="Y339" s="118"/>
      <c r="Z339" s="118"/>
      <c r="AA339" s="117"/>
      <c r="AB339" s="117"/>
      <c r="AC339" s="118"/>
      <c r="AD339" s="118"/>
      <c r="AE339" s="26"/>
      <c r="AF339" s="27"/>
      <c r="AG339" s="28"/>
      <c r="AH339" s="29"/>
    </row>
    <row r="340" spans="1:34" s="11" customFormat="1" x14ac:dyDescent="0.2">
      <c r="A340" s="20" t="str">
        <f t="shared" si="5"/>
        <v/>
      </c>
      <c r="B340" s="25"/>
      <c r="C340" s="116"/>
      <c r="D340" s="116"/>
      <c r="E340" s="31"/>
      <c r="F340" s="133"/>
      <c r="G340" s="117"/>
      <c r="H340" s="117"/>
      <c r="I340" s="118"/>
      <c r="J340" s="118"/>
      <c r="K340" s="117"/>
      <c r="L340" s="117"/>
      <c r="M340" s="118"/>
      <c r="N340" s="118"/>
      <c r="O340" s="117"/>
      <c r="P340" s="117"/>
      <c r="Q340" s="118"/>
      <c r="R340" s="118"/>
      <c r="S340" s="117"/>
      <c r="T340" s="117"/>
      <c r="U340" s="118"/>
      <c r="V340" s="118"/>
      <c r="W340" s="117"/>
      <c r="X340" s="117"/>
      <c r="Y340" s="118"/>
      <c r="Z340" s="118"/>
      <c r="AA340" s="117"/>
      <c r="AB340" s="117"/>
      <c r="AC340" s="118"/>
      <c r="AD340" s="118"/>
      <c r="AE340" s="26"/>
      <c r="AF340" s="27"/>
      <c r="AG340" s="28"/>
      <c r="AH340" s="29"/>
    </row>
    <row r="341" spans="1:34" s="11" customFormat="1" x14ac:dyDescent="0.2">
      <c r="A341" s="20" t="str">
        <f t="shared" si="5"/>
        <v/>
      </c>
      <c r="B341" s="25"/>
      <c r="C341" s="116"/>
      <c r="D341" s="116"/>
      <c r="E341" s="31"/>
      <c r="F341" s="133"/>
      <c r="G341" s="117"/>
      <c r="H341" s="117"/>
      <c r="I341" s="118"/>
      <c r="J341" s="118"/>
      <c r="K341" s="117"/>
      <c r="L341" s="117"/>
      <c r="M341" s="118"/>
      <c r="N341" s="118"/>
      <c r="O341" s="117"/>
      <c r="P341" s="117"/>
      <c r="Q341" s="118"/>
      <c r="R341" s="118"/>
      <c r="S341" s="117"/>
      <c r="T341" s="117"/>
      <c r="U341" s="118"/>
      <c r="V341" s="118"/>
      <c r="W341" s="117"/>
      <c r="X341" s="117"/>
      <c r="Y341" s="118"/>
      <c r="Z341" s="118"/>
      <c r="AA341" s="117"/>
      <c r="AB341" s="117"/>
      <c r="AC341" s="118"/>
      <c r="AD341" s="118"/>
      <c r="AE341" s="26"/>
      <c r="AF341" s="27"/>
      <c r="AG341" s="28"/>
      <c r="AH341" s="29"/>
    </row>
    <row r="342" spans="1:34" s="11" customFormat="1" x14ac:dyDescent="0.2">
      <c r="A342" s="20" t="str">
        <f t="shared" si="5"/>
        <v/>
      </c>
      <c r="B342" s="25"/>
      <c r="C342" s="116"/>
      <c r="D342" s="116"/>
      <c r="E342" s="31"/>
      <c r="F342" s="133"/>
      <c r="G342" s="117"/>
      <c r="H342" s="117"/>
      <c r="I342" s="118"/>
      <c r="J342" s="118"/>
      <c r="K342" s="117"/>
      <c r="L342" s="117"/>
      <c r="M342" s="118"/>
      <c r="N342" s="118"/>
      <c r="O342" s="117"/>
      <c r="P342" s="117"/>
      <c r="Q342" s="118"/>
      <c r="R342" s="118"/>
      <c r="S342" s="117"/>
      <c r="T342" s="117"/>
      <c r="U342" s="118"/>
      <c r="V342" s="118"/>
      <c r="W342" s="117"/>
      <c r="X342" s="117"/>
      <c r="Y342" s="118"/>
      <c r="Z342" s="118"/>
      <c r="AA342" s="117"/>
      <c r="AB342" s="117"/>
      <c r="AC342" s="118"/>
      <c r="AD342" s="118"/>
      <c r="AE342" s="26"/>
      <c r="AF342" s="27"/>
      <c r="AG342" s="28"/>
      <c r="AH342" s="29"/>
    </row>
    <row r="343" spans="1:34" s="11" customFormat="1" x14ac:dyDescent="0.2">
      <c r="A343" s="20" t="str">
        <f t="shared" si="5"/>
        <v/>
      </c>
      <c r="B343" s="25"/>
      <c r="C343" s="116"/>
      <c r="D343" s="116"/>
      <c r="E343" s="31"/>
      <c r="F343" s="133"/>
      <c r="G343" s="117"/>
      <c r="H343" s="117"/>
      <c r="I343" s="118"/>
      <c r="J343" s="118"/>
      <c r="K343" s="117"/>
      <c r="L343" s="117"/>
      <c r="M343" s="118"/>
      <c r="N343" s="118"/>
      <c r="O343" s="117"/>
      <c r="P343" s="117"/>
      <c r="Q343" s="118"/>
      <c r="R343" s="118"/>
      <c r="S343" s="117"/>
      <c r="T343" s="117"/>
      <c r="U343" s="118"/>
      <c r="V343" s="118"/>
      <c r="W343" s="117"/>
      <c r="X343" s="117"/>
      <c r="Y343" s="118"/>
      <c r="Z343" s="118"/>
      <c r="AA343" s="117"/>
      <c r="AB343" s="117"/>
      <c r="AC343" s="118"/>
      <c r="AD343" s="118"/>
      <c r="AE343" s="26"/>
      <c r="AF343" s="27"/>
      <c r="AG343" s="28"/>
      <c r="AH343" s="29"/>
    </row>
    <row r="344" spans="1:34" s="11" customFormat="1" x14ac:dyDescent="0.2">
      <c r="A344" s="20" t="str">
        <f t="shared" si="5"/>
        <v/>
      </c>
      <c r="B344" s="25"/>
      <c r="C344" s="116"/>
      <c r="D344" s="116"/>
      <c r="E344" s="31"/>
      <c r="F344" s="133"/>
      <c r="G344" s="117"/>
      <c r="H344" s="117"/>
      <c r="I344" s="118"/>
      <c r="J344" s="118"/>
      <c r="K344" s="117"/>
      <c r="L344" s="117"/>
      <c r="M344" s="118"/>
      <c r="N344" s="118"/>
      <c r="O344" s="117"/>
      <c r="P344" s="117"/>
      <c r="Q344" s="118"/>
      <c r="R344" s="118"/>
      <c r="S344" s="117"/>
      <c r="T344" s="117"/>
      <c r="U344" s="118"/>
      <c r="V344" s="118"/>
      <c r="W344" s="117"/>
      <c r="X344" s="117"/>
      <c r="Y344" s="118"/>
      <c r="Z344" s="118"/>
      <c r="AA344" s="117"/>
      <c r="AB344" s="117"/>
      <c r="AC344" s="118"/>
      <c r="AD344" s="118"/>
      <c r="AE344" s="26"/>
      <c r="AF344" s="27"/>
      <c r="AG344" s="28"/>
      <c r="AH344" s="29"/>
    </row>
    <row r="345" spans="1:34" s="11" customFormat="1" x14ac:dyDescent="0.2">
      <c r="A345" s="20" t="str">
        <f t="shared" si="5"/>
        <v/>
      </c>
      <c r="B345" s="25"/>
      <c r="C345" s="116"/>
      <c r="D345" s="116"/>
      <c r="E345" s="31"/>
      <c r="F345" s="133"/>
      <c r="G345" s="117"/>
      <c r="H345" s="117"/>
      <c r="I345" s="118"/>
      <c r="J345" s="118"/>
      <c r="K345" s="117"/>
      <c r="L345" s="117"/>
      <c r="M345" s="118"/>
      <c r="N345" s="118"/>
      <c r="O345" s="117"/>
      <c r="P345" s="117"/>
      <c r="Q345" s="118"/>
      <c r="R345" s="118"/>
      <c r="S345" s="117"/>
      <c r="T345" s="117"/>
      <c r="U345" s="118"/>
      <c r="V345" s="118"/>
      <c r="W345" s="117"/>
      <c r="X345" s="117"/>
      <c r="Y345" s="118"/>
      <c r="Z345" s="118"/>
      <c r="AA345" s="117"/>
      <c r="AB345" s="117"/>
      <c r="AC345" s="118"/>
      <c r="AD345" s="118"/>
      <c r="AE345" s="26"/>
      <c r="AF345" s="27"/>
      <c r="AG345" s="28"/>
      <c r="AH345" s="29"/>
    </row>
    <row r="346" spans="1:34" s="11" customFormat="1" x14ac:dyDescent="0.2">
      <c r="A346" s="20" t="str">
        <f t="shared" si="5"/>
        <v/>
      </c>
      <c r="B346" s="25"/>
      <c r="C346" s="116"/>
      <c r="D346" s="116"/>
      <c r="E346" s="31"/>
      <c r="F346" s="133"/>
      <c r="G346" s="117"/>
      <c r="H346" s="117"/>
      <c r="I346" s="118"/>
      <c r="J346" s="118"/>
      <c r="K346" s="117"/>
      <c r="L346" s="117"/>
      <c r="M346" s="118"/>
      <c r="N346" s="118"/>
      <c r="O346" s="117"/>
      <c r="P346" s="117"/>
      <c r="Q346" s="118"/>
      <c r="R346" s="118"/>
      <c r="S346" s="117"/>
      <c r="T346" s="117"/>
      <c r="U346" s="118"/>
      <c r="V346" s="118"/>
      <c r="W346" s="117"/>
      <c r="X346" s="117"/>
      <c r="Y346" s="118"/>
      <c r="Z346" s="118"/>
      <c r="AA346" s="117"/>
      <c r="AB346" s="117"/>
      <c r="AC346" s="118"/>
      <c r="AD346" s="118"/>
      <c r="AE346" s="26"/>
      <c r="AF346" s="27"/>
      <c r="AG346" s="28"/>
      <c r="AH346" s="29"/>
    </row>
    <row r="347" spans="1:34" s="11" customFormat="1" x14ac:dyDescent="0.2">
      <c r="A347" s="20" t="str">
        <f t="shared" si="5"/>
        <v/>
      </c>
      <c r="B347" s="25"/>
      <c r="C347" s="116"/>
      <c r="D347" s="116"/>
      <c r="E347" s="31"/>
      <c r="F347" s="133"/>
      <c r="G347" s="117"/>
      <c r="H347" s="117"/>
      <c r="I347" s="118"/>
      <c r="J347" s="118"/>
      <c r="K347" s="117"/>
      <c r="L347" s="117"/>
      <c r="M347" s="118"/>
      <c r="N347" s="118"/>
      <c r="O347" s="117"/>
      <c r="P347" s="117"/>
      <c r="Q347" s="118"/>
      <c r="R347" s="118"/>
      <c r="S347" s="117"/>
      <c r="T347" s="117"/>
      <c r="U347" s="118"/>
      <c r="V347" s="118"/>
      <c r="W347" s="117"/>
      <c r="X347" s="117"/>
      <c r="Y347" s="118"/>
      <c r="Z347" s="118"/>
      <c r="AA347" s="117"/>
      <c r="AB347" s="117"/>
      <c r="AC347" s="118"/>
      <c r="AD347" s="118"/>
      <c r="AE347" s="26"/>
      <c r="AF347" s="27"/>
      <c r="AG347" s="28"/>
      <c r="AH347" s="29"/>
    </row>
    <row r="348" spans="1:34" s="11" customFormat="1" x14ac:dyDescent="0.2">
      <c r="A348" s="20" t="str">
        <f t="shared" si="5"/>
        <v/>
      </c>
      <c r="B348" s="25"/>
      <c r="C348" s="116"/>
      <c r="D348" s="116"/>
      <c r="E348" s="31"/>
      <c r="F348" s="133"/>
      <c r="G348" s="117"/>
      <c r="H348" s="117"/>
      <c r="I348" s="118"/>
      <c r="J348" s="118"/>
      <c r="K348" s="117"/>
      <c r="L348" s="117"/>
      <c r="M348" s="118"/>
      <c r="N348" s="118"/>
      <c r="O348" s="117"/>
      <c r="P348" s="117"/>
      <c r="Q348" s="118"/>
      <c r="R348" s="118"/>
      <c r="S348" s="117"/>
      <c r="T348" s="117"/>
      <c r="U348" s="118"/>
      <c r="V348" s="118"/>
      <c r="W348" s="117"/>
      <c r="X348" s="117"/>
      <c r="Y348" s="118"/>
      <c r="Z348" s="118"/>
      <c r="AA348" s="117"/>
      <c r="AB348" s="117"/>
      <c r="AC348" s="118"/>
      <c r="AD348" s="118"/>
      <c r="AE348" s="26"/>
      <c r="AF348" s="27"/>
      <c r="AG348" s="28"/>
      <c r="AH348" s="29"/>
    </row>
    <row r="349" spans="1:34" s="11" customFormat="1" x14ac:dyDescent="0.2">
      <c r="A349" s="20" t="str">
        <f t="shared" si="5"/>
        <v/>
      </c>
      <c r="B349" s="25"/>
      <c r="C349" s="116"/>
      <c r="D349" s="116"/>
      <c r="E349" s="31"/>
      <c r="F349" s="133"/>
      <c r="G349" s="117"/>
      <c r="H349" s="117"/>
      <c r="I349" s="118"/>
      <c r="J349" s="118"/>
      <c r="K349" s="117"/>
      <c r="L349" s="117"/>
      <c r="M349" s="118"/>
      <c r="N349" s="118"/>
      <c r="O349" s="117"/>
      <c r="P349" s="117"/>
      <c r="Q349" s="118"/>
      <c r="R349" s="118"/>
      <c r="S349" s="117"/>
      <c r="T349" s="117"/>
      <c r="U349" s="118"/>
      <c r="V349" s="118"/>
      <c r="W349" s="117"/>
      <c r="X349" s="117"/>
      <c r="Y349" s="118"/>
      <c r="Z349" s="118"/>
      <c r="AA349" s="117"/>
      <c r="AB349" s="117"/>
      <c r="AC349" s="118"/>
      <c r="AD349" s="118"/>
      <c r="AE349" s="26"/>
      <c r="AF349" s="27"/>
      <c r="AG349" s="28"/>
      <c r="AH349" s="29"/>
    </row>
    <row r="350" spans="1:34" s="11" customFormat="1" x14ac:dyDescent="0.2">
      <c r="A350" s="20" t="str">
        <f t="shared" si="5"/>
        <v/>
      </c>
      <c r="B350" s="25"/>
      <c r="C350" s="116"/>
      <c r="D350" s="116"/>
      <c r="E350" s="31"/>
      <c r="F350" s="133"/>
      <c r="G350" s="117"/>
      <c r="H350" s="117"/>
      <c r="I350" s="118"/>
      <c r="J350" s="118"/>
      <c r="K350" s="117"/>
      <c r="L350" s="117"/>
      <c r="M350" s="118"/>
      <c r="N350" s="118"/>
      <c r="O350" s="117"/>
      <c r="P350" s="117"/>
      <c r="Q350" s="118"/>
      <c r="R350" s="118"/>
      <c r="S350" s="117"/>
      <c r="T350" s="117"/>
      <c r="U350" s="118"/>
      <c r="V350" s="118"/>
      <c r="W350" s="117"/>
      <c r="X350" s="117"/>
      <c r="Y350" s="118"/>
      <c r="Z350" s="118"/>
      <c r="AA350" s="117"/>
      <c r="AB350" s="117"/>
      <c r="AC350" s="118"/>
      <c r="AD350" s="118"/>
      <c r="AE350" s="26"/>
      <c r="AF350" s="27"/>
      <c r="AG350" s="28"/>
      <c r="AH350" s="29"/>
    </row>
    <row r="351" spans="1:34" s="11" customFormat="1" x14ac:dyDescent="0.2">
      <c r="A351" s="20" t="str">
        <f t="shared" si="5"/>
        <v/>
      </c>
      <c r="B351" s="25"/>
      <c r="C351" s="116"/>
      <c r="D351" s="116"/>
      <c r="E351" s="31"/>
      <c r="F351" s="133"/>
      <c r="G351" s="117"/>
      <c r="H351" s="117"/>
      <c r="I351" s="118"/>
      <c r="J351" s="118"/>
      <c r="K351" s="117"/>
      <c r="L351" s="117"/>
      <c r="M351" s="118"/>
      <c r="N351" s="118"/>
      <c r="O351" s="117"/>
      <c r="P351" s="117"/>
      <c r="Q351" s="118"/>
      <c r="R351" s="118"/>
      <c r="S351" s="117"/>
      <c r="T351" s="117"/>
      <c r="U351" s="118"/>
      <c r="V351" s="118"/>
      <c r="W351" s="117"/>
      <c r="X351" s="117"/>
      <c r="Y351" s="118"/>
      <c r="Z351" s="118"/>
      <c r="AA351" s="117"/>
      <c r="AB351" s="117"/>
      <c r="AC351" s="118"/>
      <c r="AD351" s="118"/>
      <c r="AE351" s="26"/>
      <c r="AF351" s="27"/>
      <c r="AG351" s="28"/>
      <c r="AH351" s="29"/>
    </row>
    <row r="352" spans="1:34" s="11" customFormat="1" x14ac:dyDescent="0.2">
      <c r="A352" s="20" t="str">
        <f t="shared" si="5"/>
        <v/>
      </c>
      <c r="B352" s="25"/>
      <c r="C352" s="116"/>
      <c r="D352" s="116"/>
      <c r="E352" s="31"/>
      <c r="F352" s="133"/>
      <c r="G352" s="117"/>
      <c r="H352" s="117"/>
      <c r="I352" s="118"/>
      <c r="J352" s="118"/>
      <c r="K352" s="117"/>
      <c r="L352" s="117"/>
      <c r="M352" s="118"/>
      <c r="N352" s="118"/>
      <c r="O352" s="117"/>
      <c r="P352" s="117"/>
      <c r="Q352" s="118"/>
      <c r="R352" s="118"/>
      <c r="S352" s="117"/>
      <c r="T352" s="117"/>
      <c r="U352" s="118"/>
      <c r="V352" s="118"/>
      <c r="W352" s="117"/>
      <c r="X352" s="117"/>
      <c r="Y352" s="118"/>
      <c r="Z352" s="118"/>
      <c r="AA352" s="117"/>
      <c r="AB352" s="117"/>
      <c r="AC352" s="118"/>
      <c r="AD352" s="118"/>
      <c r="AE352" s="26"/>
      <c r="AF352" s="27"/>
      <c r="AG352" s="28"/>
      <c r="AH352" s="29"/>
    </row>
    <row r="353" spans="1:34" s="11" customFormat="1" x14ac:dyDescent="0.2">
      <c r="A353" s="20" t="str">
        <f t="shared" si="5"/>
        <v/>
      </c>
      <c r="B353" s="25"/>
      <c r="C353" s="116"/>
      <c r="D353" s="116"/>
      <c r="E353" s="31"/>
      <c r="F353" s="133"/>
      <c r="G353" s="117"/>
      <c r="H353" s="117"/>
      <c r="I353" s="118"/>
      <c r="J353" s="118"/>
      <c r="K353" s="117"/>
      <c r="L353" s="117"/>
      <c r="M353" s="118"/>
      <c r="N353" s="118"/>
      <c r="O353" s="117"/>
      <c r="P353" s="117"/>
      <c r="Q353" s="118"/>
      <c r="R353" s="118"/>
      <c r="S353" s="117"/>
      <c r="T353" s="117"/>
      <c r="U353" s="118"/>
      <c r="V353" s="118"/>
      <c r="W353" s="117"/>
      <c r="X353" s="117"/>
      <c r="Y353" s="118"/>
      <c r="Z353" s="118"/>
      <c r="AA353" s="117"/>
      <c r="AB353" s="117"/>
      <c r="AC353" s="118"/>
      <c r="AD353" s="118"/>
      <c r="AE353" s="26"/>
      <c r="AF353" s="27"/>
      <c r="AG353" s="28"/>
      <c r="AH353" s="29"/>
    </row>
    <row r="354" spans="1:34" s="11" customFormat="1" x14ac:dyDescent="0.2">
      <c r="A354" s="20" t="str">
        <f t="shared" si="5"/>
        <v/>
      </c>
      <c r="B354" s="25"/>
      <c r="C354" s="116"/>
      <c r="D354" s="116"/>
      <c r="E354" s="31"/>
      <c r="F354" s="133"/>
      <c r="G354" s="117"/>
      <c r="H354" s="117"/>
      <c r="I354" s="118"/>
      <c r="J354" s="118"/>
      <c r="K354" s="117"/>
      <c r="L354" s="117"/>
      <c r="M354" s="118"/>
      <c r="N354" s="118"/>
      <c r="O354" s="117"/>
      <c r="P354" s="117"/>
      <c r="Q354" s="118"/>
      <c r="R354" s="118"/>
      <c r="S354" s="117"/>
      <c r="T354" s="117"/>
      <c r="U354" s="118"/>
      <c r="V354" s="118"/>
      <c r="W354" s="117"/>
      <c r="X354" s="117"/>
      <c r="Y354" s="118"/>
      <c r="Z354" s="118"/>
      <c r="AA354" s="117"/>
      <c r="AB354" s="117"/>
      <c r="AC354" s="118"/>
      <c r="AD354" s="118"/>
      <c r="AE354" s="26"/>
      <c r="AF354" s="27"/>
      <c r="AG354" s="28"/>
      <c r="AH354" s="29"/>
    </row>
    <row r="355" spans="1:34" s="11" customFormat="1" x14ac:dyDescent="0.2">
      <c r="A355" s="20" t="str">
        <f t="shared" si="5"/>
        <v/>
      </c>
      <c r="B355" s="25"/>
      <c r="C355" s="116"/>
      <c r="D355" s="116"/>
      <c r="E355" s="31"/>
      <c r="F355" s="133"/>
      <c r="G355" s="117"/>
      <c r="H355" s="117"/>
      <c r="I355" s="118"/>
      <c r="J355" s="118"/>
      <c r="K355" s="117"/>
      <c r="L355" s="117"/>
      <c r="M355" s="118"/>
      <c r="N355" s="118"/>
      <c r="O355" s="117"/>
      <c r="P355" s="117"/>
      <c r="Q355" s="118"/>
      <c r="R355" s="118"/>
      <c r="S355" s="117"/>
      <c r="T355" s="117"/>
      <c r="U355" s="118"/>
      <c r="V355" s="118"/>
      <c r="W355" s="117"/>
      <c r="X355" s="117"/>
      <c r="Y355" s="118"/>
      <c r="Z355" s="118"/>
      <c r="AA355" s="117"/>
      <c r="AB355" s="117"/>
      <c r="AC355" s="118"/>
      <c r="AD355" s="118"/>
      <c r="AE355" s="26"/>
      <c r="AF355" s="27"/>
      <c r="AG355" s="28"/>
      <c r="AH355" s="29"/>
    </row>
    <row r="356" spans="1:34" s="11" customFormat="1" x14ac:dyDescent="0.2">
      <c r="A356" s="20" t="str">
        <f t="shared" si="5"/>
        <v/>
      </c>
      <c r="B356" s="25"/>
      <c r="C356" s="116"/>
      <c r="D356" s="116"/>
      <c r="E356" s="31"/>
      <c r="F356" s="133"/>
      <c r="G356" s="117"/>
      <c r="H356" s="117"/>
      <c r="I356" s="118"/>
      <c r="J356" s="118"/>
      <c r="K356" s="117"/>
      <c r="L356" s="117"/>
      <c r="M356" s="118"/>
      <c r="N356" s="118"/>
      <c r="O356" s="117"/>
      <c r="P356" s="117"/>
      <c r="Q356" s="118"/>
      <c r="R356" s="118"/>
      <c r="S356" s="117"/>
      <c r="T356" s="117"/>
      <c r="U356" s="118"/>
      <c r="V356" s="118"/>
      <c r="W356" s="117"/>
      <c r="X356" s="117"/>
      <c r="Y356" s="118"/>
      <c r="Z356" s="118"/>
      <c r="AA356" s="117"/>
      <c r="AB356" s="117"/>
      <c r="AC356" s="118"/>
      <c r="AD356" s="118"/>
      <c r="AE356" s="26"/>
      <c r="AF356" s="27"/>
      <c r="AG356" s="28"/>
      <c r="AH356" s="29"/>
    </row>
    <row r="357" spans="1:34" s="11" customFormat="1" x14ac:dyDescent="0.2">
      <c r="A357" s="20" t="str">
        <f t="shared" si="5"/>
        <v/>
      </c>
      <c r="B357" s="25"/>
      <c r="C357" s="116"/>
      <c r="D357" s="116"/>
      <c r="E357" s="31"/>
      <c r="F357" s="133"/>
      <c r="G357" s="117"/>
      <c r="H357" s="117"/>
      <c r="I357" s="118"/>
      <c r="J357" s="118"/>
      <c r="K357" s="117"/>
      <c r="L357" s="117"/>
      <c r="M357" s="118"/>
      <c r="N357" s="118"/>
      <c r="O357" s="117"/>
      <c r="P357" s="117"/>
      <c r="Q357" s="118"/>
      <c r="R357" s="118"/>
      <c r="S357" s="117"/>
      <c r="T357" s="117"/>
      <c r="U357" s="118"/>
      <c r="V357" s="118"/>
      <c r="W357" s="117"/>
      <c r="X357" s="117"/>
      <c r="Y357" s="118"/>
      <c r="Z357" s="118"/>
      <c r="AA357" s="117"/>
      <c r="AB357" s="117"/>
      <c r="AC357" s="118"/>
      <c r="AD357" s="118"/>
      <c r="AE357" s="26"/>
      <c r="AF357" s="27"/>
      <c r="AG357" s="28"/>
      <c r="AH357" s="29"/>
    </row>
    <row r="358" spans="1:34" s="11" customFormat="1" x14ac:dyDescent="0.2">
      <c r="A358" s="20" t="str">
        <f t="shared" si="5"/>
        <v/>
      </c>
      <c r="B358" s="25"/>
      <c r="C358" s="116"/>
      <c r="D358" s="116"/>
      <c r="E358" s="31"/>
      <c r="F358" s="133"/>
      <c r="G358" s="117"/>
      <c r="H358" s="117"/>
      <c r="I358" s="118"/>
      <c r="J358" s="118"/>
      <c r="K358" s="117"/>
      <c r="L358" s="117"/>
      <c r="M358" s="118"/>
      <c r="N358" s="118"/>
      <c r="O358" s="117"/>
      <c r="P358" s="117"/>
      <c r="Q358" s="118"/>
      <c r="R358" s="118"/>
      <c r="S358" s="117"/>
      <c r="T358" s="117"/>
      <c r="U358" s="118"/>
      <c r="V358" s="118"/>
      <c r="W358" s="117"/>
      <c r="X358" s="117"/>
      <c r="Y358" s="118"/>
      <c r="Z358" s="118"/>
      <c r="AA358" s="117"/>
      <c r="AB358" s="117"/>
      <c r="AC358" s="118"/>
      <c r="AD358" s="118"/>
      <c r="AE358" s="26"/>
      <c r="AF358" s="27"/>
      <c r="AG358" s="28"/>
      <c r="AH358" s="29"/>
    </row>
    <row r="359" spans="1:34" s="11" customFormat="1" x14ac:dyDescent="0.2">
      <c r="A359" s="20" t="str">
        <f t="shared" si="5"/>
        <v/>
      </c>
      <c r="B359" s="25"/>
      <c r="C359" s="116"/>
      <c r="D359" s="116"/>
      <c r="E359" s="31"/>
      <c r="F359" s="133"/>
      <c r="G359" s="117"/>
      <c r="H359" s="117"/>
      <c r="I359" s="118"/>
      <c r="J359" s="118"/>
      <c r="K359" s="117"/>
      <c r="L359" s="117"/>
      <c r="M359" s="118"/>
      <c r="N359" s="118"/>
      <c r="O359" s="117"/>
      <c r="P359" s="117"/>
      <c r="Q359" s="118"/>
      <c r="R359" s="118"/>
      <c r="S359" s="117"/>
      <c r="T359" s="117"/>
      <c r="U359" s="118"/>
      <c r="V359" s="118"/>
      <c r="W359" s="117"/>
      <c r="X359" s="117"/>
      <c r="Y359" s="118"/>
      <c r="Z359" s="118"/>
      <c r="AA359" s="117"/>
      <c r="AB359" s="117"/>
      <c r="AC359" s="118"/>
      <c r="AD359" s="118"/>
      <c r="AE359" s="26"/>
      <c r="AF359" s="27"/>
      <c r="AG359" s="28"/>
      <c r="AH359" s="29"/>
    </row>
    <row r="360" spans="1:34" s="11" customFormat="1" x14ac:dyDescent="0.2">
      <c r="A360" s="20" t="str">
        <f t="shared" si="5"/>
        <v/>
      </c>
      <c r="B360" s="25"/>
      <c r="C360" s="116"/>
      <c r="D360" s="116"/>
      <c r="E360" s="31"/>
      <c r="F360" s="133"/>
      <c r="G360" s="117"/>
      <c r="H360" s="117"/>
      <c r="I360" s="118"/>
      <c r="J360" s="118"/>
      <c r="K360" s="117"/>
      <c r="L360" s="117"/>
      <c r="M360" s="118"/>
      <c r="N360" s="118"/>
      <c r="O360" s="117"/>
      <c r="P360" s="117"/>
      <c r="Q360" s="118"/>
      <c r="R360" s="118"/>
      <c r="S360" s="117"/>
      <c r="T360" s="117"/>
      <c r="U360" s="118"/>
      <c r="V360" s="118"/>
      <c r="W360" s="117"/>
      <c r="X360" s="117"/>
      <c r="Y360" s="118"/>
      <c r="Z360" s="118"/>
      <c r="AA360" s="117"/>
      <c r="AB360" s="117"/>
      <c r="AC360" s="118"/>
      <c r="AD360" s="118"/>
      <c r="AE360" s="26"/>
      <c r="AF360" s="27"/>
      <c r="AG360" s="28"/>
      <c r="AH360" s="29"/>
    </row>
    <row r="361" spans="1:34" s="11" customFormat="1" x14ac:dyDescent="0.2">
      <c r="A361" s="20" t="str">
        <f t="shared" si="5"/>
        <v/>
      </c>
      <c r="B361" s="25"/>
      <c r="C361" s="116"/>
      <c r="D361" s="116"/>
      <c r="E361" s="31"/>
      <c r="F361" s="133"/>
      <c r="G361" s="117"/>
      <c r="H361" s="117"/>
      <c r="I361" s="118"/>
      <c r="J361" s="118"/>
      <c r="K361" s="117"/>
      <c r="L361" s="117"/>
      <c r="M361" s="118"/>
      <c r="N361" s="118"/>
      <c r="O361" s="117"/>
      <c r="P361" s="117"/>
      <c r="Q361" s="118"/>
      <c r="R361" s="118"/>
      <c r="S361" s="117"/>
      <c r="T361" s="117"/>
      <c r="U361" s="118"/>
      <c r="V361" s="118"/>
      <c r="W361" s="117"/>
      <c r="X361" s="117"/>
      <c r="Y361" s="118"/>
      <c r="Z361" s="118"/>
      <c r="AA361" s="117"/>
      <c r="AB361" s="117"/>
      <c r="AC361" s="118"/>
      <c r="AD361" s="118"/>
      <c r="AE361" s="26"/>
      <c r="AF361" s="27"/>
      <c r="AG361" s="28"/>
      <c r="AH361" s="29"/>
    </row>
    <row r="362" spans="1:34" s="11" customFormat="1" x14ac:dyDescent="0.2">
      <c r="A362" s="20" t="str">
        <f t="shared" si="5"/>
        <v/>
      </c>
      <c r="B362" s="25"/>
      <c r="C362" s="116"/>
      <c r="D362" s="116"/>
      <c r="E362" s="31"/>
      <c r="F362" s="133"/>
      <c r="G362" s="117"/>
      <c r="H362" s="117"/>
      <c r="I362" s="118"/>
      <c r="J362" s="118"/>
      <c r="K362" s="117"/>
      <c r="L362" s="117"/>
      <c r="M362" s="118"/>
      <c r="N362" s="118"/>
      <c r="O362" s="117"/>
      <c r="P362" s="117"/>
      <c r="Q362" s="118"/>
      <c r="R362" s="118"/>
      <c r="S362" s="117"/>
      <c r="T362" s="117"/>
      <c r="U362" s="118"/>
      <c r="V362" s="118"/>
      <c r="W362" s="117"/>
      <c r="X362" s="117"/>
      <c r="Y362" s="118"/>
      <c r="Z362" s="118"/>
      <c r="AA362" s="117"/>
      <c r="AB362" s="117"/>
      <c r="AC362" s="118"/>
      <c r="AD362" s="118"/>
      <c r="AE362" s="26"/>
      <c r="AF362" s="27"/>
      <c r="AG362" s="28"/>
      <c r="AH362" s="29"/>
    </row>
    <row r="363" spans="1:34" s="11" customFormat="1" x14ac:dyDescent="0.2">
      <c r="A363" s="20" t="str">
        <f t="shared" si="5"/>
        <v/>
      </c>
      <c r="B363" s="25"/>
      <c r="C363" s="116"/>
      <c r="D363" s="116"/>
      <c r="E363" s="31"/>
      <c r="F363" s="133"/>
      <c r="G363" s="117"/>
      <c r="H363" s="117"/>
      <c r="I363" s="118"/>
      <c r="J363" s="118"/>
      <c r="K363" s="117"/>
      <c r="L363" s="117"/>
      <c r="M363" s="118"/>
      <c r="N363" s="118"/>
      <c r="O363" s="117"/>
      <c r="P363" s="117"/>
      <c r="Q363" s="118"/>
      <c r="R363" s="118"/>
      <c r="S363" s="117"/>
      <c r="T363" s="117"/>
      <c r="U363" s="118"/>
      <c r="V363" s="118"/>
      <c r="W363" s="117"/>
      <c r="X363" s="117"/>
      <c r="Y363" s="118"/>
      <c r="Z363" s="118"/>
      <c r="AA363" s="117"/>
      <c r="AB363" s="117"/>
      <c r="AC363" s="118"/>
      <c r="AD363" s="118"/>
      <c r="AE363" s="26"/>
      <c r="AF363" s="27"/>
      <c r="AG363" s="28"/>
      <c r="AH363" s="29"/>
    </row>
    <row r="364" spans="1:34" s="11" customFormat="1" x14ac:dyDescent="0.2">
      <c r="A364" s="20" t="str">
        <f t="shared" si="5"/>
        <v/>
      </c>
      <c r="B364" s="25"/>
      <c r="C364" s="116"/>
      <c r="D364" s="116"/>
      <c r="E364" s="31"/>
      <c r="F364" s="133"/>
      <c r="G364" s="117"/>
      <c r="H364" s="117"/>
      <c r="I364" s="118"/>
      <c r="J364" s="118"/>
      <c r="K364" s="117"/>
      <c r="L364" s="117"/>
      <c r="M364" s="118"/>
      <c r="N364" s="118"/>
      <c r="O364" s="117"/>
      <c r="P364" s="117"/>
      <c r="Q364" s="118"/>
      <c r="R364" s="118"/>
      <c r="S364" s="117"/>
      <c r="T364" s="117"/>
      <c r="U364" s="118"/>
      <c r="V364" s="118"/>
      <c r="W364" s="117"/>
      <c r="X364" s="117"/>
      <c r="Y364" s="118"/>
      <c r="Z364" s="118"/>
      <c r="AA364" s="117"/>
      <c r="AB364" s="117"/>
      <c r="AC364" s="118"/>
      <c r="AD364" s="118"/>
      <c r="AE364" s="26"/>
      <c r="AF364" s="27"/>
      <c r="AG364" s="28"/>
      <c r="AH364" s="29"/>
    </row>
    <row r="365" spans="1:34" s="11" customFormat="1" x14ac:dyDescent="0.2">
      <c r="A365" s="20" t="str">
        <f t="shared" si="5"/>
        <v/>
      </c>
      <c r="B365" s="25"/>
      <c r="C365" s="116"/>
      <c r="D365" s="116"/>
      <c r="E365" s="31"/>
      <c r="F365" s="133"/>
      <c r="G365" s="117"/>
      <c r="H365" s="117"/>
      <c r="I365" s="118"/>
      <c r="J365" s="118"/>
      <c r="K365" s="117"/>
      <c r="L365" s="117"/>
      <c r="M365" s="118"/>
      <c r="N365" s="118"/>
      <c r="O365" s="117"/>
      <c r="P365" s="117"/>
      <c r="Q365" s="118"/>
      <c r="R365" s="118"/>
      <c r="S365" s="117"/>
      <c r="T365" s="117"/>
      <c r="U365" s="118"/>
      <c r="V365" s="118"/>
      <c r="W365" s="117"/>
      <c r="X365" s="117"/>
      <c r="Y365" s="118"/>
      <c r="Z365" s="118"/>
      <c r="AA365" s="117"/>
      <c r="AB365" s="117"/>
      <c r="AC365" s="118"/>
      <c r="AD365" s="118"/>
      <c r="AE365" s="26"/>
      <c r="AF365" s="27"/>
      <c r="AG365" s="28"/>
      <c r="AH365" s="29"/>
    </row>
    <row r="366" spans="1:34" s="11" customFormat="1" x14ac:dyDescent="0.2">
      <c r="A366" s="20" t="str">
        <f t="shared" si="5"/>
        <v/>
      </c>
      <c r="B366" s="25"/>
      <c r="C366" s="116"/>
      <c r="D366" s="116"/>
      <c r="E366" s="31"/>
      <c r="F366" s="133"/>
      <c r="G366" s="117"/>
      <c r="H366" s="117"/>
      <c r="I366" s="118"/>
      <c r="J366" s="118"/>
      <c r="K366" s="117"/>
      <c r="L366" s="117"/>
      <c r="M366" s="118"/>
      <c r="N366" s="118"/>
      <c r="O366" s="117"/>
      <c r="P366" s="117"/>
      <c r="Q366" s="118"/>
      <c r="R366" s="118"/>
      <c r="S366" s="117"/>
      <c r="T366" s="117"/>
      <c r="U366" s="118"/>
      <c r="V366" s="118"/>
      <c r="W366" s="117"/>
      <c r="X366" s="117"/>
      <c r="Y366" s="118"/>
      <c r="Z366" s="118"/>
      <c r="AA366" s="117"/>
      <c r="AB366" s="117"/>
      <c r="AC366" s="118"/>
      <c r="AD366" s="118"/>
      <c r="AE366" s="26"/>
      <c r="AF366" s="27"/>
      <c r="AG366" s="28"/>
      <c r="AH366" s="29"/>
    </row>
    <row r="367" spans="1:34" s="11" customFormat="1" x14ac:dyDescent="0.2">
      <c r="A367" s="20" t="str">
        <f t="shared" si="5"/>
        <v/>
      </c>
      <c r="B367" s="25"/>
      <c r="C367" s="116"/>
      <c r="D367" s="116"/>
      <c r="E367" s="31"/>
      <c r="F367" s="133"/>
      <c r="G367" s="117"/>
      <c r="H367" s="117"/>
      <c r="I367" s="118"/>
      <c r="J367" s="118"/>
      <c r="K367" s="117"/>
      <c r="L367" s="117"/>
      <c r="M367" s="118"/>
      <c r="N367" s="118"/>
      <c r="O367" s="117"/>
      <c r="P367" s="117"/>
      <c r="Q367" s="118"/>
      <c r="R367" s="118"/>
      <c r="S367" s="117"/>
      <c r="T367" s="117"/>
      <c r="U367" s="118"/>
      <c r="V367" s="118"/>
      <c r="W367" s="117"/>
      <c r="X367" s="117"/>
      <c r="Y367" s="118"/>
      <c r="Z367" s="118"/>
      <c r="AA367" s="117"/>
      <c r="AB367" s="117"/>
      <c r="AC367" s="118"/>
      <c r="AD367" s="118"/>
      <c r="AE367" s="26"/>
      <c r="AF367" s="27"/>
      <c r="AG367" s="28"/>
      <c r="AH367" s="29"/>
    </row>
    <row r="368" spans="1:34" s="11" customFormat="1" x14ac:dyDescent="0.2">
      <c r="A368" s="20" t="str">
        <f t="shared" si="5"/>
        <v/>
      </c>
      <c r="B368" s="25"/>
      <c r="C368" s="116"/>
      <c r="D368" s="116"/>
      <c r="E368" s="31"/>
      <c r="F368" s="133"/>
      <c r="G368" s="117"/>
      <c r="H368" s="117"/>
      <c r="I368" s="118"/>
      <c r="J368" s="118"/>
      <c r="K368" s="117"/>
      <c r="L368" s="117"/>
      <c r="M368" s="118"/>
      <c r="N368" s="118"/>
      <c r="O368" s="117"/>
      <c r="P368" s="117"/>
      <c r="Q368" s="118"/>
      <c r="R368" s="118"/>
      <c r="S368" s="117"/>
      <c r="T368" s="117"/>
      <c r="U368" s="118"/>
      <c r="V368" s="118"/>
      <c r="W368" s="117"/>
      <c r="X368" s="117"/>
      <c r="Y368" s="118"/>
      <c r="Z368" s="118"/>
      <c r="AA368" s="117"/>
      <c r="AB368" s="117"/>
      <c r="AC368" s="118"/>
      <c r="AD368" s="118"/>
      <c r="AE368" s="26"/>
      <c r="AF368" s="27"/>
      <c r="AG368" s="28"/>
      <c r="AH368" s="29"/>
    </row>
    <row r="369" spans="1:34" s="11" customFormat="1" x14ac:dyDescent="0.2">
      <c r="A369" s="20" t="str">
        <f t="shared" si="5"/>
        <v/>
      </c>
      <c r="B369" s="25"/>
      <c r="C369" s="116"/>
      <c r="D369" s="116"/>
      <c r="E369" s="31"/>
      <c r="F369" s="133"/>
      <c r="G369" s="117"/>
      <c r="H369" s="117"/>
      <c r="I369" s="118"/>
      <c r="J369" s="118"/>
      <c r="K369" s="117"/>
      <c r="L369" s="117"/>
      <c r="M369" s="118"/>
      <c r="N369" s="118"/>
      <c r="O369" s="117"/>
      <c r="P369" s="117"/>
      <c r="Q369" s="118"/>
      <c r="R369" s="118"/>
      <c r="S369" s="117"/>
      <c r="T369" s="117"/>
      <c r="U369" s="118"/>
      <c r="V369" s="118"/>
      <c r="W369" s="117"/>
      <c r="X369" s="117"/>
      <c r="Y369" s="118"/>
      <c r="Z369" s="118"/>
      <c r="AA369" s="117"/>
      <c r="AB369" s="117"/>
      <c r="AC369" s="118"/>
      <c r="AD369" s="118"/>
      <c r="AE369" s="26"/>
      <c r="AF369" s="27"/>
      <c r="AG369" s="28"/>
      <c r="AH369" s="29"/>
    </row>
    <row r="370" spans="1:34" s="11" customFormat="1" x14ac:dyDescent="0.2">
      <c r="A370" s="20" t="str">
        <f t="shared" si="5"/>
        <v/>
      </c>
      <c r="B370" s="25"/>
      <c r="C370" s="116"/>
      <c r="D370" s="116"/>
      <c r="E370" s="31"/>
      <c r="F370" s="133"/>
      <c r="G370" s="117"/>
      <c r="H370" s="117"/>
      <c r="I370" s="118"/>
      <c r="J370" s="118"/>
      <c r="K370" s="117"/>
      <c r="L370" s="117"/>
      <c r="M370" s="118"/>
      <c r="N370" s="118"/>
      <c r="O370" s="117"/>
      <c r="P370" s="117"/>
      <c r="Q370" s="118"/>
      <c r="R370" s="118"/>
      <c r="S370" s="117"/>
      <c r="T370" s="117"/>
      <c r="U370" s="118"/>
      <c r="V370" s="118"/>
      <c r="W370" s="117"/>
      <c r="X370" s="117"/>
      <c r="Y370" s="118"/>
      <c r="Z370" s="118"/>
      <c r="AA370" s="117"/>
      <c r="AB370" s="117"/>
      <c r="AC370" s="118"/>
      <c r="AD370" s="118"/>
      <c r="AE370" s="26"/>
      <c r="AF370" s="27"/>
      <c r="AG370" s="28"/>
      <c r="AH370" s="29"/>
    </row>
    <row r="371" spans="1:34" s="11" customFormat="1" x14ac:dyDescent="0.2">
      <c r="A371" s="20" t="str">
        <f t="shared" si="5"/>
        <v/>
      </c>
      <c r="B371" s="25"/>
      <c r="C371" s="116"/>
      <c r="D371" s="116"/>
      <c r="E371" s="31"/>
      <c r="F371" s="133"/>
      <c r="G371" s="117"/>
      <c r="H371" s="117"/>
      <c r="I371" s="118"/>
      <c r="J371" s="118"/>
      <c r="K371" s="117"/>
      <c r="L371" s="117"/>
      <c r="M371" s="118"/>
      <c r="N371" s="118"/>
      <c r="O371" s="117"/>
      <c r="P371" s="117"/>
      <c r="Q371" s="118"/>
      <c r="R371" s="118"/>
      <c r="S371" s="117"/>
      <c r="T371" s="117"/>
      <c r="U371" s="118"/>
      <c r="V371" s="118"/>
      <c r="W371" s="117"/>
      <c r="X371" s="117"/>
      <c r="Y371" s="118"/>
      <c r="Z371" s="118"/>
      <c r="AA371" s="117"/>
      <c r="AB371" s="117"/>
      <c r="AC371" s="118"/>
      <c r="AD371" s="118"/>
      <c r="AE371" s="26"/>
      <c r="AF371" s="27"/>
      <c r="AG371" s="28"/>
      <c r="AH371" s="29"/>
    </row>
    <row r="372" spans="1:34" s="11" customFormat="1" x14ac:dyDescent="0.2">
      <c r="A372" s="20" t="str">
        <f t="shared" si="5"/>
        <v/>
      </c>
      <c r="B372" s="25"/>
      <c r="C372" s="116"/>
      <c r="D372" s="116"/>
      <c r="E372" s="31"/>
      <c r="F372" s="133"/>
      <c r="G372" s="117"/>
      <c r="H372" s="117"/>
      <c r="I372" s="118"/>
      <c r="J372" s="118"/>
      <c r="K372" s="117"/>
      <c r="L372" s="117"/>
      <c r="M372" s="118"/>
      <c r="N372" s="118"/>
      <c r="O372" s="117"/>
      <c r="P372" s="117"/>
      <c r="Q372" s="118"/>
      <c r="R372" s="118"/>
      <c r="S372" s="117"/>
      <c r="T372" s="117"/>
      <c r="U372" s="118"/>
      <c r="V372" s="118"/>
      <c r="W372" s="117"/>
      <c r="X372" s="117"/>
      <c r="Y372" s="118"/>
      <c r="Z372" s="118"/>
      <c r="AA372" s="117"/>
      <c r="AB372" s="117"/>
      <c r="AC372" s="118"/>
      <c r="AD372" s="118"/>
      <c r="AE372" s="26"/>
      <c r="AF372" s="27"/>
      <c r="AG372" s="28"/>
      <c r="AH372" s="29"/>
    </row>
    <row r="373" spans="1:34" s="11" customFormat="1" x14ac:dyDescent="0.2">
      <c r="A373" s="20" t="str">
        <f t="shared" si="5"/>
        <v/>
      </c>
      <c r="B373" s="25"/>
      <c r="C373" s="116"/>
      <c r="D373" s="116"/>
      <c r="E373" s="31"/>
      <c r="F373" s="133"/>
      <c r="G373" s="117"/>
      <c r="H373" s="117"/>
      <c r="I373" s="118"/>
      <c r="J373" s="118"/>
      <c r="K373" s="117"/>
      <c r="L373" s="117"/>
      <c r="M373" s="118"/>
      <c r="N373" s="118"/>
      <c r="O373" s="117"/>
      <c r="P373" s="117"/>
      <c r="Q373" s="118"/>
      <c r="R373" s="118"/>
      <c r="S373" s="117"/>
      <c r="T373" s="117"/>
      <c r="U373" s="118"/>
      <c r="V373" s="118"/>
      <c r="W373" s="117"/>
      <c r="X373" s="117"/>
      <c r="Y373" s="118"/>
      <c r="Z373" s="118"/>
      <c r="AA373" s="117"/>
      <c r="AB373" s="117"/>
      <c r="AC373" s="118"/>
      <c r="AD373" s="118"/>
      <c r="AE373" s="26"/>
      <c r="AF373" s="27"/>
      <c r="AG373" s="28"/>
      <c r="AH373" s="29"/>
    </row>
    <row r="374" spans="1:34" s="11" customFormat="1" x14ac:dyDescent="0.2">
      <c r="A374" s="20" t="str">
        <f t="shared" si="5"/>
        <v/>
      </c>
      <c r="B374" s="25"/>
      <c r="C374" s="116"/>
      <c r="D374" s="116"/>
      <c r="E374" s="31"/>
      <c r="F374" s="133"/>
      <c r="G374" s="117"/>
      <c r="H374" s="117"/>
      <c r="I374" s="118"/>
      <c r="J374" s="118"/>
      <c r="K374" s="117"/>
      <c r="L374" s="117"/>
      <c r="M374" s="118"/>
      <c r="N374" s="118"/>
      <c r="O374" s="117"/>
      <c r="P374" s="117"/>
      <c r="Q374" s="118"/>
      <c r="R374" s="118"/>
      <c r="S374" s="117"/>
      <c r="T374" s="117"/>
      <c r="U374" s="118"/>
      <c r="V374" s="118"/>
      <c r="W374" s="117"/>
      <c r="X374" s="117"/>
      <c r="Y374" s="118"/>
      <c r="Z374" s="118"/>
      <c r="AA374" s="117"/>
      <c r="AB374" s="117"/>
      <c r="AC374" s="118"/>
      <c r="AD374" s="118"/>
      <c r="AE374" s="26"/>
      <c r="AF374" s="27"/>
      <c r="AG374" s="28"/>
      <c r="AH374" s="29"/>
    </row>
    <row r="375" spans="1:34" s="11" customFormat="1" x14ac:dyDescent="0.2">
      <c r="A375" s="20" t="str">
        <f t="shared" si="5"/>
        <v/>
      </c>
      <c r="B375" s="25"/>
      <c r="C375" s="116"/>
      <c r="D375" s="116"/>
      <c r="E375" s="31"/>
      <c r="F375" s="133"/>
      <c r="G375" s="117"/>
      <c r="H375" s="117"/>
      <c r="I375" s="118"/>
      <c r="J375" s="118"/>
      <c r="K375" s="117"/>
      <c r="L375" s="117"/>
      <c r="M375" s="118"/>
      <c r="N375" s="118"/>
      <c r="O375" s="117"/>
      <c r="P375" s="117"/>
      <c r="Q375" s="118"/>
      <c r="R375" s="118"/>
      <c r="S375" s="117"/>
      <c r="T375" s="117"/>
      <c r="U375" s="118"/>
      <c r="V375" s="118"/>
      <c r="W375" s="117"/>
      <c r="X375" s="117"/>
      <c r="Y375" s="118"/>
      <c r="Z375" s="118"/>
      <c r="AA375" s="117"/>
      <c r="AB375" s="117"/>
      <c r="AC375" s="118"/>
      <c r="AD375" s="118"/>
      <c r="AE375" s="26"/>
      <c r="AF375" s="27"/>
      <c r="AG375" s="28"/>
      <c r="AH375" s="29"/>
    </row>
    <row r="376" spans="1:34" s="11" customFormat="1" x14ac:dyDescent="0.2">
      <c r="A376" s="20" t="str">
        <f t="shared" si="5"/>
        <v/>
      </c>
      <c r="B376" s="25"/>
      <c r="C376" s="116"/>
      <c r="D376" s="116"/>
      <c r="E376" s="31"/>
      <c r="F376" s="133"/>
      <c r="G376" s="117"/>
      <c r="H376" s="117"/>
      <c r="I376" s="118"/>
      <c r="J376" s="118"/>
      <c r="K376" s="117"/>
      <c r="L376" s="117"/>
      <c r="M376" s="118"/>
      <c r="N376" s="118"/>
      <c r="O376" s="117"/>
      <c r="P376" s="117"/>
      <c r="Q376" s="118"/>
      <c r="R376" s="118"/>
      <c r="S376" s="117"/>
      <c r="T376" s="117"/>
      <c r="U376" s="118"/>
      <c r="V376" s="118"/>
      <c r="W376" s="117"/>
      <c r="X376" s="117"/>
      <c r="Y376" s="118"/>
      <c r="Z376" s="118"/>
      <c r="AA376" s="117"/>
      <c r="AB376" s="117"/>
      <c r="AC376" s="118"/>
      <c r="AD376" s="118"/>
      <c r="AE376" s="26"/>
      <c r="AF376" s="27"/>
      <c r="AG376" s="28"/>
      <c r="AH376" s="29"/>
    </row>
    <row r="377" spans="1:34" s="11" customFormat="1" x14ac:dyDescent="0.2">
      <c r="A377" s="20" t="str">
        <f t="shared" si="5"/>
        <v/>
      </c>
      <c r="B377" s="25"/>
      <c r="C377" s="116"/>
      <c r="D377" s="116"/>
      <c r="E377" s="31"/>
      <c r="F377" s="133"/>
      <c r="G377" s="117"/>
      <c r="H377" s="117"/>
      <c r="I377" s="118"/>
      <c r="J377" s="118"/>
      <c r="K377" s="117"/>
      <c r="L377" s="117"/>
      <c r="M377" s="118"/>
      <c r="N377" s="118"/>
      <c r="O377" s="117"/>
      <c r="P377" s="117"/>
      <c r="Q377" s="118"/>
      <c r="R377" s="118"/>
      <c r="S377" s="117"/>
      <c r="T377" s="117"/>
      <c r="U377" s="118"/>
      <c r="V377" s="118"/>
      <c r="W377" s="117"/>
      <c r="X377" s="117"/>
      <c r="Y377" s="118"/>
      <c r="Z377" s="118"/>
      <c r="AA377" s="117"/>
      <c r="AB377" s="117"/>
      <c r="AC377" s="118"/>
      <c r="AD377" s="118"/>
      <c r="AE377" s="26"/>
      <c r="AF377" s="27"/>
      <c r="AG377" s="28"/>
      <c r="AH377" s="29"/>
    </row>
    <row r="378" spans="1:34" s="11" customFormat="1" x14ac:dyDescent="0.2">
      <c r="A378" s="20" t="str">
        <f t="shared" si="5"/>
        <v/>
      </c>
      <c r="B378" s="25"/>
      <c r="C378" s="116"/>
      <c r="D378" s="116"/>
      <c r="E378" s="31"/>
      <c r="F378" s="133"/>
      <c r="G378" s="117"/>
      <c r="H378" s="117"/>
      <c r="I378" s="118"/>
      <c r="J378" s="118"/>
      <c r="K378" s="117"/>
      <c r="L378" s="117"/>
      <c r="M378" s="118"/>
      <c r="N378" s="118"/>
      <c r="O378" s="117"/>
      <c r="P378" s="117"/>
      <c r="Q378" s="118"/>
      <c r="R378" s="118"/>
      <c r="S378" s="117"/>
      <c r="T378" s="117"/>
      <c r="U378" s="118"/>
      <c r="V378" s="118"/>
      <c r="W378" s="117"/>
      <c r="X378" s="117"/>
      <c r="Y378" s="118"/>
      <c r="Z378" s="118"/>
      <c r="AA378" s="117"/>
      <c r="AB378" s="117"/>
      <c r="AC378" s="118"/>
      <c r="AD378" s="118"/>
      <c r="AE378" s="26"/>
      <c r="AF378" s="27"/>
      <c r="AG378" s="28"/>
      <c r="AH378" s="29"/>
    </row>
    <row r="379" spans="1:34" s="11" customFormat="1" x14ac:dyDescent="0.2">
      <c r="A379" s="20" t="str">
        <f t="shared" si="5"/>
        <v/>
      </c>
      <c r="B379" s="25"/>
      <c r="C379" s="116"/>
      <c r="D379" s="116"/>
      <c r="E379" s="31"/>
      <c r="F379" s="133"/>
      <c r="G379" s="117"/>
      <c r="H379" s="117"/>
      <c r="I379" s="118"/>
      <c r="J379" s="118"/>
      <c r="K379" s="117"/>
      <c r="L379" s="117"/>
      <c r="M379" s="118"/>
      <c r="N379" s="118"/>
      <c r="O379" s="117"/>
      <c r="P379" s="117"/>
      <c r="Q379" s="118"/>
      <c r="R379" s="118"/>
      <c r="S379" s="117"/>
      <c r="T379" s="117"/>
      <c r="U379" s="118"/>
      <c r="V379" s="118"/>
      <c r="W379" s="117"/>
      <c r="X379" s="117"/>
      <c r="Y379" s="118"/>
      <c r="Z379" s="118"/>
      <c r="AA379" s="117"/>
      <c r="AB379" s="117"/>
      <c r="AC379" s="118"/>
      <c r="AD379" s="118"/>
      <c r="AE379" s="26"/>
      <c r="AF379" s="27"/>
      <c r="AG379" s="28"/>
      <c r="AH379" s="29"/>
    </row>
    <row r="380" spans="1:34" s="11" customFormat="1" x14ac:dyDescent="0.2">
      <c r="A380" s="20" t="str">
        <f t="shared" si="5"/>
        <v/>
      </c>
      <c r="B380" s="25"/>
      <c r="C380" s="116"/>
      <c r="D380" s="116"/>
      <c r="E380" s="31"/>
      <c r="F380" s="133"/>
      <c r="G380" s="117"/>
      <c r="H380" s="117"/>
      <c r="I380" s="118"/>
      <c r="J380" s="118"/>
      <c r="K380" s="117"/>
      <c r="L380" s="117"/>
      <c r="M380" s="118"/>
      <c r="N380" s="118"/>
      <c r="O380" s="117"/>
      <c r="P380" s="117"/>
      <c r="Q380" s="118"/>
      <c r="R380" s="118"/>
      <c r="S380" s="117"/>
      <c r="T380" s="117"/>
      <c r="U380" s="118"/>
      <c r="V380" s="118"/>
      <c r="W380" s="117"/>
      <c r="X380" s="117"/>
      <c r="Y380" s="118"/>
      <c r="Z380" s="118"/>
      <c r="AA380" s="117"/>
      <c r="AB380" s="117"/>
      <c r="AC380" s="118"/>
      <c r="AD380" s="118"/>
      <c r="AE380" s="26"/>
      <c r="AF380" s="27"/>
      <c r="AG380" s="28"/>
      <c r="AH380" s="29"/>
    </row>
    <row r="381" spans="1:34" s="11" customFormat="1" x14ac:dyDescent="0.2">
      <c r="A381" s="20" t="str">
        <f t="shared" si="5"/>
        <v/>
      </c>
      <c r="B381" s="25"/>
      <c r="C381" s="116"/>
      <c r="D381" s="116"/>
      <c r="E381" s="31"/>
      <c r="F381" s="133"/>
      <c r="G381" s="117"/>
      <c r="H381" s="117"/>
      <c r="I381" s="118"/>
      <c r="J381" s="118"/>
      <c r="K381" s="117"/>
      <c r="L381" s="117"/>
      <c r="M381" s="118"/>
      <c r="N381" s="118"/>
      <c r="O381" s="117"/>
      <c r="P381" s="117"/>
      <c r="Q381" s="118"/>
      <c r="R381" s="118"/>
      <c r="S381" s="117"/>
      <c r="T381" s="117"/>
      <c r="U381" s="118"/>
      <c r="V381" s="118"/>
      <c r="W381" s="117"/>
      <c r="X381" s="117"/>
      <c r="Y381" s="118"/>
      <c r="Z381" s="118"/>
      <c r="AA381" s="117"/>
      <c r="AB381" s="117"/>
      <c r="AC381" s="118"/>
      <c r="AD381" s="118"/>
      <c r="AE381" s="26"/>
      <c r="AF381" s="27"/>
      <c r="AG381" s="28"/>
      <c r="AH381" s="29"/>
    </row>
    <row r="382" spans="1:34" s="11" customFormat="1" x14ac:dyDescent="0.2">
      <c r="A382" s="20" t="str">
        <f t="shared" si="5"/>
        <v/>
      </c>
      <c r="B382" s="25"/>
      <c r="C382" s="116"/>
      <c r="D382" s="116"/>
      <c r="E382" s="31"/>
      <c r="F382" s="133"/>
      <c r="G382" s="117"/>
      <c r="H382" s="117"/>
      <c r="I382" s="118"/>
      <c r="J382" s="118"/>
      <c r="K382" s="117"/>
      <c r="L382" s="117"/>
      <c r="M382" s="118"/>
      <c r="N382" s="118"/>
      <c r="O382" s="117"/>
      <c r="P382" s="117"/>
      <c r="Q382" s="118"/>
      <c r="R382" s="118"/>
      <c r="S382" s="117"/>
      <c r="T382" s="117"/>
      <c r="U382" s="118"/>
      <c r="V382" s="118"/>
      <c r="W382" s="117"/>
      <c r="X382" s="117"/>
      <c r="Y382" s="118"/>
      <c r="Z382" s="118"/>
      <c r="AA382" s="117"/>
      <c r="AB382" s="117"/>
      <c r="AC382" s="118"/>
      <c r="AD382" s="118"/>
      <c r="AE382" s="26"/>
      <c r="AF382" s="27"/>
      <c r="AG382" s="28"/>
      <c r="AH382" s="29"/>
    </row>
    <row r="383" spans="1:34" s="11" customFormat="1" x14ac:dyDescent="0.2">
      <c r="A383" s="20" t="str">
        <f t="shared" si="5"/>
        <v/>
      </c>
      <c r="B383" s="25"/>
      <c r="C383" s="116"/>
      <c r="D383" s="116"/>
      <c r="E383" s="31"/>
      <c r="F383" s="133"/>
      <c r="G383" s="117"/>
      <c r="H383" s="117"/>
      <c r="I383" s="118"/>
      <c r="J383" s="118"/>
      <c r="K383" s="117"/>
      <c r="L383" s="117"/>
      <c r="M383" s="118"/>
      <c r="N383" s="118"/>
      <c r="O383" s="117"/>
      <c r="P383" s="117"/>
      <c r="Q383" s="118"/>
      <c r="R383" s="118"/>
      <c r="S383" s="117"/>
      <c r="T383" s="117"/>
      <c r="U383" s="118"/>
      <c r="V383" s="118"/>
      <c r="W383" s="117"/>
      <c r="X383" s="117"/>
      <c r="Y383" s="118"/>
      <c r="Z383" s="118"/>
      <c r="AA383" s="117"/>
      <c r="AB383" s="117"/>
      <c r="AC383" s="118"/>
      <c r="AD383" s="118"/>
      <c r="AE383" s="26"/>
      <c r="AF383" s="27"/>
      <c r="AG383" s="28"/>
      <c r="AH383" s="29"/>
    </row>
    <row r="384" spans="1:34" s="11" customFormat="1" x14ac:dyDescent="0.2">
      <c r="A384" s="20" t="str">
        <f t="shared" si="5"/>
        <v/>
      </c>
      <c r="B384" s="25"/>
      <c r="C384" s="116"/>
      <c r="D384" s="116"/>
      <c r="E384" s="31"/>
      <c r="F384" s="133"/>
      <c r="G384" s="117"/>
      <c r="H384" s="117"/>
      <c r="I384" s="118"/>
      <c r="J384" s="118"/>
      <c r="K384" s="117"/>
      <c r="L384" s="117"/>
      <c r="M384" s="118"/>
      <c r="N384" s="118"/>
      <c r="O384" s="117"/>
      <c r="P384" s="117"/>
      <c r="Q384" s="118"/>
      <c r="R384" s="118"/>
      <c r="S384" s="117"/>
      <c r="T384" s="117"/>
      <c r="U384" s="118"/>
      <c r="V384" s="118"/>
      <c r="W384" s="117"/>
      <c r="X384" s="117"/>
      <c r="Y384" s="118"/>
      <c r="Z384" s="118"/>
      <c r="AA384" s="117"/>
      <c r="AB384" s="117"/>
      <c r="AC384" s="118"/>
      <c r="AD384" s="118"/>
      <c r="AE384" s="26"/>
      <c r="AF384" s="27"/>
      <c r="AG384" s="28"/>
      <c r="AH384" s="29"/>
    </row>
    <row r="385" spans="1:34" s="11" customFormat="1" x14ac:dyDescent="0.2">
      <c r="A385" s="20" t="str">
        <f t="shared" si="5"/>
        <v/>
      </c>
      <c r="B385" s="25"/>
      <c r="C385" s="116"/>
      <c r="D385" s="116"/>
      <c r="E385" s="31"/>
      <c r="F385" s="133"/>
      <c r="G385" s="117"/>
      <c r="H385" s="117"/>
      <c r="I385" s="118"/>
      <c r="J385" s="118"/>
      <c r="K385" s="117"/>
      <c r="L385" s="117"/>
      <c r="M385" s="118"/>
      <c r="N385" s="118"/>
      <c r="O385" s="117"/>
      <c r="P385" s="117"/>
      <c r="Q385" s="118"/>
      <c r="R385" s="118"/>
      <c r="S385" s="117"/>
      <c r="T385" s="117"/>
      <c r="U385" s="118"/>
      <c r="V385" s="118"/>
      <c r="W385" s="117"/>
      <c r="X385" s="117"/>
      <c r="Y385" s="118"/>
      <c r="Z385" s="118"/>
      <c r="AA385" s="117"/>
      <c r="AB385" s="117"/>
      <c r="AC385" s="118"/>
      <c r="AD385" s="118"/>
      <c r="AE385" s="26"/>
      <c r="AF385" s="27"/>
      <c r="AG385" s="28"/>
      <c r="AH385" s="29"/>
    </row>
    <row r="386" spans="1:34" s="11" customFormat="1" x14ac:dyDescent="0.2">
      <c r="A386" s="20" t="str">
        <f t="shared" si="5"/>
        <v/>
      </c>
      <c r="B386" s="25"/>
      <c r="C386" s="116"/>
      <c r="D386" s="116"/>
      <c r="E386" s="31"/>
      <c r="F386" s="133"/>
      <c r="G386" s="117"/>
      <c r="H386" s="117"/>
      <c r="I386" s="118"/>
      <c r="J386" s="118"/>
      <c r="K386" s="117"/>
      <c r="L386" s="117"/>
      <c r="M386" s="118"/>
      <c r="N386" s="118"/>
      <c r="O386" s="117"/>
      <c r="P386" s="117"/>
      <c r="Q386" s="118"/>
      <c r="R386" s="118"/>
      <c r="S386" s="117"/>
      <c r="T386" s="117"/>
      <c r="U386" s="118"/>
      <c r="V386" s="118"/>
      <c r="W386" s="117"/>
      <c r="X386" s="117"/>
      <c r="Y386" s="118"/>
      <c r="Z386" s="118"/>
      <c r="AA386" s="117"/>
      <c r="AB386" s="117"/>
      <c r="AC386" s="118"/>
      <c r="AD386" s="118"/>
      <c r="AE386" s="26"/>
      <c r="AF386" s="27"/>
      <c r="AG386" s="28"/>
      <c r="AH386" s="29"/>
    </row>
    <row r="387" spans="1:34" s="11" customFormat="1" x14ac:dyDescent="0.2">
      <c r="A387" s="20" t="str">
        <f t="shared" si="5"/>
        <v/>
      </c>
      <c r="B387" s="25"/>
      <c r="C387" s="116"/>
      <c r="D387" s="116"/>
      <c r="E387" s="31"/>
      <c r="F387" s="133"/>
      <c r="G387" s="117"/>
      <c r="H387" s="117"/>
      <c r="I387" s="118"/>
      <c r="J387" s="118"/>
      <c r="K387" s="117"/>
      <c r="L387" s="117"/>
      <c r="M387" s="118"/>
      <c r="N387" s="118"/>
      <c r="O387" s="117"/>
      <c r="P387" s="117"/>
      <c r="Q387" s="118"/>
      <c r="R387" s="118"/>
      <c r="S387" s="117"/>
      <c r="T387" s="117"/>
      <c r="U387" s="118"/>
      <c r="V387" s="118"/>
      <c r="W387" s="117"/>
      <c r="X387" s="117"/>
      <c r="Y387" s="118"/>
      <c r="Z387" s="118"/>
      <c r="AA387" s="117"/>
      <c r="AB387" s="117"/>
      <c r="AC387" s="118"/>
      <c r="AD387" s="118"/>
      <c r="AE387" s="26"/>
      <c r="AF387" s="27"/>
      <c r="AG387" s="28"/>
      <c r="AH387" s="29"/>
    </row>
    <row r="388" spans="1:34" s="11" customFormat="1" x14ac:dyDescent="0.2">
      <c r="A388" s="20" t="str">
        <f t="shared" si="5"/>
        <v/>
      </c>
      <c r="B388" s="25"/>
      <c r="C388" s="116"/>
      <c r="D388" s="116"/>
      <c r="E388" s="31"/>
      <c r="F388" s="133"/>
      <c r="G388" s="117"/>
      <c r="H388" s="117"/>
      <c r="I388" s="118"/>
      <c r="J388" s="118"/>
      <c r="K388" s="117"/>
      <c r="L388" s="117"/>
      <c r="M388" s="118"/>
      <c r="N388" s="118"/>
      <c r="O388" s="117"/>
      <c r="P388" s="117"/>
      <c r="Q388" s="118"/>
      <c r="R388" s="118"/>
      <c r="S388" s="117"/>
      <c r="T388" s="117"/>
      <c r="U388" s="118"/>
      <c r="V388" s="118"/>
      <c r="W388" s="117"/>
      <c r="X388" s="117"/>
      <c r="Y388" s="118"/>
      <c r="Z388" s="118"/>
      <c r="AA388" s="117"/>
      <c r="AB388" s="117"/>
      <c r="AC388" s="118"/>
      <c r="AD388" s="118"/>
      <c r="AE388" s="26"/>
      <c r="AF388" s="27"/>
      <c r="AG388" s="28"/>
      <c r="AH388" s="29"/>
    </row>
    <row r="389" spans="1:34" s="11" customFormat="1" x14ac:dyDescent="0.2">
      <c r="A389" s="20" t="str">
        <f t="shared" ref="A389:A452" si="6">IF(COUNTA(G389:AD389)/2=0,"",COUNTA(G389:AD389)/2)</f>
        <v/>
      </c>
      <c r="B389" s="25"/>
      <c r="C389" s="116"/>
      <c r="D389" s="116"/>
      <c r="E389" s="31"/>
      <c r="F389" s="133"/>
      <c r="G389" s="117"/>
      <c r="H389" s="117"/>
      <c r="I389" s="118"/>
      <c r="J389" s="118"/>
      <c r="K389" s="117"/>
      <c r="L389" s="117"/>
      <c r="M389" s="118"/>
      <c r="N389" s="118"/>
      <c r="O389" s="117"/>
      <c r="P389" s="117"/>
      <c r="Q389" s="118"/>
      <c r="R389" s="118"/>
      <c r="S389" s="117"/>
      <c r="T389" s="117"/>
      <c r="U389" s="118"/>
      <c r="V389" s="118"/>
      <c r="W389" s="117"/>
      <c r="X389" s="117"/>
      <c r="Y389" s="118"/>
      <c r="Z389" s="118"/>
      <c r="AA389" s="117"/>
      <c r="AB389" s="117"/>
      <c r="AC389" s="118"/>
      <c r="AD389" s="118"/>
      <c r="AE389" s="26"/>
      <c r="AF389" s="27"/>
      <c r="AG389" s="28"/>
      <c r="AH389" s="29"/>
    </row>
    <row r="390" spans="1:34" s="11" customFormat="1" x14ac:dyDescent="0.2">
      <c r="A390" s="20" t="str">
        <f t="shared" si="6"/>
        <v/>
      </c>
      <c r="B390" s="25"/>
      <c r="C390" s="116"/>
      <c r="D390" s="116"/>
      <c r="E390" s="31"/>
      <c r="F390" s="133"/>
      <c r="G390" s="117"/>
      <c r="H390" s="117"/>
      <c r="I390" s="118"/>
      <c r="J390" s="118"/>
      <c r="K390" s="117"/>
      <c r="L390" s="117"/>
      <c r="M390" s="118"/>
      <c r="N390" s="118"/>
      <c r="O390" s="117"/>
      <c r="P390" s="117"/>
      <c r="Q390" s="118"/>
      <c r="R390" s="118"/>
      <c r="S390" s="117"/>
      <c r="T390" s="117"/>
      <c r="U390" s="118"/>
      <c r="V390" s="118"/>
      <c r="W390" s="117"/>
      <c r="X390" s="117"/>
      <c r="Y390" s="118"/>
      <c r="Z390" s="118"/>
      <c r="AA390" s="117"/>
      <c r="AB390" s="117"/>
      <c r="AC390" s="118"/>
      <c r="AD390" s="118"/>
      <c r="AE390" s="26"/>
      <c r="AF390" s="27"/>
      <c r="AG390" s="28"/>
      <c r="AH390" s="29"/>
    </row>
    <row r="391" spans="1:34" s="11" customFormat="1" x14ac:dyDescent="0.2">
      <c r="A391" s="20" t="str">
        <f t="shared" si="6"/>
        <v/>
      </c>
      <c r="B391" s="25"/>
      <c r="C391" s="116"/>
      <c r="D391" s="116"/>
      <c r="E391" s="31"/>
      <c r="F391" s="133"/>
      <c r="G391" s="117"/>
      <c r="H391" s="117"/>
      <c r="I391" s="118"/>
      <c r="J391" s="118"/>
      <c r="K391" s="117"/>
      <c r="L391" s="117"/>
      <c r="M391" s="118"/>
      <c r="N391" s="118"/>
      <c r="O391" s="117"/>
      <c r="P391" s="117"/>
      <c r="Q391" s="118"/>
      <c r="R391" s="118"/>
      <c r="S391" s="117"/>
      <c r="T391" s="117"/>
      <c r="U391" s="118"/>
      <c r="V391" s="118"/>
      <c r="W391" s="117"/>
      <c r="X391" s="117"/>
      <c r="Y391" s="118"/>
      <c r="Z391" s="118"/>
      <c r="AA391" s="117"/>
      <c r="AB391" s="117"/>
      <c r="AC391" s="118"/>
      <c r="AD391" s="118"/>
      <c r="AE391" s="26"/>
      <c r="AF391" s="27"/>
      <c r="AG391" s="28"/>
      <c r="AH391" s="29"/>
    </row>
    <row r="392" spans="1:34" s="11" customFormat="1" x14ac:dyDescent="0.2">
      <c r="A392" s="20" t="str">
        <f t="shared" si="6"/>
        <v/>
      </c>
      <c r="B392" s="25"/>
      <c r="C392" s="116"/>
      <c r="D392" s="116"/>
      <c r="E392" s="31"/>
      <c r="F392" s="133"/>
      <c r="G392" s="117"/>
      <c r="H392" s="117"/>
      <c r="I392" s="118"/>
      <c r="J392" s="118"/>
      <c r="K392" s="117"/>
      <c r="L392" s="117"/>
      <c r="M392" s="118"/>
      <c r="N392" s="118"/>
      <c r="O392" s="117"/>
      <c r="P392" s="117"/>
      <c r="Q392" s="118"/>
      <c r="R392" s="118"/>
      <c r="S392" s="117"/>
      <c r="T392" s="117"/>
      <c r="U392" s="118"/>
      <c r="V392" s="118"/>
      <c r="W392" s="117"/>
      <c r="X392" s="117"/>
      <c r="Y392" s="118"/>
      <c r="Z392" s="118"/>
      <c r="AA392" s="117"/>
      <c r="AB392" s="117"/>
      <c r="AC392" s="118"/>
      <c r="AD392" s="118"/>
      <c r="AE392" s="26"/>
      <c r="AF392" s="27"/>
      <c r="AG392" s="28"/>
      <c r="AH392" s="29"/>
    </row>
    <row r="393" spans="1:34" s="11" customFormat="1" x14ac:dyDescent="0.2">
      <c r="A393" s="20" t="str">
        <f t="shared" si="6"/>
        <v/>
      </c>
      <c r="B393" s="25"/>
      <c r="C393" s="116"/>
      <c r="D393" s="116"/>
      <c r="E393" s="31"/>
      <c r="F393" s="133"/>
      <c r="G393" s="117"/>
      <c r="H393" s="117"/>
      <c r="I393" s="118"/>
      <c r="J393" s="118"/>
      <c r="K393" s="117"/>
      <c r="L393" s="117"/>
      <c r="M393" s="118"/>
      <c r="N393" s="118"/>
      <c r="O393" s="117"/>
      <c r="P393" s="117"/>
      <c r="Q393" s="118"/>
      <c r="R393" s="118"/>
      <c r="S393" s="117"/>
      <c r="T393" s="117"/>
      <c r="U393" s="118"/>
      <c r="V393" s="118"/>
      <c r="W393" s="117"/>
      <c r="X393" s="117"/>
      <c r="Y393" s="118"/>
      <c r="Z393" s="118"/>
      <c r="AA393" s="117"/>
      <c r="AB393" s="117"/>
      <c r="AC393" s="118"/>
      <c r="AD393" s="118"/>
      <c r="AE393" s="26"/>
      <c r="AF393" s="27"/>
      <c r="AG393" s="28"/>
      <c r="AH393" s="29"/>
    </row>
    <row r="394" spans="1:34" s="11" customFormat="1" x14ac:dyDescent="0.2">
      <c r="A394" s="20" t="str">
        <f t="shared" si="6"/>
        <v/>
      </c>
      <c r="B394" s="25"/>
      <c r="C394" s="116"/>
      <c r="D394" s="116"/>
      <c r="E394" s="31"/>
      <c r="F394" s="133"/>
      <c r="G394" s="117"/>
      <c r="H394" s="117"/>
      <c r="I394" s="118"/>
      <c r="J394" s="118"/>
      <c r="K394" s="117"/>
      <c r="L394" s="117"/>
      <c r="M394" s="118"/>
      <c r="N394" s="118"/>
      <c r="O394" s="117"/>
      <c r="P394" s="117"/>
      <c r="Q394" s="118"/>
      <c r="R394" s="118"/>
      <c r="S394" s="117"/>
      <c r="T394" s="117"/>
      <c r="U394" s="118"/>
      <c r="V394" s="118"/>
      <c r="W394" s="117"/>
      <c r="X394" s="117"/>
      <c r="Y394" s="118"/>
      <c r="Z394" s="118"/>
      <c r="AA394" s="117"/>
      <c r="AB394" s="117"/>
      <c r="AC394" s="118"/>
      <c r="AD394" s="118"/>
      <c r="AE394" s="26"/>
      <c r="AF394" s="27"/>
      <c r="AG394" s="28"/>
      <c r="AH394" s="29"/>
    </row>
    <row r="395" spans="1:34" s="11" customFormat="1" x14ac:dyDescent="0.2">
      <c r="A395" s="20" t="str">
        <f t="shared" si="6"/>
        <v/>
      </c>
      <c r="B395" s="25"/>
      <c r="C395" s="116"/>
      <c r="D395" s="116"/>
      <c r="E395" s="31"/>
      <c r="F395" s="133"/>
      <c r="G395" s="117"/>
      <c r="H395" s="117"/>
      <c r="I395" s="118"/>
      <c r="J395" s="118"/>
      <c r="K395" s="117"/>
      <c r="L395" s="117"/>
      <c r="M395" s="118"/>
      <c r="N395" s="118"/>
      <c r="O395" s="117"/>
      <c r="P395" s="117"/>
      <c r="Q395" s="118"/>
      <c r="R395" s="118"/>
      <c r="S395" s="117"/>
      <c r="T395" s="117"/>
      <c r="U395" s="118"/>
      <c r="V395" s="118"/>
      <c r="W395" s="117"/>
      <c r="X395" s="117"/>
      <c r="Y395" s="118"/>
      <c r="Z395" s="118"/>
      <c r="AA395" s="117"/>
      <c r="AB395" s="117"/>
      <c r="AC395" s="118"/>
      <c r="AD395" s="118"/>
      <c r="AE395" s="26"/>
      <c r="AF395" s="27"/>
      <c r="AG395" s="28"/>
      <c r="AH395" s="29"/>
    </row>
    <row r="396" spans="1:34" s="11" customFormat="1" x14ac:dyDescent="0.2">
      <c r="A396" s="20" t="str">
        <f t="shared" si="6"/>
        <v/>
      </c>
      <c r="B396" s="25"/>
      <c r="C396" s="116"/>
      <c r="D396" s="116"/>
      <c r="E396" s="31"/>
      <c r="F396" s="133"/>
      <c r="G396" s="117"/>
      <c r="H396" s="117"/>
      <c r="I396" s="118"/>
      <c r="J396" s="118"/>
      <c r="K396" s="117"/>
      <c r="L396" s="117"/>
      <c r="M396" s="118"/>
      <c r="N396" s="118"/>
      <c r="O396" s="117"/>
      <c r="P396" s="117"/>
      <c r="Q396" s="118"/>
      <c r="R396" s="118"/>
      <c r="S396" s="117"/>
      <c r="T396" s="117"/>
      <c r="U396" s="118"/>
      <c r="V396" s="118"/>
      <c r="W396" s="117"/>
      <c r="X396" s="117"/>
      <c r="Y396" s="118"/>
      <c r="Z396" s="118"/>
      <c r="AA396" s="117"/>
      <c r="AB396" s="117"/>
      <c r="AC396" s="118"/>
      <c r="AD396" s="118"/>
      <c r="AE396" s="26"/>
      <c r="AF396" s="27"/>
      <c r="AG396" s="28"/>
      <c r="AH396" s="29"/>
    </row>
    <row r="397" spans="1:34" s="11" customFormat="1" x14ac:dyDescent="0.2">
      <c r="A397" s="20" t="str">
        <f t="shared" si="6"/>
        <v/>
      </c>
      <c r="B397" s="25"/>
      <c r="C397" s="116"/>
      <c r="D397" s="116"/>
      <c r="E397" s="31"/>
      <c r="F397" s="133"/>
      <c r="G397" s="117"/>
      <c r="H397" s="117"/>
      <c r="I397" s="118"/>
      <c r="J397" s="118"/>
      <c r="K397" s="117"/>
      <c r="L397" s="117"/>
      <c r="M397" s="118"/>
      <c r="N397" s="118"/>
      <c r="O397" s="117"/>
      <c r="P397" s="117"/>
      <c r="Q397" s="118"/>
      <c r="R397" s="118"/>
      <c r="S397" s="117"/>
      <c r="T397" s="117"/>
      <c r="U397" s="118"/>
      <c r="V397" s="118"/>
      <c r="W397" s="117"/>
      <c r="X397" s="117"/>
      <c r="Y397" s="118"/>
      <c r="Z397" s="118"/>
      <c r="AA397" s="117"/>
      <c r="AB397" s="117"/>
      <c r="AC397" s="118"/>
      <c r="AD397" s="118"/>
      <c r="AE397" s="26"/>
      <c r="AF397" s="27"/>
      <c r="AG397" s="28"/>
      <c r="AH397" s="29"/>
    </row>
    <row r="398" spans="1:34" s="11" customFormat="1" x14ac:dyDescent="0.2">
      <c r="A398" s="20" t="str">
        <f t="shared" si="6"/>
        <v/>
      </c>
      <c r="B398" s="25"/>
      <c r="C398" s="116"/>
      <c r="D398" s="116"/>
      <c r="E398" s="31"/>
      <c r="F398" s="133"/>
      <c r="G398" s="117"/>
      <c r="H398" s="117"/>
      <c r="I398" s="118"/>
      <c r="J398" s="118"/>
      <c r="K398" s="117"/>
      <c r="L398" s="117"/>
      <c r="M398" s="118"/>
      <c r="N398" s="118"/>
      <c r="O398" s="117"/>
      <c r="P398" s="117"/>
      <c r="Q398" s="118"/>
      <c r="R398" s="118"/>
      <c r="S398" s="117"/>
      <c r="T398" s="117"/>
      <c r="U398" s="118"/>
      <c r="V398" s="118"/>
      <c r="W398" s="117"/>
      <c r="X398" s="117"/>
      <c r="Y398" s="118"/>
      <c r="Z398" s="118"/>
      <c r="AA398" s="117"/>
      <c r="AB398" s="117"/>
      <c r="AC398" s="118"/>
      <c r="AD398" s="118"/>
      <c r="AE398" s="26"/>
      <c r="AF398" s="27"/>
      <c r="AG398" s="28"/>
      <c r="AH398" s="29"/>
    </row>
    <row r="399" spans="1:34" s="11" customFormat="1" x14ac:dyDescent="0.2">
      <c r="A399" s="20" t="str">
        <f t="shared" si="6"/>
        <v/>
      </c>
      <c r="B399" s="25"/>
      <c r="C399" s="116"/>
      <c r="D399" s="116"/>
      <c r="E399" s="31"/>
      <c r="F399" s="133"/>
      <c r="G399" s="117"/>
      <c r="H399" s="117"/>
      <c r="I399" s="118"/>
      <c r="J399" s="118"/>
      <c r="K399" s="117"/>
      <c r="L399" s="117"/>
      <c r="M399" s="118"/>
      <c r="N399" s="118"/>
      <c r="O399" s="117"/>
      <c r="P399" s="117"/>
      <c r="Q399" s="118"/>
      <c r="R399" s="118"/>
      <c r="S399" s="117"/>
      <c r="T399" s="117"/>
      <c r="U399" s="118"/>
      <c r="V399" s="118"/>
      <c r="W399" s="117"/>
      <c r="X399" s="117"/>
      <c r="Y399" s="118"/>
      <c r="Z399" s="118"/>
      <c r="AA399" s="117"/>
      <c r="AB399" s="117"/>
      <c r="AC399" s="118"/>
      <c r="AD399" s="118"/>
      <c r="AE399" s="26"/>
      <c r="AF399" s="27"/>
      <c r="AG399" s="28"/>
      <c r="AH399" s="29"/>
    </row>
    <row r="400" spans="1:34" s="11" customFormat="1" x14ac:dyDescent="0.2">
      <c r="A400" s="20" t="str">
        <f t="shared" si="6"/>
        <v/>
      </c>
      <c r="B400" s="25"/>
      <c r="C400" s="116"/>
      <c r="D400" s="116"/>
      <c r="E400" s="31"/>
      <c r="F400" s="133"/>
      <c r="G400" s="117"/>
      <c r="H400" s="117"/>
      <c r="I400" s="118"/>
      <c r="J400" s="118"/>
      <c r="K400" s="117"/>
      <c r="L400" s="117"/>
      <c r="M400" s="118"/>
      <c r="N400" s="118"/>
      <c r="O400" s="117"/>
      <c r="P400" s="117"/>
      <c r="Q400" s="118"/>
      <c r="R400" s="118"/>
      <c r="S400" s="117"/>
      <c r="T400" s="117"/>
      <c r="U400" s="118"/>
      <c r="V400" s="118"/>
      <c r="W400" s="117"/>
      <c r="X400" s="117"/>
      <c r="Y400" s="118"/>
      <c r="Z400" s="118"/>
      <c r="AA400" s="117"/>
      <c r="AB400" s="117"/>
      <c r="AC400" s="118"/>
      <c r="AD400" s="118"/>
      <c r="AE400" s="26"/>
      <c r="AF400" s="27"/>
      <c r="AG400" s="28"/>
      <c r="AH400" s="29"/>
    </row>
    <row r="401" spans="1:34" s="11" customFormat="1" x14ac:dyDescent="0.2">
      <c r="A401" s="20" t="str">
        <f t="shared" si="6"/>
        <v/>
      </c>
      <c r="B401" s="25"/>
      <c r="C401" s="116"/>
      <c r="D401" s="116"/>
      <c r="E401" s="31"/>
      <c r="F401" s="133"/>
      <c r="G401" s="117"/>
      <c r="H401" s="117"/>
      <c r="I401" s="118"/>
      <c r="J401" s="118"/>
      <c r="K401" s="117"/>
      <c r="L401" s="117"/>
      <c r="M401" s="118"/>
      <c r="N401" s="118"/>
      <c r="O401" s="117"/>
      <c r="P401" s="117"/>
      <c r="Q401" s="118"/>
      <c r="R401" s="118"/>
      <c r="S401" s="117"/>
      <c r="T401" s="117"/>
      <c r="U401" s="118"/>
      <c r="V401" s="118"/>
      <c r="W401" s="117"/>
      <c r="X401" s="117"/>
      <c r="Y401" s="118"/>
      <c r="Z401" s="118"/>
      <c r="AA401" s="117"/>
      <c r="AB401" s="117"/>
      <c r="AC401" s="118"/>
      <c r="AD401" s="118"/>
      <c r="AE401" s="26"/>
      <c r="AF401" s="27"/>
      <c r="AG401" s="28"/>
      <c r="AH401" s="29"/>
    </row>
    <row r="402" spans="1:34" s="11" customFormat="1" x14ac:dyDescent="0.2">
      <c r="A402" s="20" t="str">
        <f t="shared" si="6"/>
        <v/>
      </c>
      <c r="B402" s="25"/>
      <c r="C402" s="116"/>
      <c r="D402" s="116"/>
      <c r="E402" s="31"/>
      <c r="F402" s="133"/>
      <c r="G402" s="117"/>
      <c r="H402" s="117"/>
      <c r="I402" s="118"/>
      <c r="J402" s="118"/>
      <c r="K402" s="117"/>
      <c r="L402" s="117"/>
      <c r="M402" s="118"/>
      <c r="N402" s="118"/>
      <c r="O402" s="117"/>
      <c r="P402" s="117"/>
      <c r="Q402" s="118"/>
      <c r="R402" s="118"/>
      <c r="S402" s="117"/>
      <c r="T402" s="117"/>
      <c r="U402" s="118"/>
      <c r="V402" s="118"/>
      <c r="W402" s="117"/>
      <c r="X402" s="117"/>
      <c r="Y402" s="118"/>
      <c r="Z402" s="118"/>
      <c r="AA402" s="117"/>
      <c r="AB402" s="117"/>
      <c r="AC402" s="118"/>
      <c r="AD402" s="118"/>
      <c r="AE402" s="26"/>
      <c r="AF402" s="27"/>
      <c r="AG402" s="28"/>
      <c r="AH402" s="29"/>
    </row>
    <row r="403" spans="1:34" s="11" customFormat="1" x14ac:dyDescent="0.2">
      <c r="A403" s="20" t="str">
        <f t="shared" si="6"/>
        <v/>
      </c>
      <c r="B403" s="25"/>
      <c r="C403" s="116"/>
      <c r="D403" s="116"/>
      <c r="E403" s="31"/>
      <c r="F403" s="133"/>
      <c r="G403" s="117"/>
      <c r="H403" s="117"/>
      <c r="I403" s="118"/>
      <c r="J403" s="118"/>
      <c r="K403" s="117"/>
      <c r="L403" s="117"/>
      <c r="M403" s="118"/>
      <c r="N403" s="118"/>
      <c r="O403" s="117"/>
      <c r="P403" s="117"/>
      <c r="Q403" s="118"/>
      <c r="R403" s="118"/>
      <c r="S403" s="117"/>
      <c r="T403" s="117"/>
      <c r="U403" s="118"/>
      <c r="V403" s="118"/>
      <c r="W403" s="117"/>
      <c r="X403" s="117"/>
      <c r="Y403" s="118"/>
      <c r="Z403" s="118"/>
      <c r="AA403" s="117"/>
      <c r="AB403" s="117"/>
      <c r="AC403" s="118"/>
      <c r="AD403" s="118"/>
      <c r="AE403" s="26"/>
      <c r="AF403" s="27"/>
      <c r="AG403" s="28"/>
      <c r="AH403" s="29"/>
    </row>
    <row r="404" spans="1:34" s="11" customFormat="1" x14ac:dyDescent="0.2">
      <c r="A404" s="20" t="str">
        <f t="shared" si="6"/>
        <v/>
      </c>
      <c r="B404" s="25"/>
      <c r="C404" s="116"/>
      <c r="D404" s="116"/>
      <c r="E404" s="31"/>
      <c r="F404" s="133"/>
      <c r="G404" s="117"/>
      <c r="H404" s="117"/>
      <c r="I404" s="118"/>
      <c r="J404" s="118"/>
      <c r="K404" s="117"/>
      <c r="L404" s="117"/>
      <c r="M404" s="118"/>
      <c r="N404" s="118"/>
      <c r="O404" s="117"/>
      <c r="P404" s="117"/>
      <c r="Q404" s="118"/>
      <c r="R404" s="118"/>
      <c r="S404" s="117"/>
      <c r="T404" s="117"/>
      <c r="U404" s="118"/>
      <c r="V404" s="118"/>
      <c r="W404" s="117"/>
      <c r="X404" s="117"/>
      <c r="Y404" s="118"/>
      <c r="Z404" s="118"/>
      <c r="AA404" s="117"/>
      <c r="AB404" s="117"/>
      <c r="AC404" s="118"/>
      <c r="AD404" s="118"/>
      <c r="AE404" s="26"/>
      <c r="AF404" s="27"/>
      <c r="AG404" s="28"/>
      <c r="AH404" s="29"/>
    </row>
    <row r="405" spans="1:34" s="11" customFormat="1" x14ac:dyDescent="0.2">
      <c r="A405" s="20" t="str">
        <f t="shared" si="6"/>
        <v/>
      </c>
      <c r="B405" s="25"/>
      <c r="C405" s="116"/>
      <c r="D405" s="116"/>
      <c r="E405" s="31"/>
      <c r="F405" s="133"/>
      <c r="G405" s="117"/>
      <c r="H405" s="117"/>
      <c r="I405" s="118"/>
      <c r="J405" s="118"/>
      <c r="K405" s="117"/>
      <c r="L405" s="117"/>
      <c r="M405" s="118"/>
      <c r="N405" s="118"/>
      <c r="O405" s="117"/>
      <c r="P405" s="117"/>
      <c r="Q405" s="118"/>
      <c r="R405" s="118"/>
      <c r="S405" s="117"/>
      <c r="T405" s="117"/>
      <c r="U405" s="118"/>
      <c r="V405" s="118"/>
      <c r="W405" s="117"/>
      <c r="X405" s="117"/>
      <c r="Y405" s="118"/>
      <c r="Z405" s="118"/>
      <c r="AA405" s="117"/>
      <c r="AB405" s="117"/>
      <c r="AC405" s="118"/>
      <c r="AD405" s="118"/>
      <c r="AE405" s="26"/>
      <c r="AF405" s="27"/>
      <c r="AG405" s="28"/>
      <c r="AH405" s="29"/>
    </row>
    <row r="406" spans="1:34" s="11" customFormat="1" x14ac:dyDescent="0.2">
      <c r="A406" s="20" t="str">
        <f t="shared" si="6"/>
        <v/>
      </c>
      <c r="B406" s="25"/>
      <c r="C406" s="116"/>
      <c r="D406" s="116"/>
      <c r="E406" s="31"/>
      <c r="F406" s="133"/>
      <c r="G406" s="117"/>
      <c r="H406" s="117"/>
      <c r="I406" s="118"/>
      <c r="J406" s="118"/>
      <c r="K406" s="117"/>
      <c r="L406" s="117"/>
      <c r="M406" s="118"/>
      <c r="N406" s="118"/>
      <c r="O406" s="117"/>
      <c r="P406" s="117"/>
      <c r="Q406" s="118"/>
      <c r="R406" s="118"/>
      <c r="S406" s="117"/>
      <c r="T406" s="117"/>
      <c r="U406" s="118"/>
      <c r="V406" s="118"/>
      <c r="W406" s="117"/>
      <c r="X406" s="117"/>
      <c r="Y406" s="118"/>
      <c r="Z406" s="118"/>
      <c r="AA406" s="117"/>
      <c r="AB406" s="117"/>
      <c r="AC406" s="118"/>
      <c r="AD406" s="118"/>
      <c r="AE406" s="26"/>
      <c r="AF406" s="27"/>
      <c r="AG406" s="28"/>
      <c r="AH406" s="29"/>
    </row>
    <row r="407" spans="1:34" s="11" customFormat="1" x14ac:dyDescent="0.2">
      <c r="A407" s="20" t="str">
        <f t="shared" si="6"/>
        <v/>
      </c>
      <c r="B407" s="25"/>
      <c r="C407" s="116"/>
      <c r="D407" s="116"/>
      <c r="E407" s="31"/>
      <c r="F407" s="133"/>
      <c r="G407" s="117"/>
      <c r="H407" s="117"/>
      <c r="I407" s="118"/>
      <c r="J407" s="118"/>
      <c r="K407" s="117"/>
      <c r="L407" s="117"/>
      <c r="M407" s="118"/>
      <c r="N407" s="118"/>
      <c r="O407" s="117"/>
      <c r="P407" s="117"/>
      <c r="Q407" s="118"/>
      <c r="R407" s="118"/>
      <c r="S407" s="117"/>
      <c r="T407" s="117"/>
      <c r="U407" s="118"/>
      <c r="V407" s="118"/>
      <c r="W407" s="117"/>
      <c r="X407" s="117"/>
      <c r="Y407" s="118"/>
      <c r="Z407" s="118"/>
      <c r="AA407" s="117"/>
      <c r="AB407" s="117"/>
      <c r="AC407" s="118"/>
      <c r="AD407" s="118"/>
      <c r="AE407" s="26"/>
      <c r="AF407" s="27"/>
      <c r="AG407" s="28"/>
      <c r="AH407" s="29"/>
    </row>
    <row r="408" spans="1:34" s="11" customFormat="1" x14ac:dyDescent="0.2">
      <c r="A408" s="20" t="str">
        <f t="shared" si="6"/>
        <v/>
      </c>
      <c r="B408" s="25"/>
      <c r="C408" s="116"/>
      <c r="D408" s="116"/>
      <c r="E408" s="31"/>
      <c r="F408" s="133"/>
      <c r="G408" s="117"/>
      <c r="H408" s="117"/>
      <c r="I408" s="118"/>
      <c r="J408" s="118"/>
      <c r="K408" s="117"/>
      <c r="L408" s="117"/>
      <c r="M408" s="118"/>
      <c r="N408" s="118"/>
      <c r="O408" s="117"/>
      <c r="P408" s="117"/>
      <c r="Q408" s="118"/>
      <c r="R408" s="118"/>
      <c r="S408" s="117"/>
      <c r="T408" s="117"/>
      <c r="U408" s="118"/>
      <c r="V408" s="118"/>
      <c r="W408" s="117"/>
      <c r="X408" s="117"/>
      <c r="Y408" s="118"/>
      <c r="Z408" s="118"/>
      <c r="AA408" s="117"/>
      <c r="AB408" s="117"/>
      <c r="AC408" s="118"/>
      <c r="AD408" s="118"/>
      <c r="AE408" s="26"/>
      <c r="AF408" s="27"/>
      <c r="AG408" s="28"/>
      <c r="AH408" s="29"/>
    </row>
    <row r="409" spans="1:34" s="11" customFormat="1" x14ac:dyDescent="0.2">
      <c r="A409" s="20" t="str">
        <f t="shared" si="6"/>
        <v/>
      </c>
      <c r="B409" s="25"/>
      <c r="C409" s="116"/>
      <c r="D409" s="116"/>
      <c r="E409" s="31"/>
      <c r="F409" s="133"/>
      <c r="G409" s="117"/>
      <c r="H409" s="117"/>
      <c r="I409" s="118"/>
      <c r="J409" s="118"/>
      <c r="K409" s="117"/>
      <c r="L409" s="117"/>
      <c r="M409" s="118"/>
      <c r="N409" s="118"/>
      <c r="O409" s="117"/>
      <c r="P409" s="117"/>
      <c r="Q409" s="118"/>
      <c r="R409" s="118"/>
      <c r="S409" s="117"/>
      <c r="T409" s="117"/>
      <c r="U409" s="118"/>
      <c r="V409" s="118"/>
      <c r="W409" s="117"/>
      <c r="X409" s="117"/>
      <c r="Y409" s="118"/>
      <c r="Z409" s="118"/>
      <c r="AA409" s="117"/>
      <c r="AB409" s="117"/>
      <c r="AC409" s="118"/>
      <c r="AD409" s="118"/>
      <c r="AE409" s="26"/>
      <c r="AF409" s="27"/>
      <c r="AG409" s="28"/>
      <c r="AH409" s="29"/>
    </row>
    <row r="410" spans="1:34" s="11" customFormat="1" x14ac:dyDescent="0.2">
      <c r="A410" s="20" t="str">
        <f t="shared" si="6"/>
        <v/>
      </c>
      <c r="B410" s="25"/>
      <c r="C410" s="116"/>
      <c r="D410" s="116"/>
      <c r="E410" s="31"/>
      <c r="F410" s="133"/>
      <c r="G410" s="117"/>
      <c r="H410" s="117"/>
      <c r="I410" s="118"/>
      <c r="J410" s="118"/>
      <c r="K410" s="117"/>
      <c r="L410" s="117"/>
      <c r="M410" s="118"/>
      <c r="N410" s="118"/>
      <c r="O410" s="117"/>
      <c r="P410" s="117"/>
      <c r="Q410" s="118"/>
      <c r="R410" s="118"/>
      <c r="S410" s="117"/>
      <c r="T410" s="117"/>
      <c r="U410" s="118"/>
      <c r="V410" s="118"/>
      <c r="W410" s="117"/>
      <c r="X410" s="117"/>
      <c r="Y410" s="118"/>
      <c r="Z410" s="118"/>
      <c r="AA410" s="117"/>
      <c r="AB410" s="117"/>
      <c r="AC410" s="118"/>
      <c r="AD410" s="118"/>
      <c r="AE410" s="26"/>
      <c r="AF410" s="27"/>
      <c r="AG410" s="28"/>
      <c r="AH410" s="29"/>
    </row>
    <row r="411" spans="1:34" s="11" customFormat="1" x14ac:dyDescent="0.2">
      <c r="A411" s="20" t="str">
        <f t="shared" si="6"/>
        <v/>
      </c>
      <c r="B411" s="25"/>
      <c r="C411" s="116"/>
      <c r="D411" s="116"/>
      <c r="E411" s="31"/>
      <c r="F411" s="133"/>
      <c r="G411" s="117"/>
      <c r="H411" s="117"/>
      <c r="I411" s="118"/>
      <c r="J411" s="118"/>
      <c r="K411" s="117"/>
      <c r="L411" s="117"/>
      <c r="M411" s="118"/>
      <c r="N411" s="118"/>
      <c r="O411" s="117"/>
      <c r="P411" s="117"/>
      <c r="Q411" s="118"/>
      <c r="R411" s="118"/>
      <c r="S411" s="117"/>
      <c r="T411" s="117"/>
      <c r="U411" s="118"/>
      <c r="V411" s="118"/>
      <c r="W411" s="117"/>
      <c r="X411" s="117"/>
      <c r="Y411" s="118"/>
      <c r="Z411" s="118"/>
      <c r="AA411" s="117"/>
      <c r="AB411" s="117"/>
      <c r="AC411" s="118"/>
      <c r="AD411" s="118"/>
      <c r="AE411" s="26"/>
      <c r="AF411" s="27"/>
      <c r="AG411" s="28"/>
      <c r="AH411" s="29"/>
    </row>
    <row r="412" spans="1:34" s="11" customFormat="1" x14ac:dyDescent="0.2">
      <c r="A412" s="20" t="str">
        <f t="shared" si="6"/>
        <v/>
      </c>
      <c r="B412" s="25"/>
      <c r="C412" s="116"/>
      <c r="D412" s="116"/>
      <c r="E412" s="31"/>
      <c r="F412" s="133"/>
      <c r="G412" s="117"/>
      <c r="H412" s="117"/>
      <c r="I412" s="118"/>
      <c r="J412" s="118"/>
      <c r="K412" s="117"/>
      <c r="L412" s="117"/>
      <c r="M412" s="118"/>
      <c r="N412" s="118"/>
      <c r="O412" s="117"/>
      <c r="P412" s="117"/>
      <c r="Q412" s="118"/>
      <c r="R412" s="118"/>
      <c r="S412" s="117"/>
      <c r="T412" s="117"/>
      <c r="U412" s="118"/>
      <c r="V412" s="118"/>
      <c r="W412" s="117"/>
      <c r="X412" s="117"/>
      <c r="Y412" s="118"/>
      <c r="Z412" s="118"/>
      <c r="AA412" s="117"/>
      <c r="AB412" s="117"/>
      <c r="AC412" s="118"/>
      <c r="AD412" s="118"/>
      <c r="AE412" s="26"/>
      <c r="AF412" s="27"/>
      <c r="AG412" s="28"/>
      <c r="AH412" s="29"/>
    </row>
    <row r="413" spans="1:34" s="11" customFormat="1" x14ac:dyDescent="0.2">
      <c r="A413" s="20" t="str">
        <f t="shared" si="6"/>
        <v/>
      </c>
      <c r="B413" s="25"/>
      <c r="C413" s="116"/>
      <c r="D413" s="116"/>
      <c r="E413" s="31"/>
      <c r="F413" s="133"/>
      <c r="G413" s="117"/>
      <c r="H413" s="117"/>
      <c r="I413" s="118"/>
      <c r="J413" s="118"/>
      <c r="K413" s="117"/>
      <c r="L413" s="117"/>
      <c r="M413" s="118"/>
      <c r="N413" s="118"/>
      <c r="O413" s="117"/>
      <c r="P413" s="117"/>
      <c r="Q413" s="118"/>
      <c r="R413" s="118"/>
      <c r="S413" s="117"/>
      <c r="T413" s="117"/>
      <c r="U413" s="118"/>
      <c r="V413" s="118"/>
      <c r="W413" s="117"/>
      <c r="X413" s="117"/>
      <c r="Y413" s="118"/>
      <c r="Z413" s="118"/>
      <c r="AA413" s="117"/>
      <c r="AB413" s="117"/>
      <c r="AC413" s="118"/>
      <c r="AD413" s="118"/>
      <c r="AE413" s="26"/>
      <c r="AF413" s="27"/>
      <c r="AG413" s="28"/>
      <c r="AH413" s="29"/>
    </row>
    <row r="414" spans="1:34" s="11" customFormat="1" x14ac:dyDescent="0.2">
      <c r="A414" s="20" t="str">
        <f t="shared" si="6"/>
        <v/>
      </c>
      <c r="B414" s="25"/>
      <c r="C414" s="116"/>
      <c r="D414" s="116"/>
      <c r="E414" s="31"/>
      <c r="F414" s="133"/>
      <c r="G414" s="117"/>
      <c r="H414" s="117"/>
      <c r="I414" s="118"/>
      <c r="J414" s="118"/>
      <c r="K414" s="117"/>
      <c r="L414" s="117"/>
      <c r="M414" s="118"/>
      <c r="N414" s="118"/>
      <c r="O414" s="117"/>
      <c r="P414" s="117"/>
      <c r="Q414" s="118"/>
      <c r="R414" s="118"/>
      <c r="S414" s="117"/>
      <c r="T414" s="117"/>
      <c r="U414" s="118"/>
      <c r="V414" s="118"/>
      <c r="W414" s="117"/>
      <c r="X414" s="117"/>
      <c r="Y414" s="118"/>
      <c r="Z414" s="118"/>
      <c r="AA414" s="117"/>
      <c r="AB414" s="117"/>
      <c r="AC414" s="118"/>
      <c r="AD414" s="118"/>
      <c r="AE414" s="26"/>
      <c r="AF414" s="27"/>
      <c r="AG414" s="28"/>
      <c r="AH414" s="29"/>
    </row>
    <row r="415" spans="1:34" s="11" customFormat="1" x14ac:dyDescent="0.2">
      <c r="A415" s="20" t="str">
        <f t="shared" si="6"/>
        <v/>
      </c>
      <c r="B415" s="25"/>
      <c r="C415" s="116"/>
      <c r="D415" s="116"/>
      <c r="E415" s="31"/>
      <c r="F415" s="133"/>
      <c r="G415" s="117"/>
      <c r="H415" s="117"/>
      <c r="I415" s="118"/>
      <c r="J415" s="118"/>
      <c r="K415" s="117"/>
      <c r="L415" s="117"/>
      <c r="M415" s="118"/>
      <c r="N415" s="118"/>
      <c r="O415" s="117"/>
      <c r="P415" s="117"/>
      <c r="Q415" s="118"/>
      <c r="R415" s="118"/>
      <c r="S415" s="117"/>
      <c r="T415" s="117"/>
      <c r="U415" s="118"/>
      <c r="V415" s="118"/>
      <c r="W415" s="117"/>
      <c r="X415" s="117"/>
      <c r="Y415" s="118"/>
      <c r="Z415" s="118"/>
      <c r="AA415" s="117"/>
      <c r="AB415" s="117"/>
      <c r="AC415" s="118"/>
      <c r="AD415" s="118"/>
      <c r="AE415" s="26"/>
      <c r="AF415" s="27"/>
      <c r="AG415" s="28"/>
      <c r="AH415" s="29"/>
    </row>
    <row r="416" spans="1:34" s="11" customFormat="1" x14ac:dyDescent="0.2">
      <c r="A416" s="20" t="str">
        <f t="shared" si="6"/>
        <v/>
      </c>
      <c r="B416" s="25"/>
      <c r="C416" s="116"/>
      <c r="D416" s="116"/>
      <c r="E416" s="31"/>
      <c r="F416" s="133"/>
      <c r="G416" s="117"/>
      <c r="H416" s="117"/>
      <c r="I416" s="118"/>
      <c r="J416" s="118"/>
      <c r="K416" s="117"/>
      <c r="L416" s="117"/>
      <c r="M416" s="118"/>
      <c r="N416" s="118"/>
      <c r="O416" s="117"/>
      <c r="P416" s="117"/>
      <c r="Q416" s="118"/>
      <c r="R416" s="118"/>
      <c r="S416" s="117"/>
      <c r="T416" s="117"/>
      <c r="U416" s="118"/>
      <c r="V416" s="118"/>
      <c r="W416" s="117"/>
      <c r="X416" s="117"/>
      <c r="Y416" s="118"/>
      <c r="Z416" s="118"/>
      <c r="AA416" s="117"/>
      <c r="AB416" s="117"/>
      <c r="AC416" s="118"/>
      <c r="AD416" s="118"/>
      <c r="AE416" s="26"/>
      <c r="AF416" s="27"/>
      <c r="AG416" s="28"/>
      <c r="AH416" s="29"/>
    </row>
    <row r="417" spans="1:34" s="11" customFormat="1" x14ac:dyDescent="0.2">
      <c r="A417" s="20" t="str">
        <f t="shared" si="6"/>
        <v/>
      </c>
      <c r="B417" s="25"/>
      <c r="C417" s="116"/>
      <c r="D417" s="116"/>
      <c r="E417" s="31"/>
      <c r="F417" s="133"/>
      <c r="G417" s="117"/>
      <c r="H417" s="117"/>
      <c r="I417" s="118"/>
      <c r="J417" s="118"/>
      <c r="K417" s="117"/>
      <c r="L417" s="117"/>
      <c r="M417" s="118"/>
      <c r="N417" s="118"/>
      <c r="O417" s="117"/>
      <c r="P417" s="117"/>
      <c r="Q417" s="118"/>
      <c r="R417" s="118"/>
      <c r="S417" s="117"/>
      <c r="T417" s="117"/>
      <c r="U417" s="118"/>
      <c r="V417" s="118"/>
      <c r="W417" s="117"/>
      <c r="X417" s="117"/>
      <c r="Y417" s="118"/>
      <c r="Z417" s="118"/>
      <c r="AA417" s="117"/>
      <c r="AB417" s="117"/>
      <c r="AC417" s="118"/>
      <c r="AD417" s="118"/>
      <c r="AE417" s="26"/>
      <c r="AF417" s="27"/>
      <c r="AG417" s="28"/>
      <c r="AH417" s="29"/>
    </row>
    <row r="418" spans="1:34" s="11" customFormat="1" x14ac:dyDescent="0.2">
      <c r="A418" s="20" t="str">
        <f t="shared" si="6"/>
        <v/>
      </c>
      <c r="B418" s="25"/>
      <c r="C418" s="116"/>
      <c r="D418" s="116"/>
      <c r="E418" s="31"/>
      <c r="F418" s="133"/>
      <c r="G418" s="117"/>
      <c r="H418" s="117"/>
      <c r="I418" s="118"/>
      <c r="J418" s="118"/>
      <c r="K418" s="117"/>
      <c r="L418" s="117"/>
      <c r="M418" s="118"/>
      <c r="N418" s="118"/>
      <c r="O418" s="117"/>
      <c r="P418" s="117"/>
      <c r="Q418" s="118"/>
      <c r="R418" s="118"/>
      <c r="S418" s="117"/>
      <c r="T418" s="117"/>
      <c r="U418" s="118"/>
      <c r="V418" s="118"/>
      <c r="W418" s="117"/>
      <c r="X418" s="117"/>
      <c r="Y418" s="118"/>
      <c r="Z418" s="118"/>
      <c r="AA418" s="117"/>
      <c r="AB418" s="117"/>
      <c r="AC418" s="118"/>
      <c r="AD418" s="118"/>
      <c r="AE418" s="26"/>
      <c r="AF418" s="27"/>
      <c r="AG418" s="28"/>
      <c r="AH418" s="29"/>
    </row>
    <row r="419" spans="1:34" s="11" customFormat="1" x14ac:dyDescent="0.2">
      <c r="A419" s="20" t="str">
        <f t="shared" si="6"/>
        <v/>
      </c>
      <c r="B419" s="25"/>
      <c r="C419" s="116"/>
      <c r="D419" s="116"/>
      <c r="E419" s="31"/>
      <c r="F419" s="133"/>
      <c r="G419" s="117"/>
      <c r="H419" s="117"/>
      <c r="I419" s="118"/>
      <c r="J419" s="118"/>
      <c r="K419" s="117"/>
      <c r="L419" s="117"/>
      <c r="M419" s="118"/>
      <c r="N419" s="118"/>
      <c r="O419" s="117"/>
      <c r="P419" s="117"/>
      <c r="Q419" s="118"/>
      <c r="R419" s="118"/>
      <c r="S419" s="117"/>
      <c r="T419" s="117"/>
      <c r="U419" s="118"/>
      <c r="V419" s="118"/>
      <c r="W419" s="117"/>
      <c r="X419" s="117"/>
      <c r="Y419" s="118"/>
      <c r="Z419" s="118"/>
      <c r="AA419" s="117"/>
      <c r="AB419" s="117"/>
      <c r="AC419" s="118"/>
      <c r="AD419" s="118"/>
      <c r="AE419" s="26"/>
      <c r="AF419" s="27"/>
      <c r="AG419" s="28"/>
      <c r="AH419" s="29"/>
    </row>
    <row r="420" spans="1:34" s="11" customFormat="1" x14ac:dyDescent="0.2">
      <c r="A420" s="20" t="str">
        <f t="shared" si="6"/>
        <v/>
      </c>
      <c r="B420" s="25"/>
      <c r="C420" s="116"/>
      <c r="D420" s="116"/>
      <c r="E420" s="31"/>
      <c r="F420" s="133"/>
      <c r="G420" s="117"/>
      <c r="H420" s="117"/>
      <c r="I420" s="118"/>
      <c r="J420" s="118"/>
      <c r="K420" s="117"/>
      <c r="L420" s="117"/>
      <c r="M420" s="118"/>
      <c r="N420" s="118"/>
      <c r="O420" s="117"/>
      <c r="P420" s="117"/>
      <c r="Q420" s="118"/>
      <c r="R420" s="118"/>
      <c r="S420" s="117"/>
      <c r="T420" s="117"/>
      <c r="U420" s="118"/>
      <c r="V420" s="118"/>
      <c r="W420" s="117"/>
      <c r="X420" s="117"/>
      <c r="Y420" s="118"/>
      <c r="Z420" s="118"/>
      <c r="AA420" s="117"/>
      <c r="AB420" s="117"/>
      <c r="AC420" s="118"/>
      <c r="AD420" s="118"/>
      <c r="AE420" s="26"/>
      <c r="AF420" s="27"/>
      <c r="AG420" s="28"/>
      <c r="AH420" s="29"/>
    </row>
    <row r="421" spans="1:34" s="11" customFormat="1" x14ac:dyDescent="0.2">
      <c r="A421" s="20" t="str">
        <f t="shared" si="6"/>
        <v/>
      </c>
      <c r="B421" s="25"/>
      <c r="C421" s="116"/>
      <c r="D421" s="116"/>
      <c r="E421" s="31"/>
      <c r="F421" s="133"/>
      <c r="G421" s="117"/>
      <c r="H421" s="117"/>
      <c r="I421" s="118"/>
      <c r="J421" s="118"/>
      <c r="K421" s="117"/>
      <c r="L421" s="117"/>
      <c r="M421" s="118"/>
      <c r="N421" s="118"/>
      <c r="O421" s="117"/>
      <c r="P421" s="117"/>
      <c r="Q421" s="118"/>
      <c r="R421" s="118"/>
      <c r="S421" s="117"/>
      <c r="T421" s="117"/>
      <c r="U421" s="118"/>
      <c r="V421" s="118"/>
      <c r="W421" s="117"/>
      <c r="X421" s="117"/>
      <c r="Y421" s="118"/>
      <c r="Z421" s="118"/>
      <c r="AA421" s="117"/>
      <c r="AB421" s="117"/>
      <c r="AC421" s="118"/>
      <c r="AD421" s="118"/>
      <c r="AE421" s="26"/>
      <c r="AF421" s="27"/>
      <c r="AG421" s="28"/>
      <c r="AH421" s="29"/>
    </row>
    <row r="422" spans="1:34" s="11" customFormat="1" x14ac:dyDescent="0.2">
      <c r="A422" s="20" t="str">
        <f t="shared" si="6"/>
        <v/>
      </c>
      <c r="B422" s="25"/>
      <c r="C422" s="116"/>
      <c r="D422" s="116"/>
      <c r="E422" s="31"/>
      <c r="F422" s="133"/>
      <c r="G422" s="117"/>
      <c r="H422" s="117"/>
      <c r="I422" s="118"/>
      <c r="J422" s="118"/>
      <c r="K422" s="117"/>
      <c r="L422" s="117"/>
      <c r="M422" s="118"/>
      <c r="N422" s="118"/>
      <c r="O422" s="117"/>
      <c r="P422" s="117"/>
      <c r="Q422" s="118"/>
      <c r="R422" s="118"/>
      <c r="S422" s="117"/>
      <c r="T422" s="117"/>
      <c r="U422" s="118"/>
      <c r="V422" s="118"/>
      <c r="W422" s="117"/>
      <c r="X422" s="117"/>
      <c r="Y422" s="118"/>
      <c r="Z422" s="118"/>
      <c r="AA422" s="117"/>
      <c r="AB422" s="117"/>
      <c r="AC422" s="118"/>
      <c r="AD422" s="118"/>
      <c r="AE422" s="26"/>
      <c r="AF422" s="27"/>
      <c r="AG422" s="28"/>
      <c r="AH422" s="29"/>
    </row>
    <row r="423" spans="1:34" s="11" customFormat="1" x14ac:dyDescent="0.2">
      <c r="A423" s="20" t="str">
        <f t="shared" si="6"/>
        <v/>
      </c>
      <c r="B423" s="25"/>
      <c r="C423" s="116"/>
      <c r="D423" s="116"/>
      <c r="E423" s="31"/>
      <c r="F423" s="133"/>
      <c r="G423" s="117"/>
      <c r="H423" s="117"/>
      <c r="I423" s="118"/>
      <c r="J423" s="118"/>
      <c r="K423" s="117"/>
      <c r="L423" s="117"/>
      <c r="M423" s="118"/>
      <c r="N423" s="118"/>
      <c r="O423" s="117"/>
      <c r="P423" s="117"/>
      <c r="Q423" s="118"/>
      <c r="R423" s="118"/>
      <c r="S423" s="117"/>
      <c r="T423" s="117"/>
      <c r="U423" s="118"/>
      <c r="V423" s="118"/>
      <c r="W423" s="117"/>
      <c r="X423" s="117"/>
      <c r="Y423" s="118"/>
      <c r="Z423" s="118"/>
      <c r="AA423" s="117"/>
      <c r="AB423" s="117"/>
      <c r="AC423" s="118"/>
      <c r="AD423" s="118"/>
      <c r="AE423" s="26"/>
      <c r="AF423" s="27"/>
      <c r="AG423" s="28"/>
      <c r="AH423" s="29"/>
    </row>
    <row r="424" spans="1:34" s="11" customFormat="1" x14ac:dyDescent="0.2">
      <c r="A424" s="20" t="str">
        <f t="shared" si="6"/>
        <v/>
      </c>
      <c r="B424" s="25"/>
      <c r="C424" s="116"/>
      <c r="D424" s="116"/>
      <c r="E424" s="31"/>
      <c r="F424" s="133"/>
      <c r="G424" s="117"/>
      <c r="H424" s="117"/>
      <c r="I424" s="118"/>
      <c r="J424" s="118"/>
      <c r="K424" s="117"/>
      <c r="L424" s="117"/>
      <c r="M424" s="118"/>
      <c r="N424" s="118"/>
      <c r="O424" s="117"/>
      <c r="P424" s="117"/>
      <c r="Q424" s="118"/>
      <c r="R424" s="118"/>
      <c r="S424" s="117"/>
      <c r="T424" s="117"/>
      <c r="U424" s="118"/>
      <c r="V424" s="118"/>
      <c r="W424" s="117"/>
      <c r="X424" s="117"/>
      <c r="Y424" s="118"/>
      <c r="Z424" s="118"/>
      <c r="AA424" s="117"/>
      <c r="AB424" s="117"/>
      <c r="AC424" s="118"/>
      <c r="AD424" s="118"/>
      <c r="AE424" s="26"/>
      <c r="AF424" s="27"/>
      <c r="AG424" s="28"/>
      <c r="AH424" s="29"/>
    </row>
    <row r="425" spans="1:34" s="11" customFormat="1" x14ac:dyDescent="0.2">
      <c r="A425" s="20" t="str">
        <f t="shared" si="6"/>
        <v/>
      </c>
      <c r="B425" s="25"/>
      <c r="C425" s="116"/>
      <c r="D425" s="116"/>
      <c r="E425" s="31"/>
      <c r="F425" s="133"/>
      <c r="G425" s="117"/>
      <c r="H425" s="117"/>
      <c r="I425" s="118"/>
      <c r="J425" s="118"/>
      <c r="K425" s="117"/>
      <c r="L425" s="117"/>
      <c r="M425" s="118"/>
      <c r="N425" s="118"/>
      <c r="O425" s="117"/>
      <c r="P425" s="117"/>
      <c r="Q425" s="118"/>
      <c r="R425" s="118"/>
      <c r="S425" s="117"/>
      <c r="T425" s="117"/>
      <c r="U425" s="118"/>
      <c r="V425" s="118"/>
      <c r="W425" s="117"/>
      <c r="X425" s="117"/>
      <c r="Y425" s="118"/>
      <c r="Z425" s="118"/>
      <c r="AA425" s="117"/>
      <c r="AB425" s="117"/>
      <c r="AC425" s="118"/>
      <c r="AD425" s="118"/>
      <c r="AE425" s="26"/>
      <c r="AF425" s="27"/>
      <c r="AG425" s="28"/>
      <c r="AH425" s="29"/>
    </row>
    <row r="426" spans="1:34" s="11" customFormat="1" x14ac:dyDescent="0.2">
      <c r="A426" s="20" t="str">
        <f t="shared" si="6"/>
        <v/>
      </c>
      <c r="B426" s="25"/>
      <c r="C426" s="116"/>
      <c r="D426" s="116"/>
      <c r="E426" s="31"/>
      <c r="F426" s="133"/>
      <c r="G426" s="117"/>
      <c r="H426" s="117"/>
      <c r="I426" s="118"/>
      <c r="J426" s="118"/>
      <c r="K426" s="117"/>
      <c r="L426" s="117"/>
      <c r="M426" s="118"/>
      <c r="N426" s="118"/>
      <c r="O426" s="117"/>
      <c r="P426" s="117"/>
      <c r="Q426" s="118"/>
      <c r="R426" s="118"/>
      <c r="S426" s="117"/>
      <c r="T426" s="117"/>
      <c r="U426" s="118"/>
      <c r="V426" s="118"/>
      <c r="W426" s="117"/>
      <c r="X426" s="117"/>
      <c r="Y426" s="118"/>
      <c r="Z426" s="118"/>
      <c r="AA426" s="117"/>
      <c r="AB426" s="117"/>
      <c r="AC426" s="118"/>
      <c r="AD426" s="118"/>
      <c r="AE426" s="26"/>
      <c r="AF426" s="27"/>
      <c r="AG426" s="28"/>
      <c r="AH426" s="29"/>
    </row>
    <row r="427" spans="1:34" s="11" customFormat="1" x14ac:dyDescent="0.2">
      <c r="A427" s="20" t="str">
        <f t="shared" si="6"/>
        <v/>
      </c>
      <c r="B427" s="25"/>
      <c r="C427" s="116"/>
      <c r="D427" s="116"/>
      <c r="E427" s="31"/>
      <c r="F427" s="133"/>
      <c r="G427" s="117"/>
      <c r="H427" s="117"/>
      <c r="I427" s="118"/>
      <c r="J427" s="118"/>
      <c r="K427" s="117"/>
      <c r="L427" s="117"/>
      <c r="M427" s="118"/>
      <c r="N427" s="118"/>
      <c r="O427" s="117"/>
      <c r="P427" s="117"/>
      <c r="Q427" s="118"/>
      <c r="R427" s="118"/>
      <c r="S427" s="117"/>
      <c r="T427" s="117"/>
      <c r="U427" s="118"/>
      <c r="V427" s="118"/>
      <c r="W427" s="117"/>
      <c r="X427" s="117"/>
      <c r="Y427" s="118"/>
      <c r="Z427" s="118"/>
      <c r="AA427" s="117"/>
      <c r="AB427" s="117"/>
      <c r="AC427" s="118"/>
      <c r="AD427" s="118"/>
      <c r="AE427" s="26"/>
      <c r="AF427" s="27"/>
      <c r="AG427" s="28"/>
      <c r="AH427" s="29"/>
    </row>
    <row r="428" spans="1:34" s="11" customFormat="1" x14ac:dyDescent="0.2">
      <c r="A428" s="20" t="str">
        <f t="shared" si="6"/>
        <v/>
      </c>
      <c r="B428" s="25"/>
      <c r="C428" s="116"/>
      <c r="D428" s="116"/>
      <c r="E428" s="31"/>
      <c r="F428" s="133"/>
      <c r="G428" s="117"/>
      <c r="H428" s="117"/>
      <c r="I428" s="118"/>
      <c r="J428" s="118"/>
      <c r="K428" s="117"/>
      <c r="L428" s="117"/>
      <c r="M428" s="118"/>
      <c r="N428" s="118"/>
      <c r="O428" s="117"/>
      <c r="P428" s="117"/>
      <c r="Q428" s="118"/>
      <c r="R428" s="118"/>
      <c r="S428" s="117"/>
      <c r="T428" s="117"/>
      <c r="U428" s="118"/>
      <c r="V428" s="118"/>
      <c r="W428" s="117"/>
      <c r="X428" s="117"/>
      <c r="Y428" s="118"/>
      <c r="Z428" s="118"/>
      <c r="AA428" s="117"/>
      <c r="AB428" s="117"/>
      <c r="AC428" s="118"/>
      <c r="AD428" s="118"/>
      <c r="AE428" s="26"/>
      <c r="AF428" s="27"/>
      <c r="AG428" s="28"/>
      <c r="AH428" s="29"/>
    </row>
    <row r="429" spans="1:34" s="11" customFormat="1" x14ac:dyDescent="0.2">
      <c r="A429" s="20" t="str">
        <f t="shared" si="6"/>
        <v/>
      </c>
      <c r="B429" s="25"/>
      <c r="C429" s="116"/>
      <c r="D429" s="116"/>
      <c r="E429" s="31"/>
      <c r="F429" s="133"/>
      <c r="G429" s="117"/>
      <c r="H429" s="117"/>
      <c r="I429" s="118"/>
      <c r="J429" s="118"/>
      <c r="K429" s="117"/>
      <c r="L429" s="117"/>
      <c r="M429" s="118"/>
      <c r="N429" s="118"/>
      <c r="O429" s="117"/>
      <c r="P429" s="117"/>
      <c r="Q429" s="118"/>
      <c r="R429" s="118"/>
      <c r="S429" s="117"/>
      <c r="T429" s="117"/>
      <c r="U429" s="118"/>
      <c r="V429" s="118"/>
      <c r="W429" s="117"/>
      <c r="X429" s="117"/>
      <c r="Y429" s="118"/>
      <c r="Z429" s="118"/>
      <c r="AA429" s="117"/>
      <c r="AB429" s="117"/>
      <c r="AC429" s="118"/>
      <c r="AD429" s="118"/>
      <c r="AE429" s="26"/>
      <c r="AF429" s="27"/>
      <c r="AG429" s="28"/>
      <c r="AH429" s="29"/>
    </row>
    <row r="430" spans="1:34" s="11" customFormat="1" x14ac:dyDescent="0.2">
      <c r="A430" s="20" t="str">
        <f t="shared" si="6"/>
        <v/>
      </c>
      <c r="B430" s="25"/>
      <c r="C430" s="116"/>
      <c r="D430" s="116"/>
      <c r="E430" s="31"/>
      <c r="F430" s="133"/>
      <c r="G430" s="117"/>
      <c r="H430" s="117"/>
      <c r="I430" s="118"/>
      <c r="J430" s="118"/>
      <c r="K430" s="117"/>
      <c r="L430" s="117"/>
      <c r="M430" s="118"/>
      <c r="N430" s="118"/>
      <c r="O430" s="117"/>
      <c r="P430" s="117"/>
      <c r="Q430" s="118"/>
      <c r="R430" s="118"/>
      <c r="S430" s="117"/>
      <c r="T430" s="117"/>
      <c r="U430" s="118"/>
      <c r="V430" s="118"/>
      <c r="W430" s="117"/>
      <c r="X430" s="117"/>
      <c r="Y430" s="118"/>
      <c r="Z430" s="118"/>
      <c r="AA430" s="117"/>
      <c r="AB430" s="117"/>
      <c r="AC430" s="118"/>
      <c r="AD430" s="118"/>
      <c r="AE430" s="26"/>
      <c r="AF430" s="27"/>
      <c r="AG430" s="28"/>
      <c r="AH430" s="29"/>
    </row>
    <row r="431" spans="1:34" s="11" customFormat="1" x14ac:dyDescent="0.2">
      <c r="A431" s="20" t="str">
        <f t="shared" si="6"/>
        <v/>
      </c>
      <c r="B431" s="25"/>
      <c r="C431" s="116"/>
      <c r="D431" s="116"/>
      <c r="E431" s="31"/>
      <c r="F431" s="133"/>
      <c r="G431" s="117"/>
      <c r="H431" s="117"/>
      <c r="I431" s="118"/>
      <c r="J431" s="118"/>
      <c r="K431" s="117"/>
      <c r="L431" s="117"/>
      <c r="M431" s="118"/>
      <c r="N431" s="118"/>
      <c r="O431" s="117"/>
      <c r="P431" s="117"/>
      <c r="Q431" s="118"/>
      <c r="R431" s="118"/>
      <c r="S431" s="117"/>
      <c r="T431" s="117"/>
      <c r="U431" s="118"/>
      <c r="V431" s="118"/>
      <c r="W431" s="117"/>
      <c r="X431" s="117"/>
      <c r="Y431" s="118"/>
      <c r="Z431" s="118"/>
      <c r="AA431" s="117"/>
      <c r="AB431" s="117"/>
      <c r="AC431" s="118"/>
      <c r="AD431" s="118"/>
      <c r="AE431" s="26"/>
      <c r="AF431" s="27"/>
      <c r="AG431" s="28"/>
      <c r="AH431" s="29"/>
    </row>
    <row r="432" spans="1:34" s="11" customFormat="1" x14ac:dyDescent="0.2">
      <c r="A432" s="20" t="str">
        <f t="shared" si="6"/>
        <v/>
      </c>
      <c r="B432" s="25"/>
      <c r="C432" s="116"/>
      <c r="D432" s="116"/>
      <c r="E432" s="31"/>
      <c r="F432" s="133"/>
      <c r="G432" s="117"/>
      <c r="H432" s="117"/>
      <c r="I432" s="118"/>
      <c r="J432" s="118"/>
      <c r="K432" s="117"/>
      <c r="L432" s="117"/>
      <c r="M432" s="118"/>
      <c r="N432" s="118"/>
      <c r="O432" s="117"/>
      <c r="P432" s="117"/>
      <c r="Q432" s="118"/>
      <c r="R432" s="118"/>
      <c r="S432" s="117"/>
      <c r="T432" s="117"/>
      <c r="U432" s="118"/>
      <c r="V432" s="118"/>
      <c r="W432" s="117"/>
      <c r="X432" s="117"/>
      <c r="Y432" s="118"/>
      <c r="Z432" s="118"/>
      <c r="AA432" s="117"/>
      <c r="AB432" s="117"/>
      <c r="AC432" s="118"/>
      <c r="AD432" s="118"/>
      <c r="AE432" s="26"/>
      <c r="AF432" s="27"/>
      <c r="AG432" s="28"/>
      <c r="AH432" s="29"/>
    </row>
    <row r="433" spans="1:34" s="11" customFormat="1" x14ac:dyDescent="0.2">
      <c r="A433" s="20" t="str">
        <f t="shared" si="6"/>
        <v/>
      </c>
      <c r="B433" s="25"/>
      <c r="C433" s="116"/>
      <c r="D433" s="116"/>
      <c r="E433" s="31"/>
      <c r="F433" s="133"/>
      <c r="G433" s="117"/>
      <c r="H433" s="117"/>
      <c r="I433" s="118"/>
      <c r="J433" s="118"/>
      <c r="K433" s="117"/>
      <c r="L433" s="117"/>
      <c r="M433" s="118"/>
      <c r="N433" s="118"/>
      <c r="O433" s="117"/>
      <c r="P433" s="117"/>
      <c r="Q433" s="118"/>
      <c r="R433" s="118"/>
      <c r="S433" s="117"/>
      <c r="T433" s="117"/>
      <c r="U433" s="118"/>
      <c r="V433" s="118"/>
      <c r="W433" s="117"/>
      <c r="X433" s="117"/>
      <c r="Y433" s="118"/>
      <c r="Z433" s="118"/>
      <c r="AA433" s="117"/>
      <c r="AB433" s="117"/>
      <c r="AC433" s="118"/>
      <c r="AD433" s="118"/>
      <c r="AE433" s="26"/>
      <c r="AF433" s="27"/>
      <c r="AG433" s="28"/>
      <c r="AH433" s="29"/>
    </row>
    <row r="434" spans="1:34" s="11" customFormat="1" x14ac:dyDescent="0.2">
      <c r="A434" s="20" t="str">
        <f t="shared" si="6"/>
        <v/>
      </c>
      <c r="B434" s="25"/>
      <c r="C434" s="116"/>
      <c r="D434" s="116"/>
      <c r="E434" s="31"/>
      <c r="F434" s="133"/>
      <c r="G434" s="117"/>
      <c r="H434" s="117"/>
      <c r="I434" s="118"/>
      <c r="J434" s="118"/>
      <c r="K434" s="117"/>
      <c r="L434" s="117"/>
      <c r="M434" s="118"/>
      <c r="N434" s="118"/>
      <c r="O434" s="117"/>
      <c r="P434" s="117"/>
      <c r="Q434" s="118"/>
      <c r="R434" s="118"/>
      <c r="S434" s="117"/>
      <c r="T434" s="117"/>
      <c r="U434" s="118"/>
      <c r="V434" s="118"/>
      <c r="W434" s="117"/>
      <c r="X434" s="117"/>
      <c r="Y434" s="118"/>
      <c r="Z434" s="118"/>
      <c r="AA434" s="117"/>
      <c r="AB434" s="117"/>
      <c r="AC434" s="118"/>
      <c r="AD434" s="118"/>
      <c r="AE434" s="26"/>
      <c r="AF434" s="27"/>
      <c r="AG434" s="28"/>
      <c r="AH434" s="29"/>
    </row>
    <row r="435" spans="1:34" s="11" customFormat="1" x14ac:dyDescent="0.2">
      <c r="A435" s="20" t="str">
        <f t="shared" si="6"/>
        <v/>
      </c>
      <c r="B435" s="25"/>
      <c r="C435" s="116"/>
      <c r="D435" s="116"/>
      <c r="E435" s="31"/>
      <c r="F435" s="133"/>
      <c r="G435" s="117"/>
      <c r="H435" s="117"/>
      <c r="I435" s="118"/>
      <c r="J435" s="118"/>
      <c r="K435" s="117"/>
      <c r="L435" s="117"/>
      <c r="M435" s="118"/>
      <c r="N435" s="118"/>
      <c r="O435" s="117"/>
      <c r="P435" s="117"/>
      <c r="Q435" s="118"/>
      <c r="R435" s="118"/>
      <c r="S435" s="117"/>
      <c r="T435" s="117"/>
      <c r="U435" s="118"/>
      <c r="V435" s="118"/>
      <c r="W435" s="117"/>
      <c r="X435" s="117"/>
      <c r="Y435" s="118"/>
      <c r="Z435" s="118"/>
      <c r="AA435" s="117"/>
      <c r="AB435" s="117"/>
      <c r="AC435" s="118"/>
      <c r="AD435" s="118"/>
      <c r="AE435" s="26"/>
      <c r="AF435" s="27"/>
      <c r="AG435" s="28"/>
      <c r="AH435" s="29"/>
    </row>
    <row r="436" spans="1:34" s="11" customFormat="1" x14ac:dyDescent="0.2">
      <c r="A436" s="20" t="str">
        <f t="shared" si="6"/>
        <v/>
      </c>
      <c r="B436" s="25"/>
      <c r="C436" s="116"/>
      <c r="D436" s="116"/>
      <c r="E436" s="31"/>
      <c r="F436" s="133"/>
      <c r="G436" s="117"/>
      <c r="H436" s="117"/>
      <c r="I436" s="118"/>
      <c r="J436" s="118"/>
      <c r="K436" s="117"/>
      <c r="L436" s="117"/>
      <c r="M436" s="118"/>
      <c r="N436" s="118"/>
      <c r="O436" s="117"/>
      <c r="P436" s="117"/>
      <c r="Q436" s="118"/>
      <c r="R436" s="118"/>
      <c r="S436" s="117"/>
      <c r="T436" s="117"/>
      <c r="U436" s="118"/>
      <c r="V436" s="118"/>
      <c r="W436" s="117"/>
      <c r="X436" s="117"/>
      <c r="Y436" s="118"/>
      <c r="Z436" s="118"/>
      <c r="AA436" s="117"/>
      <c r="AB436" s="117"/>
      <c r="AC436" s="118"/>
      <c r="AD436" s="118"/>
      <c r="AE436" s="26"/>
      <c r="AF436" s="27"/>
      <c r="AG436" s="28"/>
      <c r="AH436" s="29"/>
    </row>
    <row r="437" spans="1:34" s="11" customFormat="1" x14ac:dyDescent="0.2">
      <c r="A437" s="20" t="str">
        <f t="shared" si="6"/>
        <v/>
      </c>
      <c r="B437" s="25"/>
      <c r="C437" s="116"/>
      <c r="D437" s="116"/>
      <c r="E437" s="31"/>
      <c r="F437" s="133"/>
      <c r="G437" s="117"/>
      <c r="H437" s="117"/>
      <c r="I437" s="118"/>
      <c r="J437" s="118"/>
      <c r="K437" s="117"/>
      <c r="L437" s="117"/>
      <c r="M437" s="118"/>
      <c r="N437" s="118"/>
      <c r="O437" s="117"/>
      <c r="P437" s="117"/>
      <c r="Q437" s="118"/>
      <c r="R437" s="118"/>
      <c r="S437" s="117"/>
      <c r="T437" s="117"/>
      <c r="U437" s="118"/>
      <c r="V437" s="118"/>
      <c r="W437" s="117"/>
      <c r="X437" s="117"/>
      <c r="Y437" s="118"/>
      <c r="Z437" s="118"/>
      <c r="AA437" s="117"/>
      <c r="AB437" s="117"/>
      <c r="AC437" s="118"/>
      <c r="AD437" s="118"/>
      <c r="AE437" s="26"/>
      <c r="AF437" s="27"/>
      <c r="AG437" s="28"/>
      <c r="AH437" s="29"/>
    </row>
    <row r="438" spans="1:34" s="11" customFormat="1" x14ac:dyDescent="0.2">
      <c r="A438" s="20" t="str">
        <f t="shared" si="6"/>
        <v/>
      </c>
      <c r="B438" s="25"/>
      <c r="C438" s="116"/>
      <c r="D438" s="116"/>
      <c r="E438" s="31"/>
      <c r="F438" s="133"/>
      <c r="G438" s="117"/>
      <c r="H438" s="117"/>
      <c r="I438" s="118"/>
      <c r="J438" s="118"/>
      <c r="K438" s="117"/>
      <c r="L438" s="117"/>
      <c r="M438" s="118"/>
      <c r="N438" s="118"/>
      <c r="O438" s="117"/>
      <c r="P438" s="117"/>
      <c r="Q438" s="118"/>
      <c r="R438" s="118"/>
      <c r="S438" s="117"/>
      <c r="T438" s="117"/>
      <c r="U438" s="118"/>
      <c r="V438" s="118"/>
      <c r="W438" s="117"/>
      <c r="X438" s="117"/>
      <c r="Y438" s="118"/>
      <c r="Z438" s="118"/>
      <c r="AA438" s="117"/>
      <c r="AB438" s="117"/>
      <c r="AC438" s="118"/>
      <c r="AD438" s="118"/>
      <c r="AE438" s="26"/>
      <c r="AF438" s="27"/>
      <c r="AG438" s="28"/>
      <c r="AH438" s="29"/>
    </row>
    <row r="439" spans="1:34" s="11" customFormat="1" x14ac:dyDescent="0.2">
      <c r="A439" s="20" t="str">
        <f t="shared" si="6"/>
        <v/>
      </c>
      <c r="B439" s="25"/>
      <c r="C439" s="116"/>
      <c r="D439" s="116"/>
      <c r="E439" s="31"/>
      <c r="F439" s="133"/>
      <c r="G439" s="117"/>
      <c r="H439" s="117"/>
      <c r="I439" s="118"/>
      <c r="J439" s="118"/>
      <c r="K439" s="117"/>
      <c r="L439" s="117"/>
      <c r="M439" s="118"/>
      <c r="N439" s="118"/>
      <c r="O439" s="117"/>
      <c r="P439" s="117"/>
      <c r="Q439" s="118"/>
      <c r="R439" s="118"/>
      <c r="S439" s="117"/>
      <c r="T439" s="117"/>
      <c r="U439" s="118"/>
      <c r="V439" s="118"/>
      <c r="W439" s="117"/>
      <c r="X439" s="117"/>
      <c r="Y439" s="118"/>
      <c r="Z439" s="118"/>
      <c r="AA439" s="117"/>
      <c r="AB439" s="117"/>
      <c r="AC439" s="118"/>
      <c r="AD439" s="118"/>
      <c r="AE439" s="26"/>
      <c r="AF439" s="27"/>
      <c r="AG439" s="28"/>
      <c r="AH439" s="29"/>
    </row>
    <row r="440" spans="1:34" s="11" customFormat="1" x14ac:dyDescent="0.2">
      <c r="A440" s="20" t="str">
        <f t="shared" si="6"/>
        <v/>
      </c>
      <c r="B440" s="25"/>
      <c r="C440" s="116"/>
      <c r="D440" s="116"/>
      <c r="E440" s="31"/>
      <c r="F440" s="133"/>
      <c r="G440" s="117"/>
      <c r="H440" s="117"/>
      <c r="I440" s="118"/>
      <c r="J440" s="118"/>
      <c r="K440" s="117"/>
      <c r="L440" s="117"/>
      <c r="M440" s="118"/>
      <c r="N440" s="118"/>
      <c r="O440" s="117"/>
      <c r="P440" s="117"/>
      <c r="Q440" s="118"/>
      <c r="R440" s="118"/>
      <c r="S440" s="117"/>
      <c r="T440" s="117"/>
      <c r="U440" s="118"/>
      <c r="V440" s="118"/>
      <c r="W440" s="117"/>
      <c r="X440" s="117"/>
      <c r="Y440" s="118"/>
      <c r="Z440" s="118"/>
      <c r="AA440" s="117"/>
      <c r="AB440" s="117"/>
      <c r="AC440" s="118"/>
      <c r="AD440" s="118"/>
      <c r="AE440" s="26"/>
      <c r="AF440" s="27"/>
      <c r="AG440" s="28"/>
      <c r="AH440" s="29"/>
    </row>
    <row r="441" spans="1:34" s="11" customFormat="1" x14ac:dyDescent="0.2">
      <c r="A441" s="20" t="str">
        <f t="shared" si="6"/>
        <v/>
      </c>
      <c r="B441" s="25"/>
      <c r="C441" s="116"/>
      <c r="D441" s="116"/>
      <c r="E441" s="31"/>
      <c r="F441" s="133"/>
      <c r="G441" s="117"/>
      <c r="H441" s="117"/>
      <c r="I441" s="118"/>
      <c r="J441" s="118"/>
      <c r="K441" s="117"/>
      <c r="L441" s="117"/>
      <c r="M441" s="118"/>
      <c r="N441" s="118"/>
      <c r="O441" s="117"/>
      <c r="P441" s="117"/>
      <c r="Q441" s="118"/>
      <c r="R441" s="118"/>
      <c r="S441" s="117"/>
      <c r="T441" s="117"/>
      <c r="U441" s="118"/>
      <c r="V441" s="118"/>
      <c r="W441" s="117"/>
      <c r="X441" s="117"/>
      <c r="Y441" s="118"/>
      <c r="Z441" s="118"/>
      <c r="AA441" s="117"/>
      <c r="AB441" s="117"/>
      <c r="AC441" s="118"/>
      <c r="AD441" s="118"/>
      <c r="AE441" s="26"/>
      <c r="AF441" s="27"/>
      <c r="AG441" s="28"/>
      <c r="AH441" s="29"/>
    </row>
    <row r="442" spans="1:34" s="11" customFormat="1" x14ac:dyDescent="0.2">
      <c r="A442" s="20" t="str">
        <f t="shared" si="6"/>
        <v/>
      </c>
      <c r="B442" s="25"/>
      <c r="C442" s="116"/>
      <c r="D442" s="116"/>
      <c r="E442" s="31"/>
      <c r="F442" s="133"/>
      <c r="G442" s="117"/>
      <c r="H442" s="117"/>
      <c r="I442" s="118"/>
      <c r="J442" s="118"/>
      <c r="K442" s="117"/>
      <c r="L442" s="117"/>
      <c r="M442" s="118"/>
      <c r="N442" s="118"/>
      <c r="O442" s="117"/>
      <c r="P442" s="117"/>
      <c r="Q442" s="118"/>
      <c r="R442" s="118"/>
      <c r="S442" s="117"/>
      <c r="T442" s="117"/>
      <c r="U442" s="118"/>
      <c r="V442" s="118"/>
      <c r="W442" s="117"/>
      <c r="X442" s="117"/>
      <c r="Y442" s="118"/>
      <c r="Z442" s="118"/>
      <c r="AA442" s="117"/>
      <c r="AB442" s="117"/>
      <c r="AC442" s="118"/>
      <c r="AD442" s="118"/>
      <c r="AE442" s="26"/>
      <c r="AF442" s="27"/>
      <c r="AG442" s="28"/>
      <c r="AH442" s="29"/>
    </row>
    <row r="443" spans="1:34" s="11" customFormat="1" x14ac:dyDescent="0.2">
      <c r="A443" s="20" t="str">
        <f t="shared" si="6"/>
        <v/>
      </c>
      <c r="B443" s="25"/>
      <c r="C443" s="116"/>
      <c r="D443" s="116"/>
      <c r="E443" s="31"/>
      <c r="F443" s="133"/>
      <c r="G443" s="117"/>
      <c r="H443" s="117"/>
      <c r="I443" s="118"/>
      <c r="J443" s="118"/>
      <c r="K443" s="117"/>
      <c r="L443" s="117"/>
      <c r="M443" s="118"/>
      <c r="N443" s="118"/>
      <c r="O443" s="117"/>
      <c r="P443" s="117"/>
      <c r="Q443" s="118"/>
      <c r="R443" s="118"/>
      <c r="S443" s="117"/>
      <c r="T443" s="117"/>
      <c r="U443" s="118"/>
      <c r="V443" s="118"/>
      <c r="W443" s="117"/>
      <c r="X443" s="117"/>
      <c r="Y443" s="118"/>
      <c r="Z443" s="118"/>
      <c r="AA443" s="117"/>
      <c r="AB443" s="117"/>
      <c r="AC443" s="118"/>
      <c r="AD443" s="118"/>
      <c r="AE443" s="26"/>
      <c r="AF443" s="27"/>
      <c r="AG443" s="28"/>
      <c r="AH443" s="29"/>
    </row>
    <row r="444" spans="1:34" s="11" customFormat="1" x14ac:dyDescent="0.2">
      <c r="A444" s="20" t="str">
        <f t="shared" si="6"/>
        <v/>
      </c>
      <c r="B444" s="25"/>
      <c r="C444" s="116"/>
      <c r="D444" s="116"/>
      <c r="E444" s="31"/>
      <c r="F444" s="133"/>
      <c r="G444" s="117"/>
      <c r="H444" s="117"/>
      <c r="I444" s="118"/>
      <c r="J444" s="118"/>
      <c r="K444" s="117"/>
      <c r="L444" s="117"/>
      <c r="M444" s="118"/>
      <c r="N444" s="118"/>
      <c r="O444" s="117"/>
      <c r="P444" s="117"/>
      <c r="Q444" s="118"/>
      <c r="R444" s="118"/>
      <c r="S444" s="117"/>
      <c r="T444" s="117"/>
      <c r="U444" s="118"/>
      <c r="V444" s="118"/>
      <c r="W444" s="117"/>
      <c r="X444" s="117"/>
      <c r="Y444" s="118"/>
      <c r="Z444" s="118"/>
      <c r="AA444" s="117"/>
      <c r="AB444" s="117"/>
      <c r="AC444" s="118"/>
      <c r="AD444" s="118"/>
      <c r="AE444" s="26"/>
      <c r="AF444" s="27"/>
      <c r="AG444" s="28"/>
      <c r="AH444" s="29"/>
    </row>
    <row r="445" spans="1:34" s="11" customFormat="1" x14ac:dyDescent="0.2">
      <c r="A445" s="20" t="str">
        <f t="shared" si="6"/>
        <v/>
      </c>
      <c r="B445" s="25"/>
      <c r="C445" s="116"/>
      <c r="D445" s="116"/>
      <c r="E445" s="31"/>
      <c r="F445" s="133"/>
      <c r="G445" s="117"/>
      <c r="H445" s="117"/>
      <c r="I445" s="118"/>
      <c r="J445" s="118"/>
      <c r="K445" s="117"/>
      <c r="L445" s="117"/>
      <c r="M445" s="118"/>
      <c r="N445" s="118"/>
      <c r="O445" s="117"/>
      <c r="P445" s="117"/>
      <c r="Q445" s="118"/>
      <c r="R445" s="118"/>
      <c r="S445" s="117"/>
      <c r="T445" s="117"/>
      <c r="U445" s="118"/>
      <c r="V445" s="118"/>
      <c r="W445" s="117"/>
      <c r="X445" s="117"/>
      <c r="Y445" s="118"/>
      <c r="Z445" s="118"/>
      <c r="AA445" s="117"/>
      <c r="AB445" s="117"/>
      <c r="AC445" s="118"/>
      <c r="AD445" s="118"/>
      <c r="AE445" s="26"/>
      <c r="AF445" s="27"/>
      <c r="AG445" s="28"/>
      <c r="AH445" s="29"/>
    </row>
    <row r="446" spans="1:34" s="11" customFormat="1" x14ac:dyDescent="0.2">
      <c r="A446" s="20" t="str">
        <f t="shared" si="6"/>
        <v/>
      </c>
      <c r="B446" s="25"/>
      <c r="C446" s="116"/>
      <c r="D446" s="116"/>
      <c r="E446" s="31"/>
      <c r="F446" s="133"/>
      <c r="G446" s="117"/>
      <c r="H446" s="117"/>
      <c r="I446" s="118"/>
      <c r="J446" s="118"/>
      <c r="K446" s="117"/>
      <c r="L446" s="117"/>
      <c r="M446" s="118"/>
      <c r="N446" s="118"/>
      <c r="O446" s="117"/>
      <c r="P446" s="117"/>
      <c r="Q446" s="118"/>
      <c r="R446" s="118"/>
      <c r="S446" s="117"/>
      <c r="T446" s="117"/>
      <c r="U446" s="118"/>
      <c r="V446" s="118"/>
      <c r="W446" s="117"/>
      <c r="X446" s="117"/>
      <c r="Y446" s="118"/>
      <c r="Z446" s="118"/>
      <c r="AA446" s="117"/>
      <c r="AB446" s="117"/>
      <c r="AC446" s="118"/>
      <c r="AD446" s="118"/>
      <c r="AE446" s="26"/>
      <c r="AF446" s="27"/>
      <c r="AG446" s="28"/>
      <c r="AH446" s="29"/>
    </row>
    <row r="447" spans="1:34" s="11" customFormat="1" x14ac:dyDescent="0.2">
      <c r="A447" s="20" t="str">
        <f t="shared" si="6"/>
        <v/>
      </c>
      <c r="B447" s="25"/>
      <c r="C447" s="116"/>
      <c r="D447" s="116"/>
      <c r="E447" s="31"/>
      <c r="F447" s="133"/>
      <c r="G447" s="117"/>
      <c r="H447" s="117"/>
      <c r="I447" s="118"/>
      <c r="J447" s="118"/>
      <c r="K447" s="117"/>
      <c r="L447" s="117"/>
      <c r="M447" s="118"/>
      <c r="N447" s="118"/>
      <c r="O447" s="117"/>
      <c r="P447" s="117"/>
      <c r="Q447" s="118"/>
      <c r="R447" s="118"/>
      <c r="S447" s="117"/>
      <c r="T447" s="117"/>
      <c r="U447" s="118"/>
      <c r="V447" s="118"/>
      <c r="W447" s="117"/>
      <c r="X447" s="117"/>
      <c r="Y447" s="118"/>
      <c r="Z447" s="118"/>
      <c r="AA447" s="117"/>
      <c r="AB447" s="117"/>
      <c r="AC447" s="118"/>
      <c r="AD447" s="118"/>
      <c r="AE447" s="26"/>
      <c r="AF447" s="27"/>
      <c r="AG447" s="28"/>
      <c r="AH447" s="29"/>
    </row>
    <row r="448" spans="1:34" s="11" customFormat="1" x14ac:dyDescent="0.2">
      <c r="A448" s="20" t="str">
        <f t="shared" si="6"/>
        <v/>
      </c>
      <c r="B448" s="25"/>
      <c r="C448" s="116"/>
      <c r="D448" s="116"/>
      <c r="E448" s="31"/>
      <c r="F448" s="133"/>
      <c r="G448" s="117"/>
      <c r="H448" s="117"/>
      <c r="I448" s="118"/>
      <c r="J448" s="118"/>
      <c r="K448" s="117"/>
      <c r="L448" s="117"/>
      <c r="M448" s="118"/>
      <c r="N448" s="118"/>
      <c r="O448" s="117"/>
      <c r="P448" s="117"/>
      <c r="Q448" s="118"/>
      <c r="R448" s="118"/>
      <c r="S448" s="117"/>
      <c r="T448" s="117"/>
      <c r="U448" s="118"/>
      <c r="V448" s="118"/>
      <c r="W448" s="117"/>
      <c r="X448" s="117"/>
      <c r="Y448" s="118"/>
      <c r="Z448" s="118"/>
      <c r="AA448" s="117"/>
      <c r="AB448" s="117"/>
      <c r="AC448" s="118"/>
      <c r="AD448" s="118"/>
      <c r="AE448" s="26"/>
      <c r="AF448" s="27"/>
      <c r="AG448" s="28"/>
      <c r="AH448" s="29"/>
    </row>
    <row r="449" spans="1:34" s="11" customFormat="1" x14ac:dyDescent="0.2">
      <c r="A449" s="20" t="str">
        <f t="shared" si="6"/>
        <v/>
      </c>
      <c r="B449" s="25"/>
      <c r="C449" s="116"/>
      <c r="D449" s="116"/>
      <c r="E449" s="31"/>
      <c r="F449" s="133"/>
      <c r="G449" s="117"/>
      <c r="H449" s="117"/>
      <c r="I449" s="118"/>
      <c r="J449" s="118"/>
      <c r="K449" s="117"/>
      <c r="L449" s="117"/>
      <c r="M449" s="118"/>
      <c r="N449" s="118"/>
      <c r="O449" s="117"/>
      <c r="P449" s="117"/>
      <c r="Q449" s="118"/>
      <c r="R449" s="118"/>
      <c r="S449" s="117"/>
      <c r="T449" s="117"/>
      <c r="U449" s="118"/>
      <c r="V449" s="118"/>
      <c r="W449" s="117"/>
      <c r="X449" s="117"/>
      <c r="Y449" s="118"/>
      <c r="Z449" s="118"/>
      <c r="AA449" s="117"/>
      <c r="AB449" s="117"/>
      <c r="AC449" s="118"/>
      <c r="AD449" s="118"/>
      <c r="AE449" s="26"/>
      <c r="AF449" s="27"/>
      <c r="AG449" s="28"/>
      <c r="AH449" s="29"/>
    </row>
    <row r="450" spans="1:34" s="11" customFormat="1" x14ac:dyDescent="0.2">
      <c r="A450" s="20" t="str">
        <f t="shared" si="6"/>
        <v/>
      </c>
      <c r="B450" s="25"/>
      <c r="C450" s="116"/>
      <c r="D450" s="116"/>
      <c r="E450" s="31"/>
      <c r="F450" s="133"/>
      <c r="G450" s="117"/>
      <c r="H450" s="117"/>
      <c r="I450" s="118"/>
      <c r="J450" s="118"/>
      <c r="K450" s="117"/>
      <c r="L450" s="117"/>
      <c r="M450" s="118"/>
      <c r="N450" s="118"/>
      <c r="O450" s="117"/>
      <c r="P450" s="117"/>
      <c r="Q450" s="118"/>
      <c r="R450" s="118"/>
      <c r="S450" s="117"/>
      <c r="T450" s="117"/>
      <c r="U450" s="118"/>
      <c r="V450" s="118"/>
      <c r="W450" s="117"/>
      <c r="X450" s="117"/>
      <c r="Y450" s="118"/>
      <c r="Z450" s="118"/>
      <c r="AA450" s="117"/>
      <c r="AB450" s="117"/>
      <c r="AC450" s="118"/>
      <c r="AD450" s="118"/>
      <c r="AE450" s="26"/>
      <c r="AF450" s="27"/>
      <c r="AG450" s="28"/>
      <c r="AH450" s="29"/>
    </row>
    <row r="451" spans="1:34" s="11" customFormat="1" x14ac:dyDescent="0.2">
      <c r="A451" s="20" t="str">
        <f t="shared" si="6"/>
        <v/>
      </c>
      <c r="B451" s="25"/>
      <c r="C451" s="116"/>
      <c r="D451" s="116"/>
      <c r="E451" s="31"/>
      <c r="F451" s="133"/>
      <c r="G451" s="117"/>
      <c r="H451" s="117"/>
      <c r="I451" s="118"/>
      <c r="J451" s="118"/>
      <c r="K451" s="117"/>
      <c r="L451" s="117"/>
      <c r="M451" s="118"/>
      <c r="N451" s="118"/>
      <c r="O451" s="117"/>
      <c r="P451" s="117"/>
      <c r="Q451" s="118"/>
      <c r="R451" s="118"/>
      <c r="S451" s="117"/>
      <c r="T451" s="117"/>
      <c r="U451" s="118"/>
      <c r="V451" s="118"/>
      <c r="W451" s="117"/>
      <c r="X451" s="117"/>
      <c r="Y451" s="118"/>
      <c r="Z451" s="118"/>
      <c r="AA451" s="117"/>
      <c r="AB451" s="117"/>
      <c r="AC451" s="118"/>
      <c r="AD451" s="118"/>
      <c r="AE451" s="26"/>
      <c r="AF451" s="27"/>
      <c r="AG451" s="28"/>
      <c r="AH451" s="29"/>
    </row>
    <row r="452" spans="1:34" s="11" customFormat="1" x14ac:dyDescent="0.2">
      <c r="A452" s="20" t="str">
        <f t="shared" si="6"/>
        <v/>
      </c>
      <c r="B452" s="25"/>
      <c r="C452" s="116"/>
      <c r="D452" s="116"/>
      <c r="E452" s="31"/>
      <c r="F452" s="133"/>
      <c r="G452" s="117"/>
      <c r="H452" s="117"/>
      <c r="I452" s="118"/>
      <c r="J452" s="118"/>
      <c r="K452" s="117"/>
      <c r="L452" s="117"/>
      <c r="M452" s="118"/>
      <c r="N452" s="118"/>
      <c r="O452" s="117"/>
      <c r="P452" s="117"/>
      <c r="Q452" s="118"/>
      <c r="R452" s="118"/>
      <c r="S452" s="117"/>
      <c r="T452" s="117"/>
      <c r="U452" s="118"/>
      <c r="V452" s="118"/>
      <c r="W452" s="117"/>
      <c r="X452" s="117"/>
      <c r="Y452" s="118"/>
      <c r="Z452" s="118"/>
      <c r="AA452" s="117"/>
      <c r="AB452" s="117"/>
      <c r="AC452" s="118"/>
      <c r="AD452" s="118"/>
      <c r="AE452" s="26"/>
      <c r="AF452" s="27"/>
      <c r="AG452" s="28"/>
      <c r="AH452" s="29"/>
    </row>
    <row r="453" spans="1:34" s="11" customFormat="1" x14ac:dyDescent="0.2">
      <c r="A453" s="20" t="str">
        <f t="shared" ref="A453:A505" si="7">IF(COUNTA(G453:AD453)/2=0,"",COUNTA(G453:AD453)/2)</f>
        <v/>
      </c>
      <c r="B453" s="25"/>
      <c r="C453" s="116"/>
      <c r="D453" s="116"/>
      <c r="E453" s="31"/>
      <c r="F453" s="133"/>
      <c r="G453" s="117"/>
      <c r="H453" s="117"/>
      <c r="I453" s="118"/>
      <c r="J453" s="118"/>
      <c r="K453" s="117"/>
      <c r="L453" s="117"/>
      <c r="M453" s="118"/>
      <c r="N453" s="118"/>
      <c r="O453" s="117"/>
      <c r="P453" s="117"/>
      <c r="Q453" s="118"/>
      <c r="R453" s="118"/>
      <c r="S453" s="117"/>
      <c r="T453" s="117"/>
      <c r="U453" s="118"/>
      <c r="V453" s="118"/>
      <c r="W453" s="117"/>
      <c r="X453" s="117"/>
      <c r="Y453" s="118"/>
      <c r="Z453" s="118"/>
      <c r="AA453" s="117"/>
      <c r="AB453" s="117"/>
      <c r="AC453" s="118"/>
      <c r="AD453" s="118"/>
      <c r="AE453" s="26"/>
      <c r="AF453" s="27"/>
      <c r="AG453" s="28"/>
      <c r="AH453" s="29"/>
    </row>
    <row r="454" spans="1:34" s="11" customFormat="1" x14ac:dyDescent="0.2">
      <c r="A454" s="20" t="str">
        <f t="shared" si="7"/>
        <v/>
      </c>
      <c r="B454" s="25"/>
      <c r="C454" s="116"/>
      <c r="D454" s="116"/>
      <c r="E454" s="31"/>
      <c r="F454" s="133"/>
      <c r="G454" s="117"/>
      <c r="H454" s="117"/>
      <c r="I454" s="118"/>
      <c r="J454" s="118"/>
      <c r="K454" s="117"/>
      <c r="L454" s="117"/>
      <c r="M454" s="118"/>
      <c r="N454" s="118"/>
      <c r="O454" s="117"/>
      <c r="P454" s="117"/>
      <c r="Q454" s="118"/>
      <c r="R454" s="118"/>
      <c r="S454" s="117"/>
      <c r="T454" s="117"/>
      <c r="U454" s="118"/>
      <c r="V454" s="118"/>
      <c r="W454" s="117"/>
      <c r="X454" s="117"/>
      <c r="Y454" s="118"/>
      <c r="Z454" s="118"/>
      <c r="AA454" s="117"/>
      <c r="AB454" s="117"/>
      <c r="AC454" s="118"/>
      <c r="AD454" s="118"/>
      <c r="AE454" s="26"/>
      <c r="AF454" s="27"/>
      <c r="AG454" s="28"/>
      <c r="AH454" s="29"/>
    </row>
    <row r="455" spans="1:34" s="11" customFormat="1" x14ac:dyDescent="0.2">
      <c r="A455" s="20" t="str">
        <f t="shared" si="7"/>
        <v/>
      </c>
      <c r="B455" s="25"/>
      <c r="C455" s="116"/>
      <c r="D455" s="116"/>
      <c r="E455" s="31"/>
      <c r="F455" s="133"/>
      <c r="G455" s="117"/>
      <c r="H455" s="117"/>
      <c r="I455" s="118"/>
      <c r="J455" s="118"/>
      <c r="K455" s="117"/>
      <c r="L455" s="117"/>
      <c r="M455" s="118"/>
      <c r="N455" s="118"/>
      <c r="O455" s="117"/>
      <c r="P455" s="117"/>
      <c r="Q455" s="118"/>
      <c r="R455" s="118"/>
      <c r="S455" s="117"/>
      <c r="T455" s="117"/>
      <c r="U455" s="118"/>
      <c r="V455" s="118"/>
      <c r="W455" s="117"/>
      <c r="X455" s="117"/>
      <c r="Y455" s="118"/>
      <c r="Z455" s="118"/>
      <c r="AA455" s="117"/>
      <c r="AB455" s="117"/>
      <c r="AC455" s="118"/>
      <c r="AD455" s="118"/>
      <c r="AE455" s="26"/>
      <c r="AF455" s="27"/>
      <c r="AG455" s="28"/>
      <c r="AH455" s="29"/>
    </row>
    <row r="456" spans="1:34" s="11" customFormat="1" x14ac:dyDescent="0.2">
      <c r="A456" s="20" t="str">
        <f t="shared" si="7"/>
        <v/>
      </c>
      <c r="B456" s="25"/>
      <c r="C456" s="116"/>
      <c r="D456" s="116"/>
      <c r="E456" s="31"/>
      <c r="F456" s="133"/>
      <c r="G456" s="117"/>
      <c r="H456" s="117"/>
      <c r="I456" s="118"/>
      <c r="J456" s="118"/>
      <c r="K456" s="117"/>
      <c r="L456" s="117"/>
      <c r="M456" s="118"/>
      <c r="N456" s="118"/>
      <c r="O456" s="117"/>
      <c r="P456" s="117"/>
      <c r="Q456" s="118"/>
      <c r="R456" s="118"/>
      <c r="S456" s="117"/>
      <c r="T456" s="117"/>
      <c r="U456" s="118"/>
      <c r="V456" s="118"/>
      <c r="W456" s="117"/>
      <c r="X456" s="117"/>
      <c r="Y456" s="118"/>
      <c r="Z456" s="118"/>
      <c r="AA456" s="117"/>
      <c r="AB456" s="117"/>
      <c r="AC456" s="118"/>
      <c r="AD456" s="118"/>
      <c r="AE456" s="26"/>
      <c r="AF456" s="27"/>
      <c r="AG456" s="28"/>
      <c r="AH456" s="29"/>
    </row>
    <row r="457" spans="1:34" s="11" customFormat="1" x14ac:dyDescent="0.2">
      <c r="A457" s="20" t="str">
        <f t="shared" si="7"/>
        <v/>
      </c>
      <c r="B457" s="25"/>
      <c r="C457" s="116"/>
      <c r="D457" s="116"/>
      <c r="E457" s="31"/>
      <c r="F457" s="133"/>
      <c r="G457" s="117"/>
      <c r="H457" s="117"/>
      <c r="I457" s="118"/>
      <c r="J457" s="118"/>
      <c r="K457" s="117"/>
      <c r="L457" s="117"/>
      <c r="M457" s="118"/>
      <c r="N457" s="118"/>
      <c r="O457" s="117"/>
      <c r="P457" s="117"/>
      <c r="Q457" s="118"/>
      <c r="R457" s="118"/>
      <c r="S457" s="117"/>
      <c r="T457" s="117"/>
      <c r="U457" s="118"/>
      <c r="V457" s="118"/>
      <c r="W457" s="117"/>
      <c r="X457" s="117"/>
      <c r="Y457" s="118"/>
      <c r="Z457" s="118"/>
      <c r="AA457" s="117"/>
      <c r="AB457" s="117"/>
      <c r="AC457" s="118"/>
      <c r="AD457" s="118"/>
      <c r="AE457" s="26"/>
      <c r="AF457" s="27"/>
      <c r="AG457" s="28"/>
      <c r="AH457" s="29"/>
    </row>
    <row r="458" spans="1:34" s="11" customFormat="1" x14ac:dyDescent="0.2">
      <c r="A458" s="20" t="str">
        <f t="shared" si="7"/>
        <v/>
      </c>
      <c r="B458" s="25"/>
      <c r="C458" s="116"/>
      <c r="D458" s="116"/>
      <c r="E458" s="31"/>
      <c r="F458" s="133"/>
      <c r="G458" s="117"/>
      <c r="H458" s="117"/>
      <c r="I458" s="118"/>
      <c r="J458" s="118"/>
      <c r="K458" s="117"/>
      <c r="L458" s="117"/>
      <c r="M458" s="118"/>
      <c r="N458" s="118"/>
      <c r="O458" s="117"/>
      <c r="P458" s="117"/>
      <c r="Q458" s="118"/>
      <c r="R458" s="118"/>
      <c r="S458" s="117"/>
      <c r="T458" s="117"/>
      <c r="U458" s="118"/>
      <c r="V458" s="118"/>
      <c r="W458" s="117"/>
      <c r="X458" s="117"/>
      <c r="Y458" s="118"/>
      <c r="Z458" s="118"/>
      <c r="AA458" s="117"/>
      <c r="AB458" s="117"/>
      <c r="AC458" s="118"/>
      <c r="AD458" s="118"/>
      <c r="AE458" s="26"/>
      <c r="AF458" s="27"/>
      <c r="AG458" s="28"/>
      <c r="AH458" s="29"/>
    </row>
    <row r="459" spans="1:34" s="11" customFormat="1" x14ac:dyDescent="0.2">
      <c r="A459" s="20" t="str">
        <f t="shared" si="7"/>
        <v/>
      </c>
      <c r="B459" s="25"/>
      <c r="C459" s="116"/>
      <c r="D459" s="116"/>
      <c r="E459" s="31"/>
      <c r="F459" s="133"/>
      <c r="G459" s="117"/>
      <c r="H459" s="117"/>
      <c r="I459" s="118"/>
      <c r="J459" s="118"/>
      <c r="K459" s="117"/>
      <c r="L459" s="117"/>
      <c r="M459" s="118"/>
      <c r="N459" s="118"/>
      <c r="O459" s="117"/>
      <c r="P459" s="117"/>
      <c r="Q459" s="118"/>
      <c r="R459" s="118"/>
      <c r="S459" s="117"/>
      <c r="T459" s="117"/>
      <c r="U459" s="118"/>
      <c r="V459" s="118"/>
      <c r="W459" s="117"/>
      <c r="X459" s="117"/>
      <c r="Y459" s="118"/>
      <c r="Z459" s="118"/>
      <c r="AA459" s="117"/>
      <c r="AB459" s="117"/>
      <c r="AC459" s="118"/>
      <c r="AD459" s="118"/>
      <c r="AE459" s="26"/>
      <c r="AF459" s="27"/>
      <c r="AG459" s="28"/>
      <c r="AH459" s="29"/>
    </row>
    <row r="460" spans="1:34" s="11" customFormat="1" x14ac:dyDescent="0.2">
      <c r="A460" s="20" t="str">
        <f t="shared" si="7"/>
        <v/>
      </c>
      <c r="B460" s="25"/>
      <c r="C460" s="116"/>
      <c r="D460" s="116"/>
      <c r="E460" s="31"/>
      <c r="F460" s="133"/>
      <c r="G460" s="117"/>
      <c r="H460" s="117"/>
      <c r="I460" s="118"/>
      <c r="J460" s="118"/>
      <c r="K460" s="117"/>
      <c r="L460" s="117"/>
      <c r="M460" s="118"/>
      <c r="N460" s="118"/>
      <c r="O460" s="117"/>
      <c r="P460" s="117"/>
      <c r="Q460" s="118"/>
      <c r="R460" s="118"/>
      <c r="S460" s="117"/>
      <c r="T460" s="117"/>
      <c r="U460" s="118"/>
      <c r="V460" s="118"/>
      <c r="W460" s="117"/>
      <c r="X460" s="117"/>
      <c r="Y460" s="118"/>
      <c r="Z460" s="118"/>
      <c r="AA460" s="117"/>
      <c r="AB460" s="117"/>
      <c r="AC460" s="118"/>
      <c r="AD460" s="118"/>
      <c r="AE460" s="26"/>
      <c r="AF460" s="27"/>
      <c r="AG460" s="28"/>
      <c r="AH460" s="29"/>
    </row>
    <row r="461" spans="1:34" s="11" customFormat="1" x14ac:dyDescent="0.2">
      <c r="A461" s="20" t="str">
        <f t="shared" si="7"/>
        <v/>
      </c>
      <c r="B461" s="25"/>
      <c r="C461" s="116"/>
      <c r="D461" s="116"/>
      <c r="E461" s="31"/>
      <c r="F461" s="133"/>
      <c r="G461" s="117"/>
      <c r="H461" s="117"/>
      <c r="I461" s="118"/>
      <c r="J461" s="118"/>
      <c r="K461" s="117"/>
      <c r="L461" s="117"/>
      <c r="M461" s="118"/>
      <c r="N461" s="118"/>
      <c r="O461" s="117"/>
      <c r="P461" s="117"/>
      <c r="Q461" s="118"/>
      <c r="R461" s="118"/>
      <c r="S461" s="117"/>
      <c r="T461" s="117"/>
      <c r="U461" s="118"/>
      <c r="V461" s="118"/>
      <c r="W461" s="117"/>
      <c r="X461" s="117"/>
      <c r="Y461" s="118"/>
      <c r="Z461" s="118"/>
      <c r="AA461" s="117"/>
      <c r="AB461" s="117"/>
      <c r="AC461" s="118"/>
      <c r="AD461" s="118"/>
      <c r="AE461" s="26"/>
      <c r="AF461" s="27"/>
      <c r="AG461" s="28"/>
      <c r="AH461" s="29"/>
    </row>
    <row r="462" spans="1:34" s="11" customFormat="1" x14ac:dyDescent="0.2">
      <c r="A462" s="20" t="str">
        <f t="shared" si="7"/>
        <v/>
      </c>
      <c r="B462" s="25"/>
      <c r="C462" s="116"/>
      <c r="D462" s="116"/>
      <c r="E462" s="31"/>
      <c r="F462" s="133"/>
      <c r="G462" s="117"/>
      <c r="H462" s="117"/>
      <c r="I462" s="118"/>
      <c r="J462" s="118"/>
      <c r="K462" s="117"/>
      <c r="L462" s="117"/>
      <c r="M462" s="118"/>
      <c r="N462" s="118"/>
      <c r="O462" s="117"/>
      <c r="P462" s="117"/>
      <c r="Q462" s="118"/>
      <c r="R462" s="118"/>
      <c r="S462" s="117"/>
      <c r="T462" s="117"/>
      <c r="U462" s="118"/>
      <c r="V462" s="118"/>
      <c r="W462" s="117"/>
      <c r="X462" s="117"/>
      <c r="Y462" s="118"/>
      <c r="Z462" s="118"/>
      <c r="AA462" s="117"/>
      <c r="AB462" s="117"/>
      <c r="AC462" s="118"/>
      <c r="AD462" s="118"/>
      <c r="AE462" s="26"/>
      <c r="AF462" s="27"/>
      <c r="AG462" s="28"/>
      <c r="AH462" s="29"/>
    </row>
    <row r="463" spans="1:34" s="11" customFormat="1" x14ac:dyDescent="0.2">
      <c r="A463" s="20" t="str">
        <f t="shared" si="7"/>
        <v/>
      </c>
      <c r="B463" s="25"/>
      <c r="C463" s="116"/>
      <c r="D463" s="116"/>
      <c r="E463" s="31"/>
      <c r="F463" s="133"/>
      <c r="G463" s="117"/>
      <c r="H463" s="117"/>
      <c r="I463" s="118"/>
      <c r="J463" s="118"/>
      <c r="K463" s="117"/>
      <c r="L463" s="117"/>
      <c r="M463" s="118"/>
      <c r="N463" s="118"/>
      <c r="O463" s="117"/>
      <c r="P463" s="117"/>
      <c r="Q463" s="118"/>
      <c r="R463" s="118"/>
      <c r="S463" s="117"/>
      <c r="T463" s="117"/>
      <c r="U463" s="118"/>
      <c r="V463" s="118"/>
      <c r="W463" s="117"/>
      <c r="X463" s="117"/>
      <c r="Y463" s="118"/>
      <c r="Z463" s="118"/>
      <c r="AA463" s="117"/>
      <c r="AB463" s="117"/>
      <c r="AC463" s="118"/>
      <c r="AD463" s="118"/>
      <c r="AE463" s="26"/>
      <c r="AF463" s="27"/>
      <c r="AG463" s="28"/>
      <c r="AH463" s="29"/>
    </row>
    <row r="464" spans="1:34" s="11" customFormat="1" x14ac:dyDescent="0.2">
      <c r="A464" s="20" t="str">
        <f t="shared" si="7"/>
        <v/>
      </c>
      <c r="B464" s="25"/>
      <c r="C464" s="116"/>
      <c r="D464" s="116"/>
      <c r="E464" s="31"/>
      <c r="F464" s="133"/>
      <c r="G464" s="117"/>
      <c r="H464" s="117"/>
      <c r="I464" s="118"/>
      <c r="J464" s="118"/>
      <c r="K464" s="117"/>
      <c r="L464" s="117"/>
      <c r="M464" s="118"/>
      <c r="N464" s="118"/>
      <c r="O464" s="117"/>
      <c r="P464" s="117"/>
      <c r="Q464" s="118"/>
      <c r="R464" s="118"/>
      <c r="S464" s="117"/>
      <c r="T464" s="117"/>
      <c r="U464" s="118"/>
      <c r="V464" s="118"/>
      <c r="W464" s="117"/>
      <c r="X464" s="117"/>
      <c r="Y464" s="118"/>
      <c r="Z464" s="118"/>
      <c r="AA464" s="117"/>
      <c r="AB464" s="117"/>
      <c r="AC464" s="118"/>
      <c r="AD464" s="118"/>
      <c r="AE464" s="26"/>
      <c r="AF464" s="27"/>
      <c r="AG464" s="28"/>
      <c r="AH464" s="29"/>
    </row>
    <row r="465" spans="1:34" s="11" customFormat="1" x14ac:dyDescent="0.2">
      <c r="A465" s="20" t="str">
        <f t="shared" si="7"/>
        <v/>
      </c>
      <c r="B465" s="25"/>
      <c r="C465" s="116"/>
      <c r="D465" s="116"/>
      <c r="E465" s="31"/>
      <c r="F465" s="133"/>
      <c r="G465" s="117"/>
      <c r="H465" s="117"/>
      <c r="I465" s="118"/>
      <c r="J465" s="118"/>
      <c r="K465" s="117"/>
      <c r="L465" s="117"/>
      <c r="M465" s="118"/>
      <c r="N465" s="118"/>
      <c r="O465" s="117"/>
      <c r="P465" s="117"/>
      <c r="Q465" s="118"/>
      <c r="R465" s="118"/>
      <c r="S465" s="117"/>
      <c r="T465" s="117"/>
      <c r="U465" s="118"/>
      <c r="V465" s="118"/>
      <c r="W465" s="117"/>
      <c r="X465" s="117"/>
      <c r="Y465" s="118"/>
      <c r="Z465" s="118"/>
      <c r="AA465" s="117"/>
      <c r="AB465" s="117"/>
      <c r="AC465" s="118"/>
      <c r="AD465" s="118"/>
      <c r="AE465" s="26"/>
      <c r="AF465" s="27"/>
      <c r="AG465" s="28"/>
      <c r="AH465" s="29"/>
    </row>
    <row r="466" spans="1:34" s="11" customFormat="1" x14ac:dyDescent="0.2">
      <c r="A466" s="20" t="str">
        <f t="shared" si="7"/>
        <v/>
      </c>
      <c r="B466" s="25"/>
      <c r="C466" s="116"/>
      <c r="D466" s="116"/>
      <c r="E466" s="31"/>
      <c r="F466" s="133"/>
      <c r="G466" s="117"/>
      <c r="H466" s="117"/>
      <c r="I466" s="118"/>
      <c r="J466" s="118"/>
      <c r="K466" s="117"/>
      <c r="L466" s="117"/>
      <c r="M466" s="118"/>
      <c r="N466" s="118"/>
      <c r="O466" s="117"/>
      <c r="P466" s="117"/>
      <c r="Q466" s="118"/>
      <c r="R466" s="118"/>
      <c r="S466" s="117"/>
      <c r="T466" s="117"/>
      <c r="U466" s="118"/>
      <c r="V466" s="118"/>
      <c r="W466" s="117"/>
      <c r="X466" s="117"/>
      <c r="Y466" s="118"/>
      <c r="Z466" s="118"/>
      <c r="AA466" s="117"/>
      <c r="AB466" s="117"/>
      <c r="AC466" s="118"/>
      <c r="AD466" s="118"/>
      <c r="AE466" s="26"/>
      <c r="AF466" s="27"/>
      <c r="AG466" s="28"/>
      <c r="AH466" s="29"/>
    </row>
    <row r="467" spans="1:34" s="11" customFormat="1" x14ac:dyDescent="0.2">
      <c r="A467" s="20" t="str">
        <f t="shared" si="7"/>
        <v/>
      </c>
      <c r="B467" s="25"/>
      <c r="C467" s="116"/>
      <c r="D467" s="116"/>
      <c r="E467" s="31"/>
      <c r="F467" s="133"/>
      <c r="G467" s="117"/>
      <c r="H467" s="117"/>
      <c r="I467" s="118"/>
      <c r="J467" s="118"/>
      <c r="K467" s="117"/>
      <c r="L467" s="117"/>
      <c r="M467" s="118"/>
      <c r="N467" s="118"/>
      <c r="O467" s="117"/>
      <c r="P467" s="117"/>
      <c r="Q467" s="118"/>
      <c r="R467" s="118"/>
      <c r="S467" s="117"/>
      <c r="T467" s="117"/>
      <c r="U467" s="118"/>
      <c r="V467" s="118"/>
      <c r="W467" s="117"/>
      <c r="X467" s="117"/>
      <c r="Y467" s="118"/>
      <c r="Z467" s="118"/>
      <c r="AA467" s="117"/>
      <c r="AB467" s="117"/>
      <c r="AC467" s="118"/>
      <c r="AD467" s="118"/>
      <c r="AE467" s="26"/>
      <c r="AF467" s="27"/>
      <c r="AG467" s="28"/>
      <c r="AH467" s="29"/>
    </row>
    <row r="468" spans="1:34" s="11" customFormat="1" x14ac:dyDescent="0.2">
      <c r="A468" s="20" t="str">
        <f t="shared" si="7"/>
        <v/>
      </c>
      <c r="B468" s="25"/>
      <c r="C468" s="116"/>
      <c r="D468" s="116"/>
      <c r="E468" s="31"/>
      <c r="F468" s="133"/>
      <c r="G468" s="117"/>
      <c r="H468" s="117"/>
      <c r="I468" s="118"/>
      <c r="J468" s="118"/>
      <c r="K468" s="117"/>
      <c r="L468" s="117"/>
      <c r="M468" s="118"/>
      <c r="N468" s="118"/>
      <c r="O468" s="117"/>
      <c r="P468" s="117"/>
      <c r="Q468" s="118"/>
      <c r="R468" s="118"/>
      <c r="S468" s="117"/>
      <c r="T468" s="117"/>
      <c r="U468" s="118"/>
      <c r="V468" s="118"/>
      <c r="W468" s="117"/>
      <c r="X468" s="117"/>
      <c r="Y468" s="118"/>
      <c r="Z468" s="118"/>
      <c r="AA468" s="117"/>
      <c r="AB468" s="117"/>
      <c r="AC468" s="118"/>
      <c r="AD468" s="118"/>
      <c r="AE468" s="26"/>
      <c r="AF468" s="27"/>
      <c r="AG468" s="28"/>
      <c r="AH468" s="29"/>
    </row>
    <row r="469" spans="1:34" s="11" customFormat="1" x14ac:dyDescent="0.2">
      <c r="A469" s="20" t="str">
        <f t="shared" si="7"/>
        <v/>
      </c>
      <c r="B469" s="25"/>
      <c r="C469" s="116"/>
      <c r="D469" s="116"/>
      <c r="E469" s="31"/>
      <c r="F469" s="133"/>
      <c r="G469" s="117"/>
      <c r="H469" s="117"/>
      <c r="I469" s="118"/>
      <c r="J469" s="118"/>
      <c r="K469" s="117"/>
      <c r="L469" s="117"/>
      <c r="M469" s="118"/>
      <c r="N469" s="118"/>
      <c r="O469" s="117"/>
      <c r="P469" s="117"/>
      <c r="Q469" s="118"/>
      <c r="R469" s="118"/>
      <c r="S469" s="117"/>
      <c r="T469" s="117"/>
      <c r="U469" s="118"/>
      <c r="V469" s="118"/>
      <c r="W469" s="117"/>
      <c r="X469" s="117"/>
      <c r="Y469" s="118"/>
      <c r="Z469" s="118"/>
      <c r="AA469" s="117"/>
      <c r="AB469" s="117"/>
      <c r="AC469" s="118"/>
      <c r="AD469" s="118"/>
      <c r="AE469" s="26"/>
      <c r="AF469" s="27"/>
      <c r="AG469" s="28"/>
      <c r="AH469" s="29"/>
    </row>
    <row r="470" spans="1:34" s="11" customFormat="1" x14ac:dyDescent="0.2">
      <c r="A470" s="20" t="str">
        <f t="shared" si="7"/>
        <v/>
      </c>
      <c r="B470" s="25"/>
      <c r="C470" s="116"/>
      <c r="D470" s="116"/>
      <c r="E470" s="31"/>
      <c r="F470" s="133"/>
      <c r="G470" s="117"/>
      <c r="H470" s="117"/>
      <c r="I470" s="118"/>
      <c r="J470" s="118"/>
      <c r="K470" s="117"/>
      <c r="L470" s="117"/>
      <c r="M470" s="118"/>
      <c r="N470" s="118"/>
      <c r="O470" s="117"/>
      <c r="P470" s="117"/>
      <c r="Q470" s="118"/>
      <c r="R470" s="118"/>
      <c r="S470" s="117"/>
      <c r="T470" s="117"/>
      <c r="U470" s="118"/>
      <c r="V470" s="118"/>
      <c r="W470" s="117"/>
      <c r="X470" s="117"/>
      <c r="Y470" s="118"/>
      <c r="Z470" s="118"/>
      <c r="AA470" s="117"/>
      <c r="AB470" s="117"/>
      <c r="AC470" s="118"/>
      <c r="AD470" s="118"/>
      <c r="AE470" s="26"/>
      <c r="AF470" s="27"/>
      <c r="AG470" s="28"/>
      <c r="AH470" s="29"/>
    </row>
    <row r="471" spans="1:34" s="11" customFormat="1" x14ac:dyDescent="0.2">
      <c r="A471" s="20" t="str">
        <f t="shared" si="7"/>
        <v/>
      </c>
      <c r="B471" s="25"/>
      <c r="C471" s="116"/>
      <c r="D471" s="116"/>
      <c r="E471" s="31"/>
      <c r="F471" s="133"/>
      <c r="G471" s="117"/>
      <c r="H471" s="117"/>
      <c r="I471" s="118"/>
      <c r="J471" s="118"/>
      <c r="K471" s="117"/>
      <c r="L471" s="117"/>
      <c r="M471" s="118"/>
      <c r="N471" s="118"/>
      <c r="O471" s="117"/>
      <c r="P471" s="117"/>
      <c r="Q471" s="118"/>
      <c r="R471" s="118"/>
      <c r="S471" s="117"/>
      <c r="T471" s="117"/>
      <c r="U471" s="118"/>
      <c r="V471" s="118"/>
      <c r="W471" s="117"/>
      <c r="X471" s="117"/>
      <c r="Y471" s="118"/>
      <c r="Z471" s="118"/>
      <c r="AA471" s="117"/>
      <c r="AB471" s="117"/>
      <c r="AC471" s="118"/>
      <c r="AD471" s="118"/>
      <c r="AE471" s="26"/>
      <c r="AF471" s="27"/>
      <c r="AG471" s="28"/>
      <c r="AH471" s="29"/>
    </row>
    <row r="472" spans="1:34" s="11" customFormat="1" x14ac:dyDescent="0.2">
      <c r="A472" s="20" t="str">
        <f t="shared" si="7"/>
        <v/>
      </c>
      <c r="B472" s="25"/>
      <c r="C472" s="116"/>
      <c r="D472" s="116"/>
      <c r="E472" s="31"/>
      <c r="F472" s="133"/>
      <c r="G472" s="117"/>
      <c r="H472" s="117"/>
      <c r="I472" s="118"/>
      <c r="J472" s="118"/>
      <c r="K472" s="117"/>
      <c r="L472" s="117"/>
      <c r="M472" s="118"/>
      <c r="N472" s="118"/>
      <c r="O472" s="117"/>
      <c r="P472" s="117"/>
      <c r="Q472" s="118"/>
      <c r="R472" s="118"/>
      <c r="S472" s="117"/>
      <c r="T472" s="117"/>
      <c r="U472" s="118"/>
      <c r="V472" s="118"/>
      <c r="W472" s="117"/>
      <c r="X472" s="117"/>
      <c r="Y472" s="118"/>
      <c r="Z472" s="118"/>
      <c r="AA472" s="117"/>
      <c r="AB472" s="117"/>
      <c r="AC472" s="118"/>
      <c r="AD472" s="118"/>
      <c r="AE472" s="26"/>
      <c r="AF472" s="27"/>
      <c r="AG472" s="28"/>
      <c r="AH472" s="29"/>
    </row>
    <row r="473" spans="1:34" s="11" customFormat="1" x14ac:dyDescent="0.2">
      <c r="A473" s="20" t="str">
        <f t="shared" si="7"/>
        <v/>
      </c>
      <c r="B473" s="25"/>
      <c r="C473" s="116"/>
      <c r="D473" s="116"/>
      <c r="E473" s="31"/>
      <c r="F473" s="133"/>
      <c r="G473" s="117"/>
      <c r="H473" s="117"/>
      <c r="I473" s="118"/>
      <c r="J473" s="118"/>
      <c r="K473" s="117"/>
      <c r="L473" s="117"/>
      <c r="M473" s="118"/>
      <c r="N473" s="118"/>
      <c r="O473" s="117"/>
      <c r="P473" s="117"/>
      <c r="Q473" s="118"/>
      <c r="R473" s="118"/>
      <c r="S473" s="117"/>
      <c r="T473" s="117"/>
      <c r="U473" s="118"/>
      <c r="V473" s="118"/>
      <c r="W473" s="117"/>
      <c r="X473" s="117"/>
      <c r="Y473" s="118"/>
      <c r="Z473" s="118"/>
      <c r="AA473" s="117"/>
      <c r="AB473" s="117"/>
      <c r="AC473" s="118"/>
      <c r="AD473" s="118"/>
      <c r="AE473" s="26"/>
      <c r="AF473" s="27"/>
      <c r="AG473" s="28"/>
      <c r="AH473" s="29"/>
    </row>
    <row r="474" spans="1:34" s="11" customFormat="1" x14ac:dyDescent="0.2">
      <c r="A474" s="20" t="str">
        <f t="shared" si="7"/>
        <v/>
      </c>
      <c r="B474" s="25"/>
      <c r="C474" s="116"/>
      <c r="D474" s="116"/>
      <c r="E474" s="31"/>
      <c r="F474" s="133"/>
      <c r="G474" s="117"/>
      <c r="H474" s="117"/>
      <c r="I474" s="118"/>
      <c r="J474" s="118"/>
      <c r="K474" s="117"/>
      <c r="L474" s="117"/>
      <c r="M474" s="118"/>
      <c r="N474" s="118"/>
      <c r="O474" s="117"/>
      <c r="P474" s="117"/>
      <c r="Q474" s="118"/>
      <c r="R474" s="118"/>
      <c r="S474" s="117"/>
      <c r="T474" s="117"/>
      <c r="U474" s="118"/>
      <c r="V474" s="118"/>
      <c r="W474" s="117"/>
      <c r="X474" s="117"/>
      <c r="Y474" s="118"/>
      <c r="Z474" s="118"/>
      <c r="AA474" s="117"/>
      <c r="AB474" s="117"/>
      <c r="AC474" s="118"/>
      <c r="AD474" s="118"/>
      <c r="AE474" s="26"/>
      <c r="AF474" s="27"/>
      <c r="AG474" s="28"/>
      <c r="AH474" s="29"/>
    </row>
    <row r="475" spans="1:34" s="11" customFormat="1" x14ac:dyDescent="0.2">
      <c r="A475" s="20" t="str">
        <f t="shared" si="7"/>
        <v/>
      </c>
      <c r="B475" s="25"/>
      <c r="C475" s="116"/>
      <c r="D475" s="116"/>
      <c r="E475" s="31"/>
      <c r="F475" s="133"/>
      <c r="G475" s="117"/>
      <c r="H475" s="117"/>
      <c r="I475" s="118"/>
      <c r="J475" s="118"/>
      <c r="K475" s="117"/>
      <c r="L475" s="117"/>
      <c r="M475" s="118"/>
      <c r="N475" s="118"/>
      <c r="O475" s="117"/>
      <c r="P475" s="117"/>
      <c r="Q475" s="118"/>
      <c r="R475" s="118"/>
      <c r="S475" s="117"/>
      <c r="T475" s="117"/>
      <c r="U475" s="118"/>
      <c r="V475" s="118"/>
      <c r="W475" s="117"/>
      <c r="X475" s="117"/>
      <c r="Y475" s="118"/>
      <c r="Z475" s="118"/>
      <c r="AA475" s="117"/>
      <c r="AB475" s="117"/>
      <c r="AC475" s="118"/>
      <c r="AD475" s="118"/>
      <c r="AE475" s="26"/>
      <c r="AF475" s="27"/>
      <c r="AG475" s="28"/>
      <c r="AH475" s="29"/>
    </row>
    <row r="476" spans="1:34" s="11" customFormat="1" x14ac:dyDescent="0.2">
      <c r="A476" s="20" t="str">
        <f t="shared" si="7"/>
        <v/>
      </c>
      <c r="B476" s="25"/>
      <c r="C476" s="116"/>
      <c r="D476" s="116"/>
      <c r="E476" s="31"/>
      <c r="F476" s="133"/>
      <c r="G476" s="117"/>
      <c r="H476" s="117"/>
      <c r="I476" s="118"/>
      <c r="J476" s="118"/>
      <c r="K476" s="117"/>
      <c r="L476" s="117"/>
      <c r="M476" s="118"/>
      <c r="N476" s="118"/>
      <c r="O476" s="117"/>
      <c r="P476" s="117"/>
      <c r="Q476" s="118"/>
      <c r="R476" s="118"/>
      <c r="S476" s="117"/>
      <c r="T476" s="117"/>
      <c r="U476" s="118"/>
      <c r="V476" s="118"/>
      <c r="W476" s="117"/>
      <c r="X476" s="117"/>
      <c r="Y476" s="118"/>
      <c r="Z476" s="118"/>
      <c r="AA476" s="117"/>
      <c r="AB476" s="117"/>
      <c r="AC476" s="118"/>
      <c r="AD476" s="118"/>
      <c r="AE476" s="26"/>
      <c r="AF476" s="27"/>
      <c r="AG476" s="28"/>
      <c r="AH476" s="29"/>
    </row>
    <row r="477" spans="1:34" s="11" customFormat="1" x14ac:dyDescent="0.2">
      <c r="A477" s="20" t="str">
        <f t="shared" si="7"/>
        <v/>
      </c>
      <c r="B477" s="25"/>
      <c r="C477" s="116"/>
      <c r="D477" s="116"/>
      <c r="E477" s="31"/>
      <c r="F477" s="133"/>
      <c r="G477" s="117"/>
      <c r="H477" s="117"/>
      <c r="I477" s="118"/>
      <c r="J477" s="118"/>
      <c r="K477" s="117"/>
      <c r="L477" s="117"/>
      <c r="M477" s="118"/>
      <c r="N477" s="118"/>
      <c r="O477" s="117"/>
      <c r="P477" s="117"/>
      <c r="Q477" s="118"/>
      <c r="R477" s="118"/>
      <c r="S477" s="117"/>
      <c r="T477" s="117"/>
      <c r="U477" s="118"/>
      <c r="V477" s="118"/>
      <c r="W477" s="117"/>
      <c r="X477" s="117"/>
      <c r="Y477" s="118"/>
      <c r="Z477" s="118"/>
      <c r="AA477" s="117"/>
      <c r="AB477" s="117"/>
      <c r="AC477" s="118"/>
      <c r="AD477" s="118"/>
      <c r="AE477" s="26"/>
      <c r="AF477" s="27"/>
      <c r="AG477" s="28"/>
      <c r="AH477" s="29"/>
    </row>
    <row r="478" spans="1:34" s="11" customFormat="1" x14ac:dyDescent="0.2">
      <c r="A478" s="20" t="str">
        <f t="shared" si="7"/>
        <v/>
      </c>
      <c r="B478" s="25"/>
      <c r="C478" s="116"/>
      <c r="D478" s="116"/>
      <c r="E478" s="31"/>
      <c r="F478" s="133"/>
      <c r="G478" s="117"/>
      <c r="H478" s="117"/>
      <c r="I478" s="118"/>
      <c r="J478" s="118"/>
      <c r="K478" s="117"/>
      <c r="L478" s="117"/>
      <c r="M478" s="118"/>
      <c r="N478" s="118"/>
      <c r="O478" s="117"/>
      <c r="P478" s="117"/>
      <c r="Q478" s="118"/>
      <c r="R478" s="118"/>
      <c r="S478" s="117"/>
      <c r="T478" s="117"/>
      <c r="U478" s="118"/>
      <c r="V478" s="118"/>
      <c r="W478" s="117"/>
      <c r="X478" s="117"/>
      <c r="Y478" s="118"/>
      <c r="Z478" s="118"/>
      <c r="AA478" s="117"/>
      <c r="AB478" s="117"/>
      <c r="AC478" s="118"/>
      <c r="AD478" s="118"/>
      <c r="AE478" s="26"/>
      <c r="AF478" s="27"/>
      <c r="AG478" s="28"/>
      <c r="AH478" s="29"/>
    </row>
    <row r="479" spans="1:34" s="11" customFormat="1" x14ac:dyDescent="0.2">
      <c r="A479" s="20" t="str">
        <f t="shared" si="7"/>
        <v/>
      </c>
      <c r="B479" s="25"/>
      <c r="C479" s="116"/>
      <c r="D479" s="116"/>
      <c r="E479" s="31"/>
      <c r="F479" s="133"/>
      <c r="G479" s="117"/>
      <c r="H479" s="117"/>
      <c r="I479" s="118"/>
      <c r="J479" s="118"/>
      <c r="K479" s="117"/>
      <c r="L479" s="117"/>
      <c r="M479" s="118"/>
      <c r="N479" s="118"/>
      <c r="O479" s="117"/>
      <c r="P479" s="117"/>
      <c r="Q479" s="118"/>
      <c r="R479" s="118"/>
      <c r="S479" s="117"/>
      <c r="T479" s="117"/>
      <c r="U479" s="118"/>
      <c r="V479" s="118"/>
      <c r="W479" s="117"/>
      <c r="X479" s="117"/>
      <c r="Y479" s="118"/>
      <c r="Z479" s="118"/>
      <c r="AA479" s="117"/>
      <c r="AB479" s="117"/>
      <c r="AC479" s="118"/>
      <c r="AD479" s="118"/>
      <c r="AE479" s="26"/>
      <c r="AF479" s="27"/>
      <c r="AG479" s="28"/>
      <c r="AH479" s="29"/>
    </row>
    <row r="480" spans="1:34" s="11" customFormat="1" x14ac:dyDescent="0.2">
      <c r="A480" s="20" t="str">
        <f t="shared" si="7"/>
        <v/>
      </c>
      <c r="B480" s="25"/>
      <c r="C480" s="116"/>
      <c r="D480" s="116"/>
      <c r="E480" s="31"/>
      <c r="F480" s="133"/>
      <c r="G480" s="117"/>
      <c r="H480" s="117"/>
      <c r="I480" s="118"/>
      <c r="J480" s="118"/>
      <c r="K480" s="117"/>
      <c r="L480" s="117"/>
      <c r="M480" s="118"/>
      <c r="N480" s="118"/>
      <c r="O480" s="117"/>
      <c r="P480" s="117"/>
      <c r="Q480" s="118"/>
      <c r="R480" s="118"/>
      <c r="S480" s="117"/>
      <c r="T480" s="117"/>
      <c r="U480" s="118"/>
      <c r="V480" s="118"/>
      <c r="W480" s="117"/>
      <c r="X480" s="117"/>
      <c r="Y480" s="118"/>
      <c r="Z480" s="118"/>
      <c r="AA480" s="117"/>
      <c r="AB480" s="117"/>
      <c r="AC480" s="118"/>
      <c r="AD480" s="118"/>
      <c r="AE480" s="26"/>
      <c r="AF480" s="27"/>
      <c r="AG480" s="28"/>
      <c r="AH480" s="29"/>
    </row>
    <row r="481" spans="1:34" s="11" customFormat="1" x14ac:dyDescent="0.2">
      <c r="A481" s="20" t="str">
        <f t="shared" si="7"/>
        <v/>
      </c>
      <c r="B481" s="25"/>
      <c r="C481" s="116"/>
      <c r="D481" s="116"/>
      <c r="E481" s="31"/>
      <c r="F481" s="133"/>
      <c r="G481" s="117"/>
      <c r="H481" s="117"/>
      <c r="I481" s="118"/>
      <c r="J481" s="118"/>
      <c r="K481" s="117"/>
      <c r="L481" s="117"/>
      <c r="M481" s="118"/>
      <c r="N481" s="118"/>
      <c r="O481" s="117"/>
      <c r="P481" s="117"/>
      <c r="Q481" s="118"/>
      <c r="R481" s="118"/>
      <c r="S481" s="117"/>
      <c r="T481" s="117"/>
      <c r="U481" s="118"/>
      <c r="V481" s="118"/>
      <c r="W481" s="117"/>
      <c r="X481" s="117"/>
      <c r="Y481" s="118"/>
      <c r="Z481" s="118"/>
      <c r="AA481" s="117"/>
      <c r="AB481" s="117"/>
      <c r="AC481" s="118"/>
      <c r="AD481" s="118"/>
      <c r="AE481" s="26"/>
      <c r="AF481" s="27"/>
      <c r="AG481" s="28"/>
      <c r="AH481" s="29"/>
    </row>
    <row r="482" spans="1:34" s="11" customFormat="1" x14ac:dyDescent="0.2">
      <c r="A482" s="20" t="str">
        <f t="shared" si="7"/>
        <v/>
      </c>
      <c r="B482" s="25"/>
      <c r="C482" s="116"/>
      <c r="D482" s="116"/>
      <c r="E482" s="31"/>
      <c r="F482" s="133"/>
      <c r="G482" s="117"/>
      <c r="H482" s="117"/>
      <c r="I482" s="118"/>
      <c r="J482" s="118"/>
      <c r="K482" s="117"/>
      <c r="L482" s="117"/>
      <c r="M482" s="118"/>
      <c r="N482" s="118"/>
      <c r="O482" s="117"/>
      <c r="P482" s="117"/>
      <c r="Q482" s="118"/>
      <c r="R482" s="118"/>
      <c r="S482" s="117"/>
      <c r="T482" s="117"/>
      <c r="U482" s="118"/>
      <c r="V482" s="118"/>
      <c r="W482" s="117"/>
      <c r="X482" s="117"/>
      <c r="Y482" s="118"/>
      <c r="Z482" s="118"/>
      <c r="AA482" s="117"/>
      <c r="AB482" s="117"/>
      <c r="AC482" s="118"/>
      <c r="AD482" s="118"/>
      <c r="AE482" s="26"/>
      <c r="AF482" s="27"/>
      <c r="AG482" s="28"/>
      <c r="AH482" s="29"/>
    </row>
    <row r="483" spans="1:34" s="11" customFormat="1" x14ac:dyDescent="0.2">
      <c r="A483" s="20" t="str">
        <f t="shared" si="7"/>
        <v/>
      </c>
      <c r="B483" s="25"/>
      <c r="C483" s="116"/>
      <c r="D483" s="116"/>
      <c r="E483" s="31"/>
      <c r="F483" s="133"/>
      <c r="G483" s="117"/>
      <c r="H483" s="117"/>
      <c r="I483" s="118"/>
      <c r="J483" s="118"/>
      <c r="K483" s="117"/>
      <c r="L483" s="117"/>
      <c r="M483" s="118"/>
      <c r="N483" s="118"/>
      <c r="O483" s="117"/>
      <c r="P483" s="117"/>
      <c r="Q483" s="118"/>
      <c r="R483" s="118"/>
      <c r="S483" s="117"/>
      <c r="T483" s="117"/>
      <c r="U483" s="118"/>
      <c r="V483" s="118"/>
      <c r="W483" s="117"/>
      <c r="X483" s="117"/>
      <c r="Y483" s="118"/>
      <c r="Z483" s="118"/>
      <c r="AA483" s="117"/>
      <c r="AB483" s="117"/>
      <c r="AC483" s="118"/>
      <c r="AD483" s="118"/>
      <c r="AE483" s="26"/>
      <c r="AF483" s="27"/>
      <c r="AG483" s="28"/>
      <c r="AH483" s="29"/>
    </row>
    <row r="484" spans="1:34" s="11" customFormat="1" x14ac:dyDescent="0.2">
      <c r="A484" s="20" t="str">
        <f t="shared" si="7"/>
        <v/>
      </c>
      <c r="B484" s="25"/>
      <c r="C484" s="116"/>
      <c r="D484" s="116"/>
      <c r="E484" s="31"/>
      <c r="F484" s="133"/>
      <c r="G484" s="117"/>
      <c r="H484" s="117"/>
      <c r="I484" s="118"/>
      <c r="J484" s="118"/>
      <c r="K484" s="117"/>
      <c r="L484" s="117"/>
      <c r="M484" s="118"/>
      <c r="N484" s="118"/>
      <c r="O484" s="117"/>
      <c r="P484" s="117"/>
      <c r="Q484" s="118"/>
      <c r="R484" s="118"/>
      <c r="S484" s="117"/>
      <c r="T484" s="117"/>
      <c r="U484" s="118"/>
      <c r="V484" s="118"/>
      <c r="W484" s="117"/>
      <c r="X484" s="117"/>
      <c r="Y484" s="118"/>
      <c r="Z484" s="118"/>
      <c r="AA484" s="117"/>
      <c r="AB484" s="117"/>
      <c r="AC484" s="118"/>
      <c r="AD484" s="118"/>
      <c r="AE484" s="26"/>
      <c r="AF484" s="27"/>
      <c r="AG484" s="28"/>
      <c r="AH484" s="29"/>
    </row>
    <row r="485" spans="1:34" s="11" customFormat="1" x14ac:dyDescent="0.2">
      <c r="A485" s="20" t="str">
        <f t="shared" si="7"/>
        <v/>
      </c>
      <c r="B485" s="25"/>
      <c r="C485" s="116"/>
      <c r="D485" s="116"/>
      <c r="E485" s="31"/>
      <c r="F485" s="133"/>
      <c r="G485" s="117"/>
      <c r="H485" s="117"/>
      <c r="I485" s="118"/>
      <c r="J485" s="118"/>
      <c r="K485" s="117"/>
      <c r="L485" s="117"/>
      <c r="M485" s="118"/>
      <c r="N485" s="118"/>
      <c r="O485" s="117"/>
      <c r="P485" s="117"/>
      <c r="Q485" s="118"/>
      <c r="R485" s="118"/>
      <c r="S485" s="117"/>
      <c r="T485" s="117"/>
      <c r="U485" s="118"/>
      <c r="V485" s="118"/>
      <c r="W485" s="117"/>
      <c r="X485" s="117"/>
      <c r="Y485" s="118"/>
      <c r="Z485" s="118"/>
      <c r="AA485" s="117"/>
      <c r="AB485" s="117"/>
      <c r="AC485" s="118"/>
      <c r="AD485" s="118"/>
      <c r="AE485" s="26"/>
      <c r="AF485" s="27"/>
      <c r="AG485" s="28"/>
      <c r="AH485" s="29"/>
    </row>
    <row r="486" spans="1:34" s="11" customFormat="1" x14ac:dyDescent="0.2">
      <c r="A486" s="20" t="str">
        <f t="shared" si="7"/>
        <v/>
      </c>
      <c r="B486" s="25"/>
      <c r="C486" s="116"/>
      <c r="D486" s="116"/>
      <c r="E486" s="31"/>
      <c r="F486" s="133"/>
      <c r="G486" s="117"/>
      <c r="H486" s="117"/>
      <c r="I486" s="118"/>
      <c r="J486" s="118"/>
      <c r="K486" s="117"/>
      <c r="L486" s="117"/>
      <c r="M486" s="118"/>
      <c r="N486" s="118"/>
      <c r="O486" s="117"/>
      <c r="P486" s="117"/>
      <c r="Q486" s="118"/>
      <c r="R486" s="118"/>
      <c r="S486" s="117"/>
      <c r="T486" s="117"/>
      <c r="U486" s="118"/>
      <c r="V486" s="118"/>
      <c r="W486" s="117"/>
      <c r="X486" s="117"/>
      <c r="Y486" s="118"/>
      <c r="Z486" s="118"/>
      <c r="AA486" s="117"/>
      <c r="AB486" s="117"/>
      <c r="AC486" s="118"/>
      <c r="AD486" s="118"/>
      <c r="AE486" s="26"/>
      <c r="AF486" s="27"/>
      <c r="AG486" s="28"/>
      <c r="AH486" s="29"/>
    </row>
    <row r="487" spans="1:34" s="11" customFormat="1" x14ac:dyDescent="0.2">
      <c r="A487" s="20" t="str">
        <f t="shared" si="7"/>
        <v/>
      </c>
      <c r="B487" s="25"/>
      <c r="C487" s="116"/>
      <c r="D487" s="116"/>
      <c r="E487" s="31"/>
      <c r="F487" s="133"/>
      <c r="G487" s="117"/>
      <c r="H487" s="117"/>
      <c r="I487" s="118"/>
      <c r="J487" s="118"/>
      <c r="K487" s="117"/>
      <c r="L487" s="117"/>
      <c r="M487" s="118"/>
      <c r="N487" s="118"/>
      <c r="O487" s="117"/>
      <c r="P487" s="117"/>
      <c r="Q487" s="118"/>
      <c r="R487" s="118"/>
      <c r="S487" s="117"/>
      <c r="T487" s="117"/>
      <c r="U487" s="118"/>
      <c r="V487" s="118"/>
      <c r="W487" s="117"/>
      <c r="X487" s="117"/>
      <c r="Y487" s="118"/>
      <c r="Z487" s="118"/>
      <c r="AA487" s="117"/>
      <c r="AB487" s="117"/>
      <c r="AC487" s="118"/>
      <c r="AD487" s="118"/>
      <c r="AE487" s="26"/>
      <c r="AF487" s="27"/>
      <c r="AG487" s="28"/>
      <c r="AH487" s="29"/>
    </row>
    <row r="488" spans="1:34" s="11" customFormat="1" x14ac:dyDescent="0.2">
      <c r="A488" s="20" t="str">
        <f t="shared" si="7"/>
        <v/>
      </c>
      <c r="B488" s="25"/>
      <c r="C488" s="116"/>
      <c r="D488" s="116"/>
      <c r="E488" s="31"/>
      <c r="F488" s="133"/>
      <c r="G488" s="117"/>
      <c r="H488" s="117"/>
      <c r="I488" s="118"/>
      <c r="J488" s="118"/>
      <c r="K488" s="117"/>
      <c r="L488" s="117"/>
      <c r="M488" s="118"/>
      <c r="N488" s="118"/>
      <c r="O488" s="117"/>
      <c r="P488" s="117"/>
      <c r="Q488" s="118"/>
      <c r="R488" s="118"/>
      <c r="S488" s="117"/>
      <c r="T488" s="117"/>
      <c r="U488" s="118"/>
      <c r="V488" s="118"/>
      <c r="W488" s="117"/>
      <c r="X488" s="117"/>
      <c r="Y488" s="118"/>
      <c r="Z488" s="118"/>
      <c r="AA488" s="117"/>
      <c r="AB488" s="117"/>
      <c r="AC488" s="118"/>
      <c r="AD488" s="118"/>
      <c r="AE488" s="26"/>
      <c r="AF488" s="27"/>
      <c r="AG488" s="28"/>
      <c r="AH488" s="29"/>
    </row>
    <row r="489" spans="1:34" s="11" customFormat="1" x14ac:dyDescent="0.2">
      <c r="A489" s="20" t="str">
        <f t="shared" si="7"/>
        <v/>
      </c>
      <c r="B489" s="25"/>
      <c r="C489" s="116"/>
      <c r="D489" s="116"/>
      <c r="E489" s="31"/>
      <c r="F489" s="133"/>
      <c r="G489" s="117"/>
      <c r="H489" s="117"/>
      <c r="I489" s="118"/>
      <c r="J489" s="118"/>
      <c r="K489" s="117"/>
      <c r="L489" s="117"/>
      <c r="M489" s="118"/>
      <c r="N489" s="118"/>
      <c r="O489" s="117"/>
      <c r="P489" s="117"/>
      <c r="Q489" s="118"/>
      <c r="R489" s="118"/>
      <c r="S489" s="117"/>
      <c r="T489" s="117"/>
      <c r="U489" s="118"/>
      <c r="V489" s="118"/>
      <c r="W489" s="117"/>
      <c r="X489" s="117"/>
      <c r="Y489" s="118"/>
      <c r="Z489" s="118"/>
      <c r="AA489" s="117"/>
      <c r="AB489" s="117"/>
      <c r="AC489" s="118"/>
      <c r="AD489" s="118"/>
      <c r="AE489" s="26"/>
      <c r="AF489" s="27"/>
      <c r="AG489" s="28"/>
      <c r="AH489" s="29"/>
    </row>
    <row r="490" spans="1:34" s="11" customFormat="1" x14ac:dyDescent="0.2">
      <c r="A490" s="20" t="str">
        <f t="shared" si="7"/>
        <v/>
      </c>
      <c r="B490" s="25"/>
      <c r="C490" s="116"/>
      <c r="D490" s="116"/>
      <c r="E490" s="31"/>
      <c r="F490" s="133"/>
      <c r="G490" s="117"/>
      <c r="H490" s="117"/>
      <c r="I490" s="118"/>
      <c r="J490" s="118"/>
      <c r="K490" s="117"/>
      <c r="L490" s="117"/>
      <c r="M490" s="118"/>
      <c r="N490" s="118"/>
      <c r="O490" s="117"/>
      <c r="P490" s="117"/>
      <c r="Q490" s="118"/>
      <c r="R490" s="118"/>
      <c r="S490" s="117"/>
      <c r="T490" s="117"/>
      <c r="U490" s="118"/>
      <c r="V490" s="118"/>
      <c r="W490" s="117"/>
      <c r="X490" s="117"/>
      <c r="Y490" s="118"/>
      <c r="Z490" s="118"/>
      <c r="AA490" s="117"/>
      <c r="AB490" s="117"/>
      <c r="AC490" s="118"/>
      <c r="AD490" s="118"/>
      <c r="AE490" s="26"/>
      <c r="AF490" s="27"/>
      <c r="AG490" s="28"/>
      <c r="AH490" s="29"/>
    </row>
    <row r="491" spans="1:34" s="11" customFormat="1" x14ac:dyDescent="0.2">
      <c r="A491" s="20" t="str">
        <f t="shared" si="7"/>
        <v/>
      </c>
      <c r="B491" s="25"/>
      <c r="C491" s="116"/>
      <c r="D491" s="116"/>
      <c r="E491" s="31"/>
      <c r="F491" s="133"/>
      <c r="G491" s="117"/>
      <c r="H491" s="117"/>
      <c r="I491" s="118"/>
      <c r="J491" s="118"/>
      <c r="K491" s="117"/>
      <c r="L491" s="117"/>
      <c r="M491" s="118"/>
      <c r="N491" s="118"/>
      <c r="O491" s="117"/>
      <c r="P491" s="117"/>
      <c r="Q491" s="118"/>
      <c r="R491" s="118"/>
      <c r="S491" s="117"/>
      <c r="T491" s="117"/>
      <c r="U491" s="118"/>
      <c r="V491" s="118"/>
      <c r="W491" s="117"/>
      <c r="X491" s="117"/>
      <c r="Y491" s="118"/>
      <c r="Z491" s="118"/>
      <c r="AA491" s="117"/>
      <c r="AB491" s="117"/>
      <c r="AC491" s="118"/>
      <c r="AD491" s="118"/>
      <c r="AE491" s="26"/>
      <c r="AF491" s="27"/>
      <c r="AG491" s="28"/>
      <c r="AH491" s="29"/>
    </row>
    <row r="492" spans="1:34" s="11" customFormat="1" x14ac:dyDescent="0.2">
      <c r="A492" s="20" t="str">
        <f t="shared" si="7"/>
        <v/>
      </c>
      <c r="B492" s="25"/>
      <c r="C492" s="116"/>
      <c r="D492" s="116"/>
      <c r="E492" s="31"/>
      <c r="F492" s="133"/>
      <c r="G492" s="117"/>
      <c r="H492" s="117"/>
      <c r="I492" s="118"/>
      <c r="J492" s="118"/>
      <c r="K492" s="117"/>
      <c r="L492" s="117"/>
      <c r="M492" s="118"/>
      <c r="N492" s="118"/>
      <c r="O492" s="117"/>
      <c r="P492" s="117"/>
      <c r="Q492" s="118"/>
      <c r="R492" s="118"/>
      <c r="S492" s="117"/>
      <c r="T492" s="117"/>
      <c r="U492" s="118"/>
      <c r="V492" s="118"/>
      <c r="W492" s="117"/>
      <c r="X492" s="117"/>
      <c r="Y492" s="118"/>
      <c r="Z492" s="118"/>
      <c r="AA492" s="117"/>
      <c r="AB492" s="117"/>
      <c r="AC492" s="118"/>
      <c r="AD492" s="118"/>
      <c r="AE492" s="26"/>
      <c r="AF492" s="27"/>
      <c r="AG492" s="28"/>
      <c r="AH492" s="29"/>
    </row>
    <row r="493" spans="1:34" s="11" customFormat="1" x14ac:dyDescent="0.2">
      <c r="A493" s="20" t="str">
        <f t="shared" si="7"/>
        <v/>
      </c>
      <c r="B493" s="25"/>
      <c r="C493" s="116"/>
      <c r="D493" s="116"/>
      <c r="E493" s="31"/>
      <c r="F493" s="133"/>
      <c r="G493" s="117"/>
      <c r="H493" s="117"/>
      <c r="I493" s="118"/>
      <c r="J493" s="118"/>
      <c r="K493" s="117"/>
      <c r="L493" s="117"/>
      <c r="M493" s="118"/>
      <c r="N493" s="118"/>
      <c r="O493" s="117"/>
      <c r="P493" s="117"/>
      <c r="Q493" s="118"/>
      <c r="R493" s="118"/>
      <c r="S493" s="117"/>
      <c r="T493" s="117"/>
      <c r="U493" s="118"/>
      <c r="V493" s="118"/>
      <c r="W493" s="117"/>
      <c r="X493" s="117"/>
      <c r="Y493" s="118"/>
      <c r="Z493" s="118"/>
      <c r="AA493" s="117"/>
      <c r="AB493" s="117"/>
      <c r="AC493" s="118"/>
      <c r="AD493" s="118"/>
      <c r="AE493" s="26"/>
      <c r="AF493" s="27"/>
      <c r="AG493" s="28"/>
      <c r="AH493" s="29"/>
    </row>
    <row r="494" spans="1:34" s="11" customFormat="1" x14ac:dyDescent="0.2">
      <c r="A494" s="20" t="str">
        <f t="shared" si="7"/>
        <v/>
      </c>
      <c r="B494" s="25"/>
      <c r="C494" s="116"/>
      <c r="D494" s="116"/>
      <c r="E494" s="31"/>
      <c r="F494" s="133"/>
      <c r="G494" s="117"/>
      <c r="H494" s="117"/>
      <c r="I494" s="118"/>
      <c r="J494" s="118"/>
      <c r="K494" s="117"/>
      <c r="L494" s="117"/>
      <c r="M494" s="118"/>
      <c r="N494" s="118"/>
      <c r="O494" s="117"/>
      <c r="P494" s="117"/>
      <c r="Q494" s="118"/>
      <c r="R494" s="118"/>
      <c r="S494" s="117"/>
      <c r="T494" s="117"/>
      <c r="U494" s="118"/>
      <c r="V494" s="118"/>
      <c r="W494" s="117"/>
      <c r="X494" s="117"/>
      <c r="Y494" s="118"/>
      <c r="Z494" s="118"/>
      <c r="AA494" s="117"/>
      <c r="AB494" s="117"/>
      <c r="AC494" s="118"/>
      <c r="AD494" s="118"/>
      <c r="AE494" s="26"/>
      <c r="AF494" s="27"/>
      <c r="AG494" s="28"/>
      <c r="AH494" s="29"/>
    </row>
    <row r="495" spans="1:34" s="11" customFormat="1" x14ac:dyDescent="0.2">
      <c r="A495" s="20" t="str">
        <f t="shared" si="7"/>
        <v/>
      </c>
      <c r="B495" s="25"/>
      <c r="C495" s="116"/>
      <c r="D495" s="116"/>
      <c r="E495" s="31"/>
      <c r="F495" s="133"/>
      <c r="G495" s="117"/>
      <c r="H495" s="117"/>
      <c r="I495" s="118"/>
      <c r="J495" s="118"/>
      <c r="K495" s="117"/>
      <c r="L495" s="117"/>
      <c r="M495" s="118"/>
      <c r="N495" s="118"/>
      <c r="O495" s="117"/>
      <c r="P495" s="117"/>
      <c r="Q495" s="118"/>
      <c r="R495" s="118"/>
      <c r="S495" s="117"/>
      <c r="T495" s="117"/>
      <c r="U495" s="118"/>
      <c r="V495" s="118"/>
      <c r="W495" s="117"/>
      <c r="X495" s="117"/>
      <c r="Y495" s="118"/>
      <c r="Z495" s="118"/>
      <c r="AA495" s="117"/>
      <c r="AB495" s="117"/>
      <c r="AC495" s="118"/>
      <c r="AD495" s="118"/>
      <c r="AE495" s="26"/>
      <c r="AF495" s="27"/>
      <c r="AG495" s="28"/>
      <c r="AH495" s="29"/>
    </row>
    <row r="496" spans="1:34" s="11" customFormat="1" x14ac:dyDescent="0.2">
      <c r="A496" s="20" t="str">
        <f t="shared" si="7"/>
        <v/>
      </c>
      <c r="B496" s="25"/>
      <c r="C496" s="116"/>
      <c r="D496" s="116"/>
      <c r="E496" s="31"/>
      <c r="F496" s="133"/>
      <c r="G496" s="117"/>
      <c r="H496" s="117"/>
      <c r="I496" s="118"/>
      <c r="J496" s="118"/>
      <c r="K496" s="117"/>
      <c r="L496" s="117"/>
      <c r="M496" s="118"/>
      <c r="N496" s="118"/>
      <c r="O496" s="117"/>
      <c r="P496" s="117"/>
      <c r="Q496" s="118"/>
      <c r="R496" s="118"/>
      <c r="S496" s="117"/>
      <c r="T496" s="117"/>
      <c r="U496" s="118"/>
      <c r="V496" s="118"/>
      <c r="W496" s="117"/>
      <c r="X496" s="117"/>
      <c r="Y496" s="118"/>
      <c r="Z496" s="118"/>
      <c r="AA496" s="117"/>
      <c r="AB496" s="117"/>
      <c r="AC496" s="118"/>
      <c r="AD496" s="118"/>
      <c r="AE496" s="26"/>
      <c r="AF496" s="27"/>
      <c r="AG496" s="28"/>
      <c r="AH496" s="29"/>
    </row>
    <row r="497" spans="1:34" s="11" customFormat="1" x14ac:dyDescent="0.2">
      <c r="A497" s="20" t="str">
        <f t="shared" si="7"/>
        <v/>
      </c>
      <c r="B497" s="25"/>
      <c r="C497" s="116"/>
      <c r="D497" s="116"/>
      <c r="E497" s="31"/>
      <c r="F497" s="133"/>
      <c r="G497" s="117"/>
      <c r="H497" s="117"/>
      <c r="I497" s="118"/>
      <c r="J497" s="118"/>
      <c r="K497" s="117"/>
      <c r="L497" s="117"/>
      <c r="M497" s="118"/>
      <c r="N497" s="118"/>
      <c r="O497" s="117"/>
      <c r="P497" s="117"/>
      <c r="Q497" s="118"/>
      <c r="R497" s="118"/>
      <c r="S497" s="117"/>
      <c r="T497" s="117"/>
      <c r="U497" s="118"/>
      <c r="V497" s="118"/>
      <c r="W497" s="117"/>
      <c r="X497" s="117"/>
      <c r="Y497" s="118"/>
      <c r="Z497" s="118"/>
      <c r="AA497" s="117"/>
      <c r="AB497" s="117"/>
      <c r="AC497" s="118"/>
      <c r="AD497" s="118"/>
      <c r="AE497" s="26"/>
      <c r="AF497" s="27"/>
      <c r="AG497" s="28"/>
      <c r="AH497" s="29"/>
    </row>
    <row r="498" spans="1:34" s="11" customFormat="1" x14ac:dyDescent="0.2">
      <c r="A498" s="20" t="str">
        <f t="shared" si="7"/>
        <v/>
      </c>
      <c r="B498" s="25"/>
      <c r="C498" s="116"/>
      <c r="D498" s="116"/>
      <c r="E498" s="31"/>
      <c r="F498" s="133"/>
      <c r="G498" s="117"/>
      <c r="H498" s="117"/>
      <c r="I498" s="118"/>
      <c r="J498" s="118"/>
      <c r="K498" s="117"/>
      <c r="L498" s="117"/>
      <c r="M498" s="118"/>
      <c r="N498" s="118"/>
      <c r="O498" s="117"/>
      <c r="P498" s="117"/>
      <c r="Q498" s="118"/>
      <c r="R498" s="118"/>
      <c r="S498" s="117"/>
      <c r="T498" s="117"/>
      <c r="U498" s="118"/>
      <c r="V498" s="118"/>
      <c r="W498" s="117"/>
      <c r="X498" s="117"/>
      <c r="Y498" s="118"/>
      <c r="Z498" s="118"/>
      <c r="AA498" s="117"/>
      <c r="AB498" s="117"/>
      <c r="AC498" s="118"/>
      <c r="AD498" s="118"/>
      <c r="AE498" s="26"/>
      <c r="AF498" s="27"/>
      <c r="AG498" s="28"/>
      <c r="AH498" s="29"/>
    </row>
    <row r="499" spans="1:34" s="11" customFormat="1" x14ac:dyDescent="0.2">
      <c r="A499" s="20" t="str">
        <f t="shared" si="7"/>
        <v/>
      </c>
      <c r="B499" s="25"/>
      <c r="C499" s="116"/>
      <c r="D499" s="116"/>
      <c r="E499" s="31"/>
      <c r="F499" s="133"/>
      <c r="G499" s="117"/>
      <c r="H499" s="117"/>
      <c r="I499" s="118"/>
      <c r="J499" s="118"/>
      <c r="K499" s="117"/>
      <c r="L499" s="117"/>
      <c r="M499" s="118"/>
      <c r="N499" s="118"/>
      <c r="O499" s="117"/>
      <c r="P499" s="117"/>
      <c r="Q499" s="118"/>
      <c r="R499" s="118"/>
      <c r="S499" s="117"/>
      <c r="T499" s="117"/>
      <c r="U499" s="118"/>
      <c r="V499" s="118"/>
      <c r="W499" s="117"/>
      <c r="X499" s="117"/>
      <c r="Y499" s="118"/>
      <c r="Z499" s="118"/>
      <c r="AA499" s="117"/>
      <c r="AB499" s="117"/>
      <c r="AC499" s="118"/>
      <c r="AD499" s="118"/>
      <c r="AE499" s="26"/>
      <c r="AF499" s="27"/>
      <c r="AG499" s="28"/>
      <c r="AH499" s="29"/>
    </row>
    <row r="500" spans="1:34" s="11" customFormat="1" x14ac:dyDescent="0.2">
      <c r="A500" s="20" t="str">
        <f t="shared" si="7"/>
        <v/>
      </c>
      <c r="B500" s="25"/>
      <c r="C500" s="116"/>
      <c r="D500" s="116"/>
      <c r="E500" s="31"/>
      <c r="F500" s="133"/>
      <c r="G500" s="117"/>
      <c r="H500" s="117"/>
      <c r="I500" s="118"/>
      <c r="J500" s="118"/>
      <c r="K500" s="117"/>
      <c r="L500" s="117"/>
      <c r="M500" s="118"/>
      <c r="N500" s="118"/>
      <c r="O500" s="117"/>
      <c r="P500" s="117"/>
      <c r="Q500" s="118"/>
      <c r="R500" s="118"/>
      <c r="S500" s="117"/>
      <c r="T500" s="117"/>
      <c r="U500" s="118"/>
      <c r="V500" s="118"/>
      <c r="W500" s="117"/>
      <c r="X500" s="117"/>
      <c r="Y500" s="118"/>
      <c r="Z500" s="118"/>
      <c r="AA500" s="117"/>
      <c r="AB500" s="117"/>
      <c r="AC500" s="118"/>
      <c r="AD500" s="118"/>
      <c r="AE500" s="26"/>
      <c r="AF500" s="27"/>
      <c r="AG500" s="28"/>
      <c r="AH500" s="29"/>
    </row>
    <row r="501" spans="1:34" s="11" customFormat="1" x14ac:dyDescent="0.2">
      <c r="A501" s="20" t="str">
        <f t="shared" si="7"/>
        <v/>
      </c>
      <c r="B501" s="25"/>
      <c r="C501" s="116"/>
      <c r="D501" s="116"/>
      <c r="E501" s="31"/>
      <c r="F501" s="133"/>
      <c r="G501" s="117"/>
      <c r="H501" s="117"/>
      <c r="I501" s="118"/>
      <c r="J501" s="118"/>
      <c r="K501" s="117"/>
      <c r="L501" s="117"/>
      <c r="M501" s="118"/>
      <c r="N501" s="118"/>
      <c r="O501" s="117"/>
      <c r="P501" s="117"/>
      <c r="Q501" s="118"/>
      <c r="R501" s="118"/>
      <c r="S501" s="117"/>
      <c r="T501" s="117"/>
      <c r="U501" s="118"/>
      <c r="V501" s="118"/>
      <c r="W501" s="117"/>
      <c r="X501" s="117"/>
      <c r="Y501" s="118"/>
      <c r="Z501" s="118"/>
      <c r="AA501" s="117"/>
      <c r="AB501" s="117"/>
      <c r="AC501" s="118"/>
      <c r="AD501" s="118"/>
      <c r="AE501" s="26"/>
      <c r="AF501" s="27"/>
      <c r="AG501" s="28"/>
      <c r="AH501" s="29"/>
    </row>
    <row r="502" spans="1:34" s="11" customFormat="1" x14ac:dyDescent="0.2">
      <c r="A502" s="20" t="str">
        <f t="shared" si="7"/>
        <v/>
      </c>
      <c r="B502" s="25"/>
      <c r="C502" s="116"/>
      <c r="D502" s="116"/>
      <c r="E502" s="31"/>
      <c r="F502" s="133"/>
      <c r="G502" s="117"/>
      <c r="H502" s="117"/>
      <c r="I502" s="118"/>
      <c r="J502" s="118"/>
      <c r="K502" s="117"/>
      <c r="L502" s="117"/>
      <c r="M502" s="118"/>
      <c r="N502" s="118"/>
      <c r="O502" s="117"/>
      <c r="P502" s="117"/>
      <c r="Q502" s="118"/>
      <c r="R502" s="118"/>
      <c r="S502" s="117"/>
      <c r="T502" s="117"/>
      <c r="U502" s="118"/>
      <c r="V502" s="118"/>
      <c r="W502" s="117"/>
      <c r="X502" s="117"/>
      <c r="Y502" s="118"/>
      <c r="Z502" s="118"/>
      <c r="AA502" s="117"/>
      <c r="AB502" s="117"/>
      <c r="AC502" s="118"/>
      <c r="AD502" s="118"/>
      <c r="AE502" s="26"/>
      <c r="AF502" s="27"/>
      <c r="AG502" s="28"/>
      <c r="AH502" s="29"/>
    </row>
    <row r="503" spans="1:34" s="11" customFormat="1" x14ac:dyDescent="0.2">
      <c r="A503" s="20" t="str">
        <f t="shared" si="7"/>
        <v/>
      </c>
      <c r="B503" s="25"/>
      <c r="C503" s="116"/>
      <c r="D503" s="116"/>
      <c r="E503" s="31"/>
      <c r="F503" s="133"/>
      <c r="G503" s="117"/>
      <c r="H503" s="117"/>
      <c r="I503" s="118"/>
      <c r="J503" s="118"/>
      <c r="K503" s="117"/>
      <c r="L503" s="117"/>
      <c r="M503" s="118"/>
      <c r="N503" s="118"/>
      <c r="O503" s="117"/>
      <c r="P503" s="117"/>
      <c r="Q503" s="118"/>
      <c r="R503" s="118"/>
      <c r="S503" s="117"/>
      <c r="T503" s="117"/>
      <c r="U503" s="118"/>
      <c r="V503" s="118"/>
      <c r="W503" s="117"/>
      <c r="X503" s="117"/>
      <c r="Y503" s="118"/>
      <c r="Z503" s="118"/>
      <c r="AA503" s="117"/>
      <c r="AB503" s="117"/>
      <c r="AC503" s="118"/>
      <c r="AD503" s="118"/>
      <c r="AE503" s="26"/>
      <c r="AF503" s="27"/>
      <c r="AG503" s="28"/>
      <c r="AH503" s="29"/>
    </row>
    <row r="504" spans="1:34" s="11" customFormat="1" x14ac:dyDescent="0.2">
      <c r="A504" s="20" t="str">
        <f t="shared" si="7"/>
        <v/>
      </c>
      <c r="B504" s="25"/>
      <c r="C504" s="116"/>
      <c r="D504" s="116"/>
      <c r="E504" s="31"/>
      <c r="F504" s="133"/>
      <c r="G504" s="117"/>
      <c r="H504" s="117"/>
      <c r="I504" s="118"/>
      <c r="J504" s="118"/>
      <c r="K504" s="117"/>
      <c r="L504" s="117"/>
      <c r="M504" s="118"/>
      <c r="N504" s="118"/>
      <c r="O504" s="117"/>
      <c r="P504" s="117"/>
      <c r="Q504" s="118"/>
      <c r="R504" s="118"/>
      <c r="S504" s="117"/>
      <c r="T504" s="117"/>
      <c r="U504" s="118"/>
      <c r="V504" s="118"/>
      <c r="W504" s="117"/>
      <c r="X504" s="117"/>
      <c r="Y504" s="118"/>
      <c r="Z504" s="118"/>
      <c r="AA504" s="117"/>
      <c r="AB504" s="117"/>
      <c r="AC504" s="118"/>
      <c r="AD504" s="118"/>
      <c r="AE504" s="26"/>
      <c r="AF504" s="27"/>
      <c r="AG504" s="28"/>
      <c r="AH504" s="29"/>
    </row>
    <row r="505" spans="1:34" x14ac:dyDescent="0.25">
      <c r="A505" s="20" t="str">
        <f t="shared" si="7"/>
        <v/>
      </c>
      <c r="B505" s="25"/>
      <c r="C505" s="116"/>
      <c r="D505" s="116"/>
      <c r="E505" s="31"/>
      <c r="F505" s="133"/>
      <c r="G505" s="117"/>
      <c r="H505" s="117"/>
      <c r="I505" s="118"/>
      <c r="J505" s="118"/>
      <c r="K505" s="117"/>
      <c r="L505" s="117"/>
      <c r="M505" s="118"/>
      <c r="N505" s="118"/>
      <c r="O505" s="117"/>
      <c r="P505" s="117"/>
      <c r="Q505" s="118"/>
      <c r="R505" s="118"/>
      <c r="S505" s="117"/>
      <c r="T505" s="117"/>
      <c r="U505" s="118"/>
      <c r="V505" s="118"/>
      <c r="W505" s="117"/>
      <c r="X505" s="117"/>
      <c r="Y505" s="118"/>
      <c r="Z505" s="118"/>
      <c r="AA505" s="117"/>
      <c r="AB505" s="117"/>
      <c r="AC505" s="118"/>
      <c r="AD505" s="118"/>
      <c r="AE505" s="26"/>
      <c r="AF505" s="27"/>
      <c r="AG505" s="28"/>
      <c r="AH505" s="29"/>
    </row>
    <row r="506" spans="1:34" x14ac:dyDescent="0.25">
      <c r="B506" s="8"/>
      <c r="C506" s="4"/>
      <c r="D506" s="4"/>
    </row>
    <row r="507" spans="1:34" x14ac:dyDescent="0.25">
      <c r="B507" s="8"/>
      <c r="C507" s="4"/>
      <c r="D507" s="4"/>
    </row>
    <row r="508" spans="1:34" x14ac:dyDescent="0.25">
      <c r="B508" s="8"/>
      <c r="C508" s="4"/>
      <c r="D508" s="4"/>
    </row>
    <row r="509" spans="1:34" x14ac:dyDescent="0.25">
      <c r="B509" s="8"/>
      <c r="C509" s="4"/>
      <c r="D509" s="4"/>
    </row>
    <row r="510" spans="1:34" x14ac:dyDescent="0.25">
      <c r="B510" s="8"/>
      <c r="C510" s="4"/>
      <c r="D510" s="4"/>
    </row>
    <row r="511" spans="1:34" x14ac:dyDescent="0.25">
      <c r="B511" s="8"/>
      <c r="C511" s="4"/>
      <c r="D511" s="4"/>
    </row>
    <row r="512" spans="1:34" x14ac:dyDescent="0.25">
      <c r="B512" s="8"/>
      <c r="C512" s="4"/>
      <c r="D512" s="4"/>
    </row>
    <row r="513" spans="2:4" x14ac:dyDescent="0.25">
      <c r="B513" s="8"/>
      <c r="C513" s="4"/>
      <c r="D513" s="4"/>
    </row>
    <row r="514" spans="2:4" x14ac:dyDescent="0.25">
      <c r="B514" s="8"/>
      <c r="C514" s="4"/>
      <c r="D514" s="4"/>
    </row>
    <row r="515" spans="2:4" x14ac:dyDescent="0.25">
      <c r="B515" s="8"/>
      <c r="C515" s="4"/>
      <c r="D515" s="4"/>
    </row>
    <row r="516" spans="2:4" x14ac:dyDescent="0.25">
      <c r="B516" s="8"/>
      <c r="C516" s="4"/>
      <c r="D516" s="4"/>
    </row>
    <row r="517" spans="2:4" x14ac:dyDescent="0.25">
      <c r="B517" s="8"/>
      <c r="C517" s="4"/>
      <c r="D517" s="4"/>
    </row>
    <row r="518" spans="2:4" x14ac:dyDescent="0.25">
      <c r="B518" s="8"/>
      <c r="C518" s="4"/>
      <c r="D518" s="4"/>
    </row>
    <row r="519" spans="2:4" x14ac:dyDescent="0.25">
      <c r="B519" s="8"/>
      <c r="C519" s="4"/>
      <c r="D519" s="4"/>
    </row>
    <row r="520" spans="2:4" x14ac:dyDescent="0.25">
      <c r="B520" s="8"/>
      <c r="C520" s="4"/>
      <c r="D520" s="4"/>
    </row>
    <row r="521" spans="2:4" x14ac:dyDescent="0.25">
      <c r="B521" s="8"/>
      <c r="C521" s="4"/>
      <c r="D521" s="4"/>
    </row>
    <row r="522" spans="2:4" x14ac:dyDescent="0.25">
      <c r="B522" s="8"/>
      <c r="C522" s="4"/>
      <c r="D522" s="4"/>
    </row>
    <row r="523" spans="2:4" x14ac:dyDescent="0.25">
      <c r="B523" s="8"/>
      <c r="C523" s="4"/>
      <c r="D523" s="4"/>
    </row>
    <row r="524" spans="2:4" x14ac:dyDescent="0.25">
      <c r="B524" s="8"/>
      <c r="C524" s="4"/>
      <c r="D524" s="4"/>
    </row>
    <row r="525" spans="2:4" x14ac:dyDescent="0.25">
      <c r="B525" s="8"/>
      <c r="C525" s="4"/>
      <c r="D525" s="4"/>
    </row>
    <row r="526" spans="2:4" x14ac:dyDescent="0.25">
      <c r="B526" s="8"/>
      <c r="C526" s="4"/>
      <c r="D526" s="4"/>
    </row>
    <row r="527" spans="2:4" x14ac:dyDescent="0.25">
      <c r="B527" s="8"/>
      <c r="C527" s="4"/>
      <c r="D527" s="4"/>
    </row>
    <row r="528" spans="2:4" x14ac:dyDescent="0.25">
      <c r="B528" s="8"/>
      <c r="C528" s="4"/>
      <c r="D528" s="4"/>
    </row>
    <row r="529" spans="2:4" x14ac:dyDescent="0.25">
      <c r="B529" s="8"/>
      <c r="C529" s="4"/>
      <c r="D529" s="4"/>
    </row>
    <row r="530" spans="2:4" x14ac:dyDescent="0.25">
      <c r="B530" s="8"/>
      <c r="C530" s="4"/>
      <c r="D530" s="4"/>
    </row>
    <row r="531" spans="2:4" x14ac:dyDescent="0.25">
      <c r="B531" s="8"/>
      <c r="C531" s="4"/>
      <c r="D531" s="4"/>
    </row>
    <row r="532" spans="2:4" x14ac:dyDescent="0.25">
      <c r="B532" s="8"/>
      <c r="C532" s="4"/>
      <c r="D532" s="4"/>
    </row>
    <row r="533" spans="2:4" x14ac:dyDescent="0.25">
      <c r="B533" s="8"/>
      <c r="C533" s="4"/>
      <c r="D533" s="4"/>
    </row>
    <row r="534" spans="2:4" x14ac:dyDescent="0.25">
      <c r="B534" s="8"/>
      <c r="C534" s="4"/>
      <c r="D534" s="4"/>
    </row>
    <row r="535" spans="2:4" x14ac:dyDescent="0.25">
      <c r="B535" s="8"/>
      <c r="C535" s="4"/>
      <c r="D535" s="4"/>
    </row>
    <row r="536" spans="2:4" x14ac:dyDescent="0.25">
      <c r="B536" s="8"/>
      <c r="C536" s="4"/>
      <c r="D536" s="4"/>
    </row>
    <row r="537" spans="2:4" x14ac:dyDescent="0.25">
      <c r="B537" s="8"/>
      <c r="C537" s="4"/>
      <c r="D537" s="4"/>
    </row>
    <row r="538" spans="2:4" x14ac:dyDescent="0.25">
      <c r="B538" s="8"/>
      <c r="C538" s="4"/>
      <c r="D538" s="4"/>
    </row>
    <row r="539" spans="2:4" x14ac:dyDescent="0.25">
      <c r="B539" s="8"/>
      <c r="C539" s="4"/>
      <c r="D539" s="4"/>
    </row>
    <row r="540" spans="2:4" x14ac:dyDescent="0.25">
      <c r="B540" s="8"/>
      <c r="C540" s="4"/>
      <c r="D540" s="4"/>
    </row>
    <row r="541" spans="2:4" x14ac:dyDescent="0.25">
      <c r="B541" s="8"/>
      <c r="C541" s="4"/>
      <c r="D541" s="4"/>
    </row>
    <row r="542" spans="2:4" x14ac:dyDescent="0.25">
      <c r="B542" s="8"/>
      <c r="C542" s="4"/>
      <c r="D542" s="4"/>
    </row>
    <row r="543" spans="2:4" x14ac:dyDescent="0.25">
      <c r="B543" s="8"/>
      <c r="C543" s="4"/>
      <c r="D543" s="4"/>
    </row>
    <row r="544" spans="2:4" x14ac:dyDescent="0.25">
      <c r="B544" s="8"/>
      <c r="C544" s="4"/>
      <c r="D544" s="4"/>
    </row>
    <row r="545" spans="2:4" x14ac:dyDescent="0.25">
      <c r="B545" s="8"/>
      <c r="C545" s="4"/>
      <c r="D545" s="4"/>
    </row>
    <row r="546" spans="2:4" x14ac:dyDescent="0.25">
      <c r="B546" s="8"/>
      <c r="C546" s="4"/>
      <c r="D546" s="4"/>
    </row>
    <row r="547" spans="2:4" x14ac:dyDescent="0.25">
      <c r="B547" s="8"/>
      <c r="C547" s="4"/>
      <c r="D547" s="4"/>
    </row>
    <row r="548" spans="2:4" x14ac:dyDescent="0.25">
      <c r="B548" s="8"/>
      <c r="C548" s="4"/>
      <c r="D548" s="4"/>
    </row>
    <row r="549" spans="2:4" x14ac:dyDescent="0.25">
      <c r="B549" s="8"/>
      <c r="C549" s="4"/>
      <c r="D549" s="4"/>
    </row>
    <row r="550" spans="2:4" x14ac:dyDescent="0.25">
      <c r="B550" s="8"/>
      <c r="C550" s="4"/>
      <c r="D550" s="4"/>
    </row>
    <row r="551" spans="2:4" x14ac:dyDescent="0.25">
      <c r="B551" s="8"/>
      <c r="C551" s="4"/>
      <c r="D551" s="4"/>
    </row>
    <row r="552" spans="2:4" x14ac:dyDescent="0.25">
      <c r="B552" s="8"/>
      <c r="C552" s="4"/>
      <c r="D552" s="4"/>
    </row>
    <row r="553" spans="2:4" x14ac:dyDescent="0.25">
      <c r="B553" s="8"/>
      <c r="C553" s="4"/>
      <c r="D553" s="4"/>
    </row>
    <row r="554" spans="2:4" x14ac:dyDescent="0.25">
      <c r="B554" s="8"/>
      <c r="C554" s="4"/>
      <c r="D554" s="4"/>
    </row>
    <row r="555" spans="2:4" x14ac:dyDescent="0.25">
      <c r="B555" s="8"/>
      <c r="C555" s="4"/>
      <c r="D555" s="4"/>
    </row>
    <row r="556" spans="2:4" x14ac:dyDescent="0.25">
      <c r="B556" s="8"/>
      <c r="C556" s="4"/>
      <c r="D556" s="4"/>
    </row>
    <row r="557" spans="2:4" x14ac:dyDescent="0.25">
      <c r="B557" s="8"/>
      <c r="C557" s="4"/>
      <c r="D557" s="4"/>
    </row>
    <row r="558" spans="2:4" x14ac:dyDescent="0.25">
      <c r="B558" s="8"/>
      <c r="C558" s="4"/>
      <c r="D558" s="4"/>
    </row>
    <row r="559" spans="2:4" x14ac:dyDescent="0.25">
      <c r="B559" s="8"/>
      <c r="C559" s="4"/>
      <c r="D559" s="4"/>
    </row>
    <row r="560" spans="2:4" x14ac:dyDescent="0.25">
      <c r="B560" s="8"/>
      <c r="C560" s="4"/>
      <c r="D560" s="4"/>
    </row>
    <row r="561" spans="2:4" x14ac:dyDescent="0.25">
      <c r="B561" s="8"/>
      <c r="C561" s="4"/>
      <c r="D561" s="4"/>
    </row>
    <row r="562" spans="2:4" x14ac:dyDescent="0.25">
      <c r="B562" s="8"/>
      <c r="C562" s="4"/>
      <c r="D562" s="4"/>
    </row>
    <row r="563" spans="2:4" x14ac:dyDescent="0.25">
      <c r="B563" s="8"/>
      <c r="C563" s="4"/>
      <c r="D563" s="4"/>
    </row>
    <row r="564" spans="2:4" x14ac:dyDescent="0.25">
      <c r="B564" s="8"/>
      <c r="C564" s="4"/>
      <c r="D564" s="4"/>
    </row>
    <row r="565" spans="2:4" x14ac:dyDescent="0.25">
      <c r="B565" s="8"/>
      <c r="C565" s="4"/>
      <c r="D565" s="4"/>
    </row>
    <row r="566" spans="2:4" x14ac:dyDescent="0.25">
      <c r="B566" s="8"/>
      <c r="C566" s="4"/>
      <c r="D566" s="4"/>
    </row>
    <row r="567" spans="2:4" x14ac:dyDescent="0.25">
      <c r="B567" s="8"/>
      <c r="C567" s="4"/>
      <c r="D567" s="4"/>
    </row>
    <row r="568" spans="2:4" x14ac:dyDescent="0.25">
      <c r="B568" s="8"/>
      <c r="C568" s="4"/>
      <c r="D568" s="4"/>
    </row>
    <row r="569" spans="2:4" x14ac:dyDescent="0.25">
      <c r="B569" s="8"/>
      <c r="C569" s="4"/>
      <c r="D569" s="4"/>
    </row>
    <row r="570" spans="2:4" x14ac:dyDescent="0.25">
      <c r="B570" s="8"/>
      <c r="C570" s="4"/>
      <c r="D570" s="4"/>
    </row>
    <row r="571" spans="2:4" x14ac:dyDescent="0.25">
      <c r="B571" s="8"/>
      <c r="C571" s="4"/>
      <c r="D571" s="4"/>
    </row>
    <row r="572" spans="2:4" x14ac:dyDescent="0.25">
      <c r="B572" s="8"/>
      <c r="C572" s="4"/>
      <c r="D572" s="4"/>
    </row>
    <row r="573" spans="2:4" x14ac:dyDescent="0.25">
      <c r="B573" s="8"/>
      <c r="C573" s="4"/>
      <c r="D573" s="4"/>
    </row>
    <row r="574" spans="2:4" x14ac:dyDescent="0.25">
      <c r="B574" s="8"/>
      <c r="C574" s="4"/>
      <c r="D574" s="4"/>
    </row>
    <row r="575" spans="2:4" x14ac:dyDescent="0.25">
      <c r="B575" s="8"/>
      <c r="C575" s="4"/>
      <c r="D575" s="4"/>
    </row>
    <row r="576" spans="2:4" x14ac:dyDescent="0.25">
      <c r="B576" s="8"/>
      <c r="C576" s="4"/>
      <c r="D576" s="4"/>
    </row>
    <row r="577" spans="2:4" x14ac:dyDescent="0.25">
      <c r="B577" s="8"/>
      <c r="C577" s="4"/>
      <c r="D577" s="4"/>
    </row>
    <row r="578" spans="2:4" x14ac:dyDescent="0.25">
      <c r="B578" s="8"/>
      <c r="C578" s="4"/>
      <c r="D578" s="4"/>
    </row>
    <row r="579" spans="2:4" x14ac:dyDescent="0.25">
      <c r="B579" s="8"/>
      <c r="C579" s="4"/>
      <c r="D579" s="4"/>
    </row>
    <row r="580" spans="2:4" x14ac:dyDescent="0.25">
      <c r="B580" s="8"/>
      <c r="C580" s="4"/>
      <c r="D580" s="4"/>
    </row>
    <row r="581" spans="2:4" x14ac:dyDescent="0.25">
      <c r="B581" s="8"/>
      <c r="C581" s="4"/>
      <c r="D581" s="4"/>
    </row>
    <row r="582" spans="2:4" x14ac:dyDescent="0.25">
      <c r="B582" s="8"/>
      <c r="C582" s="4"/>
      <c r="D582" s="4"/>
    </row>
    <row r="583" spans="2:4" x14ac:dyDescent="0.25">
      <c r="B583" s="8"/>
      <c r="C583" s="4"/>
      <c r="D583" s="4"/>
    </row>
    <row r="584" spans="2:4" x14ac:dyDescent="0.25">
      <c r="B584" s="8"/>
      <c r="C584" s="4"/>
      <c r="D584" s="4"/>
    </row>
    <row r="585" spans="2:4" x14ac:dyDescent="0.25">
      <c r="B585" s="8"/>
      <c r="C585" s="4"/>
      <c r="D585" s="4"/>
    </row>
    <row r="586" spans="2:4" x14ac:dyDescent="0.25">
      <c r="B586" s="8"/>
      <c r="C586" s="4"/>
      <c r="D586" s="4"/>
    </row>
    <row r="587" spans="2:4" x14ac:dyDescent="0.25">
      <c r="B587" s="8"/>
      <c r="C587" s="4"/>
      <c r="D587" s="4"/>
    </row>
    <row r="588" spans="2:4" x14ac:dyDescent="0.25">
      <c r="B588" s="8"/>
      <c r="C588" s="4"/>
      <c r="D588" s="4"/>
    </row>
    <row r="589" spans="2:4" x14ac:dyDescent="0.25">
      <c r="B589" s="8"/>
      <c r="C589" s="4"/>
      <c r="D589" s="4"/>
    </row>
    <row r="590" spans="2:4" x14ac:dyDescent="0.25">
      <c r="B590" s="8"/>
      <c r="C590" s="4"/>
      <c r="D590" s="4"/>
    </row>
    <row r="591" spans="2:4" x14ac:dyDescent="0.25">
      <c r="B591" s="8"/>
      <c r="C591" s="4"/>
      <c r="D591" s="4"/>
    </row>
    <row r="592" spans="2:4" x14ac:dyDescent="0.25">
      <c r="B592" s="8"/>
      <c r="C592" s="4"/>
      <c r="D592" s="4"/>
    </row>
    <row r="593" spans="2:4" x14ac:dyDescent="0.25">
      <c r="B593" s="8"/>
      <c r="C593" s="4"/>
      <c r="D593" s="4"/>
    </row>
    <row r="594" spans="2:4" x14ac:dyDescent="0.25">
      <c r="B594" s="8"/>
      <c r="C594" s="4"/>
      <c r="D594" s="4"/>
    </row>
    <row r="595" spans="2:4" x14ac:dyDescent="0.25">
      <c r="B595" s="8"/>
      <c r="C595" s="4"/>
      <c r="D595" s="4"/>
    </row>
    <row r="596" spans="2:4" x14ac:dyDescent="0.25">
      <c r="B596" s="8"/>
      <c r="C596" s="4"/>
      <c r="D596" s="4"/>
    </row>
    <row r="597" spans="2:4" x14ac:dyDescent="0.25">
      <c r="B597" s="8"/>
      <c r="C597" s="4"/>
      <c r="D597" s="4"/>
    </row>
    <row r="598" spans="2:4" x14ac:dyDescent="0.25">
      <c r="B598" s="8"/>
      <c r="C598" s="4"/>
      <c r="D598" s="4"/>
    </row>
    <row r="599" spans="2:4" x14ac:dyDescent="0.25">
      <c r="B599" s="8"/>
      <c r="C599" s="4"/>
      <c r="D599" s="4"/>
    </row>
    <row r="600" spans="2:4" x14ac:dyDescent="0.25">
      <c r="B600" s="8"/>
      <c r="C600" s="4"/>
      <c r="D600" s="4"/>
    </row>
    <row r="601" spans="2:4" x14ac:dyDescent="0.25">
      <c r="B601" s="8"/>
      <c r="C601" s="4"/>
      <c r="D601" s="4"/>
    </row>
    <row r="602" spans="2:4" x14ac:dyDescent="0.25">
      <c r="B602" s="8"/>
      <c r="C602" s="4"/>
      <c r="D602" s="4"/>
    </row>
    <row r="603" spans="2:4" x14ac:dyDescent="0.25">
      <c r="B603" s="8"/>
      <c r="C603" s="4"/>
      <c r="D603" s="4"/>
    </row>
    <row r="604" spans="2:4" x14ac:dyDescent="0.25">
      <c r="B604" s="8"/>
      <c r="C604" s="4"/>
      <c r="D604" s="4"/>
    </row>
    <row r="605" spans="2:4" x14ac:dyDescent="0.25">
      <c r="B605" s="8"/>
      <c r="C605" s="4"/>
      <c r="D605" s="4"/>
    </row>
    <row r="606" spans="2:4" x14ac:dyDescent="0.25">
      <c r="B606" s="8"/>
      <c r="C606" s="4"/>
      <c r="D606" s="4"/>
    </row>
    <row r="607" spans="2:4" x14ac:dyDescent="0.25">
      <c r="B607" s="8"/>
      <c r="C607" s="4"/>
      <c r="D607" s="4"/>
    </row>
    <row r="608" spans="2:4" x14ac:dyDescent="0.25">
      <c r="B608" s="8"/>
      <c r="C608" s="4"/>
      <c r="D608" s="4"/>
    </row>
    <row r="609" spans="2:4" x14ac:dyDescent="0.25">
      <c r="B609" s="8"/>
      <c r="C609" s="4"/>
      <c r="D609" s="4"/>
    </row>
    <row r="610" spans="2:4" x14ac:dyDescent="0.25">
      <c r="B610" s="8"/>
      <c r="C610" s="4"/>
      <c r="D610" s="4"/>
    </row>
    <row r="611" spans="2:4" x14ac:dyDescent="0.25">
      <c r="B611" s="8"/>
      <c r="C611" s="4"/>
      <c r="D611" s="4"/>
    </row>
    <row r="612" spans="2:4" x14ac:dyDescent="0.25">
      <c r="B612" s="8"/>
      <c r="C612" s="4"/>
      <c r="D612" s="4"/>
    </row>
    <row r="613" spans="2:4" x14ac:dyDescent="0.25">
      <c r="B613" s="8"/>
      <c r="C613" s="4"/>
      <c r="D613" s="4"/>
    </row>
    <row r="614" spans="2:4" x14ac:dyDescent="0.25">
      <c r="B614" s="8"/>
      <c r="C614" s="4"/>
      <c r="D614" s="4"/>
    </row>
    <row r="615" spans="2:4" x14ac:dyDescent="0.25">
      <c r="B615" s="8"/>
      <c r="C615" s="4"/>
      <c r="D615" s="4"/>
    </row>
    <row r="616" spans="2:4" x14ac:dyDescent="0.25">
      <c r="B616" s="8"/>
      <c r="C616" s="4"/>
      <c r="D616" s="4"/>
    </row>
    <row r="617" spans="2:4" x14ac:dyDescent="0.25">
      <c r="B617" s="8"/>
      <c r="C617" s="4"/>
      <c r="D617" s="4"/>
    </row>
    <row r="618" spans="2:4" x14ac:dyDescent="0.25">
      <c r="B618" s="8"/>
      <c r="C618" s="4"/>
      <c r="D618" s="4"/>
    </row>
    <row r="619" spans="2:4" x14ac:dyDescent="0.25">
      <c r="B619" s="8"/>
      <c r="C619" s="4"/>
      <c r="D619" s="4"/>
    </row>
    <row r="620" spans="2:4" x14ac:dyDescent="0.25">
      <c r="B620" s="8"/>
      <c r="C620" s="4"/>
      <c r="D620" s="4"/>
    </row>
    <row r="621" spans="2:4" x14ac:dyDescent="0.25">
      <c r="B621" s="8"/>
      <c r="C621" s="4"/>
      <c r="D621" s="4"/>
    </row>
    <row r="622" spans="2:4" x14ac:dyDescent="0.25">
      <c r="B622" s="8"/>
      <c r="C622" s="4"/>
      <c r="D622" s="4"/>
    </row>
    <row r="623" spans="2:4" x14ac:dyDescent="0.25">
      <c r="B623" s="8"/>
      <c r="C623" s="4"/>
      <c r="D623" s="4"/>
    </row>
    <row r="624" spans="2:4" x14ac:dyDescent="0.25">
      <c r="B624" s="8"/>
      <c r="C624" s="4"/>
      <c r="D624" s="4"/>
    </row>
    <row r="625" spans="2:4" x14ac:dyDescent="0.25">
      <c r="B625" s="8"/>
      <c r="C625" s="4"/>
      <c r="D625" s="4"/>
    </row>
    <row r="626" spans="2:4" x14ac:dyDescent="0.25">
      <c r="B626" s="8"/>
      <c r="C626" s="4"/>
      <c r="D626" s="4"/>
    </row>
    <row r="627" spans="2:4" x14ac:dyDescent="0.25">
      <c r="B627" s="8"/>
      <c r="C627" s="4"/>
      <c r="D627" s="4"/>
    </row>
    <row r="628" spans="2:4" x14ac:dyDescent="0.25">
      <c r="B628" s="8"/>
      <c r="C628" s="4"/>
      <c r="D628" s="4"/>
    </row>
    <row r="629" spans="2:4" x14ac:dyDescent="0.25">
      <c r="B629" s="8"/>
      <c r="C629" s="4"/>
      <c r="D629" s="4"/>
    </row>
    <row r="630" spans="2:4" x14ac:dyDescent="0.25">
      <c r="B630" s="8"/>
      <c r="C630" s="4"/>
      <c r="D630" s="4"/>
    </row>
    <row r="631" spans="2:4" x14ac:dyDescent="0.25">
      <c r="B631" s="8"/>
      <c r="C631" s="4"/>
      <c r="D631" s="4"/>
    </row>
    <row r="632" spans="2:4" x14ac:dyDescent="0.25">
      <c r="B632" s="8"/>
      <c r="C632" s="4"/>
      <c r="D632" s="4"/>
    </row>
    <row r="633" spans="2:4" x14ac:dyDescent="0.25">
      <c r="B633" s="8"/>
      <c r="C633" s="4"/>
      <c r="D633" s="4"/>
    </row>
    <row r="634" spans="2:4" x14ac:dyDescent="0.25">
      <c r="B634" s="8"/>
      <c r="C634" s="4"/>
      <c r="D634" s="4"/>
    </row>
    <row r="635" spans="2:4" x14ac:dyDescent="0.25">
      <c r="B635" s="8"/>
      <c r="C635" s="4"/>
      <c r="D635" s="4"/>
    </row>
    <row r="636" spans="2:4" x14ac:dyDescent="0.25">
      <c r="B636" s="8"/>
      <c r="C636" s="4"/>
      <c r="D636" s="4"/>
    </row>
    <row r="637" spans="2:4" x14ac:dyDescent="0.25">
      <c r="B637" s="8"/>
      <c r="C637" s="4"/>
      <c r="D637" s="4"/>
    </row>
    <row r="638" spans="2:4" x14ac:dyDescent="0.25">
      <c r="B638" s="8"/>
      <c r="C638" s="4"/>
      <c r="D638" s="4"/>
    </row>
    <row r="639" spans="2:4" x14ac:dyDescent="0.25">
      <c r="B639" s="8"/>
      <c r="C639" s="4"/>
      <c r="D639" s="4"/>
    </row>
    <row r="640" spans="2:4" x14ac:dyDescent="0.25">
      <c r="B640" s="8"/>
      <c r="C640" s="4"/>
      <c r="D640" s="4"/>
    </row>
    <row r="641" spans="2:4" x14ac:dyDescent="0.25">
      <c r="B641" s="8"/>
      <c r="C641" s="4"/>
      <c r="D641" s="4"/>
    </row>
    <row r="642" spans="2:4" x14ac:dyDescent="0.25">
      <c r="B642" s="8"/>
      <c r="C642" s="4"/>
      <c r="D642" s="4"/>
    </row>
    <row r="643" spans="2:4" x14ac:dyDescent="0.25">
      <c r="B643" s="8"/>
      <c r="C643" s="4"/>
      <c r="D643" s="4"/>
    </row>
    <row r="644" spans="2:4" x14ac:dyDescent="0.25">
      <c r="B644" s="8"/>
      <c r="C644" s="4"/>
      <c r="D644" s="4"/>
    </row>
    <row r="645" spans="2:4" x14ac:dyDescent="0.25">
      <c r="B645" s="8"/>
      <c r="C645" s="4"/>
      <c r="D645" s="4"/>
    </row>
    <row r="646" spans="2:4" x14ac:dyDescent="0.25">
      <c r="B646" s="8"/>
      <c r="C646" s="4"/>
      <c r="D646" s="4"/>
    </row>
    <row r="647" spans="2:4" x14ac:dyDescent="0.25">
      <c r="B647" s="8"/>
      <c r="C647" s="4"/>
      <c r="D647" s="4"/>
    </row>
    <row r="648" spans="2:4" x14ac:dyDescent="0.25">
      <c r="B648" s="8"/>
      <c r="C648" s="4"/>
      <c r="D648" s="4"/>
    </row>
    <row r="649" spans="2:4" x14ac:dyDescent="0.25">
      <c r="B649" s="8"/>
      <c r="C649" s="4"/>
      <c r="D649" s="4"/>
    </row>
    <row r="650" spans="2:4" x14ac:dyDescent="0.25">
      <c r="B650" s="8"/>
      <c r="C650" s="4"/>
      <c r="D650" s="4"/>
    </row>
    <row r="651" spans="2:4" x14ac:dyDescent="0.25">
      <c r="B651" s="8"/>
      <c r="C651" s="4"/>
      <c r="D651" s="4"/>
    </row>
    <row r="652" spans="2:4" x14ac:dyDescent="0.25">
      <c r="B652" s="8"/>
      <c r="C652" s="4"/>
      <c r="D652" s="4"/>
    </row>
    <row r="653" spans="2:4" x14ac:dyDescent="0.25">
      <c r="B653" s="8"/>
      <c r="C653" s="4"/>
      <c r="D653" s="4"/>
    </row>
    <row r="654" spans="2:4" x14ac:dyDescent="0.25">
      <c r="B654" s="8"/>
      <c r="C654" s="4"/>
      <c r="D654" s="4"/>
    </row>
    <row r="655" spans="2:4" x14ac:dyDescent="0.25">
      <c r="B655" s="8"/>
      <c r="C655" s="4"/>
      <c r="D655" s="4"/>
    </row>
    <row r="656" spans="2:4" x14ac:dyDescent="0.25">
      <c r="B656" s="8"/>
      <c r="C656" s="4"/>
      <c r="D656" s="4"/>
    </row>
    <row r="657" spans="2:4" x14ac:dyDescent="0.25">
      <c r="B657" s="8"/>
      <c r="C657" s="4"/>
      <c r="D657" s="4"/>
    </row>
    <row r="658" spans="2:4" x14ac:dyDescent="0.25">
      <c r="B658" s="8"/>
      <c r="C658" s="4"/>
      <c r="D658" s="4"/>
    </row>
    <row r="659" spans="2:4" x14ac:dyDescent="0.25">
      <c r="B659" s="8"/>
      <c r="C659" s="4"/>
      <c r="D659" s="4"/>
    </row>
    <row r="660" spans="2:4" x14ac:dyDescent="0.25">
      <c r="B660" s="8"/>
      <c r="C660" s="4"/>
      <c r="D660" s="4"/>
    </row>
    <row r="661" spans="2:4" x14ac:dyDescent="0.25">
      <c r="B661" s="8"/>
      <c r="C661" s="4"/>
      <c r="D661" s="4"/>
    </row>
    <row r="662" spans="2:4" x14ac:dyDescent="0.25">
      <c r="B662" s="8"/>
      <c r="C662" s="4"/>
      <c r="D662" s="4"/>
    </row>
    <row r="663" spans="2:4" x14ac:dyDescent="0.25">
      <c r="B663" s="8"/>
      <c r="C663" s="4"/>
      <c r="D663" s="4"/>
    </row>
    <row r="664" spans="2:4" x14ac:dyDescent="0.25">
      <c r="B664" s="8"/>
      <c r="C664" s="4"/>
      <c r="D664" s="4"/>
    </row>
    <row r="665" spans="2:4" x14ac:dyDescent="0.25">
      <c r="B665" s="8"/>
      <c r="C665" s="4"/>
      <c r="D665" s="4"/>
    </row>
    <row r="666" spans="2:4" x14ac:dyDescent="0.25">
      <c r="B666" s="8"/>
      <c r="C666" s="4"/>
      <c r="D666" s="4"/>
    </row>
    <row r="667" spans="2:4" x14ac:dyDescent="0.25">
      <c r="B667" s="8"/>
      <c r="C667" s="4"/>
      <c r="D667" s="4"/>
    </row>
    <row r="668" spans="2:4" x14ac:dyDescent="0.25">
      <c r="B668" s="8"/>
      <c r="C668" s="4"/>
      <c r="D668" s="4"/>
    </row>
    <row r="669" spans="2:4" x14ac:dyDescent="0.25">
      <c r="B669" s="8"/>
      <c r="C669" s="4"/>
      <c r="D669" s="4"/>
    </row>
    <row r="670" spans="2:4" x14ac:dyDescent="0.25">
      <c r="B670" s="8"/>
      <c r="C670" s="4"/>
      <c r="D670" s="4"/>
    </row>
    <row r="671" spans="2:4" x14ac:dyDescent="0.25">
      <c r="B671" s="8"/>
      <c r="C671" s="4"/>
      <c r="D671" s="4"/>
    </row>
    <row r="672" spans="2:4" x14ac:dyDescent="0.25">
      <c r="B672" s="8"/>
      <c r="C672" s="4"/>
      <c r="D672" s="4"/>
    </row>
    <row r="673" spans="2:4" x14ac:dyDescent="0.25">
      <c r="B673" s="8"/>
      <c r="C673" s="4"/>
      <c r="D673" s="4"/>
    </row>
    <row r="674" spans="2:4" x14ac:dyDescent="0.25">
      <c r="B674" s="8"/>
      <c r="C674" s="4"/>
      <c r="D674" s="4"/>
    </row>
    <row r="675" spans="2:4" x14ac:dyDescent="0.25">
      <c r="B675" s="8"/>
      <c r="C675" s="4"/>
      <c r="D675" s="4"/>
    </row>
    <row r="676" spans="2:4" x14ac:dyDescent="0.25">
      <c r="B676" s="8"/>
      <c r="C676" s="4"/>
      <c r="D676" s="4"/>
    </row>
    <row r="677" spans="2:4" x14ac:dyDescent="0.25">
      <c r="B677" s="8"/>
      <c r="C677" s="4"/>
      <c r="D677" s="4"/>
    </row>
    <row r="678" spans="2:4" x14ac:dyDescent="0.25">
      <c r="B678" s="8"/>
      <c r="C678" s="4"/>
      <c r="D678" s="4"/>
    </row>
    <row r="679" spans="2:4" x14ac:dyDescent="0.25">
      <c r="B679" s="8"/>
      <c r="C679" s="4"/>
      <c r="D679" s="4"/>
    </row>
    <row r="680" spans="2:4" x14ac:dyDescent="0.25">
      <c r="B680" s="8"/>
      <c r="C680" s="4"/>
      <c r="D680" s="4"/>
    </row>
    <row r="681" spans="2:4" x14ac:dyDescent="0.25">
      <c r="B681" s="8"/>
      <c r="C681" s="4"/>
      <c r="D681" s="4"/>
    </row>
    <row r="682" spans="2:4" x14ac:dyDescent="0.25">
      <c r="B682" s="8"/>
      <c r="C682" s="4"/>
      <c r="D682" s="4"/>
    </row>
    <row r="683" spans="2:4" x14ac:dyDescent="0.25">
      <c r="B683" s="8"/>
      <c r="C683" s="4"/>
      <c r="D683" s="4"/>
    </row>
    <row r="684" spans="2:4" x14ac:dyDescent="0.25">
      <c r="B684" s="8"/>
      <c r="C684" s="4"/>
      <c r="D684" s="4"/>
    </row>
    <row r="685" spans="2:4" x14ac:dyDescent="0.25">
      <c r="B685" s="8"/>
      <c r="C685" s="4"/>
      <c r="D685" s="4"/>
    </row>
    <row r="686" spans="2:4" x14ac:dyDescent="0.25">
      <c r="B686" s="8"/>
      <c r="C686" s="4"/>
      <c r="D686" s="4"/>
    </row>
    <row r="687" spans="2:4" x14ac:dyDescent="0.25">
      <c r="B687" s="8"/>
      <c r="C687" s="4"/>
      <c r="D687" s="4"/>
    </row>
    <row r="688" spans="2:4" x14ac:dyDescent="0.25">
      <c r="B688" s="8"/>
      <c r="C688" s="4"/>
      <c r="D688" s="4"/>
    </row>
    <row r="689" spans="2:4" x14ac:dyDescent="0.25">
      <c r="B689" s="8"/>
      <c r="C689" s="4"/>
      <c r="D689" s="4"/>
    </row>
    <row r="690" spans="2:4" x14ac:dyDescent="0.25">
      <c r="B690" s="8"/>
      <c r="C690" s="4"/>
      <c r="D690" s="4"/>
    </row>
    <row r="691" spans="2:4" x14ac:dyDescent="0.25">
      <c r="B691" s="8"/>
      <c r="C691" s="4"/>
      <c r="D691" s="4"/>
    </row>
    <row r="692" spans="2:4" x14ac:dyDescent="0.25">
      <c r="B692" s="8"/>
      <c r="C692" s="4"/>
      <c r="D692" s="4"/>
    </row>
    <row r="693" spans="2:4" x14ac:dyDescent="0.25">
      <c r="B693" s="8"/>
      <c r="C693" s="4"/>
      <c r="D693" s="4"/>
    </row>
    <row r="694" spans="2:4" x14ac:dyDescent="0.25">
      <c r="B694" s="8"/>
      <c r="C694" s="4"/>
      <c r="D694" s="4"/>
    </row>
    <row r="695" spans="2:4" x14ac:dyDescent="0.25">
      <c r="B695" s="8"/>
      <c r="C695" s="4"/>
      <c r="D695" s="4"/>
    </row>
    <row r="696" spans="2:4" x14ac:dyDescent="0.25">
      <c r="B696" s="8"/>
      <c r="C696" s="4"/>
      <c r="D696" s="4"/>
    </row>
    <row r="697" spans="2:4" x14ac:dyDescent="0.25">
      <c r="B697" s="8"/>
      <c r="C697" s="4"/>
      <c r="D697" s="4"/>
    </row>
    <row r="698" spans="2:4" x14ac:dyDescent="0.25">
      <c r="B698" s="8"/>
      <c r="C698" s="4"/>
      <c r="D698" s="4"/>
    </row>
    <row r="699" spans="2:4" x14ac:dyDescent="0.25">
      <c r="B699" s="8"/>
      <c r="C699" s="4"/>
      <c r="D699" s="4"/>
    </row>
    <row r="700" spans="2:4" x14ac:dyDescent="0.25">
      <c r="B700" s="8"/>
      <c r="C700" s="4"/>
      <c r="D700" s="4"/>
    </row>
    <row r="701" spans="2:4" x14ac:dyDescent="0.25">
      <c r="B701" s="8"/>
      <c r="C701" s="4"/>
      <c r="D701" s="4"/>
    </row>
    <row r="702" spans="2:4" x14ac:dyDescent="0.25">
      <c r="B702" s="8"/>
      <c r="C702" s="4"/>
      <c r="D702" s="4"/>
    </row>
    <row r="703" spans="2:4" x14ac:dyDescent="0.25">
      <c r="B703" s="8"/>
      <c r="C703" s="4"/>
      <c r="D703" s="4"/>
    </row>
    <row r="704" spans="2:4" x14ac:dyDescent="0.25">
      <c r="B704" s="8"/>
      <c r="C704" s="4"/>
      <c r="D704" s="4"/>
    </row>
    <row r="705" spans="2:4" x14ac:dyDescent="0.25">
      <c r="B705" s="8"/>
      <c r="C705" s="4"/>
      <c r="D705" s="4"/>
    </row>
    <row r="706" spans="2:4" x14ac:dyDescent="0.25">
      <c r="B706" s="8"/>
      <c r="C706" s="4"/>
      <c r="D706" s="4"/>
    </row>
    <row r="707" spans="2:4" x14ac:dyDescent="0.25">
      <c r="B707" s="8"/>
      <c r="C707" s="4"/>
      <c r="D707" s="4"/>
    </row>
    <row r="708" spans="2:4" x14ac:dyDescent="0.25">
      <c r="B708" s="8"/>
      <c r="C708" s="4"/>
      <c r="D708" s="4"/>
    </row>
    <row r="709" spans="2:4" x14ac:dyDescent="0.25">
      <c r="B709" s="8"/>
      <c r="C709" s="4"/>
      <c r="D709" s="4"/>
    </row>
    <row r="710" spans="2:4" x14ac:dyDescent="0.25">
      <c r="B710" s="8"/>
      <c r="C710" s="4"/>
      <c r="D710" s="4"/>
    </row>
    <row r="711" spans="2:4" x14ac:dyDescent="0.25">
      <c r="B711" s="8"/>
      <c r="C711" s="4"/>
      <c r="D711" s="4"/>
    </row>
    <row r="712" spans="2:4" x14ac:dyDescent="0.25">
      <c r="B712" s="8"/>
      <c r="C712" s="4"/>
      <c r="D712" s="4"/>
    </row>
    <row r="713" spans="2:4" x14ac:dyDescent="0.25">
      <c r="B713" s="8"/>
      <c r="C713" s="4"/>
      <c r="D713" s="4"/>
    </row>
    <row r="714" spans="2:4" x14ac:dyDescent="0.25">
      <c r="B714" s="8"/>
      <c r="C714" s="4"/>
      <c r="D714" s="4"/>
    </row>
    <row r="715" spans="2:4" x14ac:dyDescent="0.25">
      <c r="B715" s="8"/>
      <c r="C715" s="4"/>
      <c r="D715" s="4"/>
    </row>
    <row r="716" spans="2:4" x14ac:dyDescent="0.25">
      <c r="B716" s="8"/>
      <c r="C716" s="4"/>
      <c r="D716" s="4"/>
    </row>
    <row r="717" spans="2:4" x14ac:dyDescent="0.25">
      <c r="B717" s="8"/>
      <c r="C717" s="4"/>
      <c r="D717" s="4"/>
    </row>
    <row r="718" spans="2:4" x14ac:dyDescent="0.25">
      <c r="B718" s="8"/>
      <c r="C718" s="4"/>
      <c r="D718" s="4"/>
    </row>
    <row r="719" spans="2:4" x14ac:dyDescent="0.25">
      <c r="B719" s="8"/>
      <c r="C719" s="4"/>
      <c r="D719" s="4"/>
    </row>
    <row r="720" spans="2:4" x14ac:dyDescent="0.25">
      <c r="B720" s="8"/>
      <c r="C720" s="4"/>
      <c r="D720" s="4"/>
    </row>
    <row r="721" spans="2:4" x14ac:dyDescent="0.25">
      <c r="B721" s="8"/>
      <c r="C721" s="4"/>
      <c r="D721" s="4"/>
    </row>
    <row r="722" spans="2:4" x14ac:dyDescent="0.25">
      <c r="B722" s="8"/>
      <c r="C722" s="4"/>
      <c r="D722" s="4"/>
    </row>
    <row r="723" spans="2:4" x14ac:dyDescent="0.25">
      <c r="B723" s="8"/>
      <c r="C723" s="4"/>
      <c r="D723" s="4"/>
    </row>
    <row r="724" spans="2:4" x14ac:dyDescent="0.25">
      <c r="B724" s="8"/>
      <c r="C724" s="4"/>
      <c r="D724" s="4"/>
    </row>
    <row r="725" spans="2:4" x14ac:dyDescent="0.25">
      <c r="B725" s="8"/>
      <c r="C725" s="4"/>
      <c r="D725" s="4"/>
    </row>
    <row r="726" spans="2:4" x14ac:dyDescent="0.25">
      <c r="B726" s="8"/>
      <c r="C726" s="4"/>
      <c r="D726" s="4"/>
    </row>
    <row r="727" spans="2:4" x14ac:dyDescent="0.25">
      <c r="B727" s="8"/>
      <c r="C727" s="4"/>
      <c r="D727" s="4"/>
    </row>
    <row r="728" spans="2:4" x14ac:dyDescent="0.25">
      <c r="B728" s="8"/>
      <c r="C728" s="4"/>
      <c r="D728" s="4"/>
    </row>
    <row r="729" spans="2:4" x14ac:dyDescent="0.25">
      <c r="B729" s="8"/>
      <c r="C729" s="4"/>
      <c r="D729" s="4"/>
    </row>
    <row r="730" spans="2:4" x14ac:dyDescent="0.25">
      <c r="B730" s="8"/>
      <c r="C730" s="4"/>
      <c r="D730" s="4"/>
    </row>
    <row r="731" spans="2:4" x14ac:dyDescent="0.25">
      <c r="B731" s="8"/>
      <c r="C731" s="4"/>
      <c r="D731" s="4"/>
    </row>
    <row r="732" spans="2:4" x14ac:dyDescent="0.25">
      <c r="B732" s="8"/>
      <c r="C732" s="4"/>
      <c r="D732" s="4"/>
    </row>
    <row r="733" spans="2:4" x14ac:dyDescent="0.25">
      <c r="B733" s="8"/>
      <c r="C733" s="4"/>
      <c r="D733" s="4"/>
    </row>
    <row r="734" spans="2:4" x14ac:dyDescent="0.25">
      <c r="B734" s="8"/>
      <c r="C734" s="4"/>
      <c r="D734" s="4"/>
    </row>
    <row r="735" spans="2:4" x14ac:dyDescent="0.25">
      <c r="B735" s="8"/>
      <c r="C735" s="4"/>
      <c r="D735" s="4"/>
    </row>
    <row r="736" spans="2:4" x14ac:dyDescent="0.25">
      <c r="B736" s="8"/>
      <c r="C736" s="4"/>
      <c r="D736" s="4"/>
    </row>
    <row r="737" spans="2:4" x14ac:dyDescent="0.25">
      <c r="B737" s="8"/>
      <c r="C737" s="4"/>
      <c r="D737" s="4"/>
    </row>
    <row r="738" spans="2:4" x14ac:dyDescent="0.25">
      <c r="B738" s="8"/>
      <c r="C738" s="4"/>
      <c r="D738" s="4"/>
    </row>
    <row r="739" spans="2:4" x14ac:dyDescent="0.25">
      <c r="B739" s="8"/>
      <c r="C739" s="4"/>
      <c r="D739" s="4"/>
    </row>
    <row r="740" spans="2:4" x14ac:dyDescent="0.25">
      <c r="B740" s="8"/>
      <c r="C740" s="4"/>
      <c r="D740" s="4"/>
    </row>
    <row r="741" spans="2:4" x14ac:dyDescent="0.25">
      <c r="B741" s="8"/>
      <c r="C741" s="4"/>
      <c r="D741" s="4"/>
    </row>
    <row r="742" spans="2:4" x14ac:dyDescent="0.25">
      <c r="B742" s="8"/>
      <c r="C742" s="4"/>
      <c r="D742" s="4"/>
    </row>
    <row r="743" spans="2:4" x14ac:dyDescent="0.25">
      <c r="B743" s="8"/>
      <c r="C743" s="4"/>
      <c r="D743" s="4"/>
    </row>
    <row r="744" spans="2:4" x14ac:dyDescent="0.25">
      <c r="B744" s="8"/>
      <c r="C744" s="4"/>
      <c r="D744" s="4"/>
    </row>
    <row r="745" spans="2:4" x14ac:dyDescent="0.25">
      <c r="B745" s="8"/>
      <c r="C745" s="4"/>
      <c r="D745" s="4"/>
    </row>
    <row r="746" spans="2:4" x14ac:dyDescent="0.25">
      <c r="B746" s="8"/>
      <c r="C746" s="4"/>
      <c r="D746" s="4"/>
    </row>
    <row r="747" spans="2:4" x14ac:dyDescent="0.25">
      <c r="B747" s="8"/>
      <c r="C747" s="4"/>
      <c r="D747" s="4"/>
    </row>
    <row r="748" spans="2:4" x14ac:dyDescent="0.25">
      <c r="B748" s="8"/>
      <c r="C748" s="4"/>
      <c r="D748" s="4"/>
    </row>
    <row r="749" spans="2:4" x14ac:dyDescent="0.25">
      <c r="B749" s="8"/>
      <c r="C749" s="4"/>
      <c r="D749" s="4"/>
    </row>
    <row r="750" spans="2:4" x14ac:dyDescent="0.25">
      <c r="B750" s="8"/>
      <c r="C750" s="4"/>
      <c r="D750" s="4"/>
    </row>
    <row r="751" spans="2:4" x14ac:dyDescent="0.25">
      <c r="B751" s="8"/>
      <c r="C751" s="4"/>
      <c r="D751" s="4"/>
    </row>
    <row r="752" spans="2:4" x14ac:dyDescent="0.25">
      <c r="B752" s="8"/>
      <c r="C752" s="4"/>
      <c r="D752" s="4"/>
    </row>
    <row r="753" spans="2:4" x14ac:dyDescent="0.25">
      <c r="B753" s="8"/>
      <c r="C753" s="4"/>
      <c r="D753" s="4"/>
    </row>
    <row r="754" spans="2:4" x14ac:dyDescent="0.25">
      <c r="B754" s="8"/>
      <c r="C754" s="4"/>
      <c r="D754" s="4"/>
    </row>
    <row r="755" spans="2:4" x14ac:dyDescent="0.25">
      <c r="B755" s="8"/>
      <c r="C755" s="4"/>
      <c r="D755" s="4"/>
    </row>
    <row r="756" spans="2:4" x14ac:dyDescent="0.25">
      <c r="B756" s="8"/>
      <c r="C756" s="4"/>
      <c r="D756" s="4"/>
    </row>
    <row r="757" spans="2:4" x14ac:dyDescent="0.25">
      <c r="B757" s="8"/>
      <c r="C757" s="4"/>
      <c r="D757" s="4"/>
    </row>
    <row r="758" spans="2:4" x14ac:dyDescent="0.25">
      <c r="B758" s="8"/>
      <c r="C758" s="4"/>
      <c r="D758" s="4"/>
    </row>
    <row r="759" spans="2:4" x14ac:dyDescent="0.25">
      <c r="B759" s="8"/>
      <c r="C759" s="4"/>
      <c r="D759" s="4"/>
    </row>
    <row r="760" spans="2:4" x14ac:dyDescent="0.25">
      <c r="B760" s="8"/>
      <c r="C760" s="4"/>
      <c r="D760" s="4"/>
    </row>
    <row r="761" spans="2:4" x14ac:dyDescent="0.25">
      <c r="B761" s="8"/>
      <c r="C761" s="4"/>
      <c r="D761" s="4"/>
    </row>
    <row r="762" spans="2:4" x14ac:dyDescent="0.25">
      <c r="B762" s="8"/>
      <c r="C762" s="4"/>
      <c r="D762" s="4"/>
    </row>
    <row r="763" spans="2:4" x14ac:dyDescent="0.25">
      <c r="B763" s="8"/>
      <c r="C763" s="4"/>
      <c r="D763" s="4"/>
    </row>
    <row r="764" spans="2:4" x14ac:dyDescent="0.25">
      <c r="B764" s="8"/>
      <c r="C764" s="4"/>
      <c r="D764" s="4"/>
    </row>
    <row r="765" spans="2:4" x14ac:dyDescent="0.25">
      <c r="B765" s="8"/>
      <c r="C765" s="4"/>
      <c r="D765" s="4"/>
    </row>
    <row r="766" spans="2:4" x14ac:dyDescent="0.25">
      <c r="B766" s="8"/>
      <c r="C766" s="4"/>
      <c r="D766" s="4"/>
    </row>
    <row r="767" spans="2:4" x14ac:dyDescent="0.25">
      <c r="B767" s="8"/>
      <c r="C767" s="4"/>
      <c r="D767" s="4"/>
    </row>
    <row r="768" spans="2:4" x14ac:dyDescent="0.25">
      <c r="B768" s="8"/>
      <c r="C768" s="4"/>
      <c r="D768" s="4"/>
    </row>
    <row r="769" spans="2:4" x14ac:dyDescent="0.25">
      <c r="B769" s="8"/>
      <c r="C769" s="4"/>
      <c r="D769" s="4"/>
    </row>
    <row r="770" spans="2:4" x14ac:dyDescent="0.25">
      <c r="B770" s="8"/>
      <c r="C770" s="4"/>
      <c r="D770" s="4"/>
    </row>
    <row r="771" spans="2:4" x14ac:dyDescent="0.25">
      <c r="B771" s="8"/>
      <c r="C771" s="4"/>
      <c r="D771" s="4"/>
    </row>
    <row r="772" spans="2:4" x14ac:dyDescent="0.25">
      <c r="B772" s="8"/>
      <c r="C772" s="4"/>
      <c r="D772" s="4"/>
    </row>
    <row r="773" spans="2:4" x14ac:dyDescent="0.25">
      <c r="B773" s="8"/>
      <c r="C773" s="4"/>
      <c r="D773" s="4"/>
    </row>
    <row r="774" spans="2:4" x14ac:dyDescent="0.25">
      <c r="B774" s="8"/>
      <c r="C774" s="4"/>
      <c r="D774" s="4"/>
    </row>
    <row r="775" spans="2:4" x14ac:dyDescent="0.25">
      <c r="B775" s="8"/>
      <c r="C775" s="4"/>
      <c r="D775" s="4"/>
    </row>
    <row r="776" spans="2:4" x14ac:dyDescent="0.25">
      <c r="B776" s="8"/>
      <c r="C776" s="4"/>
      <c r="D776" s="4"/>
    </row>
    <row r="777" spans="2:4" x14ac:dyDescent="0.25">
      <c r="B777" s="8"/>
      <c r="C777" s="4"/>
      <c r="D777" s="4"/>
    </row>
    <row r="778" spans="2:4" x14ac:dyDescent="0.25">
      <c r="B778" s="8"/>
      <c r="C778" s="4"/>
      <c r="D778" s="4"/>
    </row>
    <row r="779" spans="2:4" x14ac:dyDescent="0.25">
      <c r="B779" s="8"/>
      <c r="C779" s="4"/>
      <c r="D779" s="4"/>
    </row>
    <row r="780" spans="2:4" x14ac:dyDescent="0.25">
      <c r="B780" s="8"/>
      <c r="C780" s="4"/>
      <c r="D780" s="4"/>
    </row>
    <row r="781" spans="2:4" x14ac:dyDescent="0.25">
      <c r="B781" s="8"/>
      <c r="C781" s="4"/>
      <c r="D781" s="4"/>
    </row>
    <row r="782" spans="2:4" x14ac:dyDescent="0.25">
      <c r="B782" s="8"/>
      <c r="C782" s="4"/>
      <c r="D782" s="4"/>
    </row>
    <row r="783" spans="2:4" x14ac:dyDescent="0.25">
      <c r="B783" s="8"/>
      <c r="C783" s="4"/>
      <c r="D783" s="4"/>
    </row>
    <row r="784" spans="2:4" x14ac:dyDescent="0.25">
      <c r="B784" s="8"/>
      <c r="C784" s="4"/>
      <c r="D784" s="4"/>
    </row>
    <row r="785" spans="2:4" x14ac:dyDescent="0.25">
      <c r="B785" s="8"/>
      <c r="C785" s="4"/>
      <c r="D785" s="4"/>
    </row>
    <row r="786" spans="2:4" x14ac:dyDescent="0.25">
      <c r="B786" s="8"/>
      <c r="C786" s="4"/>
      <c r="D786" s="4"/>
    </row>
    <row r="787" spans="2:4" x14ac:dyDescent="0.25">
      <c r="B787" s="8"/>
      <c r="C787" s="4"/>
      <c r="D787" s="4"/>
    </row>
    <row r="788" spans="2:4" x14ac:dyDescent="0.25">
      <c r="B788" s="8"/>
      <c r="C788" s="4"/>
      <c r="D788" s="4"/>
    </row>
    <row r="789" spans="2:4" x14ac:dyDescent="0.25">
      <c r="B789" s="8"/>
      <c r="C789" s="4"/>
      <c r="D789" s="4"/>
    </row>
    <row r="790" spans="2:4" x14ac:dyDescent="0.25">
      <c r="B790" s="8"/>
      <c r="C790" s="4"/>
      <c r="D790" s="4"/>
    </row>
    <row r="791" spans="2:4" x14ac:dyDescent="0.25">
      <c r="B791" s="8"/>
      <c r="C791" s="4"/>
      <c r="D791" s="4"/>
    </row>
    <row r="792" spans="2:4" x14ac:dyDescent="0.25">
      <c r="B792" s="8"/>
      <c r="C792" s="4"/>
      <c r="D792" s="4"/>
    </row>
    <row r="793" spans="2:4" x14ac:dyDescent="0.25">
      <c r="B793" s="8"/>
      <c r="C793" s="4"/>
      <c r="D793" s="4"/>
    </row>
    <row r="794" spans="2:4" x14ac:dyDescent="0.25">
      <c r="B794" s="8"/>
      <c r="C794" s="4"/>
      <c r="D794" s="4"/>
    </row>
    <row r="795" spans="2:4" x14ac:dyDescent="0.25">
      <c r="B795" s="8"/>
      <c r="C795" s="4"/>
      <c r="D795" s="4"/>
    </row>
    <row r="796" spans="2:4" x14ac:dyDescent="0.25">
      <c r="B796" s="8"/>
      <c r="C796" s="4"/>
      <c r="D796" s="4"/>
    </row>
    <row r="797" spans="2:4" x14ac:dyDescent="0.25">
      <c r="B797" s="8"/>
      <c r="C797" s="4"/>
      <c r="D797" s="4"/>
    </row>
    <row r="798" spans="2:4" x14ac:dyDescent="0.25">
      <c r="B798" s="8"/>
      <c r="C798" s="4"/>
      <c r="D798" s="4"/>
    </row>
    <row r="799" spans="2:4" x14ac:dyDescent="0.25">
      <c r="B799" s="8"/>
      <c r="C799" s="4"/>
      <c r="D799" s="4"/>
    </row>
    <row r="800" spans="2:4" x14ac:dyDescent="0.25">
      <c r="B800" s="8"/>
      <c r="C800" s="4"/>
      <c r="D800" s="4"/>
    </row>
    <row r="801" spans="2:4" x14ac:dyDescent="0.25">
      <c r="B801" s="8"/>
      <c r="C801" s="4"/>
      <c r="D801" s="4"/>
    </row>
    <row r="802" spans="2:4" x14ac:dyDescent="0.25">
      <c r="B802" s="8"/>
      <c r="C802" s="4"/>
      <c r="D802" s="4"/>
    </row>
    <row r="803" spans="2:4" x14ac:dyDescent="0.25">
      <c r="B803" s="8"/>
      <c r="C803" s="4"/>
      <c r="D803" s="4"/>
    </row>
    <row r="804" spans="2:4" x14ac:dyDescent="0.25">
      <c r="B804" s="8"/>
      <c r="C804" s="4"/>
      <c r="D804" s="4"/>
    </row>
    <row r="805" spans="2:4" x14ac:dyDescent="0.25">
      <c r="B805" s="8"/>
      <c r="C805" s="4"/>
      <c r="D805" s="4"/>
    </row>
    <row r="806" spans="2:4" x14ac:dyDescent="0.25">
      <c r="B806" s="8"/>
      <c r="C806" s="4"/>
      <c r="D806" s="4"/>
    </row>
    <row r="807" spans="2:4" x14ac:dyDescent="0.25">
      <c r="B807" s="8"/>
      <c r="C807" s="4"/>
      <c r="D807" s="4"/>
    </row>
    <row r="808" spans="2:4" x14ac:dyDescent="0.25">
      <c r="B808" s="8"/>
      <c r="C808" s="4"/>
      <c r="D808" s="4"/>
    </row>
    <row r="809" spans="2:4" x14ac:dyDescent="0.25">
      <c r="B809" s="8"/>
      <c r="C809" s="4"/>
      <c r="D809" s="4"/>
    </row>
    <row r="810" spans="2:4" x14ac:dyDescent="0.25">
      <c r="B810" s="8"/>
      <c r="C810" s="4"/>
      <c r="D810" s="4"/>
    </row>
    <row r="811" spans="2:4" x14ac:dyDescent="0.25">
      <c r="B811" s="8"/>
      <c r="C811" s="4"/>
      <c r="D811" s="4"/>
    </row>
    <row r="812" spans="2:4" x14ac:dyDescent="0.25">
      <c r="B812" s="8"/>
      <c r="C812" s="4"/>
      <c r="D812" s="4"/>
    </row>
    <row r="813" spans="2:4" x14ac:dyDescent="0.25">
      <c r="B813" s="8"/>
      <c r="C813" s="4"/>
      <c r="D813" s="4"/>
    </row>
    <row r="814" spans="2:4" x14ac:dyDescent="0.25">
      <c r="B814" s="8"/>
      <c r="C814" s="4"/>
      <c r="D814" s="4"/>
    </row>
  </sheetData>
  <sheetProtection algorithmName="SHA-512" hashValue="oH557ZseIKHwBktJl1DcCU9kuJJDR7R7jkwj2HgfXbezcDQ5ASMCmIlPd5Z+zvlZt/Dh8LvSsh5GUsYOeDoLSw==" saltValue="HYeFAKogmrHRQ9CGXn+Ssw=="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90" r:id="rId3" name="Button 23">
              <controlPr defaultSize="0" print="0" autoFill="0" autoPict="0" macro="[0]!IR_VF">
                <anchor moveWithCells="1" sizeWithCells="1">
                  <from>
                    <xdr:col>5</xdr:col>
                    <xdr:colOff>2190750</xdr:colOff>
                    <xdr:row>0</xdr:row>
                    <xdr:rowOff>0</xdr:rowOff>
                  </from>
                  <to>
                    <xdr:col>6</xdr:col>
                    <xdr:colOff>180975</xdr:colOff>
                    <xdr:row>0</xdr:row>
                    <xdr:rowOff>152400</xdr:rowOff>
                  </to>
                </anchor>
              </controlPr>
            </control>
          </mc:Choice>
        </mc:AlternateContent>
        <mc:AlternateContent xmlns:mc="http://schemas.openxmlformats.org/markup-compatibility/2006">
          <mc:Choice Requires="x14">
            <control shapeId="5191" r:id="rId4" name="Button 24">
              <controlPr defaultSize="0" print="0" autoFill="0" autoPict="0" macro="[0]!IR_OM">
                <anchor moveWithCells="1" sizeWithCells="1">
                  <from>
                    <xdr:col>5</xdr:col>
                    <xdr:colOff>885825</xdr:colOff>
                    <xdr:row>0</xdr:row>
                    <xdr:rowOff>0</xdr:rowOff>
                  </from>
                  <to>
                    <xdr:col>5</xdr:col>
                    <xdr:colOff>2181225</xdr:colOff>
                    <xdr:row>0</xdr:row>
                    <xdr:rowOff>152400</xdr:rowOff>
                  </to>
                </anchor>
              </controlPr>
            </control>
          </mc:Choice>
        </mc:AlternateContent>
        <mc:AlternateContent xmlns:mc="http://schemas.openxmlformats.org/markup-compatibility/2006">
          <mc:Choice Requires="x14">
            <control shapeId="5192" r:id="rId5" name="Button 25">
              <controlPr defaultSize="0" print="0" autoFill="0" autoPict="0" macro="[0]!IR_RC">
                <anchor moveWithCells="1" sizeWithCells="1">
                  <from>
                    <xdr:col>5</xdr:col>
                    <xdr:colOff>876300</xdr:colOff>
                    <xdr:row>0</xdr:row>
                    <xdr:rowOff>161925</xdr:rowOff>
                  </from>
                  <to>
                    <xdr:col>5</xdr:col>
                    <xdr:colOff>2181225</xdr:colOff>
                    <xdr:row>0</xdr:row>
                    <xdr:rowOff>314325</xdr:rowOff>
                  </to>
                </anchor>
              </controlPr>
            </control>
          </mc:Choice>
        </mc:AlternateContent>
        <mc:AlternateContent xmlns:mc="http://schemas.openxmlformats.org/markup-compatibility/2006">
          <mc:Choice Requires="x14">
            <control shapeId="5193" r:id="rId6" name="Button 26">
              <controlPr defaultSize="0" print="0" autoFill="0" autoPict="0" macro="[0]!IR_E">
                <anchor moveWithCells="1" sizeWithCells="1">
                  <from>
                    <xdr:col>6</xdr:col>
                    <xdr:colOff>180975</xdr:colOff>
                    <xdr:row>0</xdr:row>
                    <xdr:rowOff>0</xdr:rowOff>
                  </from>
                  <to>
                    <xdr:col>7</xdr:col>
                    <xdr:colOff>647700</xdr:colOff>
                    <xdr:row>0</xdr:row>
                    <xdr:rowOff>152400</xdr:rowOff>
                  </to>
                </anchor>
              </controlPr>
            </control>
          </mc:Choice>
        </mc:AlternateContent>
        <mc:AlternateContent xmlns:mc="http://schemas.openxmlformats.org/markup-compatibility/2006">
          <mc:Choice Requires="x14">
            <control shapeId="5194" r:id="rId7" name="Button 27">
              <controlPr defaultSize="0" print="0" autoFill="0" autoPict="0" macro="[0]!IR_PP">
                <anchor moveWithCells="1" sizeWithCells="1">
                  <from>
                    <xdr:col>5</xdr:col>
                    <xdr:colOff>2190750</xdr:colOff>
                    <xdr:row>0</xdr:row>
                    <xdr:rowOff>161925</xdr:rowOff>
                  </from>
                  <to>
                    <xdr:col>6</xdr:col>
                    <xdr:colOff>180975</xdr:colOff>
                    <xdr:row>0</xdr:row>
                    <xdr:rowOff>314325</xdr:rowOff>
                  </to>
                </anchor>
              </controlPr>
            </control>
          </mc:Choice>
        </mc:AlternateContent>
        <mc:AlternateContent xmlns:mc="http://schemas.openxmlformats.org/markup-compatibility/2006">
          <mc:Choice Requires="x14">
            <control shapeId="5195" r:id="rId8" name="Button 28">
              <controlPr defaultSize="0" print="0" autoFill="0" autoPict="0" macro="[0]!IR_INICIO">
                <anchor moveWithCells="1" sizeWithCells="1">
                  <from>
                    <xdr:col>6</xdr:col>
                    <xdr:colOff>180975</xdr:colOff>
                    <xdr:row>0</xdr:row>
                    <xdr:rowOff>161925</xdr:rowOff>
                  </from>
                  <to>
                    <xdr:col>7</xdr:col>
                    <xdr:colOff>647700</xdr:colOff>
                    <xdr:row>0</xdr:row>
                    <xdr:rowOff>314325</xdr:rowOff>
                  </to>
                </anchor>
              </controlPr>
            </control>
          </mc:Choice>
        </mc:AlternateContent>
        <mc:AlternateContent xmlns:mc="http://schemas.openxmlformats.org/markup-compatibility/2006">
          <mc:Choice Requires="x14">
            <control shapeId="5196" r:id="rId9" name="Button 29">
              <controlPr defaultSize="0" autoFill="0" autoPict="0" macro="[0]!IR_INICIO">
                <anchor moveWithCells="1" sizeWithCells="1">
                  <from>
                    <xdr:col>5</xdr:col>
                    <xdr:colOff>314325</xdr:colOff>
                    <xdr:row>0</xdr:row>
                    <xdr:rowOff>0</xdr:rowOff>
                  </from>
                  <to>
                    <xdr:col>5</xdr:col>
                    <xdr:colOff>866775</xdr:colOff>
                    <xdr:row>0</xdr:row>
                    <xdr:rowOff>161925</xdr:rowOff>
                  </to>
                </anchor>
              </controlPr>
            </control>
          </mc:Choice>
        </mc:AlternateContent>
        <mc:AlternateContent xmlns:mc="http://schemas.openxmlformats.org/markup-compatibility/2006">
          <mc:Choice Requires="x14">
            <control shapeId="5197" r:id="rId10" name="Button 30">
              <controlPr defaultSize="0" autoFill="0" autoPict="0" macro="[0]!Copiar_Formatos">
                <anchor moveWithCells="1" sizeWithCells="1">
                  <from>
                    <xdr:col>5</xdr:col>
                    <xdr:colOff>314325</xdr:colOff>
                    <xdr:row>0</xdr:row>
                    <xdr:rowOff>161925</xdr:rowOff>
                  </from>
                  <to>
                    <xdr:col>5</xdr:col>
                    <xdr:colOff>866775</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42"/>
  <sheetViews>
    <sheetView zoomScale="115" zoomScaleNormal="115" workbookViewId="0">
      <pane ySplit="3" topLeftCell="A22" activePane="bottomLeft" state="frozen"/>
      <selection pane="bottomLeft" activeCell="A4" sqref="A4"/>
    </sheetView>
  </sheetViews>
  <sheetFormatPr baseColWidth="10" defaultRowHeight="15" x14ac:dyDescent="0.25"/>
  <cols>
    <col min="2" max="3" width="6" customWidth="1"/>
    <col min="4" max="9" width="29" customWidth="1"/>
  </cols>
  <sheetData>
    <row r="1" spans="1:10" x14ac:dyDescent="0.25">
      <c r="A1" s="134" t="s">
        <v>150</v>
      </c>
      <c r="B1" s="135"/>
      <c r="C1" s="136"/>
      <c r="D1" s="137" t="s">
        <v>20</v>
      </c>
      <c r="E1" s="137" t="s">
        <v>151</v>
      </c>
      <c r="F1" s="137" t="s">
        <v>152</v>
      </c>
      <c r="G1" s="137" t="s">
        <v>153</v>
      </c>
      <c r="H1" s="137" t="s">
        <v>154</v>
      </c>
      <c r="I1" s="137" t="s">
        <v>155</v>
      </c>
    </row>
    <row r="2" spans="1:10" x14ac:dyDescent="0.25">
      <c r="A2" s="134" t="s">
        <v>156</v>
      </c>
      <c r="B2" s="135"/>
      <c r="C2" s="135"/>
      <c r="D2" s="138" t="s">
        <v>21</v>
      </c>
      <c r="E2" s="138" t="s">
        <v>25</v>
      </c>
      <c r="F2" s="138" t="s">
        <v>23</v>
      </c>
      <c r="G2" s="138" t="s">
        <v>24</v>
      </c>
      <c r="H2" s="138" t="s">
        <v>22</v>
      </c>
      <c r="I2" s="138" t="s">
        <v>156</v>
      </c>
    </row>
    <row r="3" spans="1:10" x14ac:dyDescent="0.25">
      <c r="A3" s="139" t="str">
        <f t="shared" ref="A3:A42" si="0">$A$1&amp;B3&amp;"_"&amp;C3&amp;"_"&amp;$A$2</f>
        <v>Z_IN_00_D</v>
      </c>
      <c r="B3" s="140" t="s">
        <v>157</v>
      </c>
      <c r="C3" s="141" t="s">
        <v>158</v>
      </c>
      <c r="D3" s="142" t="s">
        <v>17</v>
      </c>
      <c r="E3" s="142" t="s">
        <v>159</v>
      </c>
      <c r="F3" s="142" t="s">
        <v>160</v>
      </c>
      <c r="G3" s="142" t="s">
        <v>161</v>
      </c>
      <c r="H3" s="142" t="s">
        <v>159</v>
      </c>
      <c r="I3" s="142" t="s">
        <v>162</v>
      </c>
      <c r="J3" s="139" t="s">
        <v>163</v>
      </c>
    </row>
    <row r="4" spans="1:10" x14ac:dyDescent="0.25">
      <c r="A4" s="137" t="str">
        <f t="shared" si="0"/>
        <v>Z_IN_01_D</v>
      </c>
      <c r="B4" s="143" t="str">
        <f t="shared" ref="B4:B18" si="1">B3</f>
        <v>IN</v>
      </c>
      <c r="C4" s="144" t="s">
        <v>164</v>
      </c>
      <c r="D4" s="145" t="s">
        <v>15</v>
      </c>
      <c r="E4" s="145" t="s">
        <v>165</v>
      </c>
      <c r="F4" s="145" t="s">
        <v>166</v>
      </c>
      <c r="G4" s="145" t="s">
        <v>167</v>
      </c>
      <c r="H4" s="145" t="s">
        <v>168</v>
      </c>
      <c r="I4" s="145" t="s">
        <v>169</v>
      </c>
      <c r="J4" s="139" t="s">
        <v>163</v>
      </c>
    </row>
    <row r="5" spans="1:10" x14ac:dyDescent="0.25">
      <c r="A5" s="137" t="str">
        <f t="shared" si="0"/>
        <v>Z_IN_02_D</v>
      </c>
      <c r="B5" s="135" t="str">
        <f t="shared" si="1"/>
        <v>IN</v>
      </c>
      <c r="C5" s="146" t="s">
        <v>170</v>
      </c>
      <c r="D5" s="139" t="s">
        <v>171</v>
      </c>
      <c r="E5" s="139" t="s">
        <v>172</v>
      </c>
      <c r="F5" s="139" t="s">
        <v>173</v>
      </c>
      <c r="G5" s="139" t="s">
        <v>174</v>
      </c>
      <c r="H5" s="139" t="s">
        <v>175</v>
      </c>
      <c r="I5" s="139" t="s">
        <v>176</v>
      </c>
      <c r="J5" s="139" t="s">
        <v>163</v>
      </c>
    </row>
    <row r="6" spans="1:10" x14ac:dyDescent="0.25">
      <c r="A6" s="137" t="str">
        <f t="shared" si="0"/>
        <v>Z_IN_03_D</v>
      </c>
      <c r="B6" s="143" t="str">
        <f t="shared" si="1"/>
        <v>IN</v>
      </c>
      <c r="C6" s="144" t="s">
        <v>177</v>
      </c>
      <c r="D6" s="145" t="s">
        <v>6</v>
      </c>
      <c r="E6" s="145" t="s">
        <v>178</v>
      </c>
      <c r="F6" s="145" t="s">
        <v>179</v>
      </c>
      <c r="G6" s="145" t="s">
        <v>180</v>
      </c>
      <c r="H6" s="145" t="s">
        <v>181</v>
      </c>
      <c r="I6" s="145" t="s">
        <v>182</v>
      </c>
      <c r="J6" s="139" t="s">
        <v>163</v>
      </c>
    </row>
    <row r="7" spans="1:10" x14ac:dyDescent="0.25">
      <c r="A7" s="137" t="str">
        <f t="shared" si="0"/>
        <v>Z_IN_04_D</v>
      </c>
      <c r="B7" s="135" t="str">
        <f t="shared" si="1"/>
        <v>IN</v>
      </c>
      <c r="C7" s="146" t="s">
        <v>183</v>
      </c>
      <c r="D7" s="139" t="s">
        <v>8</v>
      </c>
      <c r="E7" s="139" t="s">
        <v>184</v>
      </c>
      <c r="F7" s="139" t="s">
        <v>185</v>
      </c>
      <c r="G7" s="139" t="s">
        <v>186</v>
      </c>
      <c r="H7" s="139" t="s">
        <v>187</v>
      </c>
      <c r="I7" s="139" t="s">
        <v>188</v>
      </c>
      <c r="J7" s="139" t="s">
        <v>163</v>
      </c>
    </row>
    <row r="8" spans="1:10" x14ac:dyDescent="0.25">
      <c r="A8" s="137" t="str">
        <f t="shared" si="0"/>
        <v>Z_IN_05_D</v>
      </c>
      <c r="B8" s="143" t="str">
        <f t="shared" si="1"/>
        <v>IN</v>
      </c>
      <c r="C8" s="144" t="s">
        <v>189</v>
      </c>
      <c r="D8" s="145" t="s">
        <v>5</v>
      </c>
      <c r="E8" s="145" t="s">
        <v>190</v>
      </c>
      <c r="F8" s="145" t="s">
        <v>191</v>
      </c>
      <c r="G8" s="145" t="s">
        <v>192</v>
      </c>
      <c r="H8" s="145" t="s">
        <v>193</v>
      </c>
      <c r="I8" s="145" t="s">
        <v>194</v>
      </c>
      <c r="J8" s="139" t="s">
        <v>163</v>
      </c>
    </row>
    <row r="9" spans="1:10" x14ac:dyDescent="0.25">
      <c r="A9" s="137" t="str">
        <f t="shared" si="0"/>
        <v>Z_IN_06_D</v>
      </c>
      <c r="B9" s="135" t="str">
        <f t="shared" si="1"/>
        <v>IN</v>
      </c>
      <c r="C9" s="146" t="s">
        <v>195</v>
      </c>
      <c r="D9" s="139" t="s">
        <v>196</v>
      </c>
      <c r="E9" s="139" t="s">
        <v>197</v>
      </c>
      <c r="F9" s="139" t="s">
        <v>198</v>
      </c>
      <c r="G9" s="139" t="s">
        <v>199</v>
      </c>
      <c r="H9" s="139" t="s">
        <v>200</v>
      </c>
      <c r="I9" s="139" t="s">
        <v>201</v>
      </c>
      <c r="J9" s="139" t="s">
        <v>163</v>
      </c>
    </row>
    <row r="10" spans="1:10" x14ac:dyDescent="0.25">
      <c r="A10" s="137" t="str">
        <f t="shared" si="0"/>
        <v>Z_IN_07_D</v>
      </c>
      <c r="B10" s="143" t="str">
        <f t="shared" si="1"/>
        <v>IN</v>
      </c>
      <c r="C10" s="144" t="s">
        <v>202</v>
      </c>
      <c r="D10" s="145" t="s">
        <v>203</v>
      </c>
      <c r="E10" s="145" t="s">
        <v>204</v>
      </c>
      <c r="F10" s="145" t="s">
        <v>205</v>
      </c>
      <c r="G10" s="145" t="s">
        <v>206</v>
      </c>
      <c r="H10" s="145" t="s">
        <v>207</v>
      </c>
      <c r="I10" s="145" t="s">
        <v>208</v>
      </c>
      <c r="J10" s="139" t="s">
        <v>163</v>
      </c>
    </row>
    <row r="11" spans="1:10" x14ac:dyDescent="0.25">
      <c r="A11" s="137" t="str">
        <f t="shared" si="0"/>
        <v>Z_IN_08_D</v>
      </c>
      <c r="B11" s="135" t="str">
        <f t="shared" si="1"/>
        <v>IN</v>
      </c>
      <c r="C11" s="146" t="s">
        <v>209</v>
      </c>
      <c r="D11" s="139" t="s">
        <v>210</v>
      </c>
      <c r="E11" s="139" t="s">
        <v>211</v>
      </c>
      <c r="F11" s="139" t="s">
        <v>212</v>
      </c>
      <c r="G11" s="139" t="s">
        <v>213</v>
      </c>
      <c r="H11" s="139" t="s">
        <v>214</v>
      </c>
      <c r="I11" s="139" t="s">
        <v>215</v>
      </c>
      <c r="J11" s="139" t="s">
        <v>163</v>
      </c>
    </row>
    <row r="12" spans="1:10" x14ac:dyDescent="0.25">
      <c r="A12" s="137" t="str">
        <f t="shared" si="0"/>
        <v>Z_IN_09_D</v>
      </c>
      <c r="B12" s="143" t="str">
        <f t="shared" si="1"/>
        <v>IN</v>
      </c>
      <c r="C12" s="144" t="s">
        <v>216</v>
      </c>
      <c r="D12" s="145" t="s">
        <v>217</v>
      </c>
      <c r="E12" s="145" t="s">
        <v>218</v>
      </c>
      <c r="F12" s="145" t="s">
        <v>219</v>
      </c>
      <c r="G12" s="145" t="s">
        <v>220</v>
      </c>
      <c r="H12" s="145" t="s">
        <v>221</v>
      </c>
      <c r="I12" s="145" t="s">
        <v>222</v>
      </c>
      <c r="J12" s="139" t="s">
        <v>163</v>
      </c>
    </row>
    <row r="13" spans="1:10" x14ac:dyDescent="0.25">
      <c r="A13" s="137" t="str">
        <f t="shared" si="0"/>
        <v>Z_IN_10_D</v>
      </c>
      <c r="B13" s="135" t="str">
        <f t="shared" si="1"/>
        <v>IN</v>
      </c>
      <c r="C13" s="146" t="s">
        <v>223</v>
      </c>
      <c r="D13" s="139" t="s">
        <v>11</v>
      </c>
      <c r="E13" s="139" t="s">
        <v>224</v>
      </c>
      <c r="F13" s="139" t="s">
        <v>225</v>
      </c>
      <c r="G13" s="139" t="s">
        <v>226</v>
      </c>
      <c r="H13" s="139" t="s">
        <v>227</v>
      </c>
      <c r="I13" s="139" t="s">
        <v>228</v>
      </c>
      <c r="J13" s="139" t="s">
        <v>163</v>
      </c>
    </row>
    <row r="14" spans="1:10" x14ac:dyDescent="0.25">
      <c r="A14" s="137" t="str">
        <f t="shared" si="0"/>
        <v>Z_IN_11_D</v>
      </c>
      <c r="B14" s="143" t="str">
        <f t="shared" si="1"/>
        <v>IN</v>
      </c>
      <c r="C14" s="144" t="s">
        <v>229</v>
      </c>
      <c r="D14" s="145" t="s">
        <v>12</v>
      </c>
      <c r="E14" s="145" t="s">
        <v>230</v>
      </c>
      <c r="F14" s="145" t="s">
        <v>231</v>
      </c>
      <c r="G14" s="145" t="s">
        <v>232</v>
      </c>
      <c r="H14" s="145" t="s">
        <v>233</v>
      </c>
      <c r="I14" s="145" t="s">
        <v>234</v>
      </c>
      <c r="J14" s="139" t="s">
        <v>163</v>
      </c>
    </row>
    <row r="15" spans="1:10" x14ac:dyDescent="0.25">
      <c r="A15" s="137" t="str">
        <f t="shared" si="0"/>
        <v>Z_IN_12_D</v>
      </c>
      <c r="B15" s="135" t="str">
        <f t="shared" si="1"/>
        <v>IN</v>
      </c>
      <c r="C15" s="146" t="s">
        <v>235</v>
      </c>
      <c r="D15" s="139" t="s">
        <v>13</v>
      </c>
      <c r="E15" s="139" t="s">
        <v>236</v>
      </c>
      <c r="F15" s="139" t="s">
        <v>237</v>
      </c>
      <c r="G15" s="139" t="s">
        <v>238</v>
      </c>
      <c r="H15" s="139" t="s">
        <v>239</v>
      </c>
      <c r="I15" s="139" t="s">
        <v>240</v>
      </c>
      <c r="J15" s="139" t="s">
        <v>163</v>
      </c>
    </row>
    <row r="16" spans="1:10" x14ac:dyDescent="0.25">
      <c r="A16" s="137" t="str">
        <f t="shared" si="0"/>
        <v>Z_IN_13_D</v>
      </c>
      <c r="B16" s="143" t="str">
        <f t="shared" si="1"/>
        <v>IN</v>
      </c>
      <c r="C16" s="144" t="s">
        <v>241</v>
      </c>
      <c r="D16" s="145" t="s">
        <v>14</v>
      </c>
      <c r="E16" s="145" t="s">
        <v>242</v>
      </c>
      <c r="F16" s="145" t="s">
        <v>243</v>
      </c>
      <c r="G16" s="145" t="s">
        <v>244</v>
      </c>
      <c r="H16" s="145" t="s">
        <v>245</v>
      </c>
      <c r="I16" s="145" t="s">
        <v>246</v>
      </c>
      <c r="J16" s="139" t="s">
        <v>163</v>
      </c>
    </row>
    <row r="17" spans="1:10" x14ac:dyDescent="0.25">
      <c r="A17" s="137" t="str">
        <f t="shared" si="0"/>
        <v>Z_IN_14_D</v>
      </c>
      <c r="B17" s="135" t="str">
        <f t="shared" si="1"/>
        <v>IN</v>
      </c>
      <c r="C17" s="146" t="s">
        <v>247</v>
      </c>
      <c r="D17" s="139" t="s">
        <v>248</v>
      </c>
      <c r="E17" s="139" t="s">
        <v>248</v>
      </c>
      <c r="F17" s="139" t="s">
        <v>248</v>
      </c>
      <c r="G17" s="139" t="s">
        <v>248</v>
      </c>
      <c r="H17" s="139" t="s">
        <v>248</v>
      </c>
      <c r="I17" s="139" t="s">
        <v>249</v>
      </c>
      <c r="J17" s="139" t="s">
        <v>163</v>
      </c>
    </row>
    <row r="18" spans="1:10" x14ac:dyDescent="0.25">
      <c r="A18" s="137" t="str">
        <f t="shared" si="0"/>
        <v>Z_IN_15_D</v>
      </c>
      <c r="B18" s="143" t="str">
        <f t="shared" si="1"/>
        <v>IN</v>
      </c>
      <c r="C18" s="144" t="s">
        <v>250</v>
      </c>
      <c r="D18" s="145" t="s">
        <v>10</v>
      </c>
      <c r="E18" s="145" t="s">
        <v>251</v>
      </c>
      <c r="F18" s="145" t="s">
        <v>251</v>
      </c>
      <c r="G18" s="145" t="s">
        <v>252</v>
      </c>
      <c r="H18" s="145" t="s">
        <v>253</v>
      </c>
      <c r="I18" s="145" t="s">
        <v>254</v>
      </c>
      <c r="J18" s="139" t="s">
        <v>163</v>
      </c>
    </row>
    <row r="19" spans="1:10" x14ac:dyDescent="0.25">
      <c r="A19" s="139" t="str">
        <f t="shared" si="0"/>
        <v>Z_BP_00_D</v>
      </c>
      <c r="B19" s="140" t="s">
        <v>255</v>
      </c>
      <c r="C19" s="141" t="s">
        <v>158</v>
      </c>
      <c r="D19" s="142" t="s">
        <v>256</v>
      </c>
      <c r="E19" s="142" t="s">
        <v>257</v>
      </c>
      <c r="F19" s="142" t="s">
        <v>258</v>
      </c>
      <c r="G19" s="142" t="s">
        <v>259</v>
      </c>
      <c r="H19" s="142" t="s">
        <v>260</v>
      </c>
      <c r="I19" s="142" t="s">
        <v>261</v>
      </c>
      <c r="J19" s="139" t="s">
        <v>163</v>
      </c>
    </row>
    <row r="20" spans="1:10" x14ac:dyDescent="0.25">
      <c r="A20" s="137" t="str">
        <f t="shared" si="0"/>
        <v>Z_BP_01_D</v>
      </c>
      <c r="B20" s="143" t="str">
        <f t="shared" ref="B20:B42" si="2">B19</f>
        <v>BP</v>
      </c>
      <c r="C20" s="144" t="s">
        <v>164</v>
      </c>
      <c r="D20" s="145" t="s">
        <v>262</v>
      </c>
      <c r="E20" s="145" t="s">
        <v>263</v>
      </c>
      <c r="F20" s="145" t="s">
        <v>264</v>
      </c>
      <c r="G20" s="145" t="s">
        <v>265</v>
      </c>
      <c r="H20" s="145" t="s">
        <v>266</v>
      </c>
      <c r="I20" s="145" t="s">
        <v>267</v>
      </c>
      <c r="J20" s="139" t="s">
        <v>163</v>
      </c>
    </row>
    <row r="21" spans="1:10" x14ac:dyDescent="0.25">
      <c r="A21" s="137" t="str">
        <f t="shared" si="0"/>
        <v>Z_BP_02_D</v>
      </c>
      <c r="B21" s="135" t="str">
        <f t="shared" si="2"/>
        <v>BP</v>
      </c>
      <c r="C21" s="146" t="s">
        <v>170</v>
      </c>
      <c r="D21" s="139" t="s">
        <v>18</v>
      </c>
      <c r="E21" s="139" t="s">
        <v>268</v>
      </c>
      <c r="F21" s="139" t="s">
        <v>268</v>
      </c>
      <c r="G21" s="139" t="s">
        <v>18</v>
      </c>
      <c r="H21" s="139" t="s">
        <v>18</v>
      </c>
      <c r="I21" s="139" t="s">
        <v>268</v>
      </c>
    </row>
    <row r="22" spans="1:10" x14ac:dyDescent="0.25">
      <c r="A22" s="137" t="str">
        <f t="shared" si="0"/>
        <v>Z_BP_03_D</v>
      </c>
      <c r="B22" s="143" t="str">
        <f t="shared" si="2"/>
        <v>BP</v>
      </c>
      <c r="C22" s="144" t="s">
        <v>177</v>
      </c>
      <c r="D22" s="145" t="s">
        <v>269</v>
      </c>
      <c r="E22" s="145" t="s">
        <v>270</v>
      </c>
      <c r="F22" s="145" t="s">
        <v>271</v>
      </c>
      <c r="G22" s="145" t="s">
        <v>272</v>
      </c>
      <c r="H22" s="145" t="s">
        <v>273</v>
      </c>
      <c r="I22" s="145" t="s">
        <v>274</v>
      </c>
    </row>
    <row r="23" spans="1:10" x14ac:dyDescent="0.25">
      <c r="A23" s="137" t="str">
        <f t="shared" si="0"/>
        <v>Z_BP_04_D</v>
      </c>
      <c r="B23" s="135" t="str">
        <f t="shared" si="2"/>
        <v>BP</v>
      </c>
      <c r="C23" s="146" t="s">
        <v>183</v>
      </c>
      <c r="D23" s="139" t="s">
        <v>275</v>
      </c>
      <c r="E23" s="139" t="s">
        <v>276</v>
      </c>
      <c r="F23" s="139" t="s">
        <v>276</v>
      </c>
      <c r="G23" s="139" t="s">
        <v>277</v>
      </c>
      <c r="H23" s="139" t="s">
        <v>278</v>
      </c>
      <c r="I23" s="139" t="s">
        <v>279</v>
      </c>
    </row>
    <row r="24" spans="1:10" x14ac:dyDescent="0.25">
      <c r="A24" s="137" t="str">
        <f t="shared" si="0"/>
        <v>Z_BP_05_D</v>
      </c>
      <c r="B24" s="143" t="str">
        <f t="shared" si="2"/>
        <v>BP</v>
      </c>
      <c r="C24" s="144" t="s">
        <v>189</v>
      </c>
      <c r="D24" s="145" t="s">
        <v>280</v>
      </c>
      <c r="E24" s="145" t="s">
        <v>281</v>
      </c>
      <c r="F24" s="145" t="s">
        <v>282</v>
      </c>
      <c r="G24" s="145" t="s">
        <v>283</v>
      </c>
      <c r="H24" s="145" t="s">
        <v>284</v>
      </c>
      <c r="I24" s="145" t="s">
        <v>285</v>
      </c>
    </row>
    <row r="25" spans="1:10" x14ac:dyDescent="0.25">
      <c r="A25" s="137" t="str">
        <f t="shared" si="0"/>
        <v>Z_BP_06_D</v>
      </c>
      <c r="B25" s="135" t="str">
        <f t="shared" si="2"/>
        <v>BP</v>
      </c>
      <c r="C25" s="146" t="s">
        <v>195</v>
      </c>
      <c r="D25" s="139" t="s">
        <v>286</v>
      </c>
      <c r="E25" s="139" t="s">
        <v>287</v>
      </c>
      <c r="F25" s="139" t="s">
        <v>288</v>
      </c>
      <c r="G25" s="139" t="s">
        <v>289</v>
      </c>
      <c r="H25" s="139" t="s">
        <v>290</v>
      </c>
      <c r="I25" s="139" t="s">
        <v>291</v>
      </c>
    </row>
    <row r="26" spans="1:10" x14ac:dyDescent="0.25">
      <c r="A26" s="137" t="str">
        <f t="shared" si="0"/>
        <v>Z_BP_07_D</v>
      </c>
      <c r="B26" s="143" t="str">
        <f t="shared" si="2"/>
        <v>BP</v>
      </c>
      <c r="C26" s="144" t="s">
        <v>202</v>
      </c>
      <c r="D26" s="145" t="s">
        <v>292</v>
      </c>
      <c r="E26" s="145" t="s">
        <v>293</v>
      </c>
      <c r="F26" s="145" t="s">
        <v>294</v>
      </c>
      <c r="G26" s="145" t="s">
        <v>295</v>
      </c>
      <c r="H26" s="145" t="s">
        <v>296</v>
      </c>
      <c r="I26" s="145" t="s">
        <v>293</v>
      </c>
    </row>
    <row r="27" spans="1:10" x14ac:dyDescent="0.25">
      <c r="A27" s="137" t="str">
        <f t="shared" si="0"/>
        <v>Z_BP_08_D</v>
      </c>
      <c r="B27" s="135" t="str">
        <f t="shared" si="2"/>
        <v>BP</v>
      </c>
      <c r="C27" s="146" t="s">
        <v>209</v>
      </c>
      <c r="D27" s="139" t="s">
        <v>297</v>
      </c>
      <c r="E27" s="139" t="s">
        <v>298</v>
      </c>
      <c r="F27" s="139" t="s">
        <v>299</v>
      </c>
      <c r="G27" s="139" t="s">
        <v>300</v>
      </c>
      <c r="H27" s="139" t="s">
        <v>301</v>
      </c>
      <c r="I27" s="139" t="s">
        <v>302</v>
      </c>
    </row>
    <row r="28" spans="1:10" x14ac:dyDescent="0.25">
      <c r="A28" s="137" t="str">
        <f t="shared" si="0"/>
        <v>Z_BP_09_D</v>
      </c>
      <c r="B28" s="143" t="str">
        <f t="shared" si="2"/>
        <v>BP</v>
      </c>
      <c r="C28" s="144" t="s">
        <v>216</v>
      </c>
      <c r="D28" s="145" t="s">
        <v>303</v>
      </c>
      <c r="E28" s="145" t="s">
        <v>304</v>
      </c>
      <c r="F28" s="145" t="s">
        <v>304</v>
      </c>
      <c r="G28" s="145" t="s">
        <v>305</v>
      </c>
      <c r="H28" s="145" t="s">
        <v>306</v>
      </c>
      <c r="I28" s="145" t="s">
        <v>307</v>
      </c>
    </row>
    <row r="29" spans="1:10" x14ac:dyDescent="0.25">
      <c r="A29" s="137" t="str">
        <f t="shared" si="0"/>
        <v>Z_BP_10_D</v>
      </c>
      <c r="B29" s="135" t="str">
        <f t="shared" si="2"/>
        <v>BP</v>
      </c>
      <c r="C29" s="146" t="s">
        <v>223</v>
      </c>
      <c r="D29" s="139" t="s">
        <v>308</v>
      </c>
      <c r="E29" s="139" t="s">
        <v>309</v>
      </c>
      <c r="F29" s="139" t="s">
        <v>310</v>
      </c>
      <c r="G29" s="139" t="s">
        <v>311</v>
      </c>
      <c r="H29" s="139" t="s">
        <v>312</v>
      </c>
      <c r="I29" s="139" t="s">
        <v>313</v>
      </c>
    </row>
    <row r="30" spans="1:10" x14ac:dyDescent="0.25">
      <c r="A30" s="137" t="str">
        <f t="shared" si="0"/>
        <v>Z_BP_11_D</v>
      </c>
      <c r="B30" s="143" t="str">
        <f t="shared" si="2"/>
        <v>BP</v>
      </c>
      <c r="C30" s="144" t="s">
        <v>229</v>
      </c>
      <c r="D30" s="145" t="s">
        <v>314</v>
      </c>
      <c r="E30" s="145" t="s">
        <v>315</v>
      </c>
      <c r="F30" s="145" t="s">
        <v>316</v>
      </c>
      <c r="G30" s="145" t="s">
        <v>317</v>
      </c>
      <c r="H30" s="145" t="s">
        <v>318</v>
      </c>
      <c r="I30" s="145" t="s">
        <v>319</v>
      </c>
    </row>
    <row r="31" spans="1:10" x14ac:dyDescent="0.25">
      <c r="A31" s="137" t="str">
        <f t="shared" si="0"/>
        <v>Z_BP_12_D</v>
      </c>
      <c r="B31" s="135" t="str">
        <f t="shared" si="2"/>
        <v>BP</v>
      </c>
      <c r="C31" s="146" t="s">
        <v>235</v>
      </c>
      <c r="D31" s="139" t="s">
        <v>320</v>
      </c>
      <c r="E31" s="139" t="s">
        <v>321</v>
      </c>
      <c r="F31" s="139" t="s">
        <v>320</v>
      </c>
      <c r="G31" s="139" t="s">
        <v>320</v>
      </c>
      <c r="H31" s="139" t="s">
        <v>320</v>
      </c>
      <c r="I31" s="139" t="s">
        <v>322</v>
      </c>
    </row>
    <row r="32" spans="1:10" x14ac:dyDescent="0.25">
      <c r="A32" s="137" t="str">
        <f t="shared" si="0"/>
        <v>Z_BP_13_D</v>
      </c>
      <c r="B32" s="143" t="str">
        <f t="shared" si="2"/>
        <v>BP</v>
      </c>
      <c r="C32" s="144" t="s">
        <v>241</v>
      </c>
      <c r="D32" s="145" t="s">
        <v>323</v>
      </c>
      <c r="E32" s="145" t="s">
        <v>324</v>
      </c>
      <c r="F32" s="145" t="s">
        <v>325</v>
      </c>
      <c r="G32" s="145" t="s">
        <v>326</v>
      </c>
      <c r="H32" s="145" t="s">
        <v>157</v>
      </c>
      <c r="I32" s="145" t="s">
        <v>327</v>
      </c>
    </row>
    <row r="33" spans="1:10" x14ac:dyDescent="0.25">
      <c r="A33" s="137" t="str">
        <f t="shared" si="0"/>
        <v>Z_BP_14_D</v>
      </c>
      <c r="B33" s="135" t="str">
        <f t="shared" si="2"/>
        <v>BP</v>
      </c>
      <c r="C33" s="146" t="s">
        <v>247</v>
      </c>
      <c r="D33" s="139" t="s">
        <v>328</v>
      </c>
      <c r="E33" s="139" t="s">
        <v>329</v>
      </c>
      <c r="F33" s="139" t="s">
        <v>328</v>
      </c>
      <c r="G33" s="139" t="s">
        <v>328</v>
      </c>
      <c r="H33" s="139" t="s">
        <v>330</v>
      </c>
      <c r="I33" s="139" t="s">
        <v>331</v>
      </c>
    </row>
    <row r="34" spans="1:10" x14ac:dyDescent="0.25">
      <c r="A34" s="137" t="str">
        <f t="shared" si="0"/>
        <v>Z_BP_15_D</v>
      </c>
      <c r="B34" s="143" t="str">
        <f t="shared" si="2"/>
        <v>BP</v>
      </c>
      <c r="C34" s="144" t="s">
        <v>250</v>
      </c>
      <c r="D34" s="145" t="s">
        <v>332</v>
      </c>
      <c r="E34" s="145" t="s">
        <v>333</v>
      </c>
      <c r="F34" s="145" t="s">
        <v>334</v>
      </c>
      <c r="G34" s="145" t="s">
        <v>332</v>
      </c>
      <c r="H34" s="145" t="s">
        <v>332</v>
      </c>
      <c r="I34" s="145" t="s">
        <v>335</v>
      </c>
    </row>
    <row r="35" spans="1:10" x14ac:dyDescent="0.25">
      <c r="A35" s="137" t="str">
        <f t="shared" si="0"/>
        <v>Z_BP_16_D</v>
      </c>
      <c r="B35" s="135" t="str">
        <f t="shared" si="2"/>
        <v>BP</v>
      </c>
      <c r="C35" s="146" t="s">
        <v>336</v>
      </c>
      <c r="D35" s="139" t="s">
        <v>337</v>
      </c>
      <c r="E35" s="139" t="s">
        <v>337</v>
      </c>
      <c r="F35" s="139" t="s">
        <v>337</v>
      </c>
      <c r="G35" s="139" t="s">
        <v>337</v>
      </c>
      <c r="H35" s="139" t="s">
        <v>337</v>
      </c>
      <c r="I35" s="139" t="s">
        <v>337</v>
      </c>
    </row>
    <row r="36" spans="1:10" x14ac:dyDescent="0.25">
      <c r="A36" s="137" t="str">
        <f t="shared" si="0"/>
        <v>Z_BP_17_D</v>
      </c>
      <c r="B36" s="143" t="str">
        <f t="shared" si="2"/>
        <v>BP</v>
      </c>
      <c r="C36" s="144" t="s">
        <v>338</v>
      </c>
      <c r="D36" s="145" t="s">
        <v>339</v>
      </c>
      <c r="E36" s="145" t="s">
        <v>340</v>
      </c>
      <c r="F36" s="145" t="s">
        <v>341</v>
      </c>
      <c r="G36" s="145" t="s">
        <v>342</v>
      </c>
      <c r="H36" s="145" t="s">
        <v>343</v>
      </c>
      <c r="I36" s="145" t="s">
        <v>344</v>
      </c>
    </row>
    <row r="37" spans="1:10" x14ac:dyDescent="0.25">
      <c r="A37" s="137" t="str">
        <f t="shared" si="0"/>
        <v>Z_BP_18_D</v>
      </c>
      <c r="B37" s="135" t="str">
        <f t="shared" si="2"/>
        <v>BP</v>
      </c>
      <c r="C37" s="146" t="s">
        <v>345</v>
      </c>
      <c r="D37" s="139" t="s">
        <v>7</v>
      </c>
      <c r="E37" s="139" t="s">
        <v>346</v>
      </c>
      <c r="F37" s="139" t="s">
        <v>347</v>
      </c>
      <c r="G37" s="139" t="s">
        <v>348</v>
      </c>
      <c r="H37" s="139" t="s">
        <v>349</v>
      </c>
      <c r="I37" s="139" t="s">
        <v>350</v>
      </c>
    </row>
    <row r="38" spans="1:10" x14ac:dyDescent="0.25">
      <c r="A38" s="137" t="str">
        <f t="shared" si="0"/>
        <v>Z_BP_19_D</v>
      </c>
      <c r="B38" s="143" t="str">
        <f t="shared" si="2"/>
        <v>BP</v>
      </c>
      <c r="C38" s="144" t="s">
        <v>351</v>
      </c>
      <c r="D38" s="145" t="s">
        <v>352</v>
      </c>
      <c r="E38" s="145" t="s">
        <v>353</v>
      </c>
      <c r="F38" s="145" t="s">
        <v>354</v>
      </c>
      <c r="G38" s="145" t="s">
        <v>355</v>
      </c>
      <c r="H38" s="145" t="s">
        <v>296</v>
      </c>
      <c r="I38" s="145" t="s">
        <v>356</v>
      </c>
    </row>
    <row r="39" spans="1:10" x14ac:dyDescent="0.25">
      <c r="A39" s="137" t="str">
        <f t="shared" si="0"/>
        <v>Z_BP_20_D</v>
      </c>
      <c r="B39" s="135" t="str">
        <f t="shared" si="2"/>
        <v>BP</v>
      </c>
      <c r="C39" s="146" t="s">
        <v>357</v>
      </c>
      <c r="D39" s="139" t="s">
        <v>358</v>
      </c>
      <c r="E39" s="139" t="s">
        <v>359</v>
      </c>
      <c r="F39" s="139" t="s">
        <v>360</v>
      </c>
      <c r="G39" s="139" t="s">
        <v>361</v>
      </c>
      <c r="H39" s="139" t="s">
        <v>362</v>
      </c>
      <c r="I39" s="139" t="s">
        <v>363</v>
      </c>
    </row>
    <row r="40" spans="1:10" x14ac:dyDescent="0.25">
      <c r="A40" s="137" t="str">
        <f t="shared" si="0"/>
        <v>Z_BP_21_D</v>
      </c>
      <c r="B40" s="143" t="str">
        <f t="shared" si="2"/>
        <v>BP</v>
      </c>
      <c r="C40" s="144" t="s">
        <v>364</v>
      </c>
      <c r="D40" s="145" t="s">
        <v>365</v>
      </c>
      <c r="E40" s="145" t="s">
        <v>366</v>
      </c>
      <c r="F40" s="145" t="s">
        <v>367</v>
      </c>
      <c r="G40" s="145" t="s">
        <v>368</v>
      </c>
      <c r="H40" s="145" t="s">
        <v>369</v>
      </c>
      <c r="I40" s="145" t="s">
        <v>370</v>
      </c>
    </row>
    <row r="41" spans="1:10" x14ac:dyDescent="0.25">
      <c r="A41" s="137" t="str">
        <f t="shared" si="0"/>
        <v>Z_BP_22_D</v>
      </c>
      <c r="B41" s="135" t="str">
        <f t="shared" si="2"/>
        <v>BP</v>
      </c>
      <c r="C41" s="146" t="s">
        <v>371</v>
      </c>
      <c r="D41" s="139" t="s">
        <v>372</v>
      </c>
      <c r="E41" s="139" t="s">
        <v>373</v>
      </c>
      <c r="F41" s="139" t="s">
        <v>374</v>
      </c>
      <c r="G41" s="139" t="s">
        <v>372</v>
      </c>
      <c r="H41" s="139" t="s">
        <v>372</v>
      </c>
      <c r="I41" s="139" t="s">
        <v>375</v>
      </c>
    </row>
    <row r="42" spans="1:10" x14ac:dyDescent="0.25">
      <c r="A42" s="137" t="str">
        <f t="shared" si="0"/>
        <v>Z_BP_23_D</v>
      </c>
      <c r="B42" s="135" t="str">
        <f t="shared" si="2"/>
        <v>BP</v>
      </c>
      <c r="C42" s="146" t="s">
        <v>376</v>
      </c>
      <c r="D42" s="145" t="s">
        <v>377</v>
      </c>
      <c r="E42" s="145" t="s">
        <v>378</v>
      </c>
      <c r="F42" s="145" t="s">
        <v>379</v>
      </c>
      <c r="G42" s="145" t="s">
        <v>380</v>
      </c>
      <c r="H42" s="145" t="s">
        <v>381</v>
      </c>
      <c r="I42" s="145" t="s">
        <v>382</v>
      </c>
      <c r="J42" s="139" t="s">
        <v>163</v>
      </c>
    </row>
  </sheetData>
  <sheetProtection algorithmName="SHA-512" hashValue="9cViRSc3nHAjOmlvqg9aiEYW3A5Iyy/+Z3JxrIgZtn5k0a8g2sa3IT9v+bZdSTGcjDR8PkmfWzJA+Mo7f4bWHw==" saltValue="NljeG+LActWYdcSFve/cAA=="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242</vt:i4>
      </vt:variant>
    </vt:vector>
  </HeadingPairs>
  <TitlesOfParts>
    <vt:vector size="250" baseType="lpstr">
      <vt:lpstr>INICIO</vt:lpstr>
      <vt:lpstr>Datos OM</vt:lpstr>
      <vt:lpstr>Datos O2</vt:lpstr>
      <vt:lpstr>Datos VF</vt:lpstr>
      <vt:lpstr>Datos E</vt:lpstr>
      <vt:lpstr>Datos RC</vt:lpstr>
      <vt:lpstr>Datos PP</vt:lpstr>
      <vt:lpstr>DICCIONARIO</vt:lpstr>
      <vt:lpstr>AUTOR</vt:lpstr>
      <vt:lpstr>IDIOMA</vt:lpstr>
      <vt:lpstr>Z_BP_00_D</vt:lpstr>
      <vt:lpstr>Z_BP_00_E</vt:lpstr>
      <vt:lpstr>Z_BP_00_F</vt:lpstr>
      <vt:lpstr>Z_BP_00_I</vt:lpstr>
      <vt:lpstr>Z_BP_00_P</vt:lpstr>
      <vt:lpstr>Z_BP_00_S</vt:lpstr>
      <vt:lpstr>Z_BP_01_D</vt:lpstr>
      <vt:lpstr>Z_BP_01_E</vt:lpstr>
      <vt:lpstr>Z_BP_01_F</vt:lpstr>
      <vt:lpstr>Z_BP_01_I</vt:lpstr>
      <vt:lpstr>Z_BP_01_P</vt:lpstr>
      <vt:lpstr>Z_BP_01_S</vt:lpstr>
      <vt:lpstr>Z_BP_02_D</vt:lpstr>
      <vt:lpstr>Z_BP_02_E</vt:lpstr>
      <vt:lpstr>Z_BP_02_F</vt:lpstr>
      <vt:lpstr>Z_BP_02_I</vt:lpstr>
      <vt:lpstr>Z_BP_02_P</vt:lpstr>
      <vt:lpstr>Z_BP_02_S</vt:lpstr>
      <vt:lpstr>Z_BP_03_D</vt:lpstr>
      <vt:lpstr>Z_BP_03_E</vt:lpstr>
      <vt:lpstr>Z_BP_03_F</vt:lpstr>
      <vt:lpstr>Z_BP_03_I</vt:lpstr>
      <vt:lpstr>Z_BP_03_P</vt:lpstr>
      <vt:lpstr>Z_BP_03_S</vt:lpstr>
      <vt:lpstr>Z_BP_04_D</vt:lpstr>
      <vt:lpstr>Z_BP_04_E</vt:lpstr>
      <vt:lpstr>Z_BP_04_F</vt:lpstr>
      <vt:lpstr>Z_BP_04_I</vt:lpstr>
      <vt:lpstr>Z_BP_04_P</vt:lpstr>
      <vt:lpstr>Z_BP_04_S</vt:lpstr>
      <vt:lpstr>Z_BP_05_D</vt:lpstr>
      <vt:lpstr>Z_BP_05_E</vt:lpstr>
      <vt:lpstr>Z_BP_05_F</vt:lpstr>
      <vt:lpstr>Z_BP_05_I</vt:lpstr>
      <vt:lpstr>Z_BP_05_P</vt:lpstr>
      <vt:lpstr>Z_BP_05_S</vt:lpstr>
      <vt:lpstr>Z_BP_06_D</vt:lpstr>
      <vt:lpstr>Z_BP_06_E</vt:lpstr>
      <vt:lpstr>Z_BP_06_F</vt:lpstr>
      <vt:lpstr>Z_BP_06_I</vt:lpstr>
      <vt:lpstr>Z_BP_06_P</vt:lpstr>
      <vt:lpstr>Z_BP_06_S</vt:lpstr>
      <vt:lpstr>Z_BP_07_D</vt:lpstr>
      <vt:lpstr>Z_BP_07_E</vt:lpstr>
      <vt:lpstr>Z_BP_07_F</vt:lpstr>
      <vt:lpstr>Z_BP_07_I</vt:lpstr>
      <vt:lpstr>Z_BP_07_P</vt:lpstr>
      <vt:lpstr>Z_BP_07_S</vt:lpstr>
      <vt:lpstr>Z_BP_08_D</vt:lpstr>
      <vt:lpstr>Z_BP_08_E</vt:lpstr>
      <vt:lpstr>Z_BP_08_F</vt:lpstr>
      <vt:lpstr>Z_BP_08_I</vt:lpstr>
      <vt:lpstr>Z_BP_08_P</vt:lpstr>
      <vt:lpstr>Z_BP_08_S</vt:lpstr>
      <vt:lpstr>Z_BP_09_D</vt:lpstr>
      <vt:lpstr>Z_BP_09_E</vt:lpstr>
      <vt:lpstr>Z_BP_09_F</vt:lpstr>
      <vt:lpstr>Z_BP_09_I</vt:lpstr>
      <vt:lpstr>Z_BP_09_P</vt:lpstr>
      <vt:lpstr>Z_BP_09_S</vt:lpstr>
      <vt:lpstr>Z_BP_10_D</vt:lpstr>
      <vt:lpstr>Z_BP_10_E</vt:lpstr>
      <vt:lpstr>Z_BP_10_F</vt:lpstr>
      <vt:lpstr>Z_BP_10_I</vt:lpstr>
      <vt:lpstr>Z_BP_10_P</vt:lpstr>
      <vt:lpstr>Z_BP_10_S</vt:lpstr>
      <vt:lpstr>Z_BP_11_D</vt:lpstr>
      <vt:lpstr>Z_BP_11_E</vt:lpstr>
      <vt:lpstr>Z_BP_11_F</vt:lpstr>
      <vt:lpstr>Z_BP_11_I</vt:lpstr>
      <vt:lpstr>Z_BP_11_P</vt:lpstr>
      <vt:lpstr>Z_BP_11_S</vt:lpstr>
      <vt:lpstr>Z_BP_12_D</vt:lpstr>
      <vt:lpstr>Z_BP_12_E</vt:lpstr>
      <vt:lpstr>Z_BP_12_F</vt:lpstr>
      <vt:lpstr>Z_BP_12_I</vt:lpstr>
      <vt:lpstr>Z_BP_12_P</vt:lpstr>
      <vt:lpstr>Z_BP_12_S</vt:lpstr>
      <vt:lpstr>Z_BP_13_D</vt:lpstr>
      <vt:lpstr>Z_BP_13_E</vt:lpstr>
      <vt:lpstr>Z_BP_13_F</vt:lpstr>
      <vt:lpstr>Z_BP_13_I</vt:lpstr>
      <vt:lpstr>Z_BP_13_P</vt:lpstr>
      <vt:lpstr>Z_BP_13_S</vt:lpstr>
      <vt:lpstr>Z_BP_14_D</vt:lpstr>
      <vt:lpstr>Z_BP_14_E</vt:lpstr>
      <vt:lpstr>Z_BP_14_F</vt:lpstr>
      <vt:lpstr>Z_BP_14_I</vt:lpstr>
      <vt:lpstr>Z_BP_14_P</vt:lpstr>
      <vt:lpstr>Z_BP_14_S</vt:lpstr>
      <vt:lpstr>Z_BP_15_D</vt:lpstr>
      <vt:lpstr>Z_BP_15_E</vt:lpstr>
      <vt:lpstr>Z_BP_15_F</vt:lpstr>
      <vt:lpstr>Z_BP_15_I</vt:lpstr>
      <vt:lpstr>Z_BP_15_P</vt:lpstr>
      <vt:lpstr>Z_BP_15_S</vt:lpstr>
      <vt:lpstr>Z_BP_16_D</vt:lpstr>
      <vt:lpstr>Z_BP_16_E</vt:lpstr>
      <vt:lpstr>Z_BP_16_F</vt:lpstr>
      <vt:lpstr>Z_BP_16_I</vt:lpstr>
      <vt:lpstr>Z_BP_16_P</vt:lpstr>
      <vt:lpstr>Z_BP_16_S</vt:lpstr>
      <vt:lpstr>Z_BP_17_D</vt:lpstr>
      <vt:lpstr>Z_BP_17_E</vt:lpstr>
      <vt:lpstr>Z_BP_17_F</vt:lpstr>
      <vt:lpstr>Z_BP_17_I</vt:lpstr>
      <vt:lpstr>Z_BP_17_P</vt:lpstr>
      <vt:lpstr>Z_BP_17_S</vt:lpstr>
      <vt:lpstr>Z_BP_18_D</vt:lpstr>
      <vt:lpstr>Z_BP_18_E</vt:lpstr>
      <vt:lpstr>Z_BP_18_F</vt:lpstr>
      <vt:lpstr>Z_BP_18_I</vt:lpstr>
      <vt:lpstr>Z_BP_18_P</vt:lpstr>
      <vt:lpstr>Z_BP_18_S</vt:lpstr>
      <vt:lpstr>Z_BP_19_D</vt:lpstr>
      <vt:lpstr>Z_BP_19_E</vt:lpstr>
      <vt:lpstr>Z_BP_19_F</vt:lpstr>
      <vt:lpstr>Z_BP_19_I</vt:lpstr>
      <vt:lpstr>Z_BP_19_P</vt:lpstr>
      <vt:lpstr>Z_BP_19_S</vt:lpstr>
      <vt:lpstr>Z_BP_20_D</vt:lpstr>
      <vt:lpstr>Z_BP_20_E</vt:lpstr>
      <vt:lpstr>Z_BP_20_F</vt:lpstr>
      <vt:lpstr>Z_BP_20_I</vt:lpstr>
      <vt:lpstr>Z_BP_20_P</vt:lpstr>
      <vt:lpstr>Z_BP_20_S</vt:lpstr>
      <vt:lpstr>Z_BP_21_D</vt:lpstr>
      <vt:lpstr>Z_BP_21_E</vt:lpstr>
      <vt:lpstr>Z_BP_21_F</vt:lpstr>
      <vt:lpstr>Z_BP_21_I</vt:lpstr>
      <vt:lpstr>Z_BP_21_P</vt:lpstr>
      <vt:lpstr>Z_BP_21_S</vt:lpstr>
      <vt:lpstr>Z_BP_22_D</vt:lpstr>
      <vt:lpstr>Z_BP_22_E</vt:lpstr>
      <vt:lpstr>Z_BP_22_F</vt:lpstr>
      <vt:lpstr>Z_BP_22_I</vt:lpstr>
      <vt:lpstr>Z_BP_22_P</vt:lpstr>
      <vt:lpstr>Z_BP_22_S</vt:lpstr>
      <vt:lpstr>Z_BP_23_D</vt:lpstr>
      <vt:lpstr>Z_BP_23_E</vt:lpstr>
      <vt:lpstr>Z_BP_23_F</vt:lpstr>
      <vt:lpstr>Z_BP_23_I</vt:lpstr>
      <vt:lpstr>Z_BP_23_P</vt:lpstr>
      <vt:lpstr>Z_BP_23_S</vt:lpstr>
      <vt:lpstr>Z_IN_00_D</vt:lpstr>
      <vt:lpstr>Z_IN_00_E</vt:lpstr>
      <vt:lpstr>Z_IN_00_F</vt:lpstr>
      <vt:lpstr>Z_IN_00_I</vt:lpstr>
      <vt:lpstr>Z_IN_00_P</vt:lpstr>
      <vt:lpstr>Z_IN_00_S</vt:lpstr>
      <vt:lpstr>Z_IN_01_D</vt:lpstr>
      <vt:lpstr>Z_IN_01_E</vt:lpstr>
      <vt:lpstr>Z_IN_01_F</vt:lpstr>
      <vt:lpstr>Z_IN_01_I</vt:lpstr>
      <vt:lpstr>Z_IN_01_P</vt:lpstr>
      <vt:lpstr>Z_IN_01_S</vt:lpstr>
      <vt:lpstr>Z_IN_02_D</vt:lpstr>
      <vt:lpstr>Z_IN_02_E</vt:lpstr>
      <vt:lpstr>Z_IN_02_F</vt:lpstr>
      <vt:lpstr>Z_IN_02_I</vt:lpstr>
      <vt:lpstr>Z_IN_02_P</vt:lpstr>
      <vt:lpstr>Z_IN_02_S</vt:lpstr>
      <vt:lpstr>Z_IN_03_D</vt:lpstr>
      <vt:lpstr>Z_IN_03_E</vt:lpstr>
      <vt:lpstr>Z_IN_03_F</vt:lpstr>
      <vt:lpstr>Z_IN_03_I</vt:lpstr>
      <vt:lpstr>Z_IN_03_P</vt:lpstr>
      <vt:lpstr>Z_IN_03_S</vt:lpstr>
      <vt:lpstr>Z_IN_04_D</vt:lpstr>
      <vt:lpstr>Z_IN_04_E</vt:lpstr>
      <vt:lpstr>Z_IN_04_F</vt:lpstr>
      <vt:lpstr>Z_IN_04_I</vt:lpstr>
      <vt:lpstr>Z_IN_04_P</vt:lpstr>
      <vt:lpstr>Z_IN_04_S</vt:lpstr>
      <vt:lpstr>Z_IN_05_D</vt:lpstr>
      <vt:lpstr>Z_IN_05_E</vt:lpstr>
      <vt:lpstr>Z_IN_05_F</vt:lpstr>
      <vt:lpstr>Z_IN_05_I</vt:lpstr>
      <vt:lpstr>Z_IN_05_P</vt:lpstr>
      <vt:lpstr>Z_IN_05_S</vt:lpstr>
      <vt:lpstr>Z_IN_06_D</vt:lpstr>
      <vt:lpstr>Z_IN_06_E</vt:lpstr>
      <vt:lpstr>Z_IN_06_F</vt:lpstr>
      <vt:lpstr>Z_IN_06_I</vt:lpstr>
      <vt:lpstr>Z_IN_06_P</vt:lpstr>
      <vt:lpstr>Z_IN_06_S</vt:lpstr>
      <vt:lpstr>Z_IN_07_D</vt:lpstr>
      <vt:lpstr>Z_IN_07_E</vt:lpstr>
      <vt:lpstr>Z_IN_07_F</vt:lpstr>
      <vt:lpstr>Z_IN_07_I</vt:lpstr>
      <vt:lpstr>Z_IN_07_P</vt:lpstr>
      <vt:lpstr>Z_IN_07_S</vt:lpstr>
      <vt:lpstr>Z_IN_08_D</vt:lpstr>
      <vt:lpstr>Z_IN_08_E</vt:lpstr>
      <vt:lpstr>Z_IN_08_F</vt:lpstr>
      <vt:lpstr>Z_IN_08_I</vt:lpstr>
      <vt:lpstr>Z_IN_08_P</vt:lpstr>
      <vt:lpstr>Z_IN_08_S</vt:lpstr>
      <vt:lpstr>Z_IN_09_D</vt:lpstr>
      <vt:lpstr>Z_IN_09_E</vt:lpstr>
      <vt:lpstr>Z_IN_09_F</vt:lpstr>
      <vt:lpstr>Z_IN_09_I</vt:lpstr>
      <vt:lpstr>Z_IN_09_P</vt:lpstr>
      <vt:lpstr>Z_IN_09_S</vt:lpstr>
      <vt:lpstr>Z_IN_10_D</vt:lpstr>
      <vt:lpstr>Z_IN_10_E</vt:lpstr>
      <vt:lpstr>Z_IN_10_F</vt:lpstr>
      <vt:lpstr>Z_IN_10_I</vt:lpstr>
      <vt:lpstr>Z_IN_10_P</vt:lpstr>
      <vt:lpstr>Z_IN_10_S</vt:lpstr>
      <vt:lpstr>Z_IN_11_D</vt:lpstr>
      <vt:lpstr>Z_IN_11_E</vt:lpstr>
      <vt:lpstr>Z_IN_11_F</vt:lpstr>
      <vt:lpstr>Z_IN_11_I</vt:lpstr>
      <vt:lpstr>Z_IN_11_P</vt:lpstr>
      <vt:lpstr>Z_IN_11_S</vt:lpstr>
      <vt:lpstr>Z_IN_12_D</vt:lpstr>
      <vt:lpstr>Z_IN_12_E</vt:lpstr>
      <vt:lpstr>Z_IN_12_F</vt:lpstr>
      <vt:lpstr>Z_IN_12_I</vt:lpstr>
      <vt:lpstr>Z_IN_12_P</vt:lpstr>
      <vt:lpstr>Z_IN_12_S</vt:lpstr>
      <vt:lpstr>Z_IN_13_D</vt:lpstr>
      <vt:lpstr>Z_IN_13_E</vt:lpstr>
      <vt:lpstr>Z_IN_13_F</vt:lpstr>
      <vt:lpstr>Z_IN_13_I</vt:lpstr>
      <vt:lpstr>Z_IN_13_P</vt:lpstr>
      <vt:lpstr>Z_IN_13_S</vt:lpstr>
      <vt:lpstr>Z_IN_14_D</vt:lpstr>
      <vt:lpstr>Z_IN_14_E</vt:lpstr>
      <vt:lpstr>Z_IN_14_F</vt:lpstr>
      <vt:lpstr>Z_IN_14_I</vt:lpstr>
      <vt:lpstr>Z_IN_14_P</vt:lpstr>
      <vt:lpstr>Z_IN_14_S</vt:lpstr>
      <vt:lpstr>Z_IN_15_D</vt:lpstr>
      <vt:lpstr>Z_IN_15_E</vt:lpstr>
      <vt:lpstr>Z_IN_15_F</vt:lpstr>
      <vt:lpstr>Z_IN_15_I</vt:lpstr>
      <vt:lpstr>Z_IN_15_P</vt:lpstr>
      <vt:lpstr>Z_IN_15_S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dcterms:created xsi:type="dcterms:W3CDTF">2021-02-15T22:57:22Z</dcterms:created>
  <dcterms:modified xsi:type="dcterms:W3CDTF">2021-04-08T21:59:15Z</dcterms:modified>
  <cp:category>DOCENCIA</cp:category>
</cp:coreProperties>
</file>